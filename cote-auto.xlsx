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Analyse du mois" sheetId="2" state="visible" r:id="rId2"/>
    <sheet name="Historique mensuel" sheetId="3" state="visible" r:id="rId3"/>
    <sheet name="Médianes par mois" sheetId="4" state="visible" r:id="rId4"/>
    <sheet name="Indice base 100" sheetId="5" state="visible" r:id="rId5"/>
    <sheet name="Relevés" sheetId="6" state="visible" r:id="rId6"/>
    <sheet name="Annonces" sheetId="7" state="visible" r:id="rId7"/>
    <sheet name="Historique des prix" sheetId="8" state="visible" r:id="rId8"/>
    <sheet name="Par année-modèle" sheetId="9" state="visible" r:id="rId9"/>
    <sheet name="Par kilométrage" sheetId="10" state="visible" r:id="rId10"/>
    <sheet name="Bonnes affaires" sheetId="11" state="visible" r:id="rId11"/>
    <sheet name="Véhicules" sheetId="12" state="visible" r:id="rId12"/>
  </sheets>
  <definedNames>
    <definedName name="_xlnm._FilterDatabase" localSheetId="1" hidden="1">'Analyse du mois'!$A$8:$AC$24</definedName>
    <definedName name="_xlnm._FilterDatabase" localSheetId="2" hidden="1">'Historique mensuel'!$A$1:$P$25</definedName>
    <definedName name="_xlnm._FilterDatabase" localSheetId="5" hidden="1">'Relevés'!$A$1:$Q$40</definedName>
    <definedName name="_xlnm._FilterDatabase" localSheetId="6" hidden="1">'Annonces'!$A$1:$AQ$701</definedName>
    <definedName name="_xlnm._FilterDatabase" localSheetId="7" hidden="1">'Historique des prix'!$A$1:$G$726</definedName>
    <definedName name="_xlnm._FilterDatabase" localSheetId="8" hidden="1">'Par année-modèle'!$A$2:$G$115</definedName>
    <definedName name="_xlnm._FilterDatabase" localSheetId="9" hidden="1">'Par kilométrage'!$A$2:$G$59</definedName>
    <definedName name="_xlnm._FilterDatabase" localSheetId="10" hidden="1">'Bonnes affaires'!$A$1:$J$64</definedName>
    <definedName name="_xlnm._FilterDatabase" localSheetId="11" hidden="1">'Véhicules'!$A$1:$O$17</definedName>
  </definedNames>
  <calcPr calcId="124519" fullCalcOnLoad="1"/>
</workbook>
</file>

<file path=xl/styles.xml><?xml version="1.0" encoding="utf-8"?>
<styleSheet xmlns="http://schemas.openxmlformats.org/spreadsheetml/2006/main">
  <numFmts count="9">
    <numFmt numFmtId="164" formatCode="yyyy-mm-dd"/>
    <numFmt numFmtId="165" formatCode="dd/mm/yyyy"/>
    <numFmt numFmtId="166" formatCode="0.0"/>
    <numFmt numFmtId="167" formatCode="#,##0 &quot;€&quot;;-#,##0 &quot;€&quot;;&quot;-&quot;"/>
    <numFmt numFmtId="168" formatCode="0.0%"/>
    <numFmt numFmtId="169" formatCode="[Color10]+0.0%;[Red]-0.0%;0.0%"/>
    <numFmt numFmtId="170" formatCode="#,##0 &quot;km&quot;;;&quot;-&quot;"/>
    <numFmt numFmtId="171" formatCode="0 &quot;j&quot;"/>
    <numFmt numFmtId="172" formatCode="[Color10]+0.0;[Red]-0.0;0.0"/>
  </numFmts>
  <fonts count="9">
    <font>
      <name val="Calibri"/>
      <family val="2"/>
      <color theme="1"/>
      <sz val="11"/>
      <scheme val="minor"/>
    </font>
    <font>
      <name val="Arial"/>
      <b val="1"/>
      <color rgb="001F1C18"/>
      <sz val="16"/>
    </font>
    <font>
      <name val="Arial"/>
      <b val="1"/>
      <color rgb="001F1C18"/>
      <sz val="10"/>
    </font>
    <font>
      <name val="Arial"/>
      <color rgb="001F1C18"/>
      <sz val="10"/>
    </font>
    <font>
      <name val="Arial"/>
      <color rgb="001F5FA8"/>
      <sz val="10"/>
      <u val="single"/>
    </font>
    <font>
      <name val="Arial"/>
      <i val="1"/>
      <color rgb="006E655A"/>
      <sz val="9"/>
    </font>
    <font>
      <name val="Arial"/>
      <b val="1"/>
      <color rgb="00A8742F"/>
      <sz val="14"/>
    </font>
    <font>
      <name val="Arial"/>
      <b val="1"/>
      <color rgb="00FFFFFF"/>
      <sz val="10"/>
    </font>
    <font>
      <name val="Arial"/>
      <b val="1"/>
      <color rgb="001F1C18"/>
      <sz val="12"/>
    </font>
  </fonts>
  <fills count="3">
    <fill>
      <patternFill/>
    </fill>
    <fill>
      <patternFill patternType="gray125"/>
    </fill>
    <fill>
      <patternFill patternType="solid">
        <fgColor rgb="00A8742F"/>
      </patternFill>
    </fill>
  </fills>
  <borders count="2">
    <border>
      <left/>
      <right/>
      <top/>
      <bottom/>
      <diagonal/>
    </border>
    <border>
      <bottom style="thin">
        <color rgb="00E1D8CA"/>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165" fontId="3" fillId="0" borderId="0" applyAlignment="1" pivotButton="0" quotePrefix="0" xfId="0">
      <alignment horizontal="left"/>
    </xf>
    <xf numFmtId="0" fontId="4" fillId="0" borderId="0" pivotButton="0" quotePrefix="0" xfId="0"/>
    <xf numFmtId="0" fontId="3" fillId="0" borderId="0" pivotButton="0" quotePrefix="0" xfId="0"/>
    <xf numFmtId="0" fontId="5" fillId="0" borderId="0" pivotButton="0" quotePrefix="0" xfId="0"/>
    <xf numFmtId="1" fontId="6" fillId="0" borderId="0" applyAlignment="1" pivotButton="0" quotePrefix="0" xfId="0">
      <alignment horizontal="left"/>
    </xf>
    <xf numFmtId="166" fontId="6" fillId="0" borderId="0" applyAlignment="1" pivotButton="0" quotePrefix="0" xfId="0">
      <alignment horizontal="left"/>
    </xf>
    <xf numFmtId="0" fontId="7" fillId="2" borderId="0" applyAlignment="1" pivotButton="0" quotePrefix="0" xfId="0">
      <alignment vertical="center" wrapText="1"/>
    </xf>
    <xf numFmtId="0" fontId="3" fillId="0" borderId="1" pivotButton="0" quotePrefix="0" xfId="0"/>
    <xf numFmtId="166" fontId="3" fillId="0" borderId="1" pivotButton="0" quotePrefix="0" xfId="0"/>
    <xf numFmtId="167" fontId="3" fillId="0" borderId="1" pivotButton="0" quotePrefix="0" xfId="0"/>
    <xf numFmtId="168" fontId="3" fillId="0" borderId="1" pivotButton="0" quotePrefix="0" xfId="0"/>
    <xf numFmtId="169" fontId="3" fillId="0" borderId="1" pivotButton="0" quotePrefix="0" xfId="0"/>
    <xf numFmtId="170" fontId="3" fillId="0" borderId="1" pivotButton="0" quotePrefix="0" xfId="0"/>
    <xf numFmtId="1" fontId="3" fillId="0" borderId="1" pivotButton="0" quotePrefix="0" xfId="0"/>
    <xf numFmtId="171" fontId="3" fillId="0" borderId="1" pivotButton="0" quotePrefix="0" xfId="0"/>
    <xf numFmtId="165" fontId="3" fillId="0" borderId="1" pivotButton="0" quotePrefix="0" xfId="0"/>
    <xf numFmtId="0" fontId="4" fillId="0" borderId="1" pivotButton="0" quotePrefix="0" xfId="0"/>
    <xf numFmtId="172" fontId="3" fillId="0" borderId="1" pivotButton="0" quotePrefix="0" xfId="0"/>
    <xf numFmtId="0" fontId="7" fillId="2" borderId="0" pivotButton="0" quotePrefix="0" xfId="0"/>
    <xf numFmtId="167" fontId="3" fillId="0" borderId="0" pivotButton="0" quotePrefix="0" xfId="0"/>
    <xf numFmtId="0" fontId="8" fillId="0" borderId="0" pivotButton="0" quotePrefix="0" xfId="0"/>
    <xf numFmtId="166" fontId="3" fillId="0" borderId="0" pivotButton="0" quotePrefix="0" xfId="0"/>
  </cellXfs>
  <cellStyles count="1">
    <cellStyle name="Normal" xfId="0" builtinId="0" hidden="0"/>
  </cellStyles>
  <dxfs count="2">
    <dxf>
      <fill>
        <patternFill patternType="solid">
          <fgColor rgb="00E3F1EA"/>
        </patternFill>
      </fill>
    </dxf>
    <dxf>
      <fill>
        <patternFill patternType="solid">
          <fgColor rgb="00F7EB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style val="2"/>
  <chart>
    <title>
      <tx>
        <rich>
          <a:bodyPr/>
          <a:p>
            <a:pPr>
              <a:defRPr/>
            </a:pPr>
            <a:r>
              <a:t>Score par véhicule</a:t>
            </a:r>
          </a:p>
        </rich>
      </tx>
    </title>
    <plotArea>
      <barChart>
        <barDir val="bar"/>
        <grouping val="clustered"/>
        <ser>
          <idx val="0"/>
          <order val="0"/>
          <tx>
            <strRef>
              <f>'Analyse du mois'!C8</f>
            </strRef>
          </tx>
          <spPr>
            <a:ln>
              <a:prstDash val="solid"/>
            </a:ln>
          </spPr>
          <cat>
            <numRef>
              <f>'Analyse du mois'!$A$9:$A$24</f>
            </numRef>
          </cat>
          <val>
            <numRef>
              <f>'Analyse du mois'!$C$9:$C$24</f>
            </numRef>
          </val>
        </ser>
        <gapWidth val="150"/>
        <axId val="10"/>
        <axId val="100"/>
      </barChart>
      <catAx>
        <axId val="10"/>
        <scaling>
          <orientation val="maxMin"/>
        </scaling>
        <axPos val="l"/>
        <majorTickMark val="none"/>
        <minorTickMark val="none"/>
        <crossAx val="100"/>
        <lblOffset val="100"/>
      </catAx>
      <valAx>
        <axId val="100"/>
        <scaling>
          <orientation val="minMax"/>
          <max val="100"/>
          <min val="0"/>
        </scaling>
        <axPos val="l"/>
        <majorGridlines/>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Indice de la médiane (100 = premier mois suivi)</a:t>
            </a:r>
          </a:p>
        </rich>
      </tx>
    </title>
    <plotArea>
      <lineChart>
        <grouping val="standard"/>
        <ser>
          <idx val="0"/>
          <order val="0"/>
          <tx>
            <strRef>
              <f>'Indice base 100'!B4</f>
            </strRef>
          </tx>
          <spPr>
            <a:ln>
              <a:prstDash val="solid"/>
            </a:ln>
          </spPr>
          <marker>
            <symbol val="none"/>
            <spPr>
              <a:ln>
                <a:prstDash val="solid"/>
              </a:ln>
            </spPr>
          </marker>
          <cat>
            <numRef>
              <f>'Indice base 100'!$A$5:$A$6</f>
            </numRef>
          </cat>
          <val>
            <numRef>
              <f>'Indice base 100'!$B$5:$B$6</f>
            </numRef>
          </val>
        </ser>
        <ser>
          <idx val="1"/>
          <order val="1"/>
          <tx>
            <strRef>
              <f>'Indice base 100'!C4</f>
            </strRef>
          </tx>
          <spPr>
            <a:ln>
              <a:prstDash val="solid"/>
            </a:ln>
          </spPr>
          <marker>
            <symbol val="none"/>
            <spPr>
              <a:ln>
                <a:prstDash val="solid"/>
              </a:ln>
            </spPr>
          </marker>
          <cat>
            <numRef>
              <f>'Indice base 100'!$A$5:$A$6</f>
            </numRef>
          </cat>
          <val>
            <numRef>
              <f>'Indice base 100'!$C$5:$C$6</f>
            </numRef>
          </val>
        </ser>
        <ser>
          <idx val="2"/>
          <order val="2"/>
          <tx>
            <strRef>
              <f>'Indice base 100'!D4</f>
            </strRef>
          </tx>
          <spPr>
            <a:ln>
              <a:prstDash val="solid"/>
            </a:ln>
          </spPr>
          <marker>
            <symbol val="none"/>
            <spPr>
              <a:ln>
                <a:prstDash val="solid"/>
              </a:ln>
            </spPr>
          </marker>
          <cat>
            <numRef>
              <f>'Indice base 100'!$A$5:$A$6</f>
            </numRef>
          </cat>
          <val>
            <numRef>
              <f>'Indice base 100'!$D$5:$D$6</f>
            </numRef>
          </val>
        </ser>
        <ser>
          <idx val="3"/>
          <order val="3"/>
          <tx>
            <strRef>
              <f>'Indice base 100'!E4</f>
            </strRef>
          </tx>
          <spPr>
            <a:ln>
              <a:prstDash val="solid"/>
            </a:ln>
          </spPr>
          <marker>
            <symbol val="none"/>
            <spPr>
              <a:ln>
                <a:prstDash val="solid"/>
              </a:ln>
            </spPr>
          </marker>
          <cat>
            <numRef>
              <f>'Indice base 100'!$A$5:$A$6</f>
            </numRef>
          </cat>
          <val>
            <numRef>
              <f>'Indice base 100'!$E$5:$E$6</f>
            </numRef>
          </val>
        </ser>
        <ser>
          <idx val="4"/>
          <order val="4"/>
          <tx>
            <strRef>
              <f>'Indice base 100'!F4</f>
            </strRef>
          </tx>
          <spPr>
            <a:ln>
              <a:prstDash val="solid"/>
            </a:ln>
          </spPr>
          <marker>
            <symbol val="none"/>
            <spPr>
              <a:ln>
                <a:prstDash val="solid"/>
              </a:ln>
            </spPr>
          </marker>
          <cat>
            <numRef>
              <f>'Indice base 100'!$A$5:$A$6</f>
            </numRef>
          </cat>
          <val>
            <numRef>
              <f>'Indice base 100'!$F$5:$F$6</f>
            </numRef>
          </val>
        </ser>
        <ser>
          <idx val="5"/>
          <order val="5"/>
          <tx>
            <strRef>
              <f>'Indice base 100'!G4</f>
            </strRef>
          </tx>
          <spPr>
            <a:ln>
              <a:prstDash val="solid"/>
            </a:ln>
          </spPr>
          <marker>
            <symbol val="none"/>
            <spPr>
              <a:ln>
                <a:prstDash val="solid"/>
              </a:ln>
            </spPr>
          </marker>
          <cat>
            <numRef>
              <f>'Indice base 100'!$A$5:$A$6</f>
            </numRef>
          </cat>
          <val>
            <numRef>
              <f>'Indice base 100'!$G$5:$G$6</f>
            </numRef>
          </val>
        </ser>
        <ser>
          <idx val="6"/>
          <order val="6"/>
          <tx>
            <strRef>
              <f>'Indice base 100'!H4</f>
            </strRef>
          </tx>
          <spPr>
            <a:ln>
              <a:prstDash val="solid"/>
            </a:ln>
          </spPr>
          <marker>
            <symbol val="none"/>
            <spPr>
              <a:ln>
                <a:prstDash val="solid"/>
              </a:ln>
            </spPr>
          </marker>
          <cat>
            <numRef>
              <f>'Indice base 100'!$A$5:$A$6</f>
            </numRef>
          </cat>
          <val>
            <numRef>
              <f>'Indice base 100'!$H$5:$H$6</f>
            </numRef>
          </val>
        </ser>
        <ser>
          <idx val="7"/>
          <order val="7"/>
          <tx>
            <strRef>
              <f>'Indice base 100'!I4</f>
            </strRef>
          </tx>
          <spPr>
            <a:ln>
              <a:prstDash val="solid"/>
            </a:ln>
          </spPr>
          <marker>
            <symbol val="none"/>
            <spPr>
              <a:ln>
                <a:prstDash val="solid"/>
              </a:ln>
            </spPr>
          </marker>
          <cat>
            <numRef>
              <f>'Indice base 100'!$A$5:$A$6</f>
            </numRef>
          </cat>
          <val>
            <numRef>
              <f>'Indice base 100'!$I$5:$I$6</f>
            </numRef>
          </val>
        </ser>
        <ser>
          <idx val="8"/>
          <order val="8"/>
          <tx>
            <strRef>
              <f>'Indice base 100'!J4</f>
            </strRef>
          </tx>
          <spPr>
            <a:ln>
              <a:prstDash val="solid"/>
            </a:ln>
          </spPr>
          <marker>
            <symbol val="none"/>
            <spPr>
              <a:ln>
                <a:prstDash val="solid"/>
              </a:ln>
            </spPr>
          </marker>
          <cat>
            <numRef>
              <f>'Indice base 100'!$A$5:$A$6</f>
            </numRef>
          </cat>
          <val>
            <numRef>
              <f>'Indice base 100'!$J$5:$J$6</f>
            </numRef>
          </val>
        </ser>
        <ser>
          <idx val="9"/>
          <order val="9"/>
          <tx>
            <strRef>
              <f>'Indice base 100'!K4</f>
            </strRef>
          </tx>
          <spPr>
            <a:ln>
              <a:prstDash val="solid"/>
            </a:ln>
          </spPr>
          <marker>
            <symbol val="none"/>
            <spPr>
              <a:ln>
                <a:prstDash val="solid"/>
              </a:ln>
            </spPr>
          </marker>
          <cat>
            <numRef>
              <f>'Indice base 100'!$A$5:$A$6</f>
            </numRef>
          </cat>
          <val>
            <numRef>
              <f>'Indice base 100'!$K$5:$K$6</f>
            </numRef>
          </val>
        </ser>
        <ser>
          <idx val="10"/>
          <order val="10"/>
          <tx>
            <strRef>
              <f>'Indice base 100'!L4</f>
            </strRef>
          </tx>
          <spPr>
            <a:ln>
              <a:prstDash val="solid"/>
            </a:ln>
          </spPr>
          <marker>
            <symbol val="none"/>
            <spPr>
              <a:ln>
                <a:prstDash val="solid"/>
              </a:ln>
            </spPr>
          </marker>
          <cat>
            <numRef>
              <f>'Indice base 100'!$A$5:$A$6</f>
            </numRef>
          </cat>
          <val>
            <numRef>
              <f>'Indice base 100'!$L$5:$L$6</f>
            </numRef>
          </val>
        </ser>
        <ser>
          <idx val="11"/>
          <order val="11"/>
          <tx>
            <strRef>
              <f>'Indice base 100'!M4</f>
            </strRef>
          </tx>
          <spPr>
            <a:ln>
              <a:prstDash val="solid"/>
            </a:ln>
          </spPr>
          <marker>
            <symbol val="none"/>
            <spPr>
              <a:ln>
                <a:prstDash val="solid"/>
              </a:ln>
            </spPr>
          </marker>
          <cat>
            <numRef>
              <f>'Indice base 100'!$A$5:$A$6</f>
            </numRef>
          </cat>
          <val>
            <numRef>
              <f>'Indice base 100'!$M$5:$M$6</f>
            </numRef>
          </val>
        </ser>
        <ser>
          <idx val="12"/>
          <order val="12"/>
          <tx>
            <strRef>
              <f>'Indice base 100'!N4</f>
            </strRef>
          </tx>
          <spPr>
            <a:ln>
              <a:prstDash val="solid"/>
            </a:ln>
          </spPr>
          <marker>
            <symbol val="none"/>
            <spPr>
              <a:ln>
                <a:prstDash val="solid"/>
              </a:ln>
            </spPr>
          </marker>
          <cat>
            <numRef>
              <f>'Indice base 100'!$A$5:$A$6</f>
            </numRef>
          </cat>
          <val>
            <numRef>
              <f>'Indice base 100'!$N$5:$N$6</f>
            </numRef>
          </val>
        </ser>
        <ser>
          <idx val="13"/>
          <order val="13"/>
          <tx>
            <strRef>
              <f>'Indice base 100'!O4</f>
            </strRef>
          </tx>
          <spPr>
            <a:ln>
              <a:prstDash val="solid"/>
            </a:ln>
          </spPr>
          <marker>
            <symbol val="none"/>
            <spPr>
              <a:ln>
                <a:prstDash val="solid"/>
              </a:ln>
            </spPr>
          </marker>
          <cat>
            <numRef>
              <f>'Indice base 100'!$A$5:$A$6</f>
            </numRef>
          </cat>
          <val>
            <numRef>
              <f>'Indice base 100'!$O$5:$O$6</f>
            </numRef>
          </val>
        </ser>
        <ser>
          <idx val="14"/>
          <order val="14"/>
          <tx>
            <strRef>
              <f>'Indice base 100'!P4</f>
            </strRef>
          </tx>
          <spPr>
            <a:ln>
              <a:prstDash val="solid"/>
            </a:ln>
          </spPr>
          <marker>
            <symbol val="none"/>
            <spPr>
              <a:ln>
                <a:prstDash val="solid"/>
              </a:ln>
            </spPr>
          </marker>
          <cat>
            <numRef>
              <f>'Indice base 100'!$A$5:$A$6</f>
            </numRef>
          </cat>
          <val>
            <numRef>
              <f>'Indice base 100'!$P$5:$P$6</f>
            </numRef>
          </val>
        </ser>
        <ser>
          <idx val="15"/>
          <order val="15"/>
          <tx>
            <strRef>
              <f>'Indice base 100'!Q4</f>
            </strRef>
          </tx>
          <spPr>
            <a:ln>
              <a:prstDash val="solid"/>
            </a:ln>
          </spPr>
          <marker>
            <symbol val="none"/>
            <spPr>
              <a:ln>
                <a:prstDash val="solid"/>
              </a:ln>
            </spPr>
          </marker>
          <cat>
            <numRef>
              <f>'Indice base 100'!$A$5:$A$6</f>
            </numRef>
          </cat>
          <val>
            <numRef>
              <f>'Indice base 100'!$Q$5:$Q$6</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Indice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26</row>
      <rowOff>0</rowOff>
    </from>
    <ext cx="6480000" cy="3888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8</row>
      <rowOff>0</rowOff>
    </from>
    <ext cx="936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ttchampavier-ui.github.io/cote-auto/" TargetMode="External" Id="rId1" /></Relationships>
</file>

<file path=xl/worksheets/_rels/sheet2.xml.rels><Relationships xmlns="http://schemas.openxmlformats.org/package/2006/relationships"><Relationship Type="http://schemas.openxmlformats.org/officeDocument/2006/relationships/hyperlink" Target="https://www.leboncoin.fr/recherche?category=2&amp;text=208+gti+30th&amp;regdate=2014-2016" TargetMode="External" Id="rId1" /><Relationship Type="http://schemas.openxmlformats.org/officeDocument/2006/relationships/hyperlink" Target="https://www.leboncoin.fr/recherche?category=2&amp;text=911+997+carrera+s&amp;regdate=2004-2012" TargetMode="External" Id="rId2" /><Relationship Type="http://schemas.openxmlformats.org/officeDocument/2006/relationships/hyperlink" Target="https://www.leboncoin.fr/recherche?category=2&amp;text=205+gti&amp;regdate=1984-1994" TargetMode="External" Id="rId3" /><Relationship Type="http://schemas.openxmlformats.org/officeDocument/2006/relationships/hyperlink" Target="https://www.leboncoin.fr/recherche?category=2&amp;text=206+rc&amp;regdate=2003-2007" TargetMode="External" Id="rId4" /><Relationship Type="http://schemas.openxmlformats.org/officeDocument/2006/relationships/hyperlink" Target="https://www.leboncoin.fr/recherche?category=2&amp;text=twingo+toit+ouvrant&amp;regdate=1993-2007" TargetMode="External" Id="rId5" /><Relationship Type="http://schemas.openxmlformats.org/officeDocument/2006/relationships/hyperlink" Target="https://www.leboncoin.fr/recherche?category=2&amp;text=honda+s2000&amp;regdate=1999-2009" TargetMode="External" Id="rId6" /><Relationship Type="http://schemas.openxmlformats.org/officeDocument/2006/relationships/hyperlink" Target="https://www.leboncoin.fr/recherche?category=2&amp;text=clio+rs&amp;regdate=2000-2006" TargetMode="External" Id="rId7" /><Relationship Type="http://schemas.openxmlformats.org/officeDocument/2006/relationships/hyperlink" Target="https://www.leboncoin.fr/recherche?category=2&amp;text=306+s16&amp;regdate=1993-2001" TargetMode="External" Id="rId8" /><Relationship Type="http://schemas.openxmlformats.org/officeDocument/2006/relationships/hyperlink" Target="https://www.leboncoin.fr/recherche?category=2&amp;text=bmw+z3&amp;regdate=1996-2002" TargetMode="External" Id="rId9" /><Relationship Type="http://schemas.openxmlformats.org/officeDocument/2006/relationships/hyperlink" Target="https://www.leboncoin.fr/recherche?category=2&amp;text=golf+gti+25&amp;regdate=2001-2002" TargetMode="External" Id="rId10" /><Relationship Type="http://schemas.openxmlformats.org/officeDocument/2006/relationships/hyperlink" Target="https://www.leboncoin.fr/recherche?category=2&amp;text=boxster+987&amp;regdate=2005-2012" TargetMode="External" Id="rId11" /><Relationship Type="http://schemas.openxmlformats.org/officeDocument/2006/relationships/hyperlink" Target="https://www.leboncoin.fr/recherche?category=2&amp;text=boxster+986&amp;regdate=1996-2004" TargetMode="External" Id="rId12" /><Relationship Type="http://schemas.openxmlformats.org/officeDocument/2006/relationships/hyperlink" Target="https://www.leboncoin.fr/recherche?category=2&amp;text=megane+rs+r26&amp;regdate=2007-2009" TargetMode="External" Id="rId13" /><Relationship Type="http://schemas.openxmlformats.org/officeDocument/2006/relationships/hyperlink" Target="https://www.leboncoin.fr/recherche?category=2&amp;text=mazda+mx5&amp;regdate=1989-1998" TargetMode="External" Id="rId14" /><Relationship Type="http://schemas.openxmlformats.org/officeDocument/2006/relationships/hyperlink" Target="https://www.leboncoin.fr/recherche?category=2&amp;text=saxo+vts&amp;regdate=1997-2004" TargetMode="External" Id="rId15" /><Relationship Type="http://schemas.openxmlformats.org/officeDocument/2006/relationships/hyperlink" Target="https://www.leboncoin.fr/recherche?category=2&amp;text=alfa+156+v6&amp;regdate=1997-2005" TargetMode="External" Id="rId16" /><Relationship Type="http://schemas.openxmlformats.org/officeDocument/2006/relationships/drawing" Target="/xl/drawings/drawing1.xml" Id="rId17"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hyperlink" Target="https://www.leboncoin.fr/ad/voitures/2903975057" TargetMode="External" Id="rId1" /><Relationship Type="http://schemas.openxmlformats.org/officeDocument/2006/relationships/hyperlink" Target="https://www.leboncoin.fr/ad/voitures/3222893175" TargetMode="External" Id="rId2" /><Relationship Type="http://schemas.openxmlformats.org/officeDocument/2006/relationships/hyperlink" Target="https://www.leboncoin.fr/ad/voitures/3237198858" TargetMode="External" Id="rId3" /><Relationship Type="http://schemas.openxmlformats.org/officeDocument/2006/relationships/hyperlink" Target="https://www.leboncoin.fr/ad/voitures/3261414202" TargetMode="External" Id="rId4" /><Relationship Type="http://schemas.openxmlformats.org/officeDocument/2006/relationships/hyperlink" Target="https://www.leboncoin.fr/ad/voitures/3262191550" TargetMode="External" Id="rId5" /><Relationship Type="http://schemas.openxmlformats.org/officeDocument/2006/relationships/hyperlink" Target="https://www.leboncoin.fr/ad/voitures/3275564839" TargetMode="External" Id="rId6" /><Relationship Type="http://schemas.openxmlformats.org/officeDocument/2006/relationships/hyperlink" Target="https://www.leboncoin.fr/ad/voitures/3281190008" TargetMode="External" Id="rId7" /><Relationship Type="http://schemas.openxmlformats.org/officeDocument/2006/relationships/hyperlink" Target="https://www.leboncoin.fr/ad/voitures/3283116401" TargetMode="External" Id="rId8" /><Relationship Type="http://schemas.openxmlformats.org/officeDocument/2006/relationships/hyperlink" Target="https://www.leboncoin.fr/ad/voitures/3212500586" TargetMode="External" Id="rId9" /><Relationship Type="http://schemas.openxmlformats.org/officeDocument/2006/relationships/hyperlink" Target="https://www.leboncoin.fr/ad/voitures/3270896149" TargetMode="External" Id="rId10" /><Relationship Type="http://schemas.openxmlformats.org/officeDocument/2006/relationships/hyperlink" Target="https://www.leboncoin.fr/ad/voitures/3211730689" TargetMode="External" Id="rId11" /><Relationship Type="http://schemas.openxmlformats.org/officeDocument/2006/relationships/hyperlink" Target="https://www.leboncoin.fr/ad/voitures/3237198765" TargetMode="External" Id="rId12" /><Relationship Type="http://schemas.openxmlformats.org/officeDocument/2006/relationships/hyperlink" Target="https://www.leboncoin.fr/ad/voitures/3237237759" TargetMode="External" Id="rId13" /><Relationship Type="http://schemas.openxmlformats.org/officeDocument/2006/relationships/hyperlink" Target="https://www.leboncoin.fr/ad/voitures/3243864537" TargetMode="External" Id="rId14" /><Relationship Type="http://schemas.openxmlformats.org/officeDocument/2006/relationships/hyperlink" Target="https://www.leboncoin.fr/ad/voitures/3246077665" TargetMode="External" Id="rId15" /><Relationship Type="http://schemas.openxmlformats.org/officeDocument/2006/relationships/hyperlink" Target="https://www.leboncoin.fr/ad/voitures/3246862811" TargetMode="External" Id="rId16" /><Relationship Type="http://schemas.openxmlformats.org/officeDocument/2006/relationships/hyperlink" Target="https://www.leboncoin.fr/ad/voitures/3257804096" TargetMode="External" Id="rId17" /><Relationship Type="http://schemas.openxmlformats.org/officeDocument/2006/relationships/hyperlink" Target="https://www.leboncoin.fr/ad/voitures/3262111623" TargetMode="External" Id="rId18" /><Relationship Type="http://schemas.openxmlformats.org/officeDocument/2006/relationships/hyperlink" Target="https://www.leboncoin.fr/ad/voitures/3265952895" TargetMode="External" Id="rId19" /><Relationship Type="http://schemas.openxmlformats.org/officeDocument/2006/relationships/hyperlink" Target="https://www.leboncoin.fr/ad/voitures/3269719393" TargetMode="External" Id="rId20" /><Relationship Type="http://schemas.openxmlformats.org/officeDocument/2006/relationships/hyperlink" Target="https://www.leboncoin.fr/ad/voitures/3270344321" TargetMode="External" Id="rId21" /><Relationship Type="http://schemas.openxmlformats.org/officeDocument/2006/relationships/hyperlink" Target="https://www.leboncoin.fr/ad/voitures/3271024428" TargetMode="External" Id="rId22" /><Relationship Type="http://schemas.openxmlformats.org/officeDocument/2006/relationships/hyperlink" Target="https://www.leboncoin.fr/ad/voitures/3271039169" TargetMode="External" Id="rId23" /><Relationship Type="http://schemas.openxmlformats.org/officeDocument/2006/relationships/hyperlink" Target="https://www.leboncoin.fr/ad/voitures/3275857889" TargetMode="External" Id="rId24" /><Relationship Type="http://schemas.openxmlformats.org/officeDocument/2006/relationships/hyperlink" Target="https://www.leboncoin.fr/ad/voitures/3278275196" TargetMode="External" Id="rId25" /><Relationship Type="http://schemas.openxmlformats.org/officeDocument/2006/relationships/hyperlink" Target="https://www.leboncoin.fr/ad/voitures/3278297992" TargetMode="External" Id="rId26" /><Relationship Type="http://schemas.openxmlformats.org/officeDocument/2006/relationships/hyperlink" Target="https://www.leboncoin.fr/ad/voitures/3278388364" TargetMode="External" Id="rId27" /><Relationship Type="http://schemas.openxmlformats.org/officeDocument/2006/relationships/hyperlink" Target="https://www.leboncoin.fr/ad/voitures/3278435582" TargetMode="External" Id="rId28" /><Relationship Type="http://schemas.openxmlformats.org/officeDocument/2006/relationships/hyperlink" Target="https://www.leboncoin.fr/ad/voitures/3283125826" TargetMode="External" Id="rId29" /><Relationship Type="http://schemas.openxmlformats.org/officeDocument/2006/relationships/hyperlink" Target="https://www.leboncoin.fr/ad/voitures/3283519181" TargetMode="External" Id="rId30" /><Relationship Type="http://schemas.openxmlformats.org/officeDocument/2006/relationships/hyperlink" Target="https://www.leboncoin.fr/ad/voitures/3283890361" TargetMode="External" Id="rId31" /><Relationship Type="http://schemas.openxmlformats.org/officeDocument/2006/relationships/hyperlink" Target="https://www.leboncoin.fr/ad/voitures/3286480975" TargetMode="External" Id="rId32" /><Relationship Type="http://schemas.openxmlformats.org/officeDocument/2006/relationships/hyperlink" Target="https://www.leboncoin.fr/ad/voitures/3286625426" TargetMode="External" Id="rId33" /><Relationship Type="http://schemas.openxmlformats.org/officeDocument/2006/relationships/hyperlink" Target="https://www.leboncoin.fr/ad/voitures/3287385983" TargetMode="External" Id="rId34" /><Relationship Type="http://schemas.openxmlformats.org/officeDocument/2006/relationships/hyperlink" Target="https://www.leboncoin.fr/ad/voitures/3171562700" TargetMode="External" Id="rId35" /><Relationship Type="http://schemas.openxmlformats.org/officeDocument/2006/relationships/hyperlink" Target="https://www.leboncoin.fr/ad/voitures/3197947364" TargetMode="External" Id="rId36" /><Relationship Type="http://schemas.openxmlformats.org/officeDocument/2006/relationships/hyperlink" Target="https://www.leboncoin.fr/ad/voitures/3217262918" TargetMode="External" Id="rId37" /><Relationship Type="http://schemas.openxmlformats.org/officeDocument/2006/relationships/hyperlink" Target="https://www.leboncoin.fr/ad/voitures/3220328214" TargetMode="External" Id="rId38" /><Relationship Type="http://schemas.openxmlformats.org/officeDocument/2006/relationships/hyperlink" Target="https://www.leboncoin.fr/ad/voitures/3230964764" TargetMode="External" Id="rId39" /><Relationship Type="http://schemas.openxmlformats.org/officeDocument/2006/relationships/hyperlink" Target="https://www.leboncoin.fr/ad/voitures/3245635449" TargetMode="External" Id="rId40" /><Relationship Type="http://schemas.openxmlformats.org/officeDocument/2006/relationships/hyperlink" Target="https://www.leboncoin.fr/ad/voitures/3249081293" TargetMode="External" Id="rId41" /><Relationship Type="http://schemas.openxmlformats.org/officeDocument/2006/relationships/hyperlink" Target="https://www.leboncoin.fr/ad/voitures/3249519594" TargetMode="External" Id="rId42" /><Relationship Type="http://schemas.openxmlformats.org/officeDocument/2006/relationships/hyperlink" Target="https://www.leboncoin.fr/ad/voitures/3256683007" TargetMode="External" Id="rId43" /><Relationship Type="http://schemas.openxmlformats.org/officeDocument/2006/relationships/hyperlink" Target="https://www.leboncoin.fr/ad/voitures/3258200097" TargetMode="External" Id="rId44" /><Relationship Type="http://schemas.openxmlformats.org/officeDocument/2006/relationships/hyperlink" Target="https://www.leboncoin.fr/ad/voitures/3258446503" TargetMode="External" Id="rId45" /><Relationship Type="http://schemas.openxmlformats.org/officeDocument/2006/relationships/hyperlink" Target="https://www.leboncoin.fr/ad/voitures/3258548235" TargetMode="External" Id="rId46" /><Relationship Type="http://schemas.openxmlformats.org/officeDocument/2006/relationships/hyperlink" Target="https://www.leboncoin.fr/ad/voitures/3271074708" TargetMode="External" Id="rId47" /><Relationship Type="http://schemas.openxmlformats.org/officeDocument/2006/relationships/hyperlink" Target="https://www.leboncoin.fr/ad/voitures/3272577206" TargetMode="External" Id="rId48" /><Relationship Type="http://schemas.openxmlformats.org/officeDocument/2006/relationships/hyperlink" Target="https://www.leboncoin.fr/ad/voitures/3122468671" TargetMode="External" Id="rId49" /><Relationship Type="http://schemas.openxmlformats.org/officeDocument/2006/relationships/hyperlink" Target="https://www.leboncoin.fr/ad/voitures/3177027931" TargetMode="External" Id="rId50" /><Relationship Type="http://schemas.openxmlformats.org/officeDocument/2006/relationships/hyperlink" Target="https://www.leboncoin.fr/ad/voitures/3179205726" TargetMode="External" Id="rId51" /><Relationship Type="http://schemas.openxmlformats.org/officeDocument/2006/relationships/hyperlink" Target="https://www.leboncoin.fr/ad/voitures/3179893341" TargetMode="External" Id="rId52" /><Relationship Type="http://schemas.openxmlformats.org/officeDocument/2006/relationships/hyperlink" Target="https://www.leboncoin.fr/ad/voitures/3229777091" TargetMode="External" Id="rId53" /><Relationship Type="http://schemas.openxmlformats.org/officeDocument/2006/relationships/hyperlink" Target="https://www.leboncoin.fr/ad/voitures/3233589487" TargetMode="External" Id="rId54" /><Relationship Type="http://schemas.openxmlformats.org/officeDocument/2006/relationships/hyperlink" Target="https://www.leboncoin.fr/ad/voitures/3247144718" TargetMode="External" Id="rId55" /><Relationship Type="http://schemas.openxmlformats.org/officeDocument/2006/relationships/hyperlink" Target="https://www.leboncoin.fr/ad/voitures/3259234628" TargetMode="External" Id="rId56" /><Relationship Type="http://schemas.openxmlformats.org/officeDocument/2006/relationships/hyperlink" Target="https://www.leboncoin.fr/ad/voitures/3260316059" TargetMode="External" Id="rId57" /><Relationship Type="http://schemas.openxmlformats.org/officeDocument/2006/relationships/hyperlink" Target="https://www.leboncoin.fr/ad/voitures/3260650856" TargetMode="External" Id="rId58" /><Relationship Type="http://schemas.openxmlformats.org/officeDocument/2006/relationships/hyperlink" Target="https://www.leboncoin.fr/ad/voitures/3260831234" TargetMode="External" Id="rId59" /><Relationship Type="http://schemas.openxmlformats.org/officeDocument/2006/relationships/hyperlink" Target="https://www.leboncoin.fr/ad/voitures/3261627755" TargetMode="External" Id="rId60" /><Relationship Type="http://schemas.openxmlformats.org/officeDocument/2006/relationships/hyperlink" Target="https://www.leboncoin.fr/ad/voitures/3262635276" TargetMode="External" Id="rId61" /><Relationship Type="http://schemas.openxmlformats.org/officeDocument/2006/relationships/hyperlink" Target="https://www.leboncoin.fr/ad/voitures/3264107945" TargetMode="External" Id="rId62" /><Relationship Type="http://schemas.openxmlformats.org/officeDocument/2006/relationships/hyperlink" Target="https://www.leboncoin.fr/ad/voitures/3266045304" TargetMode="External" Id="rId63" /><Relationship Type="http://schemas.openxmlformats.org/officeDocument/2006/relationships/hyperlink" Target="https://www.leboncoin.fr/ad/voitures/3269890983" TargetMode="External" Id="rId64" /><Relationship Type="http://schemas.openxmlformats.org/officeDocument/2006/relationships/hyperlink" Target="https://www.leboncoin.fr/ad/voitures/3270100305" TargetMode="External" Id="rId65" /><Relationship Type="http://schemas.openxmlformats.org/officeDocument/2006/relationships/hyperlink" Target="https://www.leboncoin.fr/ad/voitures/3271080732" TargetMode="External" Id="rId66" /><Relationship Type="http://schemas.openxmlformats.org/officeDocument/2006/relationships/hyperlink" Target="https://www.leboncoin.fr/ad/voitures/3274386766" TargetMode="External" Id="rId67" /><Relationship Type="http://schemas.openxmlformats.org/officeDocument/2006/relationships/hyperlink" Target="https://www.leboncoin.fr/ad/voitures/3275636332" TargetMode="External" Id="rId68" /><Relationship Type="http://schemas.openxmlformats.org/officeDocument/2006/relationships/hyperlink" Target="https://www.leboncoin.fr/ad/voitures/3275939150" TargetMode="External" Id="rId69" /><Relationship Type="http://schemas.openxmlformats.org/officeDocument/2006/relationships/hyperlink" Target="https://www.leboncoin.fr/ad/voitures/3276019569" TargetMode="External" Id="rId70" /><Relationship Type="http://schemas.openxmlformats.org/officeDocument/2006/relationships/hyperlink" Target="https://www.leboncoin.fr/ad/voitures/3276045076" TargetMode="External" Id="rId71" /><Relationship Type="http://schemas.openxmlformats.org/officeDocument/2006/relationships/hyperlink" Target="https://www.leboncoin.fr/ad/voitures/3276707355" TargetMode="External" Id="rId72" /><Relationship Type="http://schemas.openxmlformats.org/officeDocument/2006/relationships/hyperlink" Target="https://www.leboncoin.fr/ad/voitures/3278923547" TargetMode="External" Id="rId73" /><Relationship Type="http://schemas.openxmlformats.org/officeDocument/2006/relationships/hyperlink" Target="https://www.leboncoin.fr/ad/voitures/3280590101" TargetMode="External" Id="rId74" /><Relationship Type="http://schemas.openxmlformats.org/officeDocument/2006/relationships/hyperlink" Target="https://www.leboncoin.fr/ad/voitures/3281202476" TargetMode="External" Id="rId75" /><Relationship Type="http://schemas.openxmlformats.org/officeDocument/2006/relationships/hyperlink" Target="https://www.leboncoin.fr/ad/voitures/3281577931" TargetMode="External" Id="rId76" /><Relationship Type="http://schemas.openxmlformats.org/officeDocument/2006/relationships/hyperlink" Target="https://www.leboncoin.fr/ad/voitures/3282361681" TargetMode="External" Id="rId77" /><Relationship Type="http://schemas.openxmlformats.org/officeDocument/2006/relationships/hyperlink" Target="https://www.leboncoin.fr/ad/voitures/3282370613" TargetMode="External" Id="rId78" /><Relationship Type="http://schemas.openxmlformats.org/officeDocument/2006/relationships/hyperlink" Target="https://www.leboncoin.fr/ad/voitures/3284453819" TargetMode="External" Id="rId79" /><Relationship Type="http://schemas.openxmlformats.org/officeDocument/2006/relationships/hyperlink" Target="https://www.leboncoin.fr/ad/voitures/3285059925" TargetMode="External" Id="rId80" /><Relationship Type="http://schemas.openxmlformats.org/officeDocument/2006/relationships/hyperlink" Target="https://www.leboncoin.fr/ad/voitures/3285502703" TargetMode="External" Id="rId81" /><Relationship Type="http://schemas.openxmlformats.org/officeDocument/2006/relationships/hyperlink" Target="https://www.leboncoin.fr/ad/voitures/3285503812" TargetMode="External" Id="rId82" /><Relationship Type="http://schemas.openxmlformats.org/officeDocument/2006/relationships/hyperlink" Target="https://www.leboncoin.fr/ad/voitures/3286019685" TargetMode="External" Id="rId83" /><Relationship Type="http://schemas.openxmlformats.org/officeDocument/2006/relationships/hyperlink" Target="https://www.leboncoin.fr/ad/voitures/3286165040" TargetMode="External" Id="rId84" /><Relationship Type="http://schemas.openxmlformats.org/officeDocument/2006/relationships/hyperlink" Target="https://www.leboncoin.fr/ad/voitures/3287369967" TargetMode="External" Id="rId85" /><Relationship Type="http://schemas.openxmlformats.org/officeDocument/2006/relationships/hyperlink" Target="https://www.leboncoin.fr/ad/voitures/3287966186" TargetMode="External" Id="rId86" /><Relationship Type="http://schemas.openxmlformats.org/officeDocument/2006/relationships/hyperlink" Target="https://www.leboncoin.fr/ad/voitures/3288262834" TargetMode="External" Id="rId87" /><Relationship Type="http://schemas.openxmlformats.org/officeDocument/2006/relationships/hyperlink" Target="https://www.leboncoin.fr/ad/voitures/3288655322" TargetMode="External" Id="rId88" /><Relationship Type="http://schemas.openxmlformats.org/officeDocument/2006/relationships/hyperlink" Target="https://www.leboncoin.fr/ad/voitures/3198012563" TargetMode="External" Id="rId89" /><Relationship Type="http://schemas.openxmlformats.org/officeDocument/2006/relationships/hyperlink" Target="https://www.leboncoin.fr/ad/voitures/3217942758" TargetMode="External" Id="rId90" /><Relationship Type="http://schemas.openxmlformats.org/officeDocument/2006/relationships/hyperlink" Target="https://www.leboncoin.fr/ad/voitures/3249782225" TargetMode="External" Id="rId91" /><Relationship Type="http://schemas.openxmlformats.org/officeDocument/2006/relationships/hyperlink" Target="https://www.leboncoin.fr/ad/voitures/3250813636" TargetMode="External" Id="rId92" /><Relationship Type="http://schemas.openxmlformats.org/officeDocument/2006/relationships/hyperlink" Target="https://www.leboncoin.fr/ad/voitures/3252260409" TargetMode="External" Id="rId93" /><Relationship Type="http://schemas.openxmlformats.org/officeDocument/2006/relationships/hyperlink" Target="https://www.leboncoin.fr/ad/voitures/3253410252" TargetMode="External" Id="rId94" /><Relationship Type="http://schemas.openxmlformats.org/officeDocument/2006/relationships/hyperlink" Target="https://www.leboncoin.fr/ad/voitures/3253798936" TargetMode="External" Id="rId95" /><Relationship Type="http://schemas.openxmlformats.org/officeDocument/2006/relationships/hyperlink" Target="https://www.leboncoin.fr/ad/voitures/3259437359" TargetMode="External" Id="rId96" /><Relationship Type="http://schemas.openxmlformats.org/officeDocument/2006/relationships/hyperlink" Target="https://www.leboncoin.fr/ad/voitures/3274786995" TargetMode="External" Id="rId97" /><Relationship Type="http://schemas.openxmlformats.org/officeDocument/2006/relationships/hyperlink" Target="https://www.leboncoin.fr/ad/voitures/3275584509" TargetMode="External" Id="rId98" /><Relationship Type="http://schemas.openxmlformats.org/officeDocument/2006/relationships/hyperlink" Target="https://www.leboncoin.fr/ad/voitures/3277544949" TargetMode="External" Id="rId99" /><Relationship Type="http://schemas.openxmlformats.org/officeDocument/2006/relationships/hyperlink" Target="https://www.leboncoin.fr/ad/voitures/3278294886" TargetMode="External" Id="rId100" /><Relationship Type="http://schemas.openxmlformats.org/officeDocument/2006/relationships/hyperlink" Target="https://www.leboncoin.fr/ad/voitures/3278304303" TargetMode="External" Id="rId101" /><Relationship Type="http://schemas.openxmlformats.org/officeDocument/2006/relationships/hyperlink" Target="https://www.leboncoin.fr/ad/voitures/3278388859" TargetMode="External" Id="rId102" /><Relationship Type="http://schemas.openxmlformats.org/officeDocument/2006/relationships/hyperlink" Target="https://www.leboncoin.fr/ad/voitures/3279836593" TargetMode="External" Id="rId103" /><Relationship Type="http://schemas.openxmlformats.org/officeDocument/2006/relationships/hyperlink" Target="https://www.leboncoin.fr/ad/voitures/3279840069" TargetMode="External" Id="rId104" /><Relationship Type="http://schemas.openxmlformats.org/officeDocument/2006/relationships/hyperlink" Target="https://www.leboncoin.fr/ad/voitures/3279949039" TargetMode="External" Id="rId105" /><Relationship Type="http://schemas.openxmlformats.org/officeDocument/2006/relationships/hyperlink" Target="https://www.leboncoin.fr/ad/voitures/3140247303" TargetMode="External" Id="rId106" /><Relationship Type="http://schemas.openxmlformats.org/officeDocument/2006/relationships/hyperlink" Target="https://www.leboncoin.fr/ad/voitures/3155762075" TargetMode="External" Id="rId107" /><Relationship Type="http://schemas.openxmlformats.org/officeDocument/2006/relationships/hyperlink" Target="https://www.leboncoin.fr/ad/voitures/3166175681" TargetMode="External" Id="rId108" /><Relationship Type="http://schemas.openxmlformats.org/officeDocument/2006/relationships/hyperlink" Target="https://www.leboncoin.fr/ad/voitures/3182140973" TargetMode="External" Id="rId109" /><Relationship Type="http://schemas.openxmlformats.org/officeDocument/2006/relationships/hyperlink" Target="https://www.leboncoin.fr/ad/voitures/3206462061" TargetMode="External" Id="rId110" /><Relationship Type="http://schemas.openxmlformats.org/officeDocument/2006/relationships/hyperlink" Target="https://www.leboncoin.fr/ad/voitures/3217513763" TargetMode="External" Id="rId111" /><Relationship Type="http://schemas.openxmlformats.org/officeDocument/2006/relationships/hyperlink" Target="https://www.leboncoin.fr/ad/voitures/3231572470" TargetMode="External" Id="rId112" /><Relationship Type="http://schemas.openxmlformats.org/officeDocument/2006/relationships/hyperlink" Target="https://www.leboncoin.fr/ad/voitures/3234430383" TargetMode="External" Id="rId113" /><Relationship Type="http://schemas.openxmlformats.org/officeDocument/2006/relationships/hyperlink" Target="https://www.leboncoin.fr/ad/voitures/3237454171" TargetMode="External" Id="rId114" /><Relationship Type="http://schemas.openxmlformats.org/officeDocument/2006/relationships/hyperlink" Target="https://www.leboncoin.fr/ad/voitures/3246600883" TargetMode="External" Id="rId115" /><Relationship Type="http://schemas.openxmlformats.org/officeDocument/2006/relationships/hyperlink" Target="https://www.leboncoin.fr/ad/voitures/3247204311" TargetMode="External" Id="rId116" /><Relationship Type="http://schemas.openxmlformats.org/officeDocument/2006/relationships/hyperlink" Target="https://www.leboncoin.fr/ad/voitures/3247804233" TargetMode="External" Id="rId117" /><Relationship Type="http://schemas.openxmlformats.org/officeDocument/2006/relationships/hyperlink" Target="https://www.leboncoin.fr/ad/voitures/3253686728" TargetMode="External" Id="rId118" /><Relationship Type="http://schemas.openxmlformats.org/officeDocument/2006/relationships/hyperlink" Target="https://www.leboncoin.fr/ad/voitures/3254057230" TargetMode="External" Id="rId119" /><Relationship Type="http://schemas.openxmlformats.org/officeDocument/2006/relationships/hyperlink" Target="https://www.leboncoin.fr/ad/voitures/3254395601" TargetMode="External" Id="rId120" /><Relationship Type="http://schemas.openxmlformats.org/officeDocument/2006/relationships/hyperlink" Target="https://www.leboncoin.fr/ad/voitures/3254788855" TargetMode="External" Id="rId121" /><Relationship Type="http://schemas.openxmlformats.org/officeDocument/2006/relationships/hyperlink" Target="https://www.leboncoin.fr/ad/voitures/3256705549" TargetMode="External" Id="rId122" /><Relationship Type="http://schemas.openxmlformats.org/officeDocument/2006/relationships/hyperlink" Target="https://www.leboncoin.fr/ad/voitures/3258000352" TargetMode="External" Id="rId123" /><Relationship Type="http://schemas.openxmlformats.org/officeDocument/2006/relationships/hyperlink" Target="https://www.leboncoin.fr/ad/voitures/3266038843" TargetMode="External" Id="rId124" /><Relationship Type="http://schemas.openxmlformats.org/officeDocument/2006/relationships/hyperlink" Target="https://www.leboncoin.fr/ad/voitures/3268164763" TargetMode="External" Id="rId125" /><Relationship Type="http://schemas.openxmlformats.org/officeDocument/2006/relationships/hyperlink" Target="https://www.leboncoin.fr/ad/voitures/3269545549" TargetMode="External" Id="rId126" /><Relationship Type="http://schemas.openxmlformats.org/officeDocument/2006/relationships/hyperlink" Target="https://www.leboncoin.fr/ad/voitures/3270236878" TargetMode="External" Id="rId127" /><Relationship Type="http://schemas.openxmlformats.org/officeDocument/2006/relationships/hyperlink" Target="https://www.leboncoin.fr/ad/voitures/3271776834" TargetMode="External" Id="rId128" /><Relationship Type="http://schemas.openxmlformats.org/officeDocument/2006/relationships/hyperlink" Target="https://www.leboncoin.fr/ad/voitures/3274290118" TargetMode="External" Id="rId129" /><Relationship Type="http://schemas.openxmlformats.org/officeDocument/2006/relationships/hyperlink" Target="https://www.leboncoin.fr/ad/voitures/3278262538" TargetMode="External" Id="rId130" /><Relationship Type="http://schemas.openxmlformats.org/officeDocument/2006/relationships/hyperlink" Target="https://www.leboncoin.fr/ad/voitures/3278304133" TargetMode="External" Id="rId131" /><Relationship Type="http://schemas.openxmlformats.org/officeDocument/2006/relationships/hyperlink" Target="https://www.leboncoin.fr/ad/voitures/3278641460" TargetMode="External" Id="rId132" /><Relationship Type="http://schemas.openxmlformats.org/officeDocument/2006/relationships/hyperlink" Target="https://www.leboncoin.fr/ad/voitures/3279647179" TargetMode="External" Id="rId133" /><Relationship Type="http://schemas.openxmlformats.org/officeDocument/2006/relationships/hyperlink" Target="https://www.leboncoin.fr/ad/voitures/3279756140" TargetMode="External" Id="rId134" /><Relationship Type="http://schemas.openxmlformats.org/officeDocument/2006/relationships/hyperlink" Target="https://www.leboncoin.fr/ad/voitures/3280985948" TargetMode="External" Id="rId135" /><Relationship Type="http://schemas.openxmlformats.org/officeDocument/2006/relationships/hyperlink" Target="https://www.leboncoin.fr/ad/voitures/3283123020" TargetMode="External" Id="rId136" /><Relationship Type="http://schemas.openxmlformats.org/officeDocument/2006/relationships/hyperlink" Target="https://www.leboncoin.fr/ad/voitures/3283499339" TargetMode="External" Id="rId137" /><Relationship Type="http://schemas.openxmlformats.org/officeDocument/2006/relationships/hyperlink" Target="https://www.leboncoin.fr/ad/voitures/3284317549" TargetMode="External" Id="rId138" /><Relationship Type="http://schemas.openxmlformats.org/officeDocument/2006/relationships/hyperlink" Target="https://www.leboncoin.fr/ad/voitures/3285088951" TargetMode="External" Id="rId139" /><Relationship Type="http://schemas.openxmlformats.org/officeDocument/2006/relationships/hyperlink" Target="https://www.leboncoin.fr/ad/voitures/3287620670" TargetMode="External" Id="rId140" /><Relationship Type="http://schemas.openxmlformats.org/officeDocument/2006/relationships/hyperlink" Target="https://www.leboncoin.fr/ad/voitures/3287868399" TargetMode="External" Id="rId141" /><Relationship Type="http://schemas.openxmlformats.org/officeDocument/2006/relationships/hyperlink" Target="https://www.leboncoin.fr/ad/voitures/3288222772" TargetMode="External" Id="rId142" /><Relationship Type="http://schemas.openxmlformats.org/officeDocument/2006/relationships/hyperlink" Target="https://www.leboncoin.fr/ad/voitures/3288343679" TargetMode="External" Id="rId143" /><Relationship Type="http://schemas.openxmlformats.org/officeDocument/2006/relationships/hyperlink" Target="https://www.leboncoin.fr/ad/voitures/3288636961" TargetMode="External" Id="rId144" /><Relationship Type="http://schemas.openxmlformats.org/officeDocument/2006/relationships/hyperlink" Target="https://www.leboncoin.fr/ad/voitures/3165194701" TargetMode="External" Id="rId145" /><Relationship Type="http://schemas.openxmlformats.org/officeDocument/2006/relationships/hyperlink" Target="https://www.leboncoin.fr/ad/voitures/3183271891" TargetMode="External" Id="rId146" /><Relationship Type="http://schemas.openxmlformats.org/officeDocument/2006/relationships/hyperlink" Target="https://www.leboncoin.fr/ad/voitures/3185838540" TargetMode="External" Id="rId147" /><Relationship Type="http://schemas.openxmlformats.org/officeDocument/2006/relationships/hyperlink" Target="https://www.leboncoin.fr/ad/voitures/3243670260" TargetMode="External" Id="rId148" /><Relationship Type="http://schemas.openxmlformats.org/officeDocument/2006/relationships/hyperlink" Target="https://www.leboncoin.fr/ad/voitures/3247698308" TargetMode="External" Id="rId149" /><Relationship Type="http://schemas.openxmlformats.org/officeDocument/2006/relationships/hyperlink" Target="https://www.leboncoin.fr/ad/voitures/3249751722" TargetMode="External" Id="rId150" /><Relationship Type="http://schemas.openxmlformats.org/officeDocument/2006/relationships/hyperlink" Target="https://www.leboncoin.fr/ad/voitures/3270657423" TargetMode="External" Id="rId151" /><Relationship Type="http://schemas.openxmlformats.org/officeDocument/2006/relationships/hyperlink" Target="https://www.leboncoin.fr/ad/voitures/3275414023" TargetMode="External" Id="rId152" /><Relationship Type="http://schemas.openxmlformats.org/officeDocument/2006/relationships/hyperlink" Target="https://www.leboncoin.fr/ad/voitures/3275889267" TargetMode="External" Id="rId153" /><Relationship Type="http://schemas.openxmlformats.org/officeDocument/2006/relationships/hyperlink" Target="https://www.leboncoin.fr/ad/voitures/3278735968" TargetMode="External" Id="rId154" /><Relationship Type="http://schemas.openxmlformats.org/officeDocument/2006/relationships/hyperlink" Target="https://www.leboncoin.fr/ad/voitures/3278871252" TargetMode="External" Id="rId155" /><Relationship Type="http://schemas.openxmlformats.org/officeDocument/2006/relationships/hyperlink" Target="https://www.leboncoin.fr/ad/voitures/3280188594" TargetMode="External" Id="rId156" /><Relationship Type="http://schemas.openxmlformats.org/officeDocument/2006/relationships/hyperlink" Target="https://www.leboncoin.fr/ad/voitures/3191632844" TargetMode="External" Id="rId157" /><Relationship Type="http://schemas.openxmlformats.org/officeDocument/2006/relationships/hyperlink" Target="https://www.leboncoin.fr/ad/voitures/3198496140" TargetMode="External" Id="rId158" /><Relationship Type="http://schemas.openxmlformats.org/officeDocument/2006/relationships/hyperlink" Target="https://www.leboncoin.fr/ad/voitures/3199317557" TargetMode="External" Id="rId159" /><Relationship Type="http://schemas.openxmlformats.org/officeDocument/2006/relationships/hyperlink" Target="https://www.leboncoin.fr/ad/voitures/3203841842" TargetMode="External" Id="rId160" /><Relationship Type="http://schemas.openxmlformats.org/officeDocument/2006/relationships/hyperlink" Target="https://www.leboncoin.fr/ad/voitures/3208752836" TargetMode="External" Id="rId161" /><Relationship Type="http://schemas.openxmlformats.org/officeDocument/2006/relationships/hyperlink" Target="https://www.leboncoin.fr/ad/voitures/3227901009" TargetMode="External" Id="rId162" /><Relationship Type="http://schemas.openxmlformats.org/officeDocument/2006/relationships/hyperlink" Target="https://www.leboncoin.fr/ad/voitures/3232034023" TargetMode="External" Id="rId163" /><Relationship Type="http://schemas.openxmlformats.org/officeDocument/2006/relationships/hyperlink" Target="https://www.leboncoin.fr/ad/voitures/3234020888" TargetMode="External" Id="rId164" /><Relationship Type="http://schemas.openxmlformats.org/officeDocument/2006/relationships/hyperlink" Target="https://www.leboncoin.fr/ad/voitures/3235292026" TargetMode="External" Id="rId165" /><Relationship Type="http://schemas.openxmlformats.org/officeDocument/2006/relationships/hyperlink" Target="https://www.leboncoin.fr/ad/voitures/3235335116" TargetMode="External" Id="rId166" /><Relationship Type="http://schemas.openxmlformats.org/officeDocument/2006/relationships/hyperlink" Target="https://www.leboncoin.fr/ad/voitures/3236647415" TargetMode="External" Id="rId167" /><Relationship Type="http://schemas.openxmlformats.org/officeDocument/2006/relationships/hyperlink" Target="https://www.leboncoin.fr/ad/voitures/3237501387" TargetMode="External" Id="rId168" /><Relationship Type="http://schemas.openxmlformats.org/officeDocument/2006/relationships/hyperlink" Target="https://www.leboncoin.fr/ad/voitures/3244010388" TargetMode="External" Id="rId169" /><Relationship Type="http://schemas.openxmlformats.org/officeDocument/2006/relationships/hyperlink" Target="https://www.leboncoin.fr/ad/voitures/3260415699" TargetMode="External" Id="rId170" /><Relationship Type="http://schemas.openxmlformats.org/officeDocument/2006/relationships/hyperlink" Target="https://www.leboncoin.fr/ad/voitures/3262698527" TargetMode="External" Id="rId171" /><Relationship Type="http://schemas.openxmlformats.org/officeDocument/2006/relationships/hyperlink" Target="https://www.leboncoin.fr/ad/voitures/3265533307" TargetMode="External" Id="rId172" /><Relationship Type="http://schemas.openxmlformats.org/officeDocument/2006/relationships/hyperlink" Target="https://www.leboncoin.fr/ad/voitures/3267479895" TargetMode="External" Id="rId173" /><Relationship Type="http://schemas.openxmlformats.org/officeDocument/2006/relationships/hyperlink" Target="https://www.leboncoin.fr/ad/voitures/3268572356" TargetMode="External" Id="rId174" /><Relationship Type="http://schemas.openxmlformats.org/officeDocument/2006/relationships/hyperlink" Target="https://www.leboncoin.fr/ad/voitures/3268726676" TargetMode="External" Id="rId175" /><Relationship Type="http://schemas.openxmlformats.org/officeDocument/2006/relationships/hyperlink" Target="https://www.leboncoin.fr/ad/voitures/3269035649" TargetMode="External" Id="rId176" /><Relationship Type="http://schemas.openxmlformats.org/officeDocument/2006/relationships/hyperlink" Target="https://www.leboncoin.fr/ad/voitures/3269876574" TargetMode="External" Id="rId177" /><Relationship Type="http://schemas.openxmlformats.org/officeDocument/2006/relationships/hyperlink" Target="https://www.leboncoin.fr/ad/voitures/3269880037" TargetMode="External" Id="rId178" /><Relationship Type="http://schemas.openxmlformats.org/officeDocument/2006/relationships/hyperlink" Target="https://www.leboncoin.fr/ad/voitures/3269883180" TargetMode="External" Id="rId179" /><Relationship Type="http://schemas.openxmlformats.org/officeDocument/2006/relationships/hyperlink" Target="https://www.leboncoin.fr/ad/voitures/3270203905" TargetMode="External" Id="rId180" /><Relationship Type="http://schemas.openxmlformats.org/officeDocument/2006/relationships/hyperlink" Target="https://www.leboncoin.fr/ad/voitures/3270232311" TargetMode="External" Id="rId181" /><Relationship Type="http://schemas.openxmlformats.org/officeDocument/2006/relationships/hyperlink" Target="https://www.leboncoin.fr/ad/voitures/3270565112" TargetMode="External" Id="rId182" /><Relationship Type="http://schemas.openxmlformats.org/officeDocument/2006/relationships/hyperlink" Target="https://www.leboncoin.fr/ad/voitures/3271672291" TargetMode="External" Id="rId183" /><Relationship Type="http://schemas.openxmlformats.org/officeDocument/2006/relationships/hyperlink" Target="https://www.leboncoin.fr/ad/voitures/3272203068" TargetMode="External" Id="rId184" /><Relationship Type="http://schemas.openxmlformats.org/officeDocument/2006/relationships/hyperlink" Target="https://www.leboncoin.fr/ad/voitures/3273479241" TargetMode="External" Id="rId185" /><Relationship Type="http://schemas.openxmlformats.org/officeDocument/2006/relationships/hyperlink" Target="https://www.leboncoin.fr/ad/voitures/3275326732" TargetMode="External" Id="rId186" /><Relationship Type="http://schemas.openxmlformats.org/officeDocument/2006/relationships/hyperlink" Target="https://www.leboncoin.fr/ad/voitures/3276609067" TargetMode="External" Id="rId187" /><Relationship Type="http://schemas.openxmlformats.org/officeDocument/2006/relationships/hyperlink" Target="https://www.leboncoin.fr/ad/voitures/3277088692" TargetMode="External" Id="rId188" /><Relationship Type="http://schemas.openxmlformats.org/officeDocument/2006/relationships/hyperlink" Target="https://www.leboncoin.fr/ad/voitures/3277280211" TargetMode="External" Id="rId189" /><Relationship Type="http://schemas.openxmlformats.org/officeDocument/2006/relationships/hyperlink" Target="https://www.leboncoin.fr/ad/voitures/3279515840" TargetMode="External" Id="rId190" /><Relationship Type="http://schemas.openxmlformats.org/officeDocument/2006/relationships/hyperlink" Target="https://www.leboncoin.fr/ad/voitures/3283621612" TargetMode="External" Id="rId191" /><Relationship Type="http://schemas.openxmlformats.org/officeDocument/2006/relationships/hyperlink" Target="https://www.leboncoin.fr/ad/voitures/3285038445" TargetMode="External" Id="rId192" /><Relationship Type="http://schemas.openxmlformats.org/officeDocument/2006/relationships/hyperlink" Target="https://www.leboncoin.fr/ad/voitures/3287100326" TargetMode="External" Id="rId193" /><Relationship Type="http://schemas.openxmlformats.org/officeDocument/2006/relationships/hyperlink" Target="https://www.leboncoin.fr/ad/voitures/3287607190" TargetMode="External" Id="rId194" /><Relationship Type="http://schemas.openxmlformats.org/officeDocument/2006/relationships/hyperlink" Target="https://www.leboncoin.fr/ad/voitures/3255091039" TargetMode="External" Id="rId195" /><Relationship Type="http://schemas.openxmlformats.org/officeDocument/2006/relationships/hyperlink" Target="https://www.leboncoin.fr/ad/voitures/3260654659" TargetMode="External" Id="rId196" /><Relationship Type="http://schemas.openxmlformats.org/officeDocument/2006/relationships/hyperlink" Target="https://www.leboncoin.fr/ad/voitures/3263224799" TargetMode="External" Id="rId197" /><Relationship Type="http://schemas.openxmlformats.org/officeDocument/2006/relationships/hyperlink" Target="https://www.leboncoin.fr/ad/voitures/3269222663" TargetMode="External" Id="rId198" /><Relationship Type="http://schemas.openxmlformats.org/officeDocument/2006/relationships/hyperlink" Target="https://www.leboncoin.fr/ad/voitures/3270050795" TargetMode="External" Id="rId199" /><Relationship Type="http://schemas.openxmlformats.org/officeDocument/2006/relationships/hyperlink" Target="https://www.leboncoin.fr/ad/voitures/3270458808" TargetMode="External" Id="rId200" /><Relationship Type="http://schemas.openxmlformats.org/officeDocument/2006/relationships/hyperlink" Target="https://www.leboncoin.fr/ad/voitures/3280227190" TargetMode="External" Id="rId201" /><Relationship Type="http://schemas.openxmlformats.org/officeDocument/2006/relationships/hyperlink" Target="https://www.leboncoin.fr/ad/voitures/2293375817" TargetMode="External" Id="rId202" /><Relationship Type="http://schemas.openxmlformats.org/officeDocument/2006/relationships/hyperlink" Target="https://www.leboncoin.fr/ad/voitures/3175837683" TargetMode="External" Id="rId203" /><Relationship Type="http://schemas.openxmlformats.org/officeDocument/2006/relationships/hyperlink" Target="https://www.leboncoin.fr/ad/voitures/3206868741" TargetMode="External" Id="rId204" /><Relationship Type="http://schemas.openxmlformats.org/officeDocument/2006/relationships/hyperlink" Target="https://www.leboncoin.fr/ad/voitures/3208497714" TargetMode="External" Id="rId205" /><Relationship Type="http://schemas.openxmlformats.org/officeDocument/2006/relationships/hyperlink" Target="https://www.leboncoin.fr/ad/voitures/3226018309" TargetMode="External" Id="rId206" /><Relationship Type="http://schemas.openxmlformats.org/officeDocument/2006/relationships/hyperlink" Target="https://www.leboncoin.fr/ad/voitures/3236436226" TargetMode="External" Id="rId207" /><Relationship Type="http://schemas.openxmlformats.org/officeDocument/2006/relationships/hyperlink" Target="https://www.leboncoin.fr/ad/voitures/3259144220" TargetMode="External" Id="rId208" /><Relationship Type="http://schemas.openxmlformats.org/officeDocument/2006/relationships/hyperlink" Target="https://www.leboncoin.fr/ad/voitures/3267921242" TargetMode="External" Id="rId209" /><Relationship Type="http://schemas.openxmlformats.org/officeDocument/2006/relationships/hyperlink" Target="https://www.leboncoin.fr/ad/voitures/3270026235" TargetMode="External" Id="rId210" /><Relationship Type="http://schemas.openxmlformats.org/officeDocument/2006/relationships/hyperlink" Target="https://www.leboncoin.fr/ad/voitures/3271423566" TargetMode="External" Id="rId211" /><Relationship Type="http://schemas.openxmlformats.org/officeDocument/2006/relationships/hyperlink" Target="https://www.leboncoin.fr/ad/voitures/3272026247" TargetMode="External" Id="rId212" /><Relationship Type="http://schemas.openxmlformats.org/officeDocument/2006/relationships/hyperlink" Target="https://www.leboncoin.fr/ad/voitures/3273983702" TargetMode="External" Id="rId213" /><Relationship Type="http://schemas.openxmlformats.org/officeDocument/2006/relationships/hyperlink" Target="https://www.leboncoin.fr/ad/voitures/3274519093" TargetMode="External" Id="rId214" /><Relationship Type="http://schemas.openxmlformats.org/officeDocument/2006/relationships/hyperlink" Target="https://www.leboncoin.fr/ad/voitures/3276591709" TargetMode="External" Id="rId215" /><Relationship Type="http://schemas.openxmlformats.org/officeDocument/2006/relationships/hyperlink" Target="https://www.leboncoin.fr/ad/voitures/3278135099" TargetMode="External" Id="rId216" /><Relationship Type="http://schemas.openxmlformats.org/officeDocument/2006/relationships/hyperlink" Target="https://www.leboncoin.fr/ad/voitures/3278388119" TargetMode="External" Id="rId217" /><Relationship Type="http://schemas.openxmlformats.org/officeDocument/2006/relationships/hyperlink" Target="https://www.leboncoin.fr/ad/voitures/3279074639" TargetMode="External" Id="rId218" /><Relationship Type="http://schemas.openxmlformats.org/officeDocument/2006/relationships/hyperlink" Target="https://www.leboncoin.fr/ad/voitures/3279249484" TargetMode="External" Id="rId219" /><Relationship Type="http://schemas.openxmlformats.org/officeDocument/2006/relationships/hyperlink" Target="https://www.leboncoin.fr/ad/voitures/3279375431" TargetMode="External" Id="rId220" /><Relationship Type="http://schemas.openxmlformats.org/officeDocument/2006/relationships/hyperlink" Target="https://www.leboncoin.fr/ad/voitures/3280466980" TargetMode="External" Id="rId221" /><Relationship Type="http://schemas.openxmlformats.org/officeDocument/2006/relationships/hyperlink" Target="https://www.leboncoin.fr/ad/voitures/3282209449" TargetMode="External" Id="rId222" /><Relationship Type="http://schemas.openxmlformats.org/officeDocument/2006/relationships/hyperlink" Target="https://www.leboncoin.fr/ad/voitures/3282558782" TargetMode="External" Id="rId223" /><Relationship Type="http://schemas.openxmlformats.org/officeDocument/2006/relationships/hyperlink" Target="https://www.leboncoin.fr/ad/voitures/3282702066" TargetMode="External" Id="rId224" /><Relationship Type="http://schemas.openxmlformats.org/officeDocument/2006/relationships/hyperlink" Target="https://www.leboncoin.fr/ad/voitures/3282865791" TargetMode="External" Id="rId225" /><Relationship Type="http://schemas.openxmlformats.org/officeDocument/2006/relationships/hyperlink" Target="https://www.leboncoin.fr/ad/voitures/3283091323" TargetMode="External" Id="rId226" /><Relationship Type="http://schemas.openxmlformats.org/officeDocument/2006/relationships/hyperlink" Target="https://www.leboncoin.fr/ad/voitures/3283260672" TargetMode="External" Id="rId227" /><Relationship Type="http://schemas.openxmlformats.org/officeDocument/2006/relationships/hyperlink" Target="https://www.leboncoin.fr/ad/voitures/3283713739" TargetMode="External" Id="rId228" /><Relationship Type="http://schemas.openxmlformats.org/officeDocument/2006/relationships/hyperlink" Target="https://www.leboncoin.fr/ad/voitures/3283802186" TargetMode="External" Id="rId229" /><Relationship Type="http://schemas.openxmlformats.org/officeDocument/2006/relationships/hyperlink" Target="https://www.leboncoin.fr/ad/voitures/3284161549" TargetMode="External" Id="rId230" /><Relationship Type="http://schemas.openxmlformats.org/officeDocument/2006/relationships/hyperlink" Target="https://www.leboncoin.fr/ad/voitures/3284386164" TargetMode="External" Id="rId231" /><Relationship Type="http://schemas.openxmlformats.org/officeDocument/2006/relationships/hyperlink" Target="https://www.leboncoin.fr/ad/voitures/3285635603" TargetMode="External" Id="rId232" /><Relationship Type="http://schemas.openxmlformats.org/officeDocument/2006/relationships/hyperlink" Target="https://www.leboncoin.fr/ad/voitures/3285656861" TargetMode="External" Id="rId233" /><Relationship Type="http://schemas.openxmlformats.org/officeDocument/2006/relationships/hyperlink" Target="https://www.leboncoin.fr/ad/voitures/3285719634" TargetMode="External" Id="rId234" /><Relationship Type="http://schemas.openxmlformats.org/officeDocument/2006/relationships/hyperlink" Target="https://www.leboncoin.fr/ad/voitures/3286393297" TargetMode="External" Id="rId235" /><Relationship Type="http://schemas.openxmlformats.org/officeDocument/2006/relationships/hyperlink" Target="https://www.leboncoin.fr/ad/voitures/3287626619" TargetMode="External" Id="rId236" /><Relationship Type="http://schemas.openxmlformats.org/officeDocument/2006/relationships/hyperlink" Target="https://www.leboncoin.fr/ad/voitures/3287692798" TargetMode="External" Id="rId237" /><Relationship Type="http://schemas.openxmlformats.org/officeDocument/2006/relationships/hyperlink" Target="https://www.leboncoin.fr/ad/voitures/3287873200" TargetMode="External" Id="rId238" /><Relationship Type="http://schemas.openxmlformats.org/officeDocument/2006/relationships/hyperlink" Target="https://www.leboncoin.fr/ad/voitures/3288481450" TargetMode="External" Id="rId239" /><Relationship Type="http://schemas.openxmlformats.org/officeDocument/2006/relationships/hyperlink" Target="https://www.leboncoin.fr/ad/voitures/3288607303" TargetMode="External" Id="rId240" /><Relationship Type="http://schemas.openxmlformats.org/officeDocument/2006/relationships/hyperlink" Target="https://www.leboncoin.fr/ad/voitures/3288612753" TargetMode="External" Id="rId241" /><Relationship Type="http://schemas.openxmlformats.org/officeDocument/2006/relationships/hyperlink" Target="https://www.leboncoin.fr/ad/voitures/3199378668" TargetMode="External" Id="rId242" /><Relationship Type="http://schemas.openxmlformats.org/officeDocument/2006/relationships/hyperlink" Target="https://www.leboncoin.fr/ad/voitures/3228549093" TargetMode="External" Id="rId243" /><Relationship Type="http://schemas.openxmlformats.org/officeDocument/2006/relationships/hyperlink" Target="https://www.leboncoin.fr/ad/voitures/3232618598" TargetMode="External" Id="rId244" /><Relationship Type="http://schemas.openxmlformats.org/officeDocument/2006/relationships/hyperlink" Target="https://www.leboncoin.fr/ad/voitures/3252631252" TargetMode="External" Id="rId245" /><Relationship Type="http://schemas.openxmlformats.org/officeDocument/2006/relationships/hyperlink" Target="https://www.leboncoin.fr/ad/voitures/3257729524" TargetMode="External" Id="rId246" /><Relationship Type="http://schemas.openxmlformats.org/officeDocument/2006/relationships/hyperlink" Target="https://www.leboncoin.fr/ad/voitures/3262353989" TargetMode="External" Id="rId247" /><Relationship Type="http://schemas.openxmlformats.org/officeDocument/2006/relationships/hyperlink" Target="https://www.leboncoin.fr/ad/voitures/3264569173" TargetMode="External" Id="rId248" /><Relationship Type="http://schemas.openxmlformats.org/officeDocument/2006/relationships/hyperlink" Target="https://www.leboncoin.fr/ad/voitures/3265038164" TargetMode="External" Id="rId249" /><Relationship Type="http://schemas.openxmlformats.org/officeDocument/2006/relationships/hyperlink" Target="https://www.leboncoin.fr/ad/voitures/3270139360" TargetMode="External" Id="rId250" /><Relationship Type="http://schemas.openxmlformats.org/officeDocument/2006/relationships/hyperlink" Target="https://www.leboncoin.fr/ad/voitures/3271015511" TargetMode="External" Id="rId251" /><Relationship Type="http://schemas.openxmlformats.org/officeDocument/2006/relationships/hyperlink" Target="https://www.leboncoin.fr/ad/voitures/3271061636" TargetMode="External" Id="rId252" /><Relationship Type="http://schemas.openxmlformats.org/officeDocument/2006/relationships/hyperlink" Target="https://www.leboncoin.fr/ad/voitures/3273035594" TargetMode="External" Id="rId253" /><Relationship Type="http://schemas.openxmlformats.org/officeDocument/2006/relationships/hyperlink" Target="https://www.leboncoin.fr/ad/voitures/3273223439" TargetMode="External" Id="rId254" /><Relationship Type="http://schemas.openxmlformats.org/officeDocument/2006/relationships/hyperlink" Target="https://www.leboncoin.fr/ad/voitures/3273415437" TargetMode="External" Id="rId255" /><Relationship Type="http://schemas.openxmlformats.org/officeDocument/2006/relationships/hyperlink" Target="https://www.leboncoin.fr/ad/voitures/3273551701" TargetMode="External" Id="rId256" /><Relationship Type="http://schemas.openxmlformats.org/officeDocument/2006/relationships/hyperlink" Target="https://www.leboncoin.fr/ad/voitures/3274091200" TargetMode="External" Id="rId257" /><Relationship Type="http://schemas.openxmlformats.org/officeDocument/2006/relationships/hyperlink" Target="https://www.leboncoin.fr/ad/voitures/3274510816" TargetMode="External" Id="rId258" /><Relationship Type="http://schemas.openxmlformats.org/officeDocument/2006/relationships/hyperlink" Target="https://www.leboncoin.fr/ad/voitures/3274885691" TargetMode="External" Id="rId259" /><Relationship Type="http://schemas.openxmlformats.org/officeDocument/2006/relationships/hyperlink" Target="https://www.leboncoin.fr/ad/voitures/3276172426" TargetMode="External" Id="rId260" /><Relationship Type="http://schemas.openxmlformats.org/officeDocument/2006/relationships/hyperlink" Target="https://www.leboncoin.fr/ad/voitures/3278574221" TargetMode="External" Id="rId261" /><Relationship Type="http://schemas.openxmlformats.org/officeDocument/2006/relationships/hyperlink" Target="https://www.leboncoin.fr/ad/voitures/3278855920" TargetMode="External" Id="rId262" /><Relationship Type="http://schemas.openxmlformats.org/officeDocument/2006/relationships/hyperlink" Target="https://www.leboncoin.fr/ad/voitures/3279615676" TargetMode="External" Id="rId263" /><Relationship Type="http://schemas.openxmlformats.org/officeDocument/2006/relationships/hyperlink" Target="https://www.leboncoin.fr/ad/voitures/3279816006" TargetMode="External" Id="rId264" /><Relationship Type="http://schemas.openxmlformats.org/officeDocument/2006/relationships/hyperlink" Target="https://www.leboncoin.fr/ad/voitures/3280078944" TargetMode="External" Id="rId265" /><Relationship Type="http://schemas.openxmlformats.org/officeDocument/2006/relationships/hyperlink" Target="https://www.leboncoin.fr/ad/voitures/3280278211" TargetMode="External" Id="rId266" /><Relationship Type="http://schemas.openxmlformats.org/officeDocument/2006/relationships/hyperlink" Target="https://www.leboncoin.fr/ad/voitures/2988747124" TargetMode="External" Id="rId267" /><Relationship Type="http://schemas.openxmlformats.org/officeDocument/2006/relationships/hyperlink" Target="https://www.leboncoin.fr/ad/voitures/3066683905" TargetMode="External" Id="rId268" /><Relationship Type="http://schemas.openxmlformats.org/officeDocument/2006/relationships/hyperlink" Target="https://www.leboncoin.fr/ad/voitures/3193819824" TargetMode="External" Id="rId269" /><Relationship Type="http://schemas.openxmlformats.org/officeDocument/2006/relationships/hyperlink" Target="https://www.leboncoin.fr/ad/voitures/3202654340" TargetMode="External" Id="rId270" /><Relationship Type="http://schemas.openxmlformats.org/officeDocument/2006/relationships/hyperlink" Target="https://www.leboncoin.fr/ad/voitures/3216255961" TargetMode="External" Id="rId271" /><Relationship Type="http://schemas.openxmlformats.org/officeDocument/2006/relationships/hyperlink" Target="https://www.leboncoin.fr/ad/voitures/3239322701" TargetMode="External" Id="rId272" /><Relationship Type="http://schemas.openxmlformats.org/officeDocument/2006/relationships/hyperlink" Target="https://www.leboncoin.fr/ad/voitures/3240289033" TargetMode="External" Id="rId273" /><Relationship Type="http://schemas.openxmlformats.org/officeDocument/2006/relationships/hyperlink" Target="https://www.leboncoin.fr/ad/voitures/3250734192" TargetMode="External" Id="rId274" /><Relationship Type="http://schemas.openxmlformats.org/officeDocument/2006/relationships/hyperlink" Target="https://www.leboncoin.fr/ad/voitures/3251217335" TargetMode="External" Id="rId275" /><Relationship Type="http://schemas.openxmlformats.org/officeDocument/2006/relationships/hyperlink" Target="https://www.leboncoin.fr/ad/voitures/3264412764" TargetMode="External" Id="rId276" /><Relationship Type="http://schemas.openxmlformats.org/officeDocument/2006/relationships/hyperlink" Target="https://www.leboncoin.fr/ad/voitures/3268704461" TargetMode="External" Id="rId277" /><Relationship Type="http://schemas.openxmlformats.org/officeDocument/2006/relationships/hyperlink" Target="https://www.leboncoin.fr/ad/voitures/3270523427" TargetMode="External" Id="rId278" /><Relationship Type="http://schemas.openxmlformats.org/officeDocument/2006/relationships/hyperlink" Target="https://www.leboncoin.fr/ad/voitures/3271661241" TargetMode="External" Id="rId279" /><Relationship Type="http://schemas.openxmlformats.org/officeDocument/2006/relationships/hyperlink" Target="https://www.leboncoin.fr/ad/voitures/3273170431" TargetMode="External" Id="rId280" /><Relationship Type="http://schemas.openxmlformats.org/officeDocument/2006/relationships/hyperlink" Target="https://www.leboncoin.fr/ad/voitures/3275009272" TargetMode="External" Id="rId281" /><Relationship Type="http://schemas.openxmlformats.org/officeDocument/2006/relationships/hyperlink" Target="https://www.leboncoin.fr/ad/voitures/3276061576" TargetMode="External" Id="rId282" /><Relationship Type="http://schemas.openxmlformats.org/officeDocument/2006/relationships/hyperlink" Target="https://www.leboncoin.fr/ad/voitures/3277840482" TargetMode="External" Id="rId283" /><Relationship Type="http://schemas.openxmlformats.org/officeDocument/2006/relationships/hyperlink" Target="https://www.leboncoin.fr/ad/voitures/3278317897" TargetMode="External" Id="rId284" /><Relationship Type="http://schemas.openxmlformats.org/officeDocument/2006/relationships/hyperlink" Target="https://www.leboncoin.fr/ad/voitures/3279039279" TargetMode="External" Id="rId285" /><Relationship Type="http://schemas.openxmlformats.org/officeDocument/2006/relationships/hyperlink" Target="https://www.leboncoin.fr/ad/voitures/3279053465" TargetMode="External" Id="rId286" /><Relationship Type="http://schemas.openxmlformats.org/officeDocument/2006/relationships/hyperlink" Target="https://www.leboncoin.fr/ad/voitures/3279820686" TargetMode="External" Id="rId287" /><Relationship Type="http://schemas.openxmlformats.org/officeDocument/2006/relationships/hyperlink" Target="https://www.leboncoin.fr/ad/voitures/3280095370" TargetMode="External" Id="rId288" /><Relationship Type="http://schemas.openxmlformats.org/officeDocument/2006/relationships/hyperlink" Target="https://www.leboncoin.fr/ad/voitures/3280598049" TargetMode="External" Id="rId289" /><Relationship Type="http://schemas.openxmlformats.org/officeDocument/2006/relationships/hyperlink" Target="https://www.leboncoin.fr/ad/voitures/3281457599" TargetMode="External" Id="rId290" /><Relationship Type="http://schemas.openxmlformats.org/officeDocument/2006/relationships/hyperlink" Target="https://www.leboncoin.fr/ad/voitures/3281553146" TargetMode="External" Id="rId291" /><Relationship Type="http://schemas.openxmlformats.org/officeDocument/2006/relationships/hyperlink" Target="https://www.leboncoin.fr/ad/voitures/3281915049" TargetMode="External" Id="rId292" /><Relationship Type="http://schemas.openxmlformats.org/officeDocument/2006/relationships/hyperlink" Target="https://www.leboncoin.fr/ad/voitures/3282389871" TargetMode="External" Id="rId293" /><Relationship Type="http://schemas.openxmlformats.org/officeDocument/2006/relationships/hyperlink" Target="https://www.leboncoin.fr/ad/voitures/3283547749" TargetMode="External" Id="rId294" /><Relationship Type="http://schemas.openxmlformats.org/officeDocument/2006/relationships/hyperlink" Target="https://www.leboncoin.fr/ad/voitures/3283563302" TargetMode="External" Id="rId295" /><Relationship Type="http://schemas.openxmlformats.org/officeDocument/2006/relationships/hyperlink" Target="https://www.leboncoin.fr/ad/voitures/3283596159" TargetMode="External" Id="rId296" /><Relationship Type="http://schemas.openxmlformats.org/officeDocument/2006/relationships/hyperlink" Target="https://www.leboncoin.fr/ad/voitures/3283596303" TargetMode="External" Id="rId297" /><Relationship Type="http://schemas.openxmlformats.org/officeDocument/2006/relationships/hyperlink" Target="https://www.leboncoin.fr/ad/voitures/3284050430" TargetMode="External" Id="rId298" /><Relationship Type="http://schemas.openxmlformats.org/officeDocument/2006/relationships/hyperlink" Target="https://www.leboncoin.fr/ad/voitures/3284347419" TargetMode="External" Id="rId299" /><Relationship Type="http://schemas.openxmlformats.org/officeDocument/2006/relationships/hyperlink" Target="https://www.leboncoin.fr/ad/voitures/3285484109" TargetMode="External" Id="rId300" /><Relationship Type="http://schemas.openxmlformats.org/officeDocument/2006/relationships/hyperlink" Target="https://www.leboncoin.fr/ad/voitures/3286388415" TargetMode="External" Id="rId301" /><Relationship Type="http://schemas.openxmlformats.org/officeDocument/2006/relationships/hyperlink" Target="https://www.leboncoin.fr/ad/voitures/3286475955" TargetMode="External" Id="rId302" /><Relationship Type="http://schemas.openxmlformats.org/officeDocument/2006/relationships/hyperlink" Target="https://www.leboncoin.fr/ad/voitures/3286858631" TargetMode="External" Id="rId303" /><Relationship Type="http://schemas.openxmlformats.org/officeDocument/2006/relationships/hyperlink" Target="https://www.leboncoin.fr/ad/voitures/3287278903" TargetMode="External" Id="rId304" /><Relationship Type="http://schemas.openxmlformats.org/officeDocument/2006/relationships/hyperlink" Target="https://www.leboncoin.fr/ad/voitures/3287308524" TargetMode="External" Id="rId305" /><Relationship Type="http://schemas.openxmlformats.org/officeDocument/2006/relationships/hyperlink" Target="https://www.leboncoin.fr/ad/voitures/3288515556" TargetMode="External" Id="rId306" /><Relationship Type="http://schemas.openxmlformats.org/officeDocument/2006/relationships/hyperlink" Target="https://www.leboncoin.fr/ad/voitures/3123040394" TargetMode="External" Id="rId307" /><Relationship Type="http://schemas.openxmlformats.org/officeDocument/2006/relationships/hyperlink" Target="https://www.leboncoin.fr/ad/voitures/3151025653" TargetMode="External" Id="rId308" /><Relationship Type="http://schemas.openxmlformats.org/officeDocument/2006/relationships/hyperlink" Target="https://www.leboncoin.fr/ad/voitures/3227695185" TargetMode="External" Id="rId309" /><Relationship Type="http://schemas.openxmlformats.org/officeDocument/2006/relationships/hyperlink" Target="https://www.leboncoin.fr/ad/voitures/3234323904" TargetMode="External" Id="rId310" /><Relationship Type="http://schemas.openxmlformats.org/officeDocument/2006/relationships/hyperlink" Target="https://www.leboncoin.fr/ad/voitures/3248463615" TargetMode="External" Id="rId311" /><Relationship Type="http://schemas.openxmlformats.org/officeDocument/2006/relationships/hyperlink" Target="https://www.leboncoin.fr/ad/voitures/3254206684" TargetMode="External" Id="rId312" /><Relationship Type="http://schemas.openxmlformats.org/officeDocument/2006/relationships/hyperlink" Target="https://www.leboncoin.fr/ad/voitures/3256639318" TargetMode="External" Id="rId313" /><Relationship Type="http://schemas.openxmlformats.org/officeDocument/2006/relationships/hyperlink" Target="https://www.leboncoin.fr/ad/voitures/3258113450" TargetMode="External" Id="rId314" /><Relationship Type="http://schemas.openxmlformats.org/officeDocument/2006/relationships/hyperlink" Target="https://www.leboncoin.fr/ad/voitures/3258422146" TargetMode="External" Id="rId315" /><Relationship Type="http://schemas.openxmlformats.org/officeDocument/2006/relationships/hyperlink" Target="https://www.leboncoin.fr/ad/voitures/3259064609" TargetMode="External" Id="rId316" /><Relationship Type="http://schemas.openxmlformats.org/officeDocument/2006/relationships/hyperlink" Target="https://www.leboncoin.fr/ad/voitures/3262442354" TargetMode="External" Id="rId317" /><Relationship Type="http://schemas.openxmlformats.org/officeDocument/2006/relationships/hyperlink" Target="https://www.leboncoin.fr/ad/voitures/3265358347" TargetMode="External" Id="rId318" /><Relationship Type="http://schemas.openxmlformats.org/officeDocument/2006/relationships/hyperlink" Target="https://www.leboncoin.fr/ad/voitures/3265384769" TargetMode="External" Id="rId319" /><Relationship Type="http://schemas.openxmlformats.org/officeDocument/2006/relationships/hyperlink" Target="https://www.leboncoin.fr/ad/voitures/3267576253" TargetMode="External" Id="rId320" /><Relationship Type="http://schemas.openxmlformats.org/officeDocument/2006/relationships/hyperlink" Target="https://www.leboncoin.fr/ad/voitures/3269057716" TargetMode="External" Id="rId321" /><Relationship Type="http://schemas.openxmlformats.org/officeDocument/2006/relationships/hyperlink" Target="https://www.leboncoin.fr/ad/voitures/3270650631" TargetMode="External" Id="rId322" /><Relationship Type="http://schemas.openxmlformats.org/officeDocument/2006/relationships/hyperlink" Target="https://www.leboncoin.fr/ad/voitures/3271026847" TargetMode="External" Id="rId323" /><Relationship Type="http://schemas.openxmlformats.org/officeDocument/2006/relationships/hyperlink" Target="https://www.leboncoin.fr/ad/voitures/3275531733" TargetMode="External" Id="rId324" /><Relationship Type="http://schemas.openxmlformats.org/officeDocument/2006/relationships/hyperlink" Target="https://www.leboncoin.fr/ad/voitures/3276929411" TargetMode="External" Id="rId325" /><Relationship Type="http://schemas.openxmlformats.org/officeDocument/2006/relationships/hyperlink" Target="https://www.leboncoin.fr/ad/voitures/3277073683" TargetMode="External" Id="rId326" /><Relationship Type="http://schemas.openxmlformats.org/officeDocument/2006/relationships/hyperlink" Target="https://www.leboncoin.fr/ad/voitures/3278631826" TargetMode="External" Id="rId327" /><Relationship Type="http://schemas.openxmlformats.org/officeDocument/2006/relationships/hyperlink" Target="https://www.leboncoin.fr/ad/voitures/3278866640" TargetMode="External" Id="rId328" /><Relationship Type="http://schemas.openxmlformats.org/officeDocument/2006/relationships/hyperlink" Target="https://www.leboncoin.fr/ad/voitures/3278894245" TargetMode="External" Id="rId329" /><Relationship Type="http://schemas.openxmlformats.org/officeDocument/2006/relationships/hyperlink" Target="https://www.leboncoin.fr/ad/voitures/3279236263" TargetMode="External" Id="rId330" /><Relationship Type="http://schemas.openxmlformats.org/officeDocument/2006/relationships/hyperlink" Target="https://www.leboncoin.fr/ad/voitures/3280307630" TargetMode="External" Id="rId331" /><Relationship Type="http://schemas.openxmlformats.org/officeDocument/2006/relationships/hyperlink" Target="https://www.leboncoin.fr/ad/voitures/3164531752" TargetMode="External" Id="rId332" /><Relationship Type="http://schemas.openxmlformats.org/officeDocument/2006/relationships/hyperlink" Target="https://www.leboncoin.fr/ad/voitures/3242289072" TargetMode="External" Id="rId333" /><Relationship Type="http://schemas.openxmlformats.org/officeDocument/2006/relationships/hyperlink" Target="https://www.leboncoin.fr/ad/voitures/3268508446" TargetMode="External" Id="rId334" /><Relationship Type="http://schemas.openxmlformats.org/officeDocument/2006/relationships/hyperlink" Target="https://www.leboncoin.fr/ad/voitures/3270584772" TargetMode="External" Id="rId335" /><Relationship Type="http://schemas.openxmlformats.org/officeDocument/2006/relationships/hyperlink" Target="https://www.leboncoin.fr/ad/voitures/3271215938" TargetMode="External" Id="rId336" /><Relationship Type="http://schemas.openxmlformats.org/officeDocument/2006/relationships/hyperlink" Target="https://www.leboncoin.fr/ad/voitures/3275390710" TargetMode="External" Id="rId337" /><Relationship Type="http://schemas.openxmlformats.org/officeDocument/2006/relationships/hyperlink" Target="https://www.leboncoin.fr/ad/voitures/3275427165" TargetMode="External" Id="rId338" /><Relationship Type="http://schemas.openxmlformats.org/officeDocument/2006/relationships/hyperlink" Target="https://www.leboncoin.fr/ad/voitures/3278215050" TargetMode="External" Id="rId339" /><Relationship Type="http://schemas.openxmlformats.org/officeDocument/2006/relationships/hyperlink" Target="https://www.leboncoin.fr/ad/voitures/3283621933" TargetMode="External" Id="rId340" /><Relationship Type="http://schemas.openxmlformats.org/officeDocument/2006/relationships/hyperlink" Target="https://www.leboncoin.fr/ad/voitures/3284771851" TargetMode="External" Id="rId341" /><Relationship Type="http://schemas.openxmlformats.org/officeDocument/2006/relationships/hyperlink" Target="https://www.leboncoin.fr/ad/voitures/3287435688" TargetMode="External" Id="rId342" /><Relationship Type="http://schemas.openxmlformats.org/officeDocument/2006/relationships/hyperlink" Target="https://www.leboncoin.fr/ad/voitures/3210880878" TargetMode="External" Id="rId343" /><Relationship Type="http://schemas.openxmlformats.org/officeDocument/2006/relationships/hyperlink" Target="https://www.leboncoin.fr/ad/voitures/3249108312" TargetMode="External" Id="rId344" /><Relationship Type="http://schemas.openxmlformats.org/officeDocument/2006/relationships/hyperlink" Target="https://www.leboncoin.fr/ad/voitures/3006219965" TargetMode="External" Id="rId345" /><Relationship Type="http://schemas.openxmlformats.org/officeDocument/2006/relationships/hyperlink" Target="https://www.leboncoin.fr/ad/voitures/3235223068" TargetMode="External" Id="rId346" /><Relationship Type="http://schemas.openxmlformats.org/officeDocument/2006/relationships/hyperlink" Target="https://www.leboncoin.fr/ad/voitures/3257692927" TargetMode="External" Id="rId347" /><Relationship Type="http://schemas.openxmlformats.org/officeDocument/2006/relationships/hyperlink" Target="https://www.leboncoin.fr/ad/voitures/3261609180" TargetMode="External" Id="rId348" /><Relationship Type="http://schemas.openxmlformats.org/officeDocument/2006/relationships/hyperlink" Target="https://www.leboncoin.fr/ad/voitures/3261852437" TargetMode="External" Id="rId349" /><Relationship Type="http://schemas.openxmlformats.org/officeDocument/2006/relationships/hyperlink" Target="https://www.leboncoin.fr/ad/voitures/3267746572" TargetMode="External" Id="rId350" /><Relationship Type="http://schemas.openxmlformats.org/officeDocument/2006/relationships/hyperlink" Target="https://www.leboncoin.fr/ad/voitures/3270051665" TargetMode="External" Id="rId351" /><Relationship Type="http://schemas.openxmlformats.org/officeDocument/2006/relationships/hyperlink" Target="https://www.leboncoin.fr/ad/voitures/3270125349" TargetMode="External" Id="rId352" /><Relationship Type="http://schemas.openxmlformats.org/officeDocument/2006/relationships/hyperlink" Target="https://www.leboncoin.fr/ad/voitures/3271090302" TargetMode="External" Id="rId353" /><Relationship Type="http://schemas.openxmlformats.org/officeDocument/2006/relationships/hyperlink" Target="https://www.leboncoin.fr/ad/voitures/3272177449" TargetMode="External" Id="rId354" /><Relationship Type="http://schemas.openxmlformats.org/officeDocument/2006/relationships/hyperlink" Target="https://www.leboncoin.fr/ad/voitures/3272423201" TargetMode="External" Id="rId355" /><Relationship Type="http://schemas.openxmlformats.org/officeDocument/2006/relationships/hyperlink" Target="https://www.leboncoin.fr/ad/voitures/3272452236" TargetMode="External" Id="rId356" /><Relationship Type="http://schemas.openxmlformats.org/officeDocument/2006/relationships/hyperlink" Target="https://www.leboncoin.fr/ad/voitures/3273929462" TargetMode="External" Id="rId357" /><Relationship Type="http://schemas.openxmlformats.org/officeDocument/2006/relationships/hyperlink" Target="https://www.leboncoin.fr/ad/voitures/3276024169" TargetMode="External" Id="rId358" /><Relationship Type="http://schemas.openxmlformats.org/officeDocument/2006/relationships/hyperlink" Target="https://www.leboncoin.fr/ad/voitures/3276353657" TargetMode="External" Id="rId359" /><Relationship Type="http://schemas.openxmlformats.org/officeDocument/2006/relationships/hyperlink" Target="https://www.leboncoin.fr/ad/voitures/3276437381" TargetMode="External" Id="rId360" /><Relationship Type="http://schemas.openxmlformats.org/officeDocument/2006/relationships/hyperlink" Target="https://www.leboncoin.fr/ad/voitures/3277457567" TargetMode="External" Id="rId361" /><Relationship Type="http://schemas.openxmlformats.org/officeDocument/2006/relationships/hyperlink" Target="https://www.leboncoin.fr/ad/voitures/3280352100" TargetMode="External" Id="rId362" /><Relationship Type="http://schemas.openxmlformats.org/officeDocument/2006/relationships/hyperlink" Target="https://www.leboncoin.fr/ad/voitures/3280590253" TargetMode="External" Id="rId363" /><Relationship Type="http://schemas.openxmlformats.org/officeDocument/2006/relationships/hyperlink" Target="https://www.leboncoin.fr/ad/voitures/3281619372" TargetMode="External" Id="rId364" /><Relationship Type="http://schemas.openxmlformats.org/officeDocument/2006/relationships/hyperlink" Target="https://www.leboncoin.fr/ad/voitures/3281988535" TargetMode="External" Id="rId365" /><Relationship Type="http://schemas.openxmlformats.org/officeDocument/2006/relationships/hyperlink" Target="https://www.leboncoin.fr/ad/voitures/3282158064" TargetMode="External" Id="rId366" /><Relationship Type="http://schemas.openxmlformats.org/officeDocument/2006/relationships/hyperlink" Target="https://www.leboncoin.fr/ad/voitures/3282909281" TargetMode="External" Id="rId367" /><Relationship Type="http://schemas.openxmlformats.org/officeDocument/2006/relationships/hyperlink" Target="https://www.leboncoin.fr/ad/voitures/3284481051" TargetMode="External" Id="rId368" /><Relationship Type="http://schemas.openxmlformats.org/officeDocument/2006/relationships/hyperlink" Target="https://www.leboncoin.fr/ad/voitures/3284558720" TargetMode="External" Id="rId369" /><Relationship Type="http://schemas.openxmlformats.org/officeDocument/2006/relationships/hyperlink" Target="https://www.leboncoin.fr/ad/voitures/3286615377" TargetMode="External" Id="rId370" /><Relationship Type="http://schemas.openxmlformats.org/officeDocument/2006/relationships/hyperlink" Target="https://www.leboncoin.fr/ad/voitures/3286754099" TargetMode="External" Id="rId371" /><Relationship Type="http://schemas.openxmlformats.org/officeDocument/2006/relationships/hyperlink" Target="https://www.leboncoin.fr/ad/voitures/3286927949" TargetMode="External" Id="rId372" /><Relationship Type="http://schemas.openxmlformats.org/officeDocument/2006/relationships/hyperlink" Target="https://www.leboncoin.fr/ad/voitures/3287213165" TargetMode="External" Id="rId373" /><Relationship Type="http://schemas.openxmlformats.org/officeDocument/2006/relationships/hyperlink" Target="https://www.leboncoin.fr/ad/voitures/3288115418" TargetMode="External" Id="rId374" /><Relationship Type="http://schemas.openxmlformats.org/officeDocument/2006/relationships/hyperlink" Target="https://www.leboncoin.fr/ad/voitures/3288305043" TargetMode="External" Id="rId375" /><Relationship Type="http://schemas.openxmlformats.org/officeDocument/2006/relationships/hyperlink" Target="https://www.leboncoin.fr/ad/voitures/3288619401" TargetMode="External" Id="rId376" /><Relationship Type="http://schemas.openxmlformats.org/officeDocument/2006/relationships/hyperlink" Target="https://www.leboncoin.fr/ad/voitures/3288719000" TargetMode="External" Id="rId377" /><Relationship Type="http://schemas.openxmlformats.org/officeDocument/2006/relationships/hyperlink" Target="https://www.leboncoin.fr/ad/voitures/3218818524" TargetMode="External" Id="rId378" /><Relationship Type="http://schemas.openxmlformats.org/officeDocument/2006/relationships/hyperlink" Target="https://www.leboncoin.fr/ad/voitures/3261159396" TargetMode="External" Id="rId379" /><Relationship Type="http://schemas.openxmlformats.org/officeDocument/2006/relationships/hyperlink" Target="https://www.leboncoin.fr/ad/voitures/3263390958" TargetMode="External" Id="rId380" /><Relationship Type="http://schemas.openxmlformats.org/officeDocument/2006/relationships/hyperlink" Target="https://www.leboncoin.fr/ad/voitures/3267049380" TargetMode="External" Id="rId381" /><Relationship Type="http://schemas.openxmlformats.org/officeDocument/2006/relationships/hyperlink" Target="https://www.leboncoin.fr/ad/voitures/3267140247" TargetMode="External" Id="rId382" /><Relationship Type="http://schemas.openxmlformats.org/officeDocument/2006/relationships/hyperlink" Target="https://www.leboncoin.fr/ad/voitures/3268479738" TargetMode="External" Id="rId383" /><Relationship Type="http://schemas.openxmlformats.org/officeDocument/2006/relationships/hyperlink" Target="https://www.leboncoin.fr/ad/voitures/3276571950" TargetMode="External" Id="rId384" /><Relationship Type="http://schemas.openxmlformats.org/officeDocument/2006/relationships/hyperlink" Target="https://www.leboncoin.fr/ad/voitures/3280107297" TargetMode="External" Id="rId385" /><Relationship Type="http://schemas.openxmlformats.org/officeDocument/2006/relationships/hyperlink" Target="https://www.leboncoin.fr/ad/voitures/3004883966" TargetMode="External" Id="rId386" /><Relationship Type="http://schemas.openxmlformats.org/officeDocument/2006/relationships/hyperlink" Target="https://www.leboncoin.fr/ad/voitures/3135209876" TargetMode="External" Id="rId387" /><Relationship Type="http://schemas.openxmlformats.org/officeDocument/2006/relationships/hyperlink" Target="https://www.leboncoin.fr/ad/voitures/3164278460" TargetMode="External" Id="rId388" /><Relationship Type="http://schemas.openxmlformats.org/officeDocument/2006/relationships/hyperlink" Target="https://www.leboncoin.fr/ad/voitures/3169812009" TargetMode="External" Id="rId389" /><Relationship Type="http://schemas.openxmlformats.org/officeDocument/2006/relationships/hyperlink" Target="https://www.leboncoin.fr/ad/voitures/3177090532" TargetMode="External" Id="rId390" /><Relationship Type="http://schemas.openxmlformats.org/officeDocument/2006/relationships/hyperlink" Target="https://www.leboncoin.fr/ad/voitures/3177399795" TargetMode="External" Id="rId391" /><Relationship Type="http://schemas.openxmlformats.org/officeDocument/2006/relationships/hyperlink" Target="https://www.leboncoin.fr/ad/voitures/3205610309" TargetMode="External" Id="rId392" /><Relationship Type="http://schemas.openxmlformats.org/officeDocument/2006/relationships/hyperlink" Target="https://www.leboncoin.fr/ad/voitures/3208968875" TargetMode="External" Id="rId393" /><Relationship Type="http://schemas.openxmlformats.org/officeDocument/2006/relationships/hyperlink" Target="https://www.leboncoin.fr/ad/voitures/3209668474" TargetMode="External" Id="rId394" /><Relationship Type="http://schemas.openxmlformats.org/officeDocument/2006/relationships/hyperlink" Target="https://www.leboncoin.fr/ad/voitures/3210110937" TargetMode="External" Id="rId395" /><Relationship Type="http://schemas.openxmlformats.org/officeDocument/2006/relationships/hyperlink" Target="https://www.leboncoin.fr/ad/voitures/3223596749" TargetMode="External" Id="rId396" /><Relationship Type="http://schemas.openxmlformats.org/officeDocument/2006/relationships/hyperlink" Target="https://www.leboncoin.fr/ad/voitures/3225995323" TargetMode="External" Id="rId397" /><Relationship Type="http://schemas.openxmlformats.org/officeDocument/2006/relationships/hyperlink" Target="https://www.leboncoin.fr/ad/voitures/3226789085" TargetMode="External" Id="rId398" /><Relationship Type="http://schemas.openxmlformats.org/officeDocument/2006/relationships/hyperlink" Target="https://www.leboncoin.fr/ad/voitures/3229875348" TargetMode="External" Id="rId399" /><Relationship Type="http://schemas.openxmlformats.org/officeDocument/2006/relationships/hyperlink" Target="https://www.leboncoin.fr/ad/voitures/3236208392" TargetMode="External" Id="rId400" /><Relationship Type="http://schemas.openxmlformats.org/officeDocument/2006/relationships/hyperlink" Target="https://www.leboncoin.fr/ad/voitures/3241156907" TargetMode="External" Id="rId401" /><Relationship Type="http://schemas.openxmlformats.org/officeDocument/2006/relationships/hyperlink" Target="https://www.leboncoin.fr/ad/voitures/3244949226" TargetMode="External" Id="rId402" /><Relationship Type="http://schemas.openxmlformats.org/officeDocument/2006/relationships/hyperlink" Target="https://www.leboncoin.fr/ad/voitures/3252911291" TargetMode="External" Id="rId403" /><Relationship Type="http://schemas.openxmlformats.org/officeDocument/2006/relationships/hyperlink" Target="https://www.leboncoin.fr/ad/voitures/3255178405" TargetMode="External" Id="rId404" /><Relationship Type="http://schemas.openxmlformats.org/officeDocument/2006/relationships/hyperlink" Target="https://www.leboncoin.fr/ad/voitures/3258299180" TargetMode="External" Id="rId405" /><Relationship Type="http://schemas.openxmlformats.org/officeDocument/2006/relationships/hyperlink" Target="https://www.leboncoin.fr/ad/voitures/3268528129" TargetMode="External" Id="rId406" /><Relationship Type="http://schemas.openxmlformats.org/officeDocument/2006/relationships/hyperlink" Target="https://www.leboncoin.fr/ad/voitures/3270837815" TargetMode="External" Id="rId407" /><Relationship Type="http://schemas.openxmlformats.org/officeDocument/2006/relationships/hyperlink" Target="https://www.leboncoin.fr/ad/voitures/3278165059" TargetMode="External" Id="rId408" /><Relationship Type="http://schemas.openxmlformats.org/officeDocument/2006/relationships/hyperlink" Target="https://www.leboncoin.fr/ad/voitures/3278211461" TargetMode="External" Id="rId409" /><Relationship Type="http://schemas.openxmlformats.org/officeDocument/2006/relationships/hyperlink" Target="https://www.leboncoin.fr/ad/voitures/3278308119" TargetMode="External" Id="rId410" /><Relationship Type="http://schemas.openxmlformats.org/officeDocument/2006/relationships/hyperlink" Target="https://www.leboncoin.fr/ad/voitures/3278377513" TargetMode="External" Id="rId411" /><Relationship Type="http://schemas.openxmlformats.org/officeDocument/2006/relationships/hyperlink" Target="https://www.leboncoin.fr/ad/voitures/3278537127" TargetMode="External" Id="rId412" /><Relationship Type="http://schemas.openxmlformats.org/officeDocument/2006/relationships/hyperlink" Target="https://www.leboncoin.fr/ad/voitures/3278584788" TargetMode="External" Id="rId413" /><Relationship Type="http://schemas.openxmlformats.org/officeDocument/2006/relationships/hyperlink" Target="https://www.leboncoin.fr/ad/voitures/3278787277" TargetMode="External" Id="rId414" /><Relationship Type="http://schemas.openxmlformats.org/officeDocument/2006/relationships/hyperlink" Target="https://www.leboncoin.fr/ad/voitures/3280091446" TargetMode="External" Id="rId415" /><Relationship Type="http://schemas.openxmlformats.org/officeDocument/2006/relationships/hyperlink" Target="https://www.leboncoin.fr/ad/voitures/3280482015" TargetMode="External" Id="rId416" /><Relationship Type="http://schemas.openxmlformats.org/officeDocument/2006/relationships/hyperlink" Target="https://www.leboncoin.fr/ad/voitures/3280814617" TargetMode="External" Id="rId417" /><Relationship Type="http://schemas.openxmlformats.org/officeDocument/2006/relationships/hyperlink" Target="https://www.leboncoin.fr/ad/voitures/3281380686" TargetMode="External" Id="rId418" /><Relationship Type="http://schemas.openxmlformats.org/officeDocument/2006/relationships/hyperlink" Target="https://www.leboncoin.fr/ad/voitures/3282147896" TargetMode="External" Id="rId419" /><Relationship Type="http://schemas.openxmlformats.org/officeDocument/2006/relationships/hyperlink" Target="https://www.leboncoin.fr/ad/voitures/3283563885" TargetMode="External" Id="rId420" /><Relationship Type="http://schemas.openxmlformats.org/officeDocument/2006/relationships/hyperlink" Target="https://www.leboncoin.fr/ad/voitures/3284038154" TargetMode="External" Id="rId421" /><Relationship Type="http://schemas.openxmlformats.org/officeDocument/2006/relationships/hyperlink" Target="https://www.leboncoin.fr/ad/voitures/3284862818" TargetMode="External" Id="rId422" /><Relationship Type="http://schemas.openxmlformats.org/officeDocument/2006/relationships/hyperlink" Target="https://www.leboncoin.fr/ad/voitures/3285868046" TargetMode="External" Id="rId423" /><Relationship Type="http://schemas.openxmlformats.org/officeDocument/2006/relationships/hyperlink" Target="https://www.leboncoin.fr/ad/voitures/3287596929" TargetMode="External" Id="rId424" /><Relationship Type="http://schemas.openxmlformats.org/officeDocument/2006/relationships/hyperlink" Target="https://www.leboncoin.fr/ad/voitures/2751924257" TargetMode="External" Id="rId425" /><Relationship Type="http://schemas.openxmlformats.org/officeDocument/2006/relationships/hyperlink" Target="https://www.leboncoin.fr/ad/voitures/3024366461" TargetMode="External" Id="rId426" /><Relationship Type="http://schemas.openxmlformats.org/officeDocument/2006/relationships/hyperlink" Target="https://www.leboncoin.fr/ad/voitures/3058221809" TargetMode="External" Id="rId427" /><Relationship Type="http://schemas.openxmlformats.org/officeDocument/2006/relationships/hyperlink" Target="https://www.leboncoin.fr/ad/voitures/3100841497" TargetMode="External" Id="rId428" /><Relationship Type="http://schemas.openxmlformats.org/officeDocument/2006/relationships/hyperlink" Target="https://www.leboncoin.fr/ad/voitures/3177094157" TargetMode="External" Id="rId429" /><Relationship Type="http://schemas.openxmlformats.org/officeDocument/2006/relationships/hyperlink" Target="https://www.leboncoin.fr/ad/voitures/3203471672" TargetMode="External" Id="rId430" /><Relationship Type="http://schemas.openxmlformats.org/officeDocument/2006/relationships/hyperlink" Target="https://www.leboncoin.fr/ad/voitures/3207867613" TargetMode="External" Id="rId431" /><Relationship Type="http://schemas.openxmlformats.org/officeDocument/2006/relationships/hyperlink" Target="https://www.leboncoin.fr/ad/voitures/3225420947" TargetMode="External" Id="rId432" /><Relationship Type="http://schemas.openxmlformats.org/officeDocument/2006/relationships/hyperlink" Target="https://www.leboncoin.fr/ad/voitures/3226399068" TargetMode="External" Id="rId433" /><Relationship Type="http://schemas.openxmlformats.org/officeDocument/2006/relationships/hyperlink" Target="https://www.leboncoin.fr/ad/voitures/3230591026" TargetMode="External" Id="rId434" /><Relationship Type="http://schemas.openxmlformats.org/officeDocument/2006/relationships/hyperlink" Target="https://www.leboncoin.fr/ad/voitures/3231127202" TargetMode="External" Id="rId435" /><Relationship Type="http://schemas.openxmlformats.org/officeDocument/2006/relationships/hyperlink" Target="https://www.leboncoin.fr/ad/voitures/3234122932" TargetMode="External" Id="rId436" /><Relationship Type="http://schemas.openxmlformats.org/officeDocument/2006/relationships/hyperlink" Target="https://www.leboncoin.fr/ad/voitures/3242206815" TargetMode="External" Id="rId437" /><Relationship Type="http://schemas.openxmlformats.org/officeDocument/2006/relationships/hyperlink" Target="https://www.leboncoin.fr/ad/voitures/3260467720" TargetMode="External" Id="rId438" /><Relationship Type="http://schemas.openxmlformats.org/officeDocument/2006/relationships/hyperlink" Target="https://www.leboncoin.fr/ad/voitures/3260820600" TargetMode="External" Id="rId439" /><Relationship Type="http://schemas.openxmlformats.org/officeDocument/2006/relationships/hyperlink" Target="https://www.leboncoin.fr/ad/voitures/3262657061" TargetMode="External" Id="rId440" /><Relationship Type="http://schemas.openxmlformats.org/officeDocument/2006/relationships/hyperlink" Target="https://www.leboncoin.fr/ad/voitures/3265883612" TargetMode="External" Id="rId441" /><Relationship Type="http://schemas.openxmlformats.org/officeDocument/2006/relationships/hyperlink" Target="https://www.leboncoin.fr/ad/voitures/3268572742" TargetMode="External" Id="rId442" /><Relationship Type="http://schemas.openxmlformats.org/officeDocument/2006/relationships/hyperlink" Target="https://www.leboncoin.fr/ad/voitures/3271951396" TargetMode="External" Id="rId443" /><Relationship Type="http://schemas.openxmlformats.org/officeDocument/2006/relationships/hyperlink" Target="https://www.leboncoin.fr/ad/voitures/3272054365" TargetMode="External" Id="rId444" /><Relationship Type="http://schemas.openxmlformats.org/officeDocument/2006/relationships/hyperlink" Target="https://www.leboncoin.fr/ad/voitures/3272281258" TargetMode="External" Id="rId445" /><Relationship Type="http://schemas.openxmlformats.org/officeDocument/2006/relationships/hyperlink" Target="https://www.leboncoin.fr/ad/voitures/3272652346" TargetMode="External" Id="rId446" /><Relationship Type="http://schemas.openxmlformats.org/officeDocument/2006/relationships/hyperlink" Target="https://www.leboncoin.fr/ad/voitures/3274429079" TargetMode="External" Id="rId447" /><Relationship Type="http://schemas.openxmlformats.org/officeDocument/2006/relationships/hyperlink" Target="https://www.leboncoin.fr/ad/voitures/3274821732" TargetMode="External" Id="rId448" /><Relationship Type="http://schemas.openxmlformats.org/officeDocument/2006/relationships/hyperlink" Target="https://www.leboncoin.fr/ad/voitures/3277227146" TargetMode="External" Id="rId449" /><Relationship Type="http://schemas.openxmlformats.org/officeDocument/2006/relationships/hyperlink" Target="https://www.leboncoin.fr/ad/voitures/3278304511" TargetMode="External" Id="rId450" /><Relationship Type="http://schemas.openxmlformats.org/officeDocument/2006/relationships/hyperlink" Target="https://www.leboncoin.fr/ad/voitures/3278388453" TargetMode="External" Id="rId451" /><Relationship Type="http://schemas.openxmlformats.org/officeDocument/2006/relationships/hyperlink" Target="https://www.leboncoin.fr/ad/voitures/3089498689" TargetMode="External" Id="rId452" /><Relationship Type="http://schemas.openxmlformats.org/officeDocument/2006/relationships/hyperlink" Target="https://www.leboncoin.fr/ad/voitures/3106206580" TargetMode="External" Id="rId453" /><Relationship Type="http://schemas.openxmlformats.org/officeDocument/2006/relationships/hyperlink" Target="https://www.leboncoin.fr/ad/voitures/3151264594" TargetMode="External" Id="rId454" /><Relationship Type="http://schemas.openxmlformats.org/officeDocument/2006/relationships/hyperlink" Target="https://www.leboncoin.fr/ad/voitures/3161953342" TargetMode="External" Id="rId455" /><Relationship Type="http://schemas.openxmlformats.org/officeDocument/2006/relationships/hyperlink" Target="https://www.leboncoin.fr/ad/voitures/3175911144" TargetMode="External" Id="rId456" /><Relationship Type="http://schemas.openxmlformats.org/officeDocument/2006/relationships/hyperlink" Target="https://www.leboncoin.fr/ad/voitures/3205141466" TargetMode="External" Id="rId457" /><Relationship Type="http://schemas.openxmlformats.org/officeDocument/2006/relationships/hyperlink" Target="https://www.leboncoin.fr/ad/voitures/3208942462" TargetMode="External" Id="rId458" /><Relationship Type="http://schemas.openxmlformats.org/officeDocument/2006/relationships/hyperlink" Target="https://www.leboncoin.fr/ad/voitures/3213662506" TargetMode="External" Id="rId459" /><Relationship Type="http://schemas.openxmlformats.org/officeDocument/2006/relationships/hyperlink" Target="https://www.leboncoin.fr/ad/voitures/3214892442" TargetMode="External" Id="rId460" /><Relationship Type="http://schemas.openxmlformats.org/officeDocument/2006/relationships/hyperlink" Target="https://www.leboncoin.fr/ad/voitures/3216720126" TargetMode="External" Id="rId461" /><Relationship Type="http://schemas.openxmlformats.org/officeDocument/2006/relationships/hyperlink" Target="https://www.leboncoin.fr/ad/voitures/3224716293" TargetMode="External" Id="rId462" /><Relationship Type="http://schemas.openxmlformats.org/officeDocument/2006/relationships/hyperlink" Target="https://www.leboncoin.fr/ad/voitures/3228200524" TargetMode="External" Id="rId463" /><Relationship Type="http://schemas.openxmlformats.org/officeDocument/2006/relationships/hyperlink" Target="https://www.leboncoin.fr/ad/voitures/3233339199" TargetMode="External" Id="rId464" /><Relationship Type="http://schemas.openxmlformats.org/officeDocument/2006/relationships/hyperlink" Target="https://www.leboncoin.fr/ad/voitures/3234830440" TargetMode="External" Id="rId465" /><Relationship Type="http://schemas.openxmlformats.org/officeDocument/2006/relationships/hyperlink" Target="https://www.leboncoin.fr/ad/voitures/3244969526" TargetMode="External" Id="rId466" /><Relationship Type="http://schemas.openxmlformats.org/officeDocument/2006/relationships/hyperlink" Target="https://www.leboncoin.fr/ad/voitures/3249044905" TargetMode="External" Id="rId467" /><Relationship Type="http://schemas.openxmlformats.org/officeDocument/2006/relationships/hyperlink" Target="https://www.leboncoin.fr/ad/voitures/3255993553" TargetMode="External" Id="rId468" /><Relationship Type="http://schemas.openxmlformats.org/officeDocument/2006/relationships/hyperlink" Target="https://www.leboncoin.fr/ad/voitures/3265294019" TargetMode="External" Id="rId469" /><Relationship Type="http://schemas.openxmlformats.org/officeDocument/2006/relationships/hyperlink" Target="https://www.leboncoin.fr/ad/voitures/3267627094" TargetMode="External" Id="rId470" /><Relationship Type="http://schemas.openxmlformats.org/officeDocument/2006/relationships/hyperlink" Target="https://www.leboncoin.fr/ad/voitures/3272564375" TargetMode="External" Id="rId471" /><Relationship Type="http://schemas.openxmlformats.org/officeDocument/2006/relationships/hyperlink" Target="https://www.leboncoin.fr/ad/voitures/3272892582" TargetMode="External" Id="rId472" /><Relationship Type="http://schemas.openxmlformats.org/officeDocument/2006/relationships/hyperlink" Target="https://www.leboncoin.fr/ad/voitures/3272963366" TargetMode="External" Id="rId473" /><Relationship Type="http://schemas.openxmlformats.org/officeDocument/2006/relationships/hyperlink" Target="https://www.leboncoin.fr/ad/voitures/3274504040" TargetMode="External" Id="rId474" /><Relationship Type="http://schemas.openxmlformats.org/officeDocument/2006/relationships/hyperlink" Target="https://www.leboncoin.fr/ad/voitures/3275167558" TargetMode="External" Id="rId475" /><Relationship Type="http://schemas.openxmlformats.org/officeDocument/2006/relationships/hyperlink" Target="https://www.leboncoin.fr/ad/voitures/3277850572" TargetMode="External" Id="rId476" /><Relationship Type="http://schemas.openxmlformats.org/officeDocument/2006/relationships/hyperlink" Target="https://www.leboncoin.fr/ad/voitures/3278292369" TargetMode="External" Id="rId477" /><Relationship Type="http://schemas.openxmlformats.org/officeDocument/2006/relationships/hyperlink" Target="https://www.leboncoin.fr/ad/voitures/3279539872" TargetMode="External" Id="rId478" /><Relationship Type="http://schemas.openxmlformats.org/officeDocument/2006/relationships/hyperlink" Target="https://www.leboncoin.fr/ad/voitures/3280631151" TargetMode="External" Id="rId479" /><Relationship Type="http://schemas.openxmlformats.org/officeDocument/2006/relationships/hyperlink" Target="https://www.leboncoin.fr/ad/voitures/3280951759" TargetMode="External" Id="rId480" /><Relationship Type="http://schemas.openxmlformats.org/officeDocument/2006/relationships/hyperlink" Target="https://www.leboncoin.fr/ad/voitures/3281142481" TargetMode="External" Id="rId481" /><Relationship Type="http://schemas.openxmlformats.org/officeDocument/2006/relationships/hyperlink" Target="https://www.leboncoin.fr/ad/voitures/3281269760" TargetMode="External" Id="rId482" /><Relationship Type="http://schemas.openxmlformats.org/officeDocument/2006/relationships/hyperlink" Target="https://www.leboncoin.fr/ad/voitures/3281743699" TargetMode="External" Id="rId483" /><Relationship Type="http://schemas.openxmlformats.org/officeDocument/2006/relationships/hyperlink" Target="https://www.leboncoin.fr/ad/voitures/3282908902" TargetMode="External" Id="rId484" /><Relationship Type="http://schemas.openxmlformats.org/officeDocument/2006/relationships/hyperlink" Target="https://www.leboncoin.fr/ad/voitures/3282993849" TargetMode="External" Id="rId485" /><Relationship Type="http://schemas.openxmlformats.org/officeDocument/2006/relationships/hyperlink" Target="https://www.leboncoin.fr/ad/voitures/3283155837" TargetMode="External" Id="rId486" /><Relationship Type="http://schemas.openxmlformats.org/officeDocument/2006/relationships/hyperlink" Target="https://www.leboncoin.fr/ad/voitures/3283554799" TargetMode="External" Id="rId487" /><Relationship Type="http://schemas.openxmlformats.org/officeDocument/2006/relationships/hyperlink" Target="https://www.leboncoin.fr/ad/voitures/3283952066" TargetMode="External" Id="rId488" /><Relationship Type="http://schemas.openxmlformats.org/officeDocument/2006/relationships/hyperlink" Target="https://www.leboncoin.fr/ad/voitures/3284594155" TargetMode="External" Id="rId489" /><Relationship Type="http://schemas.openxmlformats.org/officeDocument/2006/relationships/hyperlink" Target="https://www.leboncoin.fr/ad/voitures/3284730229" TargetMode="External" Id="rId490" /><Relationship Type="http://schemas.openxmlformats.org/officeDocument/2006/relationships/hyperlink" Target="https://www.leboncoin.fr/ad/voitures/3286790616" TargetMode="External" Id="rId491" /><Relationship Type="http://schemas.openxmlformats.org/officeDocument/2006/relationships/hyperlink" Target="https://www.leboncoin.fr/ad/voitures/3147288483" TargetMode="External" Id="rId492" /><Relationship Type="http://schemas.openxmlformats.org/officeDocument/2006/relationships/hyperlink" Target="https://www.leboncoin.fr/ad/voitures/3171445222" TargetMode="External" Id="rId493" /><Relationship Type="http://schemas.openxmlformats.org/officeDocument/2006/relationships/hyperlink" Target="https://www.leboncoin.fr/ad/voitures/3194804756" TargetMode="External" Id="rId494" /><Relationship Type="http://schemas.openxmlformats.org/officeDocument/2006/relationships/hyperlink" Target="https://www.leboncoin.fr/ad/voitures/3223210758" TargetMode="External" Id="rId495" /><Relationship Type="http://schemas.openxmlformats.org/officeDocument/2006/relationships/hyperlink" Target="https://www.leboncoin.fr/ad/voitures/3226389764" TargetMode="External" Id="rId496" /><Relationship Type="http://schemas.openxmlformats.org/officeDocument/2006/relationships/hyperlink" Target="https://www.leboncoin.fr/ad/voitures/3227346667" TargetMode="External" Id="rId497" /><Relationship Type="http://schemas.openxmlformats.org/officeDocument/2006/relationships/hyperlink" Target="https://www.leboncoin.fr/ad/voitures/3235072145" TargetMode="External" Id="rId498" /><Relationship Type="http://schemas.openxmlformats.org/officeDocument/2006/relationships/hyperlink" Target="https://www.leboncoin.fr/ad/voitures/3236629923" TargetMode="External" Id="rId499" /><Relationship Type="http://schemas.openxmlformats.org/officeDocument/2006/relationships/hyperlink" Target="https://www.leboncoin.fr/ad/voitures/3257381352" TargetMode="External" Id="rId500" /><Relationship Type="http://schemas.openxmlformats.org/officeDocument/2006/relationships/hyperlink" Target="https://www.leboncoin.fr/ad/voitures/3261091532" TargetMode="External" Id="rId501" /><Relationship Type="http://schemas.openxmlformats.org/officeDocument/2006/relationships/hyperlink" Target="https://www.leboncoin.fr/ad/voitures/3261152041" TargetMode="External" Id="rId502" /><Relationship Type="http://schemas.openxmlformats.org/officeDocument/2006/relationships/hyperlink" Target="https://www.leboncoin.fr/ad/voitures/3266137442" TargetMode="External" Id="rId503" /><Relationship Type="http://schemas.openxmlformats.org/officeDocument/2006/relationships/hyperlink" Target="https://www.leboncoin.fr/ad/voitures/3266468992" TargetMode="External" Id="rId504" /><Relationship Type="http://schemas.openxmlformats.org/officeDocument/2006/relationships/hyperlink" Target="https://www.leboncoin.fr/ad/voitures/3267019398" TargetMode="External" Id="rId505" /><Relationship Type="http://schemas.openxmlformats.org/officeDocument/2006/relationships/hyperlink" Target="https://www.leboncoin.fr/ad/voitures/3267529893" TargetMode="External" Id="rId506" /><Relationship Type="http://schemas.openxmlformats.org/officeDocument/2006/relationships/hyperlink" Target="https://www.leboncoin.fr/ad/voitures/3269059217" TargetMode="External" Id="rId507" /><Relationship Type="http://schemas.openxmlformats.org/officeDocument/2006/relationships/hyperlink" Target="https://www.leboncoin.fr/ad/voitures/3270983963" TargetMode="External" Id="rId508" /><Relationship Type="http://schemas.openxmlformats.org/officeDocument/2006/relationships/hyperlink" Target="https://www.leboncoin.fr/ad/voitures/3271472221" TargetMode="External" Id="rId509" /><Relationship Type="http://schemas.openxmlformats.org/officeDocument/2006/relationships/hyperlink" Target="https://www.leboncoin.fr/ad/voitures/3275432969" TargetMode="External" Id="rId510" /><Relationship Type="http://schemas.openxmlformats.org/officeDocument/2006/relationships/hyperlink" Target="https://www.leboncoin.fr/ad/voitures/3276464340" TargetMode="External" Id="rId511" /><Relationship Type="http://schemas.openxmlformats.org/officeDocument/2006/relationships/hyperlink" Target="https://www.leboncoin.fr/ad/voitures/3277303432" TargetMode="External" Id="rId512" /><Relationship Type="http://schemas.openxmlformats.org/officeDocument/2006/relationships/hyperlink" Target="https://www.leboncoin.fr/ad/voitures/3278140957" TargetMode="External" Id="rId513" /><Relationship Type="http://schemas.openxmlformats.org/officeDocument/2006/relationships/hyperlink" Target="https://www.leboncoin.fr/ad/voitures/3279820769" TargetMode="External" Id="rId514" /><Relationship Type="http://schemas.openxmlformats.org/officeDocument/2006/relationships/hyperlink" Target="https://www.leboncoin.fr/ad/voitures/3138081600" TargetMode="External" Id="rId515" /><Relationship Type="http://schemas.openxmlformats.org/officeDocument/2006/relationships/hyperlink" Target="https://www.leboncoin.fr/ad/voitures/3192502697" TargetMode="External" Id="rId516" /><Relationship Type="http://schemas.openxmlformats.org/officeDocument/2006/relationships/hyperlink" Target="https://www.leboncoin.fr/ad/voitures/3194330539" TargetMode="External" Id="rId517" /><Relationship Type="http://schemas.openxmlformats.org/officeDocument/2006/relationships/hyperlink" Target="https://www.leboncoin.fr/ad/voitures/3203094670" TargetMode="External" Id="rId518" /><Relationship Type="http://schemas.openxmlformats.org/officeDocument/2006/relationships/hyperlink" Target="https://www.leboncoin.fr/ad/voitures/3206698877" TargetMode="External" Id="rId519" /><Relationship Type="http://schemas.openxmlformats.org/officeDocument/2006/relationships/hyperlink" Target="https://www.leboncoin.fr/ad/voitures/3213417811" TargetMode="External" Id="rId520" /><Relationship Type="http://schemas.openxmlformats.org/officeDocument/2006/relationships/hyperlink" Target="https://www.leboncoin.fr/ad/voitures/3213662086" TargetMode="External" Id="rId521" /><Relationship Type="http://schemas.openxmlformats.org/officeDocument/2006/relationships/hyperlink" Target="https://www.leboncoin.fr/ad/voitures/3214095058" TargetMode="External" Id="rId522" /><Relationship Type="http://schemas.openxmlformats.org/officeDocument/2006/relationships/hyperlink" Target="https://www.leboncoin.fr/ad/voitures/3215149218" TargetMode="External" Id="rId523" /><Relationship Type="http://schemas.openxmlformats.org/officeDocument/2006/relationships/hyperlink" Target="https://www.leboncoin.fr/ad/voitures/3227303911" TargetMode="External" Id="rId524" /><Relationship Type="http://schemas.openxmlformats.org/officeDocument/2006/relationships/hyperlink" Target="https://www.leboncoin.fr/ad/voitures/3232184088" TargetMode="External" Id="rId525" /><Relationship Type="http://schemas.openxmlformats.org/officeDocument/2006/relationships/hyperlink" Target="https://www.leboncoin.fr/ad/voitures/3241715497" TargetMode="External" Id="rId526" /><Relationship Type="http://schemas.openxmlformats.org/officeDocument/2006/relationships/hyperlink" Target="https://www.leboncoin.fr/ad/voitures/3244467786" TargetMode="External" Id="rId527" /><Relationship Type="http://schemas.openxmlformats.org/officeDocument/2006/relationships/hyperlink" Target="https://www.leboncoin.fr/ad/voitures/3249020837" TargetMode="External" Id="rId528" /><Relationship Type="http://schemas.openxmlformats.org/officeDocument/2006/relationships/hyperlink" Target="https://www.leboncoin.fr/ad/voitures/3258520263" TargetMode="External" Id="rId529" /><Relationship Type="http://schemas.openxmlformats.org/officeDocument/2006/relationships/hyperlink" Target="https://www.leboncoin.fr/ad/voitures/3266721735" TargetMode="External" Id="rId530" /><Relationship Type="http://schemas.openxmlformats.org/officeDocument/2006/relationships/hyperlink" Target="https://www.leboncoin.fr/ad/voitures/3270378486" TargetMode="External" Id="rId531" /><Relationship Type="http://schemas.openxmlformats.org/officeDocument/2006/relationships/hyperlink" Target="https://www.leboncoin.fr/ad/voitures/3273797460" TargetMode="External" Id="rId532" /><Relationship Type="http://schemas.openxmlformats.org/officeDocument/2006/relationships/hyperlink" Target="https://www.leboncoin.fr/ad/voitures/3275857883" TargetMode="External" Id="rId533" /><Relationship Type="http://schemas.openxmlformats.org/officeDocument/2006/relationships/hyperlink" Target="https://www.leboncoin.fr/ad/voitures/3276480306" TargetMode="External" Id="rId534" /><Relationship Type="http://schemas.openxmlformats.org/officeDocument/2006/relationships/hyperlink" Target="https://www.leboncoin.fr/ad/voitures/3277083239" TargetMode="External" Id="rId535" /><Relationship Type="http://schemas.openxmlformats.org/officeDocument/2006/relationships/hyperlink" Target="https://www.leboncoin.fr/ad/voitures/3278139565" TargetMode="External" Id="rId536" /><Relationship Type="http://schemas.openxmlformats.org/officeDocument/2006/relationships/hyperlink" Target="https://www.leboncoin.fr/ad/voitures/3278209806" TargetMode="External" Id="rId537" /><Relationship Type="http://schemas.openxmlformats.org/officeDocument/2006/relationships/hyperlink" Target="https://www.leboncoin.fr/ad/voitures/3278728030" TargetMode="External" Id="rId538" /><Relationship Type="http://schemas.openxmlformats.org/officeDocument/2006/relationships/hyperlink" Target="https://www.leboncoin.fr/ad/voitures/3278966054" TargetMode="External" Id="rId539" /><Relationship Type="http://schemas.openxmlformats.org/officeDocument/2006/relationships/hyperlink" Target="https://www.leboncoin.fr/ad/voitures/3279041618" TargetMode="External" Id="rId540" /><Relationship Type="http://schemas.openxmlformats.org/officeDocument/2006/relationships/hyperlink" Target="https://www.leboncoin.fr/ad/voitures/3279739780" TargetMode="External" Id="rId541" /><Relationship Type="http://schemas.openxmlformats.org/officeDocument/2006/relationships/hyperlink" Target="https://www.leboncoin.fr/ad/voitures/3280329204" TargetMode="External" Id="rId542" /><Relationship Type="http://schemas.openxmlformats.org/officeDocument/2006/relationships/hyperlink" Target="https://www.leboncoin.fr/ad/voitures/3280508090" TargetMode="External" Id="rId543" /><Relationship Type="http://schemas.openxmlformats.org/officeDocument/2006/relationships/hyperlink" Target="https://www.leboncoin.fr/ad/voitures/3280631564" TargetMode="External" Id="rId544" /><Relationship Type="http://schemas.openxmlformats.org/officeDocument/2006/relationships/hyperlink" Target="https://www.leboncoin.fr/ad/voitures/3281973414" TargetMode="External" Id="rId545" /><Relationship Type="http://schemas.openxmlformats.org/officeDocument/2006/relationships/hyperlink" Target="https://www.leboncoin.fr/ad/voitures/3283262378" TargetMode="External" Id="rId546" /><Relationship Type="http://schemas.openxmlformats.org/officeDocument/2006/relationships/hyperlink" Target="https://www.leboncoin.fr/ad/voitures/3283833054" TargetMode="External" Id="rId547" /><Relationship Type="http://schemas.openxmlformats.org/officeDocument/2006/relationships/hyperlink" Target="https://www.leboncoin.fr/ad/voitures/3284158987" TargetMode="External" Id="rId548" /><Relationship Type="http://schemas.openxmlformats.org/officeDocument/2006/relationships/hyperlink" Target="https://www.leboncoin.fr/ad/voitures/3284607283" TargetMode="External" Id="rId549" /><Relationship Type="http://schemas.openxmlformats.org/officeDocument/2006/relationships/hyperlink" Target="https://www.leboncoin.fr/ad/voitures/3284841554" TargetMode="External" Id="rId550" /><Relationship Type="http://schemas.openxmlformats.org/officeDocument/2006/relationships/hyperlink" Target="https://www.leboncoin.fr/ad/voitures/3284882444" TargetMode="External" Id="rId551" /><Relationship Type="http://schemas.openxmlformats.org/officeDocument/2006/relationships/hyperlink" Target="https://www.leboncoin.fr/ad/voitures/3286583539" TargetMode="External" Id="rId552" /><Relationship Type="http://schemas.openxmlformats.org/officeDocument/2006/relationships/hyperlink" Target="https://www.leboncoin.fr/ad/voitures/3288187003" TargetMode="External" Id="rId553" /><Relationship Type="http://schemas.openxmlformats.org/officeDocument/2006/relationships/hyperlink" Target="https://www.leboncoin.fr/ad/voitures/3288653677" TargetMode="External" Id="rId554" /><Relationship Type="http://schemas.openxmlformats.org/officeDocument/2006/relationships/hyperlink" Target="https://www.leboncoin.fr/ad/voitures/3128001937" TargetMode="External" Id="rId555" /><Relationship Type="http://schemas.openxmlformats.org/officeDocument/2006/relationships/hyperlink" Target="https://www.leboncoin.fr/ad/voitures/3196043714" TargetMode="External" Id="rId556" /><Relationship Type="http://schemas.openxmlformats.org/officeDocument/2006/relationships/hyperlink" Target="https://www.leboncoin.fr/ad/voitures/3213424345" TargetMode="External" Id="rId557" /><Relationship Type="http://schemas.openxmlformats.org/officeDocument/2006/relationships/hyperlink" Target="https://www.leboncoin.fr/ad/voitures/3214587287" TargetMode="External" Id="rId558" /><Relationship Type="http://schemas.openxmlformats.org/officeDocument/2006/relationships/hyperlink" Target="https://www.leboncoin.fr/ad/voitures/3228156690" TargetMode="External" Id="rId559" /><Relationship Type="http://schemas.openxmlformats.org/officeDocument/2006/relationships/hyperlink" Target="https://www.leboncoin.fr/ad/voitures/3239890949" TargetMode="External" Id="rId560" /><Relationship Type="http://schemas.openxmlformats.org/officeDocument/2006/relationships/hyperlink" Target="https://www.leboncoin.fr/ad/voitures/3247666341" TargetMode="External" Id="rId561" /><Relationship Type="http://schemas.openxmlformats.org/officeDocument/2006/relationships/hyperlink" Target="https://www.leboncoin.fr/ad/voitures/3253304934" TargetMode="External" Id="rId562" /><Relationship Type="http://schemas.openxmlformats.org/officeDocument/2006/relationships/hyperlink" Target="https://www.leboncoin.fr/ad/voitures/3258419971" TargetMode="External" Id="rId563" /><Relationship Type="http://schemas.openxmlformats.org/officeDocument/2006/relationships/hyperlink" Target="https://www.leboncoin.fr/ad/voitures/3263120554" TargetMode="External" Id="rId564" /><Relationship Type="http://schemas.openxmlformats.org/officeDocument/2006/relationships/hyperlink" Target="https://www.leboncoin.fr/ad/voitures/3267035560" TargetMode="External" Id="rId565" /><Relationship Type="http://schemas.openxmlformats.org/officeDocument/2006/relationships/hyperlink" Target="https://www.leboncoin.fr/ad/voitures/3270568277" TargetMode="External" Id="rId566" /><Relationship Type="http://schemas.openxmlformats.org/officeDocument/2006/relationships/hyperlink" Target="https://www.leboncoin.fr/ad/voitures/3270821976" TargetMode="External" Id="rId567" /><Relationship Type="http://schemas.openxmlformats.org/officeDocument/2006/relationships/hyperlink" Target="https://www.leboncoin.fr/ad/voitures/3271574505" TargetMode="External" Id="rId568" /><Relationship Type="http://schemas.openxmlformats.org/officeDocument/2006/relationships/hyperlink" Target="https://www.leboncoin.fr/ad/voitures/3271944032" TargetMode="External" Id="rId569" /><Relationship Type="http://schemas.openxmlformats.org/officeDocument/2006/relationships/hyperlink" Target="https://www.leboncoin.fr/ad/voitures/3272175602" TargetMode="External" Id="rId570" /><Relationship Type="http://schemas.openxmlformats.org/officeDocument/2006/relationships/hyperlink" Target="https://www.leboncoin.fr/ad/voitures/3272603300" TargetMode="External" Id="rId571" /><Relationship Type="http://schemas.openxmlformats.org/officeDocument/2006/relationships/hyperlink" Target="https://www.leboncoin.fr/ad/voitures/3274728979" TargetMode="External" Id="rId572" /><Relationship Type="http://schemas.openxmlformats.org/officeDocument/2006/relationships/hyperlink" Target="https://www.leboncoin.fr/ad/voitures/3277011288" TargetMode="External" Id="rId573" /><Relationship Type="http://schemas.openxmlformats.org/officeDocument/2006/relationships/hyperlink" Target="https://www.leboncoin.fr/ad/voitures/3278151888" TargetMode="External" Id="rId574" /><Relationship Type="http://schemas.openxmlformats.org/officeDocument/2006/relationships/hyperlink" Target="https://www.leboncoin.fr/ad/voitures/3278205054" TargetMode="External" Id="rId575" /><Relationship Type="http://schemas.openxmlformats.org/officeDocument/2006/relationships/hyperlink" Target="https://www.leboncoin.fr/ad/voitures/3278260839" TargetMode="External" Id="rId576" /><Relationship Type="http://schemas.openxmlformats.org/officeDocument/2006/relationships/hyperlink" Target="https://www.leboncoin.fr/ad/voitures/3148980518" TargetMode="External" Id="rId577" /><Relationship Type="http://schemas.openxmlformats.org/officeDocument/2006/relationships/hyperlink" Target="https://www.leboncoin.fr/ad/voitures/3155317939" TargetMode="External" Id="rId578" /><Relationship Type="http://schemas.openxmlformats.org/officeDocument/2006/relationships/hyperlink" Target="https://www.leboncoin.fr/ad/voitures/3162482298" TargetMode="External" Id="rId579" /><Relationship Type="http://schemas.openxmlformats.org/officeDocument/2006/relationships/hyperlink" Target="https://www.leboncoin.fr/ad/voitures/3220887451" TargetMode="External" Id="rId580" /><Relationship Type="http://schemas.openxmlformats.org/officeDocument/2006/relationships/hyperlink" Target="https://www.leboncoin.fr/ad/voitures/3229733456" TargetMode="External" Id="rId581" /><Relationship Type="http://schemas.openxmlformats.org/officeDocument/2006/relationships/hyperlink" Target="https://www.leboncoin.fr/ad/voitures/3243861904" TargetMode="External" Id="rId582" /><Relationship Type="http://schemas.openxmlformats.org/officeDocument/2006/relationships/hyperlink" Target="https://www.leboncoin.fr/ad/voitures/3260826413" TargetMode="External" Id="rId583" /><Relationship Type="http://schemas.openxmlformats.org/officeDocument/2006/relationships/hyperlink" Target="https://www.leboncoin.fr/ad/voitures/3261622205" TargetMode="External" Id="rId584" /><Relationship Type="http://schemas.openxmlformats.org/officeDocument/2006/relationships/hyperlink" Target="https://www.leboncoin.fr/ad/voitures/3261693737" TargetMode="External" Id="rId585" /><Relationship Type="http://schemas.openxmlformats.org/officeDocument/2006/relationships/hyperlink" Target="https://www.leboncoin.fr/ad/voitures/3262040554" TargetMode="External" Id="rId586" /><Relationship Type="http://schemas.openxmlformats.org/officeDocument/2006/relationships/hyperlink" Target="https://www.leboncoin.fr/ad/voitures/3262391547" TargetMode="External" Id="rId587" /><Relationship Type="http://schemas.openxmlformats.org/officeDocument/2006/relationships/hyperlink" Target="https://www.leboncoin.fr/ad/voitures/3262638000" TargetMode="External" Id="rId588" /><Relationship Type="http://schemas.openxmlformats.org/officeDocument/2006/relationships/hyperlink" Target="https://www.leboncoin.fr/ad/voitures/3264837795" TargetMode="External" Id="rId589" /><Relationship Type="http://schemas.openxmlformats.org/officeDocument/2006/relationships/hyperlink" Target="https://www.leboncoin.fr/ad/voitures/3266864057" TargetMode="External" Id="rId590" /><Relationship Type="http://schemas.openxmlformats.org/officeDocument/2006/relationships/hyperlink" Target="https://www.leboncoin.fr/ad/voitures/3270112718" TargetMode="External" Id="rId591" /><Relationship Type="http://schemas.openxmlformats.org/officeDocument/2006/relationships/hyperlink" Target="https://www.leboncoin.fr/ad/voitures/3270289698" TargetMode="External" Id="rId592" /><Relationship Type="http://schemas.openxmlformats.org/officeDocument/2006/relationships/hyperlink" Target="https://www.leboncoin.fr/ad/voitures/3272615687" TargetMode="External" Id="rId593" /><Relationship Type="http://schemas.openxmlformats.org/officeDocument/2006/relationships/hyperlink" Target="https://www.leboncoin.fr/ad/voitures/3273076212" TargetMode="External" Id="rId594" /><Relationship Type="http://schemas.openxmlformats.org/officeDocument/2006/relationships/hyperlink" Target="https://www.leboncoin.fr/ad/voitures/3275029879" TargetMode="External" Id="rId595" /><Relationship Type="http://schemas.openxmlformats.org/officeDocument/2006/relationships/hyperlink" Target="https://www.leboncoin.fr/ad/voitures/3275151981" TargetMode="External" Id="rId596" /><Relationship Type="http://schemas.openxmlformats.org/officeDocument/2006/relationships/hyperlink" Target="https://www.leboncoin.fr/ad/voitures/3277619840" TargetMode="External" Id="rId597" /><Relationship Type="http://schemas.openxmlformats.org/officeDocument/2006/relationships/hyperlink" Target="https://www.leboncoin.fr/ad/voitures/3278178962" TargetMode="External" Id="rId598" /><Relationship Type="http://schemas.openxmlformats.org/officeDocument/2006/relationships/hyperlink" Target="https://www.leboncoin.fr/ad/voitures/3279867090" TargetMode="External" Id="rId599" /><Relationship Type="http://schemas.openxmlformats.org/officeDocument/2006/relationships/hyperlink" Target="https://www.leboncoin.fr/ad/voitures/3281829027" TargetMode="External" Id="rId600" /><Relationship Type="http://schemas.openxmlformats.org/officeDocument/2006/relationships/hyperlink" Target="https://www.leboncoin.fr/ad/voitures/3282299969" TargetMode="External" Id="rId601" /><Relationship Type="http://schemas.openxmlformats.org/officeDocument/2006/relationships/hyperlink" Target="https://www.leboncoin.fr/ad/voitures/3282432895" TargetMode="External" Id="rId602" /><Relationship Type="http://schemas.openxmlformats.org/officeDocument/2006/relationships/hyperlink" Target="https://www.leboncoin.fr/ad/voitures/3284044209" TargetMode="External" Id="rId603" /><Relationship Type="http://schemas.openxmlformats.org/officeDocument/2006/relationships/hyperlink" Target="https://www.leboncoin.fr/ad/voitures/3285271531" TargetMode="External" Id="rId604" /><Relationship Type="http://schemas.openxmlformats.org/officeDocument/2006/relationships/hyperlink" Target="https://www.leboncoin.fr/ad/voitures/3285680308" TargetMode="External" Id="rId605" /><Relationship Type="http://schemas.openxmlformats.org/officeDocument/2006/relationships/hyperlink" Target="https://www.leboncoin.fr/ad/voitures/3286310573" TargetMode="External" Id="rId606" /><Relationship Type="http://schemas.openxmlformats.org/officeDocument/2006/relationships/hyperlink" Target="https://www.leboncoin.fr/ad/voitures/3286902597" TargetMode="External" Id="rId607" /><Relationship Type="http://schemas.openxmlformats.org/officeDocument/2006/relationships/hyperlink" Target="https://www.leboncoin.fr/ad/voitures/3287358182" TargetMode="External" Id="rId608" /><Relationship Type="http://schemas.openxmlformats.org/officeDocument/2006/relationships/hyperlink" Target="https://www.leboncoin.fr/ad/voitures/3287481751" TargetMode="External" Id="rId609" /><Relationship Type="http://schemas.openxmlformats.org/officeDocument/2006/relationships/hyperlink" Target="https://www.leboncoin.fr/ad/voitures/3287640164" TargetMode="External" Id="rId610" /><Relationship Type="http://schemas.openxmlformats.org/officeDocument/2006/relationships/hyperlink" Target="https://www.leboncoin.fr/ad/voitures/3287649228" TargetMode="External" Id="rId611" /><Relationship Type="http://schemas.openxmlformats.org/officeDocument/2006/relationships/hyperlink" Target="https://www.leboncoin.fr/ad/voitures/3287894943" TargetMode="External" Id="rId612" /><Relationship Type="http://schemas.openxmlformats.org/officeDocument/2006/relationships/hyperlink" Target="https://www.leboncoin.fr/ad/voitures/3111952979" TargetMode="External" Id="rId613" /><Relationship Type="http://schemas.openxmlformats.org/officeDocument/2006/relationships/hyperlink" Target="https://www.leboncoin.fr/ad/voitures/3225541573" TargetMode="External" Id="rId614" /><Relationship Type="http://schemas.openxmlformats.org/officeDocument/2006/relationships/hyperlink" Target="https://www.leboncoin.fr/ad/voitures/3234959156" TargetMode="External" Id="rId615" /><Relationship Type="http://schemas.openxmlformats.org/officeDocument/2006/relationships/hyperlink" Target="https://www.leboncoin.fr/ad/voitures/3235031075" TargetMode="External" Id="rId616" /><Relationship Type="http://schemas.openxmlformats.org/officeDocument/2006/relationships/hyperlink" Target="https://www.leboncoin.fr/ad/voitures/3248026868" TargetMode="External" Id="rId617" /><Relationship Type="http://schemas.openxmlformats.org/officeDocument/2006/relationships/hyperlink" Target="https://www.leboncoin.fr/ad/voitures/3252273657" TargetMode="External" Id="rId618" /><Relationship Type="http://schemas.openxmlformats.org/officeDocument/2006/relationships/hyperlink" Target="https://www.leboncoin.fr/ad/voitures/3254332412" TargetMode="External" Id="rId619" /><Relationship Type="http://schemas.openxmlformats.org/officeDocument/2006/relationships/hyperlink" Target="https://www.leboncoin.fr/ad/voitures/3258667592" TargetMode="External" Id="rId620" /><Relationship Type="http://schemas.openxmlformats.org/officeDocument/2006/relationships/hyperlink" Target="https://www.leboncoin.fr/ad/voitures/3260553786" TargetMode="External" Id="rId621" /><Relationship Type="http://schemas.openxmlformats.org/officeDocument/2006/relationships/hyperlink" Target="https://www.leboncoin.fr/ad/voitures/3261006166" TargetMode="External" Id="rId622" /><Relationship Type="http://schemas.openxmlformats.org/officeDocument/2006/relationships/hyperlink" Target="https://www.leboncoin.fr/ad/voitures/3272175500" TargetMode="External" Id="rId623" /><Relationship Type="http://schemas.openxmlformats.org/officeDocument/2006/relationships/hyperlink" Target="https://www.leboncoin.fr/ad/voitures/3272349615" TargetMode="External" Id="rId624" /><Relationship Type="http://schemas.openxmlformats.org/officeDocument/2006/relationships/hyperlink" Target="https://www.leboncoin.fr/ad/voitures/3273260142" TargetMode="External" Id="rId625" /><Relationship Type="http://schemas.openxmlformats.org/officeDocument/2006/relationships/hyperlink" Target="https://www.leboncoin.fr/ad/voitures/3276649870" TargetMode="External" Id="rId626" /><Relationship Type="http://schemas.openxmlformats.org/officeDocument/2006/relationships/hyperlink" Target="https://www.leboncoin.fr/ad/voitures/3276674920" TargetMode="External" Id="rId627" /><Relationship Type="http://schemas.openxmlformats.org/officeDocument/2006/relationships/hyperlink" Target="https://www.leboncoin.fr/ad/voitures/3277297648" TargetMode="External" Id="rId628" /><Relationship Type="http://schemas.openxmlformats.org/officeDocument/2006/relationships/hyperlink" Target="https://www.leboncoin.fr/ad/voitures/3278695532" TargetMode="External" Id="rId629" /><Relationship Type="http://schemas.openxmlformats.org/officeDocument/2006/relationships/hyperlink" Target="https://www.leboncoin.fr/ad/voitures/3093503886" TargetMode="External" Id="rId630" /><Relationship Type="http://schemas.openxmlformats.org/officeDocument/2006/relationships/hyperlink" Target="https://www.leboncoin.fr/ad/voitures/3152592919" TargetMode="External" Id="rId631" /><Relationship Type="http://schemas.openxmlformats.org/officeDocument/2006/relationships/hyperlink" Target="https://www.leboncoin.fr/ad/voitures/3165656670" TargetMode="External" Id="rId632" /><Relationship Type="http://schemas.openxmlformats.org/officeDocument/2006/relationships/hyperlink" Target="https://www.leboncoin.fr/ad/voitures/3169074583" TargetMode="External" Id="rId633" /><Relationship Type="http://schemas.openxmlformats.org/officeDocument/2006/relationships/hyperlink" Target="https://www.leboncoin.fr/ad/voitures/3216991704" TargetMode="External" Id="rId634" /><Relationship Type="http://schemas.openxmlformats.org/officeDocument/2006/relationships/hyperlink" Target="https://www.leboncoin.fr/ad/voitures/3237229836" TargetMode="External" Id="rId635" /><Relationship Type="http://schemas.openxmlformats.org/officeDocument/2006/relationships/hyperlink" Target="https://www.leboncoin.fr/ad/voitures/3243865675" TargetMode="External" Id="rId636" /><Relationship Type="http://schemas.openxmlformats.org/officeDocument/2006/relationships/hyperlink" Target="https://www.leboncoin.fr/ad/voitures/3252684628" TargetMode="External" Id="rId637" /><Relationship Type="http://schemas.openxmlformats.org/officeDocument/2006/relationships/hyperlink" Target="https://www.leboncoin.fr/ad/voitures/3256587657" TargetMode="External" Id="rId638" /><Relationship Type="http://schemas.openxmlformats.org/officeDocument/2006/relationships/hyperlink" Target="https://www.leboncoin.fr/ad/voitures/3261154881" TargetMode="External" Id="rId639" /><Relationship Type="http://schemas.openxmlformats.org/officeDocument/2006/relationships/hyperlink" Target="https://www.leboncoin.fr/ad/voitures/3262231451" TargetMode="External" Id="rId640" /><Relationship Type="http://schemas.openxmlformats.org/officeDocument/2006/relationships/hyperlink" Target="https://www.leboncoin.fr/ad/voitures/3273010014" TargetMode="External" Id="rId641" /><Relationship Type="http://schemas.openxmlformats.org/officeDocument/2006/relationships/hyperlink" Target="https://www.leboncoin.fr/ad/voitures/3276458601" TargetMode="External" Id="rId642" /><Relationship Type="http://schemas.openxmlformats.org/officeDocument/2006/relationships/hyperlink" Target="https://www.leboncoin.fr/ad/voitures/3285387218" TargetMode="External" Id="rId643" /><Relationship Type="http://schemas.openxmlformats.org/officeDocument/2006/relationships/hyperlink" Target="https://www.leboncoin.fr/ad/voitures/3285622672" TargetMode="External" Id="rId644" /><Relationship Type="http://schemas.openxmlformats.org/officeDocument/2006/relationships/hyperlink" Target="https://www.leboncoin.fr/ad/voitures/3243871328" TargetMode="External" Id="rId645" /><Relationship Type="http://schemas.openxmlformats.org/officeDocument/2006/relationships/hyperlink" Target="https://www.leboncoin.fr/ad/voitures/3245939851" TargetMode="External" Id="rId646" /><Relationship Type="http://schemas.openxmlformats.org/officeDocument/2006/relationships/hyperlink" Target="https://www.leboncoin.fr/ad/voitures/3271644740" TargetMode="External" Id="rId647" /><Relationship Type="http://schemas.openxmlformats.org/officeDocument/2006/relationships/hyperlink" Target="https://www.leboncoin.fr/ad/voitures/3276459475" TargetMode="External" Id="rId648" /><Relationship Type="http://schemas.openxmlformats.org/officeDocument/2006/relationships/hyperlink" Target="https://www.leboncoin.fr/ad/voitures/3280273275" TargetMode="External" Id="rId649" /><Relationship Type="http://schemas.openxmlformats.org/officeDocument/2006/relationships/hyperlink" Target="https://www.leboncoin.fr/ad/voitures/3201621635" TargetMode="External" Id="rId650" /><Relationship Type="http://schemas.openxmlformats.org/officeDocument/2006/relationships/hyperlink" Target="https://www.leboncoin.fr/ad/voitures/3236310353" TargetMode="External" Id="rId651" /><Relationship Type="http://schemas.openxmlformats.org/officeDocument/2006/relationships/hyperlink" Target="https://www.leboncoin.fr/ad/voitures/3254592892" TargetMode="External" Id="rId652" /><Relationship Type="http://schemas.openxmlformats.org/officeDocument/2006/relationships/hyperlink" Target="https://www.leboncoin.fr/ad/voitures/3265072540" TargetMode="External" Id="rId653" /><Relationship Type="http://schemas.openxmlformats.org/officeDocument/2006/relationships/hyperlink" Target="https://www.leboncoin.fr/ad/voitures/3265411834" TargetMode="External" Id="rId654" /><Relationship Type="http://schemas.openxmlformats.org/officeDocument/2006/relationships/hyperlink" Target="https://www.leboncoin.fr/ad/voitures/3266701696" TargetMode="External" Id="rId655" /><Relationship Type="http://schemas.openxmlformats.org/officeDocument/2006/relationships/hyperlink" Target="https://www.leboncoin.fr/ad/voitures/3266949797" TargetMode="External" Id="rId656" /><Relationship Type="http://schemas.openxmlformats.org/officeDocument/2006/relationships/hyperlink" Target="https://www.leboncoin.fr/ad/voitures/3268258543" TargetMode="External" Id="rId657" /><Relationship Type="http://schemas.openxmlformats.org/officeDocument/2006/relationships/hyperlink" Target="https://www.leboncoin.fr/ad/voitures/3268824297" TargetMode="External" Id="rId658" /><Relationship Type="http://schemas.openxmlformats.org/officeDocument/2006/relationships/hyperlink" Target="https://www.leboncoin.fr/ad/voitures/3269180003" TargetMode="External" Id="rId659" /><Relationship Type="http://schemas.openxmlformats.org/officeDocument/2006/relationships/hyperlink" Target="https://www.leboncoin.fr/ad/voitures/3270178988" TargetMode="External" Id="rId660" /><Relationship Type="http://schemas.openxmlformats.org/officeDocument/2006/relationships/hyperlink" Target="https://www.leboncoin.fr/ad/voitures/3273813000" TargetMode="External" Id="rId661" /><Relationship Type="http://schemas.openxmlformats.org/officeDocument/2006/relationships/hyperlink" Target="https://www.leboncoin.fr/ad/voitures/3276478695" TargetMode="External" Id="rId662" /><Relationship Type="http://schemas.openxmlformats.org/officeDocument/2006/relationships/hyperlink" Target="https://www.leboncoin.fr/ad/voitures/3277403260" TargetMode="External" Id="rId663" /><Relationship Type="http://schemas.openxmlformats.org/officeDocument/2006/relationships/hyperlink" Target="https://www.leboncoin.fr/ad/voitures/3277928130" TargetMode="External" Id="rId664" /><Relationship Type="http://schemas.openxmlformats.org/officeDocument/2006/relationships/hyperlink" Target="https://www.leboncoin.fr/ad/voitures/3278196482" TargetMode="External" Id="rId665" /><Relationship Type="http://schemas.openxmlformats.org/officeDocument/2006/relationships/hyperlink" Target="https://www.leboncoin.fr/ad/voitures/3278551940" TargetMode="External" Id="rId666" /><Relationship Type="http://schemas.openxmlformats.org/officeDocument/2006/relationships/hyperlink" Target="https://www.leboncoin.fr/ad/voitures/3279054855" TargetMode="External" Id="rId667" /><Relationship Type="http://schemas.openxmlformats.org/officeDocument/2006/relationships/hyperlink" Target="https://www.leboncoin.fr/ad/voitures/3280760419" TargetMode="External" Id="rId668" /><Relationship Type="http://schemas.openxmlformats.org/officeDocument/2006/relationships/hyperlink" Target="https://www.leboncoin.fr/ad/voitures/3281895385" TargetMode="External" Id="rId669" /><Relationship Type="http://schemas.openxmlformats.org/officeDocument/2006/relationships/hyperlink" Target="https://www.leboncoin.fr/ad/voitures/3282160498" TargetMode="External" Id="rId670" /><Relationship Type="http://schemas.openxmlformats.org/officeDocument/2006/relationships/hyperlink" Target="https://www.leboncoin.fr/ad/voitures/3282185714" TargetMode="External" Id="rId671" /><Relationship Type="http://schemas.openxmlformats.org/officeDocument/2006/relationships/hyperlink" Target="https://www.leboncoin.fr/ad/voitures/3284375384" TargetMode="External" Id="rId672" /><Relationship Type="http://schemas.openxmlformats.org/officeDocument/2006/relationships/hyperlink" Target="https://www.leboncoin.fr/ad/voitures/3284985731" TargetMode="External" Id="rId673" /><Relationship Type="http://schemas.openxmlformats.org/officeDocument/2006/relationships/hyperlink" Target="https://www.leboncoin.fr/ad/voitures/3285167114" TargetMode="External" Id="rId674" /><Relationship Type="http://schemas.openxmlformats.org/officeDocument/2006/relationships/hyperlink" Target="https://www.leboncoin.fr/ad/voitures/3285168601" TargetMode="External" Id="rId675" /><Relationship Type="http://schemas.openxmlformats.org/officeDocument/2006/relationships/hyperlink" Target="https://www.leboncoin.fr/ad/voitures/3285782305" TargetMode="External" Id="rId676" /><Relationship Type="http://schemas.openxmlformats.org/officeDocument/2006/relationships/hyperlink" Target="https://www.leboncoin.fr/ad/voitures/3285996576" TargetMode="External" Id="rId677" /><Relationship Type="http://schemas.openxmlformats.org/officeDocument/2006/relationships/hyperlink" Target="https://www.leboncoin.fr/ad/voitures/3286579626" TargetMode="External" Id="rId678" /><Relationship Type="http://schemas.openxmlformats.org/officeDocument/2006/relationships/hyperlink" Target="https://www.leboncoin.fr/ad/voitures/3287201353" TargetMode="External" Id="rId679" /><Relationship Type="http://schemas.openxmlformats.org/officeDocument/2006/relationships/hyperlink" Target="https://www.leboncoin.fr/ad/voitures/3287724780" TargetMode="External" Id="rId680" /><Relationship Type="http://schemas.openxmlformats.org/officeDocument/2006/relationships/hyperlink" Target="https://www.leboncoin.fr/ad/voitures/3288007453" TargetMode="External" Id="rId681" /><Relationship Type="http://schemas.openxmlformats.org/officeDocument/2006/relationships/hyperlink" Target="https://www.leboncoin.fr/ad/voitures/3288029658" TargetMode="External" Id="rId682" /><Relationship Type="http://schemas.openxmlformats.org/officeDocument/2006/relationships/hyperlink" Target="https://www.leboncoin.fr/ad/voitures/3288055400" TargetMode="External" Id="rId683" /><Relationship Type="http://schemas.openxmlformats.org/officeDocument/2006/relationships/hyperlink" Target="https://www.leboncoin.fr/ad/voitures/3288098887" TargetMode="External" Id="rId684" /><Relationship Type="http://schemas.openxmlformats.org/officeDocument/2006/relationships/hyperlink" Target="https://www.leboncoin.fr/ad/voitures/3288361415" TargetMode="External" Id="rId685" /><Relationship Type="http://schemas.openxmlformats.org/officeDocument/2006/relationships/hyperlink" Target="https://www.leboncoin.fr/ad/voitures/3288442729" TargetMode="External" Id="rId686" /><Relationship Type="http://schemas.openxmlformats.org/officeDocument/2006/relationships/hyperlink" Target="https://www.leboncoin.fr/ad/voitures/3228654929" TargetMode="External" Id="rId687" /><Relationship Type="http://schemas.openxmlformats.org/officeDocument/2006/relationships/hyperlink" Target="https://www.leboncoin.fr/ad/voitures/3232797806" TargetMode="External" Id="rId688" /><Relationship Type="http://schemas.openxmlformats.org/officeDocument/2006/relationships/hyperlink" Target="https://www.leboncoin.fr/ad/voitures/3235601533" TargetMode="External" Id="rId689" /><Relationship Type="http://schemas.openxmlformats.org/officeDocument/2006/relationships/hyperlink" Target="https://www.leboncoin.fr/ad/voitures/3246605855" TargetMode="External" Id="rId690" /><Relationship Type="http://schemas.openxmlformats.org/officeDocument/2006/relationships/hyperlink" Target="https://www.leboncoin.fr/ad/voitures/3254091933" TargetMode="External" Id="rId691" /><Relationship Type="http://schemas.openxmlformats.org/officeDocument/2006/relationships/hyperlink" Target="https://www.leboncoin.fr/ad/voitures/3264401233" TargetMode="External" Id="rId692" /><Relationship Type="http://schemas.openxmlformats.org/officeDocument/2006/relationships/hyperlink" Target="https://www.leboncoin.fr/ad/voitures/3265418338" TargetMode="External" Id="rId693" /><Relationship Type="http://schemas.openxmlformats.org/officeDocument/2006/relationships/hyperlink" Target="https://www.leboncoin.fr/ad/voitures/3269220561" TargetMode="External" Id="rId694" /><Relationship Type="http://schemas.openxmlformats.org/officeDocument/2006/relationships/hyperlink" Target="https://www.leboncoin.fr/ad/voitures/3269820668" TargetMode="External" Id="rId695" /><Relationship Type="http://schemas.openxmlformats.org/officeDocument/2006/relationships/hyperlink" Target="https://www.leboncoin.fr/ad/voitures/3271251775" TargetMode="External" Id="rId696" /><Relationship Type="http://schemas.openxmlformats.org/officeDocument/2006/relationships/hyperlink" Target="https://www.leboncoin.fr/ad/voitures/3271536730" TargetMode="External" Id="rId697" /><Relationship Type="http://schemas.openxmlformats.org/officeDocument/2006/relationships/hyperlink" Target="https://www.leboncoin.fr/ad/voitures/3279265139" TargetMode="External" Id="rId698" /><Relationship Type="http://schemas.openxmlformats.org/officeDocument/2006/relationships/hyperlink" Target="https://www.leboncoin.fr/ad/voitures/3280012848" TargetMode="External" Id="rId699" /><Relationship Type="http://schemas.openxmlformats.org/officeDocument/2006/relationships/hyperlink" Target="https://www.leboncoin.fr/ad/voitures/3284612097" TargetMode="External" Id="rId700" /></Relationships>
</file>

<file path=xl/worksheets/_rels/sheet8.xml.rels><Relationships xmlns="http://schemas.openxmlformats.org/package/2006/relationships"><Relationship Type="http://schemas.openxmlformats.org/officeDocument/2006/relationships/hyperlink" Target="https://www.leboncoin.fr/ad/voitures/2903975057" TargetMode="External" Id="rId1" /><Relationship Type="http://schemas.openxmlformats.org/officeDocument/2006/relationships/hyperlink" Target="https://www.leboncoin.fr/ad/voitures/3212500586" TargetMode="External" Id="rId2" /><Relationship Type="http://schemas.openxmlformats.org/officeDocument/2006/relationships/hyperlink" Target="https://www.leboncoin.fr/ad/voitures/3222893175" TargetMode="External" Id="rId3" /><Relationship Type="http://schemas.openxmlformats.org/officeDocument/2006/relationships/hyperlink" Target="https://www.leboncoin.fr/ad/voitures/3237198858" TargetMode="External" Id="rId4" /><Relationship Type="http://schemas.openxmlformats.org/officeDocument/2006/relationships/hyperlink" Target="https://www.leboncoin.fr/ad/voitures/3261414202" TargetMode="External" Id="rId5" /><Relationship Type="http://schemas.openxmlformats.org/officeDocument/2006/relationships/hyperlink" Target="https://www.leboncoin.fr/ad/voitures/3262191550" TargetMode="External" Id="rId6" /><Relationship Type="http://schemas.openxmlformats.org/officeDocument/2006/relationships/hyperlink" Target="https://www.leboncoin.fr/ad/voitures/3270896149" TargetMode="External" Id="rId7" /><Relationship Type="http://schemas.openxmlformats.org/officeDocument/2006/relationships/hyperlink" Target="https://www.leboncoin.fr/ad/voitures/3275564839" TargetMode="External" Id="rId8" /><Relationship Type="http://schemas.openxmlformats.org/officeDocument/2006/relationships/hyperlink" Target="https://www.leboncoin.fr/ad/voitures/3281190008" TargetMode="External" Id="rId9" /><Relationship Type="http://schemas.openxmlformats.org/officeDocument/2006/relationships/hyperlink" Target="https://www.leboncoin.fr/ad/voitures/3283116401" TargetMode="External" Id="rId10" /><Relationship Type="http://schemas.openxmlformats.org/officeDocument/2006/relationships/hyperlink" Target="https://www.leboncoin.fr/ad/voitures/3171562700" TargetMode="External" Id="rId11" /><Relationship Type="http://schemas.openxmlformats.org/officeDocument/2006/relationships/hyperlink" Target="https://www.leboncoin.fr/ad/voitures/3197947364" TargetMode="External" Id="rId12" /><Relationship Type="http://schemas.openxmlformats.org/officeDocument/2006/relationships/hyperlink" Target="https://www.leboncoin.fr/ad/voitures/3211730689" TargetMode="External" Id="rId13" /><Relationship Type="http://schemas.openxmlformats.org/officeDocument/2006/relationships/hyperlink" Target="https://www.leboncoin.fr/ad/voitures/3217262918" TargetMode="External" Id="rId14" /><Relationship Type="http://schemas.openxmlformats.org/officeDocument/2006/relationships/hyperlink" Target="https://www.leboncoin.fr/ad/voitures/3220328214" TargetMode="External" Id="rId15" /><Relationship Type="http://schemas.openxmlformats.org/officeDocument/2006/relationships/hyperlink" Target="https://www.leboncoin.fr/ad/voitures/3230964764" TargetMode="External" Id="rId16" /><Relationship Type="http://schemas.openxmlformats.org/officeDocument/2006/relationships/hyperlink" Target="https://www.leboncoin.fr/ad/voitures/3237198765" TargetMode="External" Id="rId17" /><Relationship Type="http://schemas.openxmlformats.org/officeDocument/2006/relationships/hyperlink" Target="https://www.leboncoin.fr/ad/voitures/3237237759" TargetMode="External" Id="rId18" /><Relationship Type="http://schemas.openxmlformats.org/officeDocument/2006/relationships/hyperlink" Target="https://www.leboncoin.fr/ad/voitures/3243864537" TargetMode="External" Id="rId19" /><Relationship Type="http://schemas.openxmlformats.org/officeDocument/2006/relationships/hyperlink" Target="https://www.leboncoin.fr/ad/voitures/3245635449" TargetMode="External" Id="rId20" /><Relationship Type="http://schemas.openxmlformats.org/officeDocument/2006/relationships/hyperlink" Target="https://www.leboncoin.fr/ad/voitures/3246077665" TargetMode="External" Id="rId21" /><Relationship Type="http://schemas.openxmlformats.org/officeDocument/2006/relationships/hyperlink" Target="https://www.leboncoin.fr/ad/voitures/3246862811" TargetMode="External" Id="rId22" /><Relationship Type="http://schemas.openxmlformats.org/officeDocument/2006/relationships/hyperlink" Target="https://www.leboncoin.fr/ad/voitures/3249081293" TargetMode="External" Id="rId23" /><Relationship Type="http://schemas.openxmlformats.org/officeDocument/2006/relationships/hyperlink" Target="https://www.leboncoin.fr/ad/voitures/3249519594" TargetMode="External" Id="rId24" /><Relationship Type="http://schemas.openxmlformats.org/officeDocument/2006/relationships/hyperlink" Target="https://www.leboncoin.fr/ad/voitures/3256683007" TargetMode="External" Id="rId25" /><Relationship Type="http://schemas.openxmlformats.org/officeDocument/2006/relationships/hyperlink" Target="https://www.leboncoin.fr/ad/voitures/3257804096" TargetMode="External" Id="rId26" /><Relationship Type="http://schemas.openxmlformats.org/officeDocument/2006/relationships/hyperlink" Target="https://www.leboncoin.fr/ad/voitures/3258200097" TargetMode="External" Id="rId27" /><Relationship Type="http://schemas.openxmlformats.org/officeDocument/2006/relationships/hyperlink" Target="https://www.leboncoin.fr/ad/voitures/3258446503" TargetMode="External" Id="rId28" /><Relationship Type="http://schemas.openxmlformats.org/officeDocument/2006/relationships/hyperlink" Target="https://www.leboncoin.fr/ad/voitures/3258548235" TargetMode="External" Id="rId29" /><Relationship Type="http://schemas.openxmlformats.org/officeDocument/2006/relationships/hyperlink" Target="https://www.leboncoin.fr/ad/voitures/3262111623" TargetMode="External" Id="rId30" /><Relationship Type="http://schemas.openxmlformats.org/officeDocument/2006/relationships/hyperlink" Target="https://www.leboncoin.fr/ad/voitures/3265952895" TargetMode="External" Id="rId31" /><Relationship Type="http://schemas.openxmlformats.org/officeDocument/2006/relationships/hyperlink" Target="https://www.leboncoin.fr/ad/voitures/3269719393" TargetMode="External" Id="rId32" /><Relationship Type="http://schemas.openxmlformats.org/officeDocument/2006/relationships/hyperlink" Target="https://www.leboncoin.fr/ad/voitures/3270344321" TargetMode="External" Id="rId33" /><Relationship Type="http://schemas.openxmlformats.org/officeDocument/2006/relationships/hyperlink" Target="https://www.leboncoin.fr/ad/voitures/3271024428" TargetMode="External" Id="rId34" /><Relationship Type="http://schemas.openxmlformats.org/officeDocument/2006/relationships/hyperlink" Target="https://www.leboncoin.fr/ad/voitures/3271039169" TargetMode="External" Id="rId35" /><Relationship Type="http://schemas.openxmlformats.org/officeDocument/2006/relationships/hyperlink" Target="https://www.leboncoin.fr/ad/voitures/3271074708" TargetMode="External" Id="rId36" /><Relationship Type="http://schemas.openxmlformats.org/officeDocument/2006/relationships/hyperlink" Target="https://www.leboncoin.fr/ad/voitures/3272577206" TargetMode="External" Id="rId37" /><Relationship Type="http://schemas.openxmlformats.org/officeDocument/2006/relationships/hyperlink" Target="https://www.leboncoin.fr/ad/voitures/3275857889" TargetMode="External" Id="rId38" /><Relationship Type="http://schemas.openxmlformats.org/officeDocument/2006/relationships/hyperlink" Target="https://www.leboncoin.fr/ad/voitures/3278275196" TargetMode="External" Id="rId39" /><Relationship Type="http://schemas.openxmlformats.org/officeDocument/2006/relationships/hyperlink" Target="https://www.leboncoin.fr/ad/voitures/3278297992" TargetMode="External" Id="rId40" /><Relationship Type="http://schemas.openxmlformats.org/officeDocument/2006/relationships/hyperlink" Target="https://www.leboncoin.fr/ad/voitures/3278388364" TargetMode="External" Id="rId41" /><Relationship Type="http://schemas.openxmlformats.org/officeDocument/2006/relationships/hyperlink" Target="https://www.leboncoin.fr/ad/voitures/3278435582" TargetMode="External" Id="rId42" /><Relationship Type="http://schemas.openxmlformats.org/officeDocument/2006/relationships/hyperlink" Target="https://www.leboncoin.fr/ad/voitures/3283125826" TargetMode="External" Id="rId43" /><Relationship Type="http://schemas.openxmlformats.org/officeDocument/2006/relationships/hyperlink" Target="https://www.leboncoin.fr/ad/voitures/3283519181" TargetMode="External" Id="rId44" /><Relationship Type="http://schemas.openxmlformats.org/officeDocument/2006/relationships/hyperlink" Target="https://www.leboncoin.fr/ad/voitures/3283890361" TargetMode="External" Id="rId45" /><Relationship Type="http://schemas.openxmlformats.org/officeDocument/2006/relationships/hyperlink" Target="https://www.leboncoin.fr/ad/voitures/3286480975" TargetMode="External" Id="rId46" /><Relationship Type="http://schemas.openxmlformats.org/officeDocument/2006/relationships/hyperlink" Target="https://www.leboncoin.fr/ad/voitures/3286625426" TargetMode="External" Id="rId47" /><Relationship Type="http://schemas.openxmlformats.org/officeDocument/2006/relationships/hyperlink" Target="https://www.leboncoin.fr/ad/voitures/3287385983" TargetMode="External" Id="rId48" /><Relationship Type="http://schemas.openxmlformats.org/officeDocument/2006/relationships/hyperlink" Target="https://www.leboncoin.fr/ad/voitures/3122468671" TargetMode="External" Id="rId49" /><Relationship Type="http://schemas.openxmlformats.org/officeDocument/2006/relationships/hyperlink" Target="https://www.leboncoin.fr/ad/voitures/3177027931" TargetMode="External" Id="rId50" /><Relationship Type="http://schemas.openxmlformats.org/officeDocument/2006/relationships/hyperlink" Target="https://www.leboncoin.fr/ad/voitures/3179205726" TargetMode="External" Id="rId51" /><Relationship Type="http://schemas.openxmlformats.org/officeDocument/2006/relationships/hyperlink" Target="https://www.leboncoin.fr/ad/voitures/3179205726" TargetMode="External" Id="rId52" /><Relationship Type="http://schemas.openxmlformats.org/officeDocument/2006/relationships/hyperlink" Target="https://www.leboncoin.fr/ad/voitures/3179893341" TargetMode="External" Id="rId53" /><Relationship Type="http://schemas.openxmlformats.org/officeDocument/2006/relationships/hyperlink" Target="https://www.leboncoin.fr/ad/voitures/3179893341" TargetMode="External" Id="rId54" /><Relationship Type="http://schemas.openxmlformats.org/officeDocument/2006/relationships/hyperlink" Target="https://www.leboncoin.fr/ad/voitures/3198012563" TargetMode="External" Id="rId55" /><Relationship Type="http://schemas.openxmlformats.org/officeDocument/2006/relationships/hyperlink" Target="https://www.leboncoin.fr/ad/voitures/3217942758" TargetMode="External" Id="rId56" /><Relationship Type="http://schemas.openxmlformats.org/officeDocument/2006/relationships/hyperlink" Target="https://www.leboncoin.fr/ad/voitures/3229777091" TargetMode="External" Id="rId57" /><Relationship Type="http://schemas.openxmlformats.org/officeDocument/2006/relationships/hyperlink" Target="https://www.leboncoin.fr/ad/voitures/3233589487" TargetMode="External" Id="rId58" /><Relationship Type="http://schemas.openxmlformats.org/officeDocument/2006/relationships/hyperlink" Target="https://www.leboncoin.fr/ad/voitures/3247144718" TargetMode="External" Id="rId59" /><Relationship Type="http://schemas.openxmlformats.org/officeDocument/2006/relationships/hyperlink" Target="https://www.leboncoin.fr/ad/voitures/3249782225" TargetMode="External" Id="rId60" /><Relationship Type="http://schemas.openxmlformats.org/officeDocument/2006/relationships/hyperlink" Target="https://www.leboncoin.fr/ad/voitures/3250813636" TargetMode="External" Id="rId61" /><Relationship Type="http://schemas.openxmlformats.org/officeDocument/2006/relationships/hyperlink" Target="https://www.leboncoin.fr/ad/voitures/3252260409" TargetMode="External" Id="rId62" /><Relationship Type="http://schemas.openxmlformats.org/officeDocument/2006/relationships/hyperlink" Target="https://www.leboncoin.fr/ad/voitures/3253410252" TargetMode="External" Id="rId63" /><Relationship Type="http://schemas.openxmlformats.org/officeDocument/2006/relationships/hyperlink" Target="https://www.leboncoin.fr/ad/voitures/3253798936" TargetMode="External" Id="rId64" /><Relationship Type="http://schemas.openxmlformats.org/officeDocument/2006/relationships/hyperlink" Target="https://www.leboncoin.fr/ad/voitures/3259234628" TargetMode="External" Id="rId65" /><Relationship Type="http://schemas.openxmlformats.org/officeDocument/2006/relationships/hyperlink" Target="https://www.leboncoin.fr/ad/voitures/3259437359" TargetMode="External" Id="rId66" /><Relationship Type="http://schemas.openxmlformats.org/officeDocument/2006/relationships/hyperlink" Target="https://www.leboncoin.fr/ad/voitures/3260316059" TargetMode="External" Id="rId67" /><Relationship Type="http://schemas.openxmlformats.org/officeDocument/2006/relationships/hyperlink" Target="https://www.leboncoin.fr/ad/voitures/3260650856" TargetMode="External" Id="rId68" /><Relationship Type="http://schemas.openxmlformats.org/officeDocument/2006/relationships/hyperlink" Target="https://www.leboncoin.fr/ad/voitures/3260831234" TargetMode="External" Id="rId69" /><Relationship Type="http://schemas.openxmlformats.org/officeDocument/2006/relationships/hyperlink" Target="https://www.leboncoin.fr/ad/voitures/3261627755" TargetMode="External" Id="rId70" /><Relationship Type="http://schemas.openxmlformats.org/officeDocument/2006/relationships/hyperlink" Target="https://www.leboncoin.fr/ad/voitures/3262635276" TargetMode="External" Id="rId71" /><Relationship Type="http://schemas.openxmlformats.org/officeDocument/2006/relationships/hyperlink" Target="https://www.leboncoin.fr/ad/voitures/3264107945" TargetMode="External" Id="rId72" /><Relationship Type="http://schemas.openxmlformats.org/officeDocument/2006/relationships/hyperlink" Target="https://www.leboncoin.fr/ad/voitures/3266045304" TargetMode="External" Id="rId73" /><Relationship Type="http://schemas.openxmlformats.org/officeDocument/2006/relationships/hyperlink" Target="https://www.leboncoin.fr/ad/voitures/3269890983" TargetMode="External" Id="rId74" /><Relationship Type="http://schemas.openxmlformats.org/officeDocument/2006/relationships/hyperlink" Target="https://www.leboncoin.fr/ad/voitures/3270100305" TargetMode="External" Id="rId75" /><Relationship Type="http://schemas.openxmlformats.org/officeDocument/2006/relationships/hyperlink" Target="https://www.leboncoin.fr/ad/voitures/3271080732" TargetMode="External" Id="rId76" /><Relationship Type="http://schemas.openxmlformats.org/officeDocument/2006/relationships/hyperlink" Target="https://www.leboncoin.fr/ad/voitures/3274386766" TargetMode="External" Id="rId77" /><Relationship Type="http://schemas.openxmlformats.org/officeDocument/2006/relationships/hyperlink" Target="https://www.leboncoin.fr/ad/voitures/3274786995" TargetMode="External" Id="rId78" /><Relationship Type="http://schemas.openxmlformats.org/officeDocument/2006/relationships/hyperlink" Target="https://www.leboncoin.fr/ad/voitures/3275584509" TargetMode="External" Id="rId79" /><Relationship Type="http://schemas.openxmlformats.org/officeDocument/2006/relationships/hyperlink" Target="https://www.leboncoin.fr/ad/voitures/3275636332" TargetMode="External" Id="rId80" /><Relationship Type="http://schemas.openxmlformats.org/officeDocument/2006/relationships/hyperlink" Target="https://www.leboncoin.fr/ad/voitures/3275939150" TargetMode="External" Id="rId81" /><Relationship Type="http://schemas.openxmlformats.org/officeDocument/2006/relationships/hyperlink" Target="https://www.leboncoin.fr/ad/voitures/3276019569" TargetMode="External" Id="rId82" /><Relationship Type="http://schemas.openxmlformats.org/officeDocument/2006/relationships/hyperlink" Target="https://www.leboncoin.fr/ad/voitures/3276045076" TargetMode="External" Id="rId83" /><Relationship Type="http://schemas.openxmlformats.org/officeDocument/2006/relationships/hyperlink" Target="https://www.leboncoin.fr/ad/voitures/3276707355" TargetMode="External" Id="rId84" /><Relationship Type="http://schemas.openxmlformats.org/officeDocument/2006/relationships/hyperlink" Target="https://www.leboncoin.fr/ad/voitures/3277544949" TargetMode="External" Id="rId85" /><Relationship Type="http://schemas.openxmlformats.org/officeDocument/2006/relationships/hyperlink" Target="https://www.leboncoin.fr/ad/voitures/3278294886" TargetMode="External" Id="rId86" /><Relationship Type="http://schemas.openxmlformats.org/officeDocument/2006/relationships/hyperlink" Target="https://www.leboncoin.fr/ad/voitures/3278304303" TargetMode="External" Id="rId87" /><Relationship Type="http://schemas.openxmlformats.org/officeDocument/2006/relationships/hyperlink" Target="https://www.leboncoin.fr/ad/voitures/3278388859" TargetMode="External" Id="rId88" /><Relationship Type="http://schemas.openxmlformats.org/officeDocument/2006/relationships/hyperlink" Target="https://www.leboncoin.fr/ad/voitures/3278923547" TargetMode="External" Id="rId89" /><Relationship Type="http://schemas.openxmlformats.org/officeDocument/2006/relationships/hyperlink" Target="https://www.leboncoin.fr/ad/voitures/3279836593" TargetMode="External" Id="rId90" /><Relationship Type="http://schemas.openxmlformats.org/officeDocument/2006/relationships/hyperlink" Target="https://www.leboncoin.fr/ad/voitures/3279840069" TargetMode="External" Id="rId91" /><Relationship Type="http://schemas.openxmlformats.org/officeDocument/2006/relationships/hyperlink" Target="https://www.leboncoin.fr/ad/voitures/3279949039" TargetMode="External" Id="rId92" /><Relationship Type="http://schemas.openxmlformats.org/officeDocument/2006/relationships/hyperlink" Target="https://www.leboncoin.fr/ad/voitures/3280590101" TargetMode="External" Id="rId93" /><Relationship Type="http://schemas.openxmlformats.org/officeDocument/2006/relationships/hyperlink" Target="https://www.leboncoin.fr/ad/voitures/3281202476" TargetMode="External" Id="rId94" /><Relationship Type="http://schemas.openxmlformats.org/officeDocument/2006/relationships/hyperlink" Target="https://www.leboncoin.fr/ad/voitures/3281577931" TargetMode="External" Id="rId95" /><Relationship Type="http://schemas.openxmlformats.org/officeDocument/2006/relationships/hyperlink" Target="https://www.leboncoin.fr/ad/voitures/3282361681" TargetMode="External" Id="rId96" /><Relationship Type="http://schemas.openxmlformats.org/officeDocument/2006/relationships/hyperlink" Target="https://www.leboncoin.fr/ad/voitures/3282370613" TargetMode="External" Id="rId97" /><Relationship Type="http://schemas.openxmlformats.org/officeDocument/2006/relationships/hyperlink" Target="https://www.leboncoin.fr/ad/voitures/3284453819" TargetMode="External" Id="rId98" /><Relationship Type="http://schemas.openxmlformats.org/officeDocument/2006/relationships/hyperlink" Target="https://www.leboncoin.fr/ad/voitures/3285059925" TargetMode="External" Id="rId99" /><Relationship Type="http://schemas.openxmlformats.org/officeDocument/2006/relationships/hyperlink" Target="https://www.leboncoin.fr/ad/voitures/3285502703" TargetMode="External" Id="rId100" /><Relationship Type="http://schemas.openxmlformats.org/officeDocument/2006/relationships/hyperlink" Target="https://www.leboncoin.fr/ad/voitures/3285503812" TargetMode="External" Id="rId101" /><Relationship Type="http://schemas.openxmlformats.org/officeDocument/2006/relationships/hyperlink" Target="https://www.leboncoin.fr/ad/voitures/3286019685" TargetMode="External" Id="rId102" /><Relationship Type="http://schemas.openxmlformats.org/officeDocument/2006/relationships/hyperlink" Target="https://www.leboncoin.fr/ad/voitures/3286165040" TargetMode="External" Id="rId103" /><Relationship Type="http://schemas.openxmlformats.org/officeDocument/2006/relationships/hyperlink" Target="https://www.leboncoin.fr/ad/voitures/3287369967" TargetMode="External" Id="rId104" /><Relationship Type="http://schemas.openxmlformats.org/officeDocument/2006/relationships/hyperlink" Target="https://www.leboncoin.fr/ad/voitures/3287966186" TargetMode="External" Id="rId105" /><Relationship Type="http://schemas.openxmlformats.org/officeDocument/2006/relationships/hyperlink" Target="https://www.leboncoin.fr/ad/voitures/3288262834" TargetMode="External" Id="rId106" /><Relationship Type="http://schemas.openxmlformats.org/officeDocument/2006/relationships/hyperlink" Target="https://www.leboncoin.fr/ad/voitures/3288655322" TargetMode="External" Id="rId107" /><Relationship Type="http://schemas.openxmlformats.org/officeDocument/2006/relationships/hyperlink" Target="https://www.leboncoin.fr/ad/voitures/3140247303" TargetMode="External" Id="rId108" /><Relationship Type="http://schemas.openxmlformats.org/officeDocument/2006/relationships/hyperlink" Target="https://www.leboncoin.fr/ad/voitures/3155762075" TargetMode="External" Id="rId109" /><Relationship Type="http://schemas.openxmlformats.org/officeDocument/2006/relationships/hyperlink" Target="https://www.leboncoin.fr/ad/voitures/3165194701" TargetMode="External" Id="rId110" /><Relationship Type="http://schemas.openxmlformats.org/officeDocument/2006/relationships/hyperlink" Target="https://www.leboncoin.fr/ad/voitures/3166175681" TargetMode="External" Id="rId111" /><Relationship Type="http://schemas.openxmlformats.org/officeDocument/2006/relationships/hyperlink" Target="https://www.leboncoin.fr/ad/voitures/3166175681" TargetMode="External" Id="rId112" /><Relationship Type="http://schemas.openxmlformats.org/officeDocument/2006/relationships/hyperlink" Target="https://www.leboncoin.fr/ad/voitures/3182140973" TargetMode="External" Id="rId113" /><Relationship Type="http://schemas.openxmlformats.org/officeDocument/2006/relationships/hyperlink" Target="https://www.leboncoin.fr/ad/voitures/3183271891" TargetMode="External" Id="rId114" /><Relationship Type="http://schemas.openxmlformats.org/officeDocument/2006/relationships/hyperlink" Target="https://www.leboncoin.fr/ad/voitures/3185838540" TargetMode="External" Id="rId115" /><Relationship Type="http://schemas.openxmlformats.org/officeDocument/2006/relationships/hyperlink" Target="https://www.leboncoin.fr/ad/voitures/3206462061" TargetMode="External" Id="rId116" /><Relationship Type="http://schemas.openxmlformats.org/officeDocument/2006/relationships/hyperlink" Target="https://www.leboncoin.fr/ad/voitures/3217513763" TargetMode="External" Id="rId117" /><Relationship Type="http://schemas.openxmlformats.org/officeDocument/2006/relationships/hyperlink" Target="https://www.leboncoin.fr/ad/voitures/3217513763" TargetMode="External" Id="rId118" /><Relationship Type="http://schemas.openxmlformats.org/officeDocument/2006/relationships/hyperlink" Target="https://www.leboncoin.fr/ad/voitures/3231572470" TargetMode="External" Id="rId119" /><Relationship Type="http://schemas.openxmlformats.org/officeDocument/2006/relationships/hyperlink" Target="https://www.leboncoin.fr/ad/voitures/3234430383" TargetMode="External" Id="rId120" /><Relationship Type="http://schemas.openxmlformats.org/officeDocument/2006/relationships/hyperlink" Target="https://www.leboncoin.fr/ad/voitures/3237454171" TargetMode="External" Id="rId121" /><Relationship Type="http://schemas.openxmlformats.org/officeDocument/2006/relationships/hyperlink" Target="https://www.leboncoin.fr/ad/voitures/3243670260" TargetMode="External" Id="rId122" /><Relationship Type="http://schemas.openxmlformats.org/officeDocument/2006/relationships/hyperlink" Target="https://www.leboncoin.fr/ad/voitures/3246600883" TargetMode="External" Id="rId123" /><Relationship Type="http://schemas.openxmlformats.org/officeDocument/2006/relationships/hyperlink" Target="https://www.leboncoin.fr/ad/voitures/3246600883" TargetMode="External" Id="rId124" /><Relationship Type="http://schemas.openxmlformats.org/officeDocument/2006/relationships/hyperlink" Target="https://www.leboncoin.fr/ad/voitures/3247204311" TargetMode="External" Id="rId125" /><Relationship Type="http://schemas.openxmlformats.org/officeDocument/2006/relationships/hyperlink" Target="https://www.leboncoin.fr/ad/voitures/3247698308" TargetMode="External" Id="rId126" /><Relationship Type="http://schemas.openxmlformats.org/officeDocument/2006/relationships/hyperlink" Target="https://www.leboncoin.fr/ad/voitures/3247804233" TargetMode="External" Id="rId127" /><Relationship Type="http://schemas.openxmlformats.org/officeDocument/2006/relationships/hyperlink" Target="https://www.leboncoin.fr/ad/voitures/3249751722" TargetMode="External" Id="rId128" /><Relationship Type="http://schemas.openxmlformats.org/officeDocument/2006/relationships/hyperlink" Target="https://www.leboncoin.fr/ad/voitures/3253686728" TargetMode="External" Id="rId129" /><Relationship Type="http://schemas.openxmlformats.org/officeDocument/2006/relationships/hyperlink" Target="https://www.leboncoin.fr/ad/voitures/3254057230" TargetMode="External" Id="rId130" /><Relationship Type="http://schemas.openxmlformats.org/officeDocument/2006/relationships/hyperlink" Target="https://www.leboncoin.fr/ad/voitures/3254395601" TargetMode="External" Id="rId131" /><Relationship Type="http://schemas.openxmlformats.org/officeDocument/2006/relationships/hyperlink" Target="https://www.leboncoin.fr/ad/voitures/3254788855" TargetMode="External" Id="rId132" /><Relationship Type="http://schemas.openxmlformats.org/officeDocument/2006/relationships/hyperlink" Target="https://www.leboncoin.fr/ad/voitures/3256705549" TargetMode="External" Id="rId133" /><Relationship Type="http://schemas.openxmlformats.org/officeDocument/2006/relationships/hyperlink" Target="https://www.leboncoin.fr/ad/voitures/3256705549" TargetMode="External" Id="rId134" /><Relationship Type="http://schemas.openxmlformats.org/officeDocument/2006/relationships/hyperlink" Target="https://www.leboncoin.fr/ad/voitures/3258000352" TargetMode="External" Id="rId135" /><Relationship Type="http://schemas.openxmlformats.org/officeDocument/2006/relationships/hyperlink" Target="https://www.leboncoin.fr/ad/voitures/3266038843" TargetMode="External" Id="rId136" /><Relationship Type="http://schemas.openxmlformats.org/officeDocument/2006/relationships/hyperlink" Target="https://www.leboncoin.fr/ad/voitures/3268164763" TargetMode="External" Id="rId137" /><Relationship Type="http://schemas.openxmlformats.org/officeDocument/2006/relationships/hyperlink" Target="https://www.leboncoin.fr/ad/voitures/3269545549" TargetMode="External" Id="rId138" /><Relationship Type="http://schemas.openxmlformats.org/officeDocument/2006/relationships/hyperlink" Target="https://www.leboncoin.fr/ad/voitures/3270236878" TargetMode="External" Id="rId139" /><Relationship Type="http://schemas.openxmlformats.org/officeDocument/2006/relationships/hyperlink" Target="https://www.leboncoin.fr/ad/voitures/3270657423" TargetMode="External" Id="rId140" /><Relationship Type="http://schemas.openxmlformats.org/officeDocument/2006/relationships/hyperlink" Target="https://www.leboncoin.fr/ad/voitures/3271776834" TargetMode="External" Id="rId141" /><Relationship Type="http://schemas.openxmlformats.org/officeDocument/2006/relationships/hyperlink" Target="https://www.leboncoin.fr/ad/voitures/3274290118" TargetMode="External" Id="rId142" /><Relationship Type="http://schemas.openxmlformats.org/officeDocument/2006/relationships/hyperlink" Target="https://www.leboncoin.fr/ad/voitures/3275414023" TargetMode="External" Id="rId143" /><Relationship Type="http://schemas.openxmlformats.org/officeDocument/2006/relationships/hyperlink" Target="https://www.leboncoin.fr/ad/voitures/3275889267" TargetMode="External" Id="rId144" /><Relationship Type="http://schemas.openxmlformats.org/officeDocument/2006/relationships/hyperlink" Target="https://www.leboncoin.fr/ad/voitures/3278262538" TargetMode="External" Id="rId145" /><Relationship Type="http://schemas.openxmlformats.org/officeDocument/2006/relationships/hyperlink" Target="https://www.leboncoin.fr/ad/voitures/3278304133" TargetMode="External" Id="rId146" /><Relationship Type="http://schemas.openxmlformats.org/officeDocument/2006/relationships/hyperlink" Target="https://www.leboncoin.fr/ad/voitures/3278641460" TargetMode="External" Id="rId147" /><Relationship Type="http://schemas.openxmlformats.org/officeDocument/2006/relationships/hyperlink" Target="https://www.leboncoin.fr/ad/voitures/3278735968" TargetMode="External" Id="rId148" /><Relationship Type="http://schemas.openxmlformats.org/officeDocument/2006/relationships/hyperlink" Target="https://www.leboncoin.fr/ad/voitures/3278871252" TargetMode="External" Id="rId149" /><Relationship Type="http://schemas.openxmlformats.org/officeDocument/2006/relationships/hyperlink" Target="https://www.leboncoin.fr/ad/voitures/3279647179" TargetMode="External" Id="rId150" /><Relationship Type="http://schemas.openxmlformats.org/officeDocument/2006/relationships/hyperlink" Target="https://www.leboncoin.fr/ad/voitures/3279647179" TargetMode="External" Id="rId151" /><Relationship Type="http://schemas.openxmlformats.org/officeDocument/2006/relationships/hyperlink" Target="https://www.leboncoin.fr/ad/voitures/3279756140" TargetMode="External" Id="rId152" /><Relationship Type="http://schemas.openxmlformats.org/officeDocument/2006/relationships/hyperlink" Target="https://www.leboncoin.fr/ad/voitures/3280188594" TargetMode="External" Id="rId153" /><Relationship Type="http://schemas.openxmlformats.org/officeDocument/2006/relationships/hyperlink" Target="https://www.leboncoin.fr/ad/voitures/3280985948" TargetMode="External" Id="rId154" /><Relationship Type="http://schemas.openxmlformats.org/officeDocument/2006/relationships/hyperlink" Target="https://www.leboncoin.fr/ad/voitures/3283123020" TargetMode="External" Id="rId155" /><Relationship Type="http://schemas.openxmlformats.org/officeDocument/2006/relationships/hyperlink" Target="https://www.leboncoin.fr/ad/voitures/3283499339" TargetMode="External" Id="rId156" /><Relationship Type="http://schemas.openxmlformats.org/officeDocument/2006/relationships/hyperlink" Target="https://www.leboncoin.fr/ad/voitures/3284317549" TargetMode="External" Id="rId157" /><Relationship Type="http://schemas.openxmlformats.org/officeDocument/2006/relationships/hyperlink" Target="https://www.leboncoin.fr/ad/voitures/3285088951" TargetMode="External" Id="rId158" /><Relationship Type="http://schemas.openxmlformats.org/officeDocument/2006/relationships/hyperlink" Target="https://www.leboncoin.fr/ad/voitures/3287620670" TargetMode="External" Id="rId159" /><Relationship Type="http://schemas.openxmlformats.org/officeDocument/2006/relationships/hyperlink" Target="https://www.leboncoin.fr/ad/voitures/3287868399" TargetMode="External" Id="rId160" /><Relationship Type="http://schemas.openxmlformats.org/officeDocument/2006/relationships/hyperlink" Target="https://www.leboncoin.fr/ad/voitures/3288222772" TargetMode="External" Id="rId161" /><Relationship Type="http://schemas.openxmlformats.org/officeDocument/2006/relationships/hyperlink" Target="https://www.leboncoin.fr/ad/voitures/3288343679" TargetMode="External" Id="rId162" /><Relationship Type="http://schemas.openxmlformats.org/officeDocument/2006/relationships/hyperlink" Target="https://www.leboncoin.fr/ad/voitures/3288636961" TargetMode="External" Id="rId163" /><Relationship Type="http://schemas.openxmlformats.org/officeDocument/2006/relationships/hyperlink" Target="https://www.leboncoin.fr/ad/voitures/3191632844" TargetMode="External" Id="rId164" /><Relationship Type="http://schemas.openxmlformats.org/officeDocument/2006/relationships/hyperlink" Target="https://www.leboncoin.fr/ad/voitures/3198496140" TargetMode="External" Id="rId165" /><Relationship Type="http://schemas.openxmlformats.org/officeDocument/2006/relationships/hyperlink" Target="https://www.leboncoin.fr/ad/voitures/3199317557" TargetMode="External" Id="rId166" /><Relationship Type="http://schemas.openxmlformats.org/officeDocument/2006/relationships/hyperlink" Target="https://www.leboncoin.fr/ad/voitures/3203841842" TargetMode="External" Id="rId167" /><Relationship Type="http://schemas.openxmlformats.org/officeDocument/2006/relationships/hyperlink" Target="https://www.leboncoin.fr/ad/voitures/3208752836" TargetMode="External" Id="rId168" /><Relationship Type="http://schemas.openxmlformats.org/officeDocument/2006/relationships/hyperlink" Target="https://www.leboncoin.fr/ad/voitures/3227901009" TargetMode="External" Id="rId169" /><Relationship Type="http://schemas.openxmlformats.org/officeDocument/2006/relationships/hyperlink" Target="https://www.leboncoin.fr/ad/voitures/3232034023" TargetMode="External" Id="rId170" /><Relationship Type="http://schemas.openxmlformats.org/officeDocument/2006/relationships/hyperlink" Target="https://www.leboncoin.fr/ad/voitures/3234020888" TargetMode="External" Id="rId171" /><Relationship Type="http://schemas.openxmlformats.org/officeDocument/2006/relationships/hyperlink" Target="https://www.leboncoin.fr/ad/voitures/3235292026" TargetMode="External" Id="rId172" /><Relationship Type="http://schemas.openxmlformats.org/officeDocument/2006/relationships/hyperlink" Target="https://www.leboncoin.fr/ad/voitures/3235335116" TargetMode="External" Id="rId173" /><Relationship Type="http://schemas.openxmlformats.org/officeDocument/2006/relationships/hyperlink" Target="https://www.leboncoin.fr/ad/voitures/3236647415" TargetMode="External" Id="rId174" /><Relationship Type="http://schemas.openxmlformats.org/officeDocument/2006/relationships/hyperlink" Target="https://www.leboncoin.fr/ad/voitures/3237501387" TargetMode="External" Id="rId175" /><Relationship Type="http://schemas.openxmlformats.org/officeDocument/2006/relationships/hyperlink" Target="https://www.leboncoin.fr/ad/voitures/3244010388" TargetMode="External" Id="rId176" /><Relationship Type="http://schemas.openxmlformats.org/officeDocument/2006/relationships/hyperlink" Target="https://www.leboncoin.fr/ad/voitures/3255091039" TargetMode="External" Id="rId177" /><Relationship Type="http://schemas.openxmlformats.org/officeDocument/2006/relationships/hyperlink" Target="https://www.leboncoin.fr/ad/voitures/3260415699" TargetMode="External" Id="rId178" /><Relationship Type="http://schemas.openxmlformats.org/officeDocument/2006/relationships/hyperlink" Target="https://www.leboncoin.fr/ad/voitures/3260654659" TargetMode="External" Id="rId179" /><Relationship Type="http://schemas.openxmlformats.org/officeDocument/2006/relationships/hyperlink" Target="https://www.leboncoin.fr/ad/voitures/3262698527" TargetMode="External" Id="rId180" /><Relationship Type="http://schemas.openxmlformats.org/officeDocument/2006/relationships/hyperlink" Target="https://www.leboncoin.fr/ad/voitures/3263224799" TargetMode="External" Id="rId181" /><Relationship Type="http://schemas.openxmlformats.org/officeDocument/2006/relationships/hyperlink" Target="https://www.leboncoin.fr/ad/voitures/3265533307" TargetMode="External" Id="rId182" /><Relationship Type="http://schemas.openxmlformats.org/officeDocument/2006/relationships/hyperlink" Target="https://www.leboncoin.fr/ad/voitures/3267479895" TargetMode="External" Id="rId183" /><Relationship Type="http://schemas.openxmlformats.org/officeDocument/2006/relationships/hyperlink" Target="https://www.leboncoin.fr/ad/voitures/3268572356" TargetMode="External" Id="rId184" /><Relationship Type="http://schemas.openxmlformats.org/officeDocument/2006/relationships/hyperlink" Target="https://www.leboncoin.fr/ad/voitures/3268726676" TargetMode="External" Id="rId185" /><Relationship Type="http://schemas.openxmlformats.org/officeDocument/2006/relationships/hyperlink" Target="https://www.leboncoin.fr/ad/voitures/3269035649" TargetMode="External" Id="rId186" /><Relationship Type="http://schemas.openxmlformats.org/officeDocument/2006/relationships/hyperlink" Target="https://www.leboncoin.fr/ad/voitures/3269222663" TargetMode="External" Id="rId187" /><Relationship Type="http://schemas.openxmlformats.org/officeDocument/2006/relationships/hyperlink" Target="https://www.leboncoin.fr/ad/voitures/3269876574" TargetMode="External" Id="rId188" /><Relationship Type="http://schemas.openxmlformats.org/officeDocument/2006/relationships/hyperlink" Target="https://www.leboncoin.fr/ad/voitures/3269880037" TargetMode="External" Id="rId189" /><Relationship Type="http://schemas.openxmlformats.org/officeDocument/2006/relationships/hyperlink" Target="https://www.leboncoin.fr/ad/voitures/3269883180" TargetMode="External" Id="rId190" /><Relationship Type="http://schemas.openxmlformats.org/officeDocument/2006/relationships/hyperlink" Target="https://www.leboncoin.fr/ad/voitures/3270050795" TargetMode="External" Id="rId191" /><Relationship Type="http://schemas.openxmlformats.org/officeDocument/2006/relationships/hyperlink" Target="https://www.leboncoin.fr/ad/voitures/3270203905" TargetMode="External" Id="rId192" /><Relationship Type="http://schemas.openxmlformats.org/officeDocument/2006/relationships/hyperlink" Target="https://www.leboncoin.fr/ad/voitures/3270232311" TargetMode="External" Id="rId193" /><Relationship Type="http://schemas.openxmlformats.org/officeDocument/2006/relationships/hyperlink" Target="https://www.leboncoin.fr/ad/voitures/3270458808" TargetMode="External" Id="rId194" /><Relationship Type="http://schemas.openxmlformats.org/officeDocument/2006/relationships/hyperlink" Target="https://www.leboncoin.fr/ad/voitures/3270565112" TargetMode="External" Id="rId195" /><Relationship Type="http://schemas.openxmlformats.org/officeDocument/2006/relationships/hyperlink" Target="https://www.leboncoin.fr/ad/voitures/3271672291" TargetMode="External" Id="rId196" /><Relationship Type="http://schemas.openxmlformats.org/officeDocument/2006/relationships/hyperlink" Target="https://www.leboncoin.fr/ad/voitures/3272203068" TargetMode="External" Id="rId197" /><Relationship Type="http://schemas.openxmlformats.org/officeDocument/2006/relationships/hyperlink" Target="https://www.leboncoin.fr/ad/voitures/3272203068" TargetMode="External" Id="rId198" /><Relationship Type="http://schemas.openxmlformats.org/officeDocument/2006/relationships/hyperlink" Target="https://www.leboncoin.fr/ad/voitures/3273479241" TargetMode="External" Id="rId199" /><Relationship Type="http://schemas.openxmlformats.org/officeDocument/2006/relationships/hyperlink" Target="https://www.leboncoin.fr/ad/voitures/3275326732" TargetMode="External" Id="rId200" /><Relationship Type="http://schemas.openxmlformats.org/officeDocument/2006/relationships/hyperlink" Target="https://www.leboncoin.fr/ad/voitures/3276609067" TargetMode="External" Id="rId201" /><Relationship Type="http://schemas.openxmlformats.org/officeDocument/2006/relationships/hyperlink" Target="https://www.leboncoin.fr/ad/voitures/3277088692" TargetMode="External" Id="rId202" /><Relationship Type="http://schemas.openxmlformats.org/officeDocument/2006/relationships/hyperlink" Target="https://www.leboncoin.fr/ad/voitures/3277280211" TargetMode="External" Id="rId203" /><Relationship Type="http://schemas.openxmlformats.org/officeDocument/2006/relationships/hyperlink" Target="https://www.leboncoin.fr/ad/voitures/3277280211" TargetMode="External" Id="rId204" /><Relationship Type="http://schemas.openxmlformats.org/officeDocument/2006/relationships/hyperlink" Target="https://www.leboncoin.fr/ad/voitures/3279515840" TargetMode="External" Id="rId205" /><Relationship Type="http://schemas.openxmlformats.org/officeDocument/2006/relationships/hyperlink" Target="https://www.leboncoin.fr/ad/voitures/3280227190" TargetMode="External" Id="rId206" /><Relationship Type="http://schemas.openxmlformats.org/officeDocument/2006/relationships/hyperlink" Target="https://www.leboncoin.fr/ad/voitures/3283621612" TargetMode="External" Id="rId207" /><Relationship Type="http://schemas.openxmlformats.org/officeDocument/2006/relationships/hyperlink" Target="https://www.leboncoin.fr/ad/voitures/3285038445" TargetMode="External" Id="rId208" /><Relationship Type="http://schemas.openxmlformats.org/officeDocument/2006/relationships/hyperlink" Target="https://www.leboncoin.fr/ad/voitures/3287100326" TargetMode="External" Id="rId209" /><Relationship Type="http://schemas.openxmlformats.org/officeDocument/2006/relationships/hyperlink" Target="https://www.leboncoin.fr/ad/voitures/3287607190" TargetMode="External" Id="rId210" /><Relationship Type="http://schemas.openxmlformats.org/officeDocument/2006/relationships/hyperlink" Target="https://www.leboncoin.fr/ad/voitures/2293375817" TargetMode="External" Id="rId211" /><Relationship Type="http://schemas.openxmlformats.org/officeDocument/2006/relationships/hyperlink" Target="https://www.leboncoin.fr/ad/voitures/3175837683" TargetMode="External" Id="rId212" /><Relationship Type="http://schemas.openxmlformats.org/officeDocument/2006/relationships/hyperlink" Target="https://www.leboncoin.fr/ad/voitures/3199378668" TargetMode="External" Id="rId213" /><Relationship Type="http://schemas.openxmlformats.org/officeDocument/2006/relationships/hyperlink" Target="https://www.leboncoin.fr/ad/voitures/3206868741" TargetMode="External" Id="rId214" /><Relationship Type="http://schemas.openxmlformats.org/officeDocument/2006/relationships/hyperlink" Target="https://www.leboncoin.fr/ad/voitures/3208497714" TargetMode="External" Id="rId215" /><Relationship Type="http://schemas.openxmlformats.org/officeDocument/2006/relationships/hyperlink" Target="https://www.leboncoin.fr/ad/voitures/3226018309" TargetMode="External" Id="rId216" /><Relationship Type="http://schemas.openxmlformats.org/officeDocument/2006/relationships/hyperlink" Target="https://www.leboncoin.fr/ad/voitures/3228549093" TargetMode="External" Id="rId217" /><Relationship Type="http://schemas.openxmlformats.org/officeDocument/2006/relationships/hyperlink" Target="https://www.leboncoin.fr/ad/voitures/3232618598" TargetMode="External" Id="rId218" /><Relationship Type="http://schemas.openxmlformats.org/officeDocument/2006/relationships/hyperlink" Target="https://www.leboncoin.fr/ad/voitures/3236436226" TargetMode="External" Id="rId219" /><Relationship Type="http://schemas.openxmlformats.org/officeDocument/2006/relationships/hyperlink" Target="https://www.leboncoin.fr/ad/voitures/3252631252" TargetMode="External" Id="rId220" /><Relationship Type="http://schemas.openxmlformats.org/officeDocument/2006/relationships/hyperlink" Target="https://www.leboncoin.fr/ad/voitures/3257729524" TargetMode="External" Id="rId221" /><Relationship Type="http://schemas.openxmlformats.org/officeDocument/2006/relationships/hyperlink" Target="https://www.leboncoin.fr/ad/voitures/3259144220" TargetMode="External" Id="rId222" /><Relationship Type="http://schemas.openxmlformats.org/officeDocument/2006/relationships/hyperlink" Target="https://www.leboncoin.fr/ad/voitures/3259144220" TargetMode="External" Id="rId223" /><Relationship Type="http://schemas.openxmlformats.org/officeDocument/2006/relationships/hyperlink" Target="https://www.leboncoin.fr/ad/voitures/3262353989" TargetMode="External" Id="rId224" /><Relationship Type="http://schemas.openxmlformats.org/officeDocument/2006/relationships/hyperlink" Target="https://www.leboncoin.fr/ad/voitures/3264569173" TargetMode="External" Id="rId225" /><Relationship Type="http://schemas.openxmlformats.org/officeDocument/2006/relationships/hyperlink" Target="https://www.leboncoin.fr/ad/voitures/3265038164" TargetMode="External" Id="rId226" /><Relationship Type="http://schemas.openxmlformats.org/officeDocument/2006/relationships/hyperlink" Target="https://www.leboncoin.fr/ad/voitures/3267921242" TargetMode="External" Id="rId227" /><Relationship Type="http://schemas.openxmlformats.org/officeDocument/2006/relationships/hyperlink" Target="https://www.leboncoin.fr/ad/voitures/3267921242" TargetMode="External" Id="rId228" /><Relationship Type="http://schemas.openxmlformats.org/officeDocument/2006/relationships/hyperlink" Target="https://www.leboncoin.fr/ad/voitures/3270026235" TargetMode="External" Id="rId229" /><Relationship Type="http://schemas.openxmlformats.org/officeDocument/2006/relationships/hyperlink" Target="https://www.leboncoin.fr/ad/voitures/3270139360" TargetMode="External" Id="rId230" /><Relationship Type="http://schemas.openxmlformats.org/officeDocument/2006/relationships/hyperlink" Target="https://www.leboncoin.fr/ad/voitures/3271015511" TargetMode="External" Id="rId231" /><Relationship Type="http://schemas.openxmlformats.org/officeDocument/2006/relationships/hyperlink" Target="https://www.leboncoin.fr/ad/voitures/3271061636" TargetMode="External" Id="rId232" /><Relationship Type="http://schemas.openxmlformats.org/officeDocument/2006/relationships/hyperlink" Target="https://www.leboncoin.fr/ad/voitures/3271423566" TargetMode="External" Id="rId233" /><Relationship Type="http://schemas.openxmlformats.org/officeDocument/2006/relationships/hyperlink" Target="https://www.leboncoin.fr/ad/voitures/3272026247" TargetMode="External" Id="rId234" /><Relationship Type="http://schemas.openxmlformats.org/officeDocument/2006/relationships/hyperlink" Target="https://www.leboncoin.fr/ad/voitures/3273035594" TargetMode="External" Id="rId235" /><Relationship Type="http://schemas.openxmlformats.org/officeDocument/2006/relationships/hyperlink" Target="https://www.leboncoin.fr/ad/voitures/3273223439" TargetMode="External" Id="rId236" /><Relationship Type="http://schemas.openxmlformats.org/officeDocument/2006/relationships/hyperlink" Target="https://www.leboncoin.fr/ad/voitures/3273415437" TargetMode="External" Id="rId237" /><Relationship Type="http://schemas.openxmlformats.org/officeDocument/2006/relationships/hyperlink" Target="https://www.leboncoin.fr/ad/voitures/3273551701" TargetMode="External" Id="rId238" /><Relationship Type="http://schemas.openxmlformats.org/officeDocument/2006/relationships/hyperlink" Target="https://www.leboncoin.fr/ad/voitures/3273983702" TargetMode="External" Id="rId239" /><Relationship Type="http://schemas.openxmlformats.org/officeDocument/2006/relationships/hyperlink" Target="https://www.leboncoin.fr/ad/voitures/3274091200" TargetMode="External" Id="rId240" /><Relationship Type="http://schemas.openxmlformats.org/officeDocument/2006/relationships/hyperlink" Target="https://www.leboncoin.fr/ad/voitures/3274510816" TargetMode="External" Id="rId241" /><Relationship Type="http://schemas.openxmlformats.org/officeDocument/2006/relationships/hyperlink" Target="https://www.leboncoin.fr/ad/voitures/3274519093" TargetMode="External" Id="rId242" /><Relationship Type="http://schemas.openxmlformats.org/officeDocument/2006/relationships/hyperlink" Target="https://www.leboncoin.fr/ad/voitures/3274885691" TargetMode="External" Id="rId243" /><Relationship Type="http://schemas.openxmlformats.org/officeDocument/2006/relationships/hyperlink" Target="https://www.leboncoin.fr/ad/voitures/3276172426" TargetMode="External" Id="rId244" /><Relationship Type="http://schemas.openxmlformats.org/officeDocument/2006/relationships/hyperlink" Target="https://www.leboncoin.fr/ad/voitures/3276591709" TargetMode="External" Id="rId245" /><Relationship Type="http://schemas.openxmlformats.org/officeDocument/2006/relationships/hyperlink" Target="https://www.leboncoin.fr/ad/voitures/3278135099" TargetMode="External" Id="rId246" /><Relationship Type="http://schemas.openxmlformats.org/officeDocument/2006/relationships/hyperlink" Target="https://www.leboncoin.fr/ad/voitures/3278388119" TargetMode="External" Id="rId247" /><Relationship Type="http://schemas.openxmlformats.org/officeDocument/2006/relationships/hyperlink" Target="https://www.leboncoin.fr/ad/voitures/3278574221" TargetMode="External" Id="rId248" /><Relationship Type="http://schemas.openxmlformats.org/officeDocument/2006/relationships/hyperlink" Target="https://www.leboncoin.fr/ad/voitures/3278855920" TargetMode="External" Id="rId249" /><Relationship Type="http://schemas.openxmlformats.org/officeDocument/2006/relationships/hyperlink" Target="https://www.leboncoin.fr/ad/voitures/3279074639" TargetMode="External" Id="rId250" /><Relationship Type="http://schemas.openxmlformats.org/officeDocument/2006/relationships/hyperlink" Target="https://www.leboncoin.fr/ad/voitures/3279249484" TargetMode="External" Id="rId251" /><Relationship Type="http://schemas.openxmlformats.org/officeDocument/2006/relationships/hyperlink" Target="https://www.leboncoin.fr/ad/voitures/3279375431" TargetMode="External" Id="rId252" /><Relationship Type="http://schemas.openxmlformats.org/officeDocument/2006/relationships/hyperlink" Target="https://www.leboncoin.fr/ad/voitures/3279615676" TargetMode="External" Id="rId253" /><Relationship Type="http://schemas.openxmlformats.org/officeDocument/2006/relationships/hyperlink" Target="https://www.leboncoin.fr/ad/voitures/3279816006" TargetMode="External" Id="rId254" /><Relationship Type="http://schemas.openxmlformats.org/officeDocument/2006/relationships/hyperlink" Target="https://www.leboncoin.fr/ad/voitures/3280078944" TargetMode="External" Id="rId255" /><Relationship Type="http://schemas.openxmlformats.org/officeDocument/2006/relationships/hyperlink" Target="https://www.leboncoin.fr/ad/voitures/3280278211" TargetMode="External" Id="rId256" /><Relationship Type="http://schemas.openxmlformats.org/officeDocument/2006/relationships/hyperlink" Target="https://www.leboncoin.fr/ad/voitures/3280466980" TargetMode="External" Id="rId257" /><Relationship Type="http://schemas.openxmlformats.org/officeDocument/2006/relationships/hyperlink" Target="https://www.leboncoin.fr/ad/voitures/3282209449" TargetMode="External" Id="rId258" /><Relationship Type="http://schemas.openxmlformats.org/officeDocument/2006/relationships/hyperlink" Target="https://www.leboncoin.fr/ad/voitures/3282558782" TargetMode="External" Id="rId259" /><Relationship Type="http://schemas.openxmlformats.org/officeDocument/2006/relationships/hyperlink" Target="https://www.leboncoin.fr/ad/voitures/3282702066" TargetMode="External" Id="rId260" /><Relationship Type="http://schemas.openxmlformats.org/officeDocument/2006/relationships/hyperlink" Target="https://www.leboncoin.fr/ad/voitures/3282865791" TargetMode="External" Id="rId261" /><Relationship Type="http://schemas.openxmlformats.org/officeDocument/2006/relationships/hyperlink" Target="https://www.leboncoin.fr/ad/voitures/3283091323" TargetMode="External" Id="rId262" /><Relationship Type="http://schemas.openxmlformats.org/officeDocument/2006/relationships/hyperlink" Target="https://www.leboncoin.fr/ad/voitures/3283260672" TargetMode="External" Id="rId263" /><Relationship Type="http://schemas.openxmlformats.org/officeDocument/2006/relationships/hyperlink" Target="https://www.leboncoin.fr/ad/voitures/3283713739" TargetMode="External" Id="rId264" /><Relationship Type="http://schemas.openxmlformats.org/officeDocument/2006/relationships/hyperlink" Target="https://www.leboncoin.fr/ad/voitures/3283802186" TargetMode="External" Id="rId265" /><Relationship Type="http://schemas.openxmlformats.org/officeDocument/2006/relationships/hyperlink" Target="https://www.leboncoin.fr/ad/voitures/3284161549" TargetMode="External" Id="rId266" /><Relationship Type="http://schemas.openxmlformats.org/officeDocument/2006/relationships/hyperlink" Target="https://www.leboncoin.fr/ad/voitures/3284386164" TargetMode="External" Id="rId267" /><Relationship Type="http://schemas.openxmlformats.org/officeDocument/2006/relationships/hyperlink" Target="https://www.leboncoin.fr/ad/voitures/3285635603" TargetMode="External" Id="rId268" /><Relationship Type="http://schemas.openxmlformats.org/officeDocument/2006/relationships/hyperlink" Target="https://www.leboncoin.fr/ad/voitures/3285656861" TargetMode="External" Id="rId269" /><Relationship Type="http://schemas.openxmlformats.org/officeDocument/2006/relationships/hyperlink" Target="https://www.leboncoin.fr/ad/voitures/3285719634" TargetMode="External" Id="rId270" /><Relationship Type="http://schemas.openxmlformats.org/officeDocument/2006/relationships/hyperlink" Target="https://www.leboncoin.fr/ad/voitures/3286393297" TargetMode="External" Id="rId271" /><Relationship Type="http://schemas.openxmlformats.org/officeDocument/2006/relationships/hyperlink" Target="https://www.leboncoin.fr/ad/voitures/3287626619" TargetMode="External" Id="rId272" /><Relationship Type="http://schemas.openxmlformats.org/officeDocument/2006/relationships/hyperlink" Target="https://www.leboncoin.fr/ad/voitures/3287692798" TargetMode="External" Id="rId273" /><Relationship Type="http://schemas.openxmlformats.org/officeDocument/2006/relationships/hyperlink" Target="https://www.leboncoin.fr/ad/voitures/3287873200" TargetMode="External" Id="rId274" /><Relationship Type="http://schemas.openxmlformats.org/officeDocument/2006/relationships/hyperlink" Target="https://www.leboncoin.fr/ad/voitures/3288481450" TargetMode="External" Id="rId275" /><Relationship Type="http://schemas.openxmlformats.org/officeDocument/2006/relationships/hyperlink" Target="https://www.leboncoin.fr/ad/voitures/3288607303" TargetMode="External" Id="rId276" /><Relationship Type="http://schemas.openxmlformats.org/officeDocument/2006/relationships/hyperlink" Target="https://www.leboncoin.fr/ad/voitures/3288612753" TargetMode="External" Id="rId277" /><Relationship Type="http://schemas.openxmlformats.org/officeDocument/2006/relationships/hyperlink" Target="https://www.leboncoin.fr/ad/voitures/2988747124" TargetMode="External" Id="rId278" /><Relationship Type="http://schemas.openxmlformats.org/officeDocument/2006/relationships/hyperlink" Target="https://www.leboncoin.fr/ad/voitures/3066683905" TargetMode="External" Id="rId279" /><Relationship Type="http://schemas.openxmlformats.org/officeDocument/2006/relationships/hyperlink" Target="https://www.leboncoin.fr/ad/voitures/3123040394" TargetMode="External" Id="rId280" /><Relationship Type="http://schemas.openxmlformats.org/officeDocument/2006/relationships/hyperlink" Target="https://www.leboncoin.fr/ad/voitures/3151025653" TargetMode="External" Id="rId281" /><Relationship Type="http://schemas.openxmlformats.org/officeDocument/2006/relationships/hyperlink" Target="https://www.leboncoin.fr/ad/voitures/3193819824" TargetMode="External" Id="rId282" /><Relationship Type="http://schemas.openxmlformats.org/officeDocument/2006/relationships/hyperlink" Target="https://www.leboncoin.fr/ad/voitures/3202654340" TargetMode="External" Id="rId283" /><Relationship Type="http://schemas.openxmlformats.org/officeDocument/2006/relationships/hyperlink" Target="https://www.leboncoin.fr/ad/voitures/3216255961" TargetMode="External" Id="rId284" /><Relationship Type="http://schemas.openxmlformats.org/officeDocument/2006/relationships/hyperlink" Target="https://www.leboncoin.fr/ad/voitures/3227695185" TargetMode="External" Id="rId285" /><Relationship Type="http://schemas.openxmlformats.org/officeDocument/2006/relationships/hyperlink" Target="https://www.leboncoin.fr/ad/voitures/3234323904" TargetMode="External" Id="rId286" /><Relationship Type="http://schemas.openxmlformats.org/officeDocument/2006/relationships/hyperlink" Target="https://www.leboncoin.fr/ad/voitures/3239322701" TargetMode="External" Id="rId287" /><Relationship Type="http://schemas.openxmlformats.org/officeDocument/2006/relationships/hyperlink" Target="https://www.leboncoin.fr/ad/voitures/3240289033" TargetMode="External" Id="rId288" /><Relationship Type="http://schemas.openxmlformats.org/officeDocument/2006/relationships/hyperlink" Target="https://www.leboncoin.fr/ad/voitures/3248463615" TargetMode="External" Id="rId289" /><Relationship Type="http://schemas.openxmlformats.org/officeDocument/2006/relationships/hyperlink" Target="https://www.leboncoin.fr/ad/voitures/3250734192" TargetMode="External" Id="rId290" /><Relationship Type="http://schemas.openxmlformats.org/officeDocument/2006/relationships/hyperlink" Target="https://www.leboncoin.fr/ad/voitures/3251217335" TargetMode="External" Id="rId291" /><Relationship Type="http://schemas.openxmlformats.org/officeDocument/2006/relationships/hyperlink" Target="https://www.leboncoin.fr/ad/voitures/3254206684" TargetMode="External" Id="rId292" /><Relationship Type="http://schemas.openxmlformats.org/officeDocument/2006/relationships/hyperlink" Target="https://www.leboncoin.fr/ad/voitures/3256639318" TargetMode="External" Id="rId293" /><Relationship Type="http://schemas.openxmlformats.org/officeDocument/2006/relationships/hyperlink" Target="https://www.leboncoin.fr/ad/voitures/3258113450" TargetMode="External" Id="rId294" /><Relationship Type="http://schemas.openxmlformats.org/officeDocument/2006/relationships/hyperlink" Target="https://www.leboncoin.fr/ad/voitures/3258422146" TargetMode="External" Id="rId295" /><Relationship Type="http://schemas.openxmlformats.org/officeDocument/2006/relationships/hyperlink" Target="https://www.leboncoin.fr/ad/voitures/3259064609" TargetMode="External" Id="rId296" /><Relationship Type="http://schemas.openxmlformats.org/officeDocument/2006/relationships/hyperlink" Target="https://www.leboncoin.fr/ad/voitures/3262442354" TargetMode="External" Id="rId297" /><Relationship Type="http://schemas.openxmlformats.org/officeDocument/2006/relationships/hyperlink" Target="https://www.leboncoin.fr/ad/voitures/3264412764" TargetMode="External" Id="rId298" /><Relationship Type="http://schemas.openxmlformats.org/officeDocument/2006/relationships/hyperlink" Target="https://www.leboncoin.fr/ad/voitures/3265358347" TargetMode="External" Id="rId299" /><Relationship Type="http://schemas.openxmlformats.org/officeDocument/2006/relationships/hyperlink" Target="https://www.leboncoin.fr/ad/voitures/3265384769" TargetMode="External" Id="rId300" /><Relationship Type="http://schemas.openxmlformats.org/officeDocument/2006/relationships/hyperlink" Target="https://www.leboncoin.fr/ad/voitures/3267576253" TargetMode="External" Id="rId301" /><Relationship Type="http://schemas.openxmlformats.org/officeDocument/2006/relationships/hyperlink" Target="https://www.leboncoin.fr/ad/voitures/3268704461" TargetMode="External" Id="rId302" /><Relationship Type="http://schemas.openxmlformats.org/officeDocument/2006/relationships/hyperlink" Target="https://www.leboncoin.fr/ad/voitures/3269057716" TargetMode="External" Id="rId303" /><Relationship Type="http://schemas.openxmlformats.org/officeDocument/2006/relationships/hyperlink" Target="https://www.leboncoin.fr/ad/voitures/3270523427" TargetMode="External" Id="rId304" /><Relationship Type="http://schemas.openxmlformats.org/officeDocument/2006/relationships/hyperlink" Target="https://www.leboncoin.fr/ad/voitures/3270650631" TargetMode="External" Id="rId305" /><Relationship Type="http://schemas.openxmlformats.org/officeDocument/2006/relationships/hyperlink" Target="https://www.leboncoin.fr/ad/voitures/3271026847" TargetMode="External" Id="rId306" /><Relationship Type="http://schemas.openxmlformats.org/officeDocument/2006/relationships/hyperlink" Target="https://www.leboncoin.fr/ad/voitures/3271661241" TargetMode="External" Id="rId307" /><Relationship Type="http://schemas.openxmlformats.org/officeDocument/2006/relationships/hyperlink" Target="https://www.leboncoin.fr/ad/voitures/3273170431" TargetMode="External" Id="rId308" /><Relationship Type="http://schemas.openxmlformats.org/officeDocument/2006/relationships/hyperlink" Target="https://www.leboncoin.fr/ad/voitures/3275009272" TargetMode="External" Id="rId309" /><Relationship Type="http://schemas.openxmlformats.org/officeDocument/2006/relationships/hyperlink" Target="https://www.leboncoin.fr/ad/voitures/3275531733" TargetMode="External" Id="rId310" /><Relationship Type="http://schemas.openxmlformats.org/officeDocument/2006/relationships/hyperlink" Target="https://www.leboncoin.fr/ad/voitures/3276061576" TargetMode="External" Id="rId311" /><Relationship Type="http://schemas.openxmlformats.org/officeDocument/2006/relationships/hyperlink" Target="https://www.leboncoin.fr/ad/voitures/3276929411" TargetMode="External" Id="rId312" /><Relationship Type="http://schemas.openxmlformats.org/officeDocument/2006/relationships/hyperlink" Target="https://www.leboncoin.fr/ad/voitures/3277073683" TargetMode="External" Id="rId313" /><Relationship Type="http://schemas.openxmlformats.org/officeDocument/2006/relationships/hyperlink" Target="https://www.leboncoin.fr/ad/voitures/3277840482" TargetMode="External" Id="rId314" /><Relationship Type="http://schemas.openxmlformats.org/officeDocument/2006/relationships/hyperlink" Target="https://www.leboncoin.fr/ad/voitures/3278317897" TargetMode="External" Id="rId315" /><Relationship Type="http://schemas.openxmlformats.org/officeDocument/2006/relationships/hyperlink" Target="https://www.leboncoin.fr/ad/voitures/3278631826" TargetMode="External" Id="rId316" /><Relationship Type="http://schemas.openxmlformats.org/officeDocument/2006/relationships/hyperlink" Target="https://www.leboncoin.fr/ad/voitures/3278866640" TargetMode="External" Id="rId317" /><Relationship Type="http://schemas.openxmlformats.org/officeDocument/2006/relationships/hyperlink" Target="https://www.leboncoin.fr/ad/voitures/3278894245" TargetMode="External" Id="rId318" /><Relationship Type="http://schemas.openxmlformats.org/officeDocument/2006/relationships/hyperlink" Target="https://www.leboncoin.fr/ad/voitures/3279039279" TargetMode="External" Id="rId319" /><Relationship Type="http://schemas.openxmlformats.org/officeDocument/2006/relationships/hyperlink" Target="https://www.leboncoin.fr/ad/voitures/3279053465" TargetMode="External" Id="rId320" /><Relationship Type="http://schemas.openxmlformats.org/officeDocument/2006/relationships/hyperlink" Target="https://www.leboncoin.fr/ad/voitures/3279236263" TargetMode="External" Id="rId321" /><Relationship Type="http://schemas.openxmlformats.org/officeDocument/2006/relationships/hyperlink" Target="https://www.leboncoin.fr/ad/voitures/3279820686" TargetMode="External" Id="rId322" /><Relationship Type="http://schemas.openxmlformats.org/officeDocument/2006/relationships/hyperlink" Target="https://www.leboncoin.fr/ad/voitures/3280095370" TargetMode="External" Id="rId323" /><Relationship Type="http://schemas.openxmlformats.org/officeDocument/2006/relationships/hyperlink" Target="https://www.leboncoin.fr/ad/voitures/3280307630" TargetMode="External" Id="rId324" /><Relationship Type="http://schemas.openxmlformats.org/officeDocument/2006/relationships/hyperlink" Target="https://www.leboncoin.fr/ad/voitures/3280598049" TargetMode="External" Id="rId325" /><Relationship Type="http://schemas.openxmlformats.org/officeDocument/2006/relationships/hyperlink" Target="https://www.leboncoin.fr/ad/voitures/3281457599" TargetMode="External" Id="rId326" /><Relationship Type="http://schemas.openxmlformats.org/officeDocument/2006/relationships/hyperlink" Target="https://www.leboncoin.fr/ad/voitures/3281553146" TargetMode="External" Id="rId327" /><Relationship Type="http://schemas.openxmlformats.org/officeDocument/2006/relationships/hyperlink" Target="https://www.leboncoin.fr/ad/voitures/3281915049" TargetMode="External" Id="rId328" /><Relationship Type="http://schemas.openxmlformats.org/officeDocument/2006/relationships/hyperlink" Target="https://www.leboncoin.fr/ad/voitures/3282389871" TargetMode="External" Id="rId329" /><Relationship Type="http://schemas.openxmlformats.org/officeDocument/2006/relationships/hyperlink" Target="https://www.leboncoin.fr/ad/voitures/3283547749" TargetMode="External" Id="rId330" /><Relationship Type="http://schemas.openxmlformats.org/officeDocument/2006/relationships/hyperlink" Target="https://www.leboncoin.fr/ad/voitures/3283563302" TargetMode="External" Id="rId331" /><Relationship Type="http://schemas.openxmlformats.org/officeDocument/2006/relationships/hyperlink" Target="https://www.leboncoin.fr/ad/voitures/3283596159" TargetMode="External" Id="rId332" /><Relationship Type="http://schemas.openxmlformats.org/officeDocument/2006/relationships/hyperlink" Target="https://www.leboncoin.fr/ad/voitures/3283596303" TargetMode="External" Id="rId333" /><Relationship Type="http://schemas.openxmlformats.org/officeDocument/2006/relationships/hyperlink" Target="https://www.leboncoin.fr/ad/voitures/3284050430" TargetMode="External" Id="rId334" /><Relationship Type="http://schemas.openxmlformats.org/officeDocument/2006/relationships/hyperlink" Target="https://www.leboncoin.fr/ad/voitures/3284347419" TargetMode="External" Id="rId335" /><Relationship Type="http://schemas.openxmlformats.org/officeDocument/2006/relationships/hyperlink" Target="https://www.leboncoin.fr/ad/voitures/3285484109" TargetMode="External" Id="rId336" /><Relationship Type="http://schemas.openxmlformats.org/officeDocument/2006/relationships/hyperlink" Target="https://www.leboncoin.fr/ad/voitures/3286388415" TargetMode="External" Id="rId337" /><Relationship Type="http://schemas.openxmlformats.org/officeDocument/2006/relationships/hyperlink" Target="https://www.leboncoin.fr/ad/voitures/3286475955" TargetMode="External" Id="rId338" /><Relationship Type="http://schemas.openxmlformats.org/officeDocument/2006/relationships/hyperlink" Target="https://www.leboncoin.fr/ad/voitures/3286858631" TargetMode="External" Id="rId339" /><Relationship Type="http://schemas.openxmlformats.org/officeDocument/2006/relationships/hyperlink" Target="https://www.leboncoin.fr/ad/voitures/3287278903" TargetMode="External" Id="rId340" /><Relationship Type="http://schemas.openxmlformats.org/officeDocument/2006/relationships/hyperlink" Target="https://www.leboncoin.fr/ad/voitures/3287308524" TargetMode="External" Id="rId341" /><Relationship Type="http://schemas.openxmlformats.org/officeDocument/2006/relationships/hyperlink" Target="https://www.leboncoin.fr/ad/voitures/3288515556" TargetMode="External" Id="rId342" /><Relationship Type="http://schemas.openxmlformats.org/officeDocument/2006/relationships/hyperlink" Target="https://www.leboncoin.fr/ad/voitures/3164531752" TargetMode="External" Id="rId343" /><Relationship Type="http://schemas.openxmlformats.org/officeDocument/2006/relationships/hyperlink" Target="https://www.leboncoin.fr/ad/voitures/3210880878" TargetMode="External" Id="rId344" /><Relationship Type="http://schemas.openxmlformats.org/officeDocument/2006/relationships/hyperlink" Target="https://www.leboncoin.fr/ad/voitures/3242289072" TargetMode="External" Id="rId345" /><Relationship Type="http://schemas.openxmlformats.org/officeDocument/2006/relationships/hyperlink" Target="https://www.leboncoin.fr/ad/voitures/3249108312" TargetMode="External" Id="rId346" /><Relationship Type="http://schemas.openxmlformats.org/officeDocument/2006/relationships/hyperlink" Target="https://www.leboncoin.fr/ad/voitures/3268508446" TargetMode="External" Id="rId347" /><Relationship Type="http://schemas.openxmlformats.org/officeDocument/2006/relationships/hyperlink" Target="https://www.leboncoin.fr/ad/voitures/3270584772" TargetMode="External" Id="rId348" /><Relationship Type="http://schemas.openxmlformats.org/officeDocument/2006/relationships/hyperlink" Target="https://www.leboncoin.fr/ad/voitures/3271215938" TargetMode="External" Id="rId349" /><Relationship Type="http://schemas.openxmlformats.org/officeDocument/2006/relationships/hyperlink" Target="https://www.leboncoin.fr/ad/voitures/3275390710" TargetMode="External" Id="rId350" /><Relationship Type="http://schemas.openxmlformats.org/officeDocument/2006/relationships/hyperlink" Target="https://www.leboncoin.fr/ad/voitures/3275427165" TargetMode="External" Id="rId351" /><Relationship Type="http://schemas.openxmlformats.org/officeDocument/2006/relationships/hyperlink" Target="https://www.leboncoin.fr/ad/voitures/3278215050" TargetMode="External" Id="rId352" /><Relationship Type="http://schemas.openxmlformats.org/officeDocument/2006/relationships/hyperlink" Target="https://www.leboncoin.fr/ad/voitures/3278215050" TargetMode="External" Id="rId353" /><Relationship Type="http://schemas.openxmlformats.org/officeDocument/2006/relationships/hyperlink" Target="https://www.leboncoin.fr/ad/voitures/3283621933" TargetMode="External" Id="rId354" /><Relationship Type="http://schemas.openxmlformats.org/officeDocument/2006/relationships/hyperlink" Target="https://www.leboncoin.fr/ad/voitures/3284771851" TargetMode="External" Id="rId355" /><Relationship Type="http://schemas.openxmlformats.org/officeDocument/2006/relationships/hyperlink" Target="https://www.leboncoin.fr/ad/voitures/3287435688" TargetMode="External" Id="rId356" /><Relationship Type="http://schemas.openxmlformats.org/officeDocument/2006/relationships/hyperlink" Target="https://www.leboncoin.fr/ad/voitures/3006219965" TargetMode="External" Id="rId357" /><Relationship Type="http://schemas.openxmlformats.org/officeDocument/2006/relationships/hyperlink" Target="https://www.leboncoin.fr/ad/voitures/3218818524" TargetMode="External" Id="rId358" /><Relationship Type="http://schemas.openxmlformats.org/officeDocument/2006/relationships/hyperlink" Target="https://www.leboncoin.fr/ad/voitures/3235223068" TargetMode="External" Id="rId359" /><Relationship Type="http://schemas.openxmlformats.org/officeDocument/2006/relationships/hyperlink" Target="https://www.leboncoin.fr/ad/voitures/3257692927" TargetMode="External" Id="rId360" /><Relationship Type="http://schemas.openxmlformats.org/officeDocument/2006/relationships/hyperlink" Target="https://www.leboncoin.fr/ad/voitures/3261159396" TargetMode="External" Id="rId361" /><Relationship Type="http://schemas.openxmlformats.org/officeDocument/2006/relationships/hyperlink" Target="https://www.leboncoin.fr/ad/voitures/3261609180" TargetMode="External" Id="rId362" /><Relationship Type="http://schemas.openxmlformats.org/officeDocument/2006/relationships/hyperlink" Target="https://www.leboncoin.fr/ad/voitures/3261852437" TargetMode="External" Id="rId363" /><Relationship Type="http://schemas.openxmlformats.org/officeDocument/2006/relationships/hyperlink" Target="https://www.leboncoin.fr/ad/voitures/3263390958" TargetMode="External" Id="rId364" /><Relationship Type="http://schemas.openxmlformats.org/officeDocument/2006/relationships/hyperlink" Target="https://www.leboncoin.fr/ad/voitures/3267049380" TargetMode="External" Id="rId365" /><Relationship Type="http://schemas.openxmlformats.org/officeDocument/2006/relationships/hyperlink" Target="https://www.leboncoin.fr/ad/voitures/3267140247" TargetMode="External" Id="rId366" /><Relationship Type="http://schemas.openxmlformats.org/officeDocument/2006/relationships/hyperlink" Target="https://www.leboncoin.fr/ad/voitures/3267746572" TargetMode="External" Id="rId367" /><Relationship Type="http://schemas.openxmlformats.org/officeDocument/2006/relationships/hyperlink" Target="https://www.leboncoin.fr/ad/voitures/3268479738" TargetMode="External" Id="rId368" /><Relationship Type="http://schemas.openxmlformats.org/officeDocument/2006/relationships/hyperlink" Target="https://www.leboncoin.fr/ad/voitures/3270051665" TargetMode="External" Id="rId369" /><Relationship Type="http://schemas.openxmlformats.org/officeDocument/2006/relationships/hyperlink" Target="https://www.leboncoin.fr/ad/voitures/3270125349" TargetMode="External" Id="rId370" /><Relationship Type="http://schemas.openxmlformats.org/officeDocument/2006/relationships/hyperlink" Target="https://www.leboncoin.fr/ad/voitures/3271090302" TargetMode="External" Id="rId371" /><Relationship Type="http://schemas.openxmlformats.org/officeDocument/2006/relationships/hyperlink" Target="https://www.leboncoin.fr/ad/voitures/3272177449" TargetMode="External" Id="rId372" /><Relationship Type="http://schemas.openxmlformats.org/officeDocument/2006/relationships/hyperlink" Target="https://www.leboncoin.fr/ad/voitures/3272423201" TargetMode="External" Id="rId373" /><Relationship Type="http://schemas.openxmlformats.org/officeDocument/2006/relationships/hyperlink" Target="https://www.leboncoin.fr/ad/voitures/3272452236" TargetMode="External" Id="rId374" /><Relationship Type="http://schemas.openxmlformats.org/officeDocument/2006/relationships/hyperlink" Target="https://www.leboncoin.fr/ad/voitures/3273929462" TargetMode="External" Id="rId375" /><Relationship Type="http://schemas.openxmlformats.org/officeDocument/2006/relationships/hyperlink" Target="https://www.leboncoin.fr/ad/voitures/3276024169" TargetMode="External" Id="rId376" /><Relationship Type="http://schemas.openxmlformats.org/officeDocument/2006/relationships/hyperlink" Target="https://www.leboncoin.fr/ad/voitures/3276353657" TargetMode="External" Id="rId377" /><Relationship Type="http://schemas.openxmlformats.org/officeDocument/2006/relationships/hyperlink" Target="https://www.leboncoin.fr/ad/voitures/3276437381" TargetMode="External" Id="rId378" /><Relationship Type="http://schemas.openxmlformats.org/officeDocument/2006/relationships/hyperlink" Target="https://www.leboncoin.fr/ad/voitures/3276571950" TargetMode="External" Id="rId379" /><Relationship Type="http://schemas.openxmlformats.org/officeDocument/2006/relationships/hyperlink" Target="https://www.leboncoin.fr/ad/voitures/3277457567" TargetMode="External" Id="rId380" /><Relationship Type="http://schemas.openxmlformats.org/officeDocument/2006/relationships/hyperlink" Target="https://www.leboncoin.fr/ad/voitures/3280107297" TargetMode="External" Id="rId381" /><Relationship Type="http://schemas.openxmlformats.org/officeDocument/2006/relationships/hyperlink" Target="https://www.leboncoin.fr/ad/voitures/3280352100" TargetMode="External" Id="rId382" /><Relationship Type="http://schemas.openxmlformats.org/officeDocument/2006/relationships/hyperlink" Target="https://www.leboncoin.fr/ad/voitures/3280590253" TargetMode="External" Id="rId383" /><Relationship Type="http://schemas.openxmlformats.org/officeDocument/2006/relationships/hyperlink" Target="https://www.leboncoin.fr/ad/voitures/3281619372" TargetMode="External" Id="rId384" /><Relationship Type="http://schemas.openxmlformats.org/officeDocument/2006/relationships/hyperlink" Target="https://www.leboncoin.fr/ad/voitures/3281988535" TargetMode="External" Id="rId385" /><Relationship Type="http://schemas.openxmlformats.org/officeDocument/2006/relationships/hyperlink" Target="https://www.leboncoin.fr/ad/voitures/3282158064" TargetMode="External" Id="rId386" /><Relationship Type="http://schemas.openxmlformats.org/officeDocument/2006/relationships/hyperlink" Target="https://www.leboncoin.fr/ad/voitures/3282909281" TargetMode="External" Id="rId387" /><Relationship Type="http://schemas.openxmlformats.org/officeDocument/2006/relationships/hyperlink" Target="https://www.leboncoin.fr/ad/voitures/3284481051" TargetMode="External" Id="rId388" /><Relationship Type="http://schemas.openxmlformats.org/officeDocument/2006/relationships/hyperlink" Target="https://www.leboncoin.fr/ad/voitures/3284558720" TargetMode="External" Id="rId389" /><Relationship Type="http://schemas.openxmlformats.org/officeDocument/2006/relationships/hyperlink" Target="https://www.leboncoin.fr/ad/voitures/3286615377" TargetMode="External" Id="rId390" /><Relationship Type="http://schemas.openxmlformats.org/officeDocument/2006/relationships/hyperlink" Target="https://www.leboncoin.fr/ad/voitures/3286754099" TargetMode="External" Id="rId391" /><Relationship Type="http://schemas.openxmlformats.org/officeDocument/2006/relationships/hyperlink" Target="https://www.leboncoin.fr/ad/voitures/3286927949" TargetMode="External" Id="rId392" /><Relationship Type="http://schemas.openxmlformats.org/officeDocument/2006/relationships/hyperlink" Target="https://www.leboncoin.fr/ad/voitures/3287213165" TargetMode="External" Id="rId393" /><Relationship Type="http://schemas.openxmlformats.org/officeDocument/2006/relationships/hyperlink" Target="https://www.leboncoin.fr/ad/voitures/3288115418" TargetMode="External" Id="rId394" /><Relationship Type="http://schemas.openxmlformats.org/officeDocument/2006/relationships/hyperlink" Target="https://www.leboncoin.fr/ad/voitures/3288305043" TargetMode="External" Id="rId395" /><Relationship Type="http://schemas.openxmlformats.org/officeDocument/2006/relationships/hyperlink" Target="https://www.leboncoin.fr/ad/voitures/3288619401" TargetMode="External" Id="rId396" /><Relationship Type="http://schemas.openxmlformats.org/officeDocument/2006/relationships/hyperlink" Target="https://www.leboncoin.fr/ad/voitures/3288719000" TargetMode="External" Id="rId397" /><Relationship Type="http://schemas.openxmlformats.org/officeDocument/2006/relationships/hyperlink" Target="https://www.leboncoin.fr/ad/voitures/2751924257" TargetMode="External" Id="rId398" /><Relationship Type="http://schemas.openxmlformats.org/officeDocument/2006/relationships/hyperlink" Target="https://www.leboncoin.fr/ad/voitures/3004883966" TargetMode="External" Id="rId399" /><Relationship Type="http://schemas.openxmlformats.org/officeDocument/2006/relationships/hyperlink" Target="https://www.leboncoin.fr/ad/voitures/3024366461" TargetMode="External" Id="rId400" /><Relationship Type="http://schemas.openxmlformats.org/officeDocument/2006/relationships/hyperlink" Target="https://www.leboncoin.fr/ad/voitures/3058221809" TargetMode="External" Id="rId401" /><Relationship Type="http://schemas.openxmlformats.org/officeDocument/2006/relationships/hyperlink" Target="https://www.leboncoin.fr/ad/voitures/3100841497" TargetMode="External" Id="rId402" /><Relationship Type="http://schemas.openxmlformats.org/officeDocument/2006/relationships/hyperlink" Target="https://www.leboncoin.fr/ad/voitures/3135209876" TargetMode="External" Id="rId403" /><Relationship Type="http://schemas.openxmlformats.org/officeDocument/2006/relationships/hyperlink" Target="https://www.leboncoin.fr/ad/voitures/3164278460" TargetMode="External" Id="rId404" /><Relationship Type="http://schemas.openxmlformats.org/officeDocument/2006/relationships/hyperlink" Target="https://www.leboncoin.fr/ad/voitures/3169812009" TargetMode="External" Id="rId405" /><Relationship Type="http://schemas.openxmlformats.org/officeDocument/2006/relationships/hyperlink" Target="https://www.leboncoin.fr/ad/voitures/3177090532" TargetMode="External" Id="rId406" /><Relationship Type="http://schemas.openxmlformats.org/officeDocument/2006/relationships/hyperlink" Target="https://www.leboncoin.fr/ad/voitures/3177094157" TargetMode="External" Id="rId407" /><Relationship Type="http://schemas.openxmlformats.org/officeDocument/2006/relationships/hyperlink" Target="https://www.leboncoin.fr/ad/voitures/3177399795" TargetMode="External" Id="rId408" /><Relationship Type="http://schemas.openxmlformats.org/officeDocument/2006/relationships/hyperlink" Target="https://www.leboncoin.fr/ad/voitures/3203471672" TargetMode="External" Id="rId409" /><Relationship Type="http://schemas.openxmlformats.org/officeDocument/2006/relationships/hyperlink" Target="https://www.leboncoin.fr/ad/voitures/3205610309" TargetMode="External" Id="rId410" /><Relationship Type="http://schemas.openxmlformats.org/officeDocument/2006/relationships/hyperlink" Target="https://www.leboncoin.fr/ad/voitures/3207867613" TargetMode="External" Id="rId411" /><Relationship Type="http://schemas.openxmlformats.org/officeDocument/2006/relationships/hyperlink" Target="https://www.leboncoin.fr/ad/voitures/3208968875" TargetMode="External" Id="rId412" /><Relationship Type="http://schemas.openxmlformats.org/officeDocument/2006/relationships/hyperlink" Target="https://www.leboncoin.fr/ad/voitures/3208968875" TargetMode="External" Id="rId413" /><Relationship Type="http://schemas.openxmlformats.org/officeDocument/2006/relationships/hyperlink" Target="https://www.leboncoin.fr/ad/voitures/3209668474" TargetMode="External" Id="rId414" /><Relationship Type="http://schemas.openxmlformats.org/officeDocument/2006/relationships/hyperlink" Target="https://www.leboncoin.fr/ad/voitures/3210110937" TargetMode="External" Id="rId415" /><Relationship Type="http://schemas.openxmlformats.org/officeDocument/2006/relationships/hyperlink" Target="https://www.leboncoin.fr/ad/voitures/3223596749" TargetMode="External" Id="rId416" /><Relationship Type="http://schemas.openxmlformats.org/officeDocument/2006/relationships/hyperlink" Target="https://www.leboncoin.fr/ad/voitures/3225420947" TargetMode="External" Id="rId417" /><Relationship Type="http://schemas.openxmlformats.org/officeDocument/2006/relationships/hyperlink" Target="https://www.leboncoin.fr/ad/voitures/3225995323" TargetMode="External" Id="rId418" /><Relationship Type="http://schemas.openxmlformats.org/officeDocument/2006/relationships/hyperlink" Target="https://www.leboncoin.fr/ad/voitures/3225995323" TargetMode="External" Id="rId419" /><Relationship Type="http://schemas.openxmlformats.org/officeDocument/2006/relationships/hyperlink" Target="https://www.leboncoin.fr/ad/voitures/3226399068" TargetMode="External" Id="rId420" /><Relationship Type="http://schemas.openxmlformats.org/officeDocument/2006/relationships/hyperlink" Target="https://www.leboncoin.fr/ad/voitures/3226789085" TargetMode="External" Id="rId421" /><Relationship Type="http://schemas.openxmlformats.org/officeDocument/2006/relationships/hyperlink" Target="https://www.leboncoin.fr/ad/voitures/3229875348" TargetMode="External" Id="rId422" /><Relationship Type="http://schemas.openxmlformats.org/officeDocument/2006/relationships/hyperlink" Target="https://www.leboncoin.fr/ad/voitures/3230591026" TargetMode="External" Id="rId423" /><Relationship Type="http://schemas.openxmlformats.org/officeDocument/2006/relationships/hyperlink" Target="https://www.leboncoin.fr/ad/voitures/3231127202" TargetMode="External" Id="rId424" /><Relationship Type="http://schemas.openxmlformats.org/officeDocument/2006/relationships/hyperlink" Target="https://www.leboncoin.fr/ad/voitures/3234122932" TargetMode="External" Id="rId425" /><Relationship Type="http://schemas.openxmlformats.org/officeDocument/2006/relationships/hyperlink" Target="https://www.leboncoin.fr/ad/voitures/3236208392" TargetMode="External" Id="rId426" /><Relationship Type="http://schemas.openxmlformats.org/officeDocument/2006/relationships/hyperlink" Target="https://www.leboncoin.fr/ad/voitures/3241156907" TargetMode="External" Id="rId427" /><Relationship Type="http://schemas.openxmlformats.org/officeDocument/2006/relationships/hyperlink" Target="https://www.leboncoin.fr/ad/voitures/3242206815" TargetMode="External" Id="rId428" /><Relationship Type="http://schemas.openxmlformats.org/officeDocument/2006/relationships/hyperlink" Target="https://www.leboncoin.fr/ad/voitures/3244949226" TargetMode="External" Id="rId429" /><Relationship Type="http://schemas.openxmlformats.org/officeDocument/2006/relationships/hyperlink" Target="https://www.leboncoin.fr/ad/voitures/3252911291" TargetMode="External" Id="rId430" /><Relationship Type="http://schemas.openxmlformats.org/officeDocument/2006/relationships/hyperlink" Target="https://www.leboncoin.fr/ad/voitures/3255178405" TargetMode="External" Id="rId431" /><Relationship Type="http://schemas.openxmlformats.org/officeDocument/2006/relationships/hyperlink" Target="https://www.leboncoin.fr/ad/voitures/3258299180" TargetMode="External" Id="rId432" /><Relationship Type="http://schemas.openxmlformats.org/officeDocument/2006/relationships/hyperlink" Target="https://www.leboncoin.fr/ad/voitures/3260467720" TargetMode="External" Id="rId433" /><Relationship Type="http://schemas.openxmlformats.org/officeDocument/2006/relationships/hyperlink" Target="https://www.leboncoin.fr/ad/voitures/3260820600" TargetMode="External" Id="rId434" /><Relationship Type="http://schemas.openxmlformats.org/officeDocument/2006/relationships/hyperlink" Target="https://www.leboncoin.fr/ad/voitures/3262657061" TargetMode="External" Id="rId435" /><Relationship Type="http://schemas.openxmlformats.org/officeDocument/2006/relationships/hyperlink" Target="https://www.leboncoin.fr/ad/voitures/3265883612" TargetMode="External" Id="rId436" /><Relationship Type="http://schemas.openxmlformats.org/officeDocument/2006/relationships/hyperlink" Target="https://www.leboncoin.fr/ad/voitures/3268528129" TargetMode="External" Id="rId437" /><Relationship Type="http://schemas.openxmlformats.org/officeDocument/2006/relationships/hyperlink" Target="https://www.leboncoin.fr/ad/voitures/3268572742" TargetMode="External" Id="rId438" /><Relationship Type="http://schemas.openxmlformats.org/officeDocument/2006/relationships/hyperlink" Target="https://www.leboncoin.fr/ad/voitures/3270837815" TargetMode="External" Id="rId439" /><Relationship Type="http://schemas.openxmlformats.org/officeDocument/2006/relationships/hyperlink" Target="https://www.leboncoin.fr/ad/voitures/3270837815" TargetMode="External" Id="rId440" /><Relationship Type="http://schemas.openxmlformats.org/officeDocument/2006/relationships/hyperlink" Target="https://www.leboncoin.fr/ad/voitures/3271951396" TargetMode="External" Id="rId441" /><Relationship Type="http://schemas.openxmlformats.org/officeDocument/2006/relationships/hyperlink" Target="https://www.leboncoin.fr/ad/voitures/3272054365" TargetMode="External" Id="rId442" /><Relationship Type="http://schemas.openxmlformats.org/officeDocument/2006/relationships/hyperlink" Target="https://www.leboncoin.fr/ad/voitures/3272281258" TargetMode="External" Id="rId443" /><Relationship Type="http://schemas.openxmlformats.org/officeDocument/2006/relationships/hyperlink" Target="https://www.leboncoin.fr/ad/voitures/3272652346" TargetMode="External" Id="rId444" /><Relationship Type="http://schemas.openxmlformats.org/officeDocument/2006/relationships/hyperlink" Target="https://www.leboncoin.fr/ad/voitures/3274429079" TargetMode="External" Id="rId445" /><Relationship Type="http://schemas.openxmlformats.org/officeDocument/2006/relationships/hyperlink" Target="https://www.leboncoin.fr/ad/voitures/3274821732" TargetMode="External" Id="rId446" /><Relationship Type="http://schemas.openxmlformats.org/officeDocument/2006/relationships/hyperlink" Target="https://www.leboncoin.fr/ad/voitures/3277227146" TargetMode="External" Id="rId447" /><Relationship Type="http://schemas.openxmlformats.org/officeDocument/2006/relationships/hyperlink" Target="https://www.leboncoin.fr/ad/voitures/3278165059" TargetMode="External" Id="rId448" /><Relationship Type="http://schemas.openxmlformats.org/officeDocument/2006/relationships/hyperlink" Target="https://www.leboncoin.fr/ad/voitures/3278211461" TargetMode="External" Id="rId449" /><Relationship Type="http://schemas.openxmlformats.org/officeDocument/2006/relationships/hyperlink" Target="https://www.leboncoin.fr/ad/voitures/3278304511" TargetMode="External" Id="rId450" /><Relationship Type="http://schemas.openxmlformats.org/officeDocument/2006/relationships/hyperlink" Target="https://www.leboncoin.fr/ad/voitures/3278308119" TargetMode="External" Id="rId451" /><Relationship Type="http://schemas.openxmlformats.org/officeDocument/2006/relationships/hyperlink" Target="https://www.leboncoin.fr/ad/voitures/3278377513" TargetMode="External" Id="rId452" /><Relationship Type="http://schemas.openxmlformats.org/officeDocument/2006/relationships/hyperlink" Target="https://www.leboncoin.fr/ad/voitures/3278388453" TargetMode="External" Id="rId453" /><Relationship Type="http://schemas.openxmlformats.org/officeDocument/2006/relationships/hyperlink" Target="https://www.leboncoin.fr/ad/voitures/3278537127" TargetMode="External" Id="rId454" /><Relationship Type="http://schemas.openxmlformats.org/officeDocument/2006/relationships/hyperlink" Target="https://www.leboncoin.fr/ad/voitures/3278584788" TargetMode="External" Id="rId455" /><Relationship Type="http://schemas.openxmlformats.org/officeDocument/2006/relationships/hyperlink" Target="https://www.leboncoin.fr/ad/voitures/3278787277" TargetMode="External" Id="rId456" /><Relationship Type="http://schemas.openxmlformats.org/officeDocument/2006/relationships/hyperlink" Target="https://www.leboncoin.fr/ad/voitures/3280091446" TargetMode="External" Id="rId457" /><Relationship Type="http://schemas.openxmlformats.org/officeDocument/2006/relationships/hyperlink" Target="https://www.leboncoin.fr/ad/voitures/3280482015" TargetMode="External" Id="rId458" /><Relationship Type="http://schemas.openxmlformats.org/officeDocument/2006/relationships/hyperlink" Target="https://www.leboncoin.fr/ad/voitures/3280814617" TargetMode="External" Id="rId459" /><Relationship Type="http://schemas.openxmlformats.org/officeDocument/2006/relationships/hyperlink" Target="https://www.leboncoin.fr/ad/voitures/3281380686" TargetMode="External" Id="rId460" /><Relationship Type="http://schemas.openxmlformats.org/officeDocument/2006/relationships/hyperlink" Target="https://www.leboncoin.fr/ad/voitures/3282147896" TargetMode="External" Id="rId461" /><Relationship Type="http://schemas.openxmlformats.org/officeDocument/2006/relationships/hyperlink" Target="https://www.leboncoin.fr/ad/voitures/3283563885" TargetMode="External" Id="rId462" /><Relationship Type="http://schemas.openxmlformats.org/officeDocument/2006/relationships/hyperlink" Target="https://www.leboncoin.fr/ad/voitures/3284038154" TargetMode="External" Id="rId463" /><Relationship Type="http://schemas.openxmlformats.org/officeDocument/2006/relationships/hyperlink" Target="https://www.leboncoin.fr/ad/voitures/3284862818" TargetMode="External" Id="rId464" /><Relationship Type="http://schemas.openxmlformats.org/officeDocument/2006/relationships/hyperlink" Target="https://www.leboncoin.fr/ad/voitures/3285868046" TargetMode="External" Id="rId465" /><Relationship Type="http://schemas.openxmlformats.org/officeDocument/2006/relationships/hyperlink" Target="https://www.leboncoin.fr/ad/voitures/3287596929" TargetMode="External" Id="rId466" /><Relationship Type="http://schemas.openxmlformats.org/officeDocument/2006/relationships/hyperlink" Target="https://www.leboncoin.fr/ad/voitures/3089498689" TargetMode="External" Id="rId467" /><Relationship Type="http://schemas.openxmlformats.org/officeDocument/2006/relationships/hyperlink" Target="https://www.leboncoin.fr/ad/voitures/3106206580" TargetMode="External" Id="rId468" /><Relationship Type="http://schemas.openxmlformats.org/officeDocument/2006/relationships/hyperlink" Target="https://www.leboncoin.fr/ad/voitures/3147288483" TargetMode="External" Id="rId469" /><Relationship Type="http://schemas.openxmlformats.org/officeDocument/2006/relationships/hyperlink" Target="https://www.leboncoin.fr/ad/voitures/3151264594" TargetMode="External" Id="rId470" /><Relationship Type="http://schemas.openxmlformats.org/officeDocument/2006/relationships/hyperlink" Target="https://www.leboncoin.fr/ad/voitures/3161953342" TargetMode="External" Id="rId471" /><Relationship Type="http://schemas.openxmlformats.org/officeDocument/2006/relationships/hyperlink" Target="https://www.leboncoin.fr/ad/voitures/3171445222" TargetMode="External" Id="rId472" /><Relationship Type="http://schemas.openxmlformats.org/officeDocument/2006/relationships/hyperlink" Target="https://www.leboncoin.fr/ad/voitures/3175911144" TargetMode="External" Id="rId473" /><Relationship Type="http://schemas.openxmlformats.org/officeDocument/2006/relationships/hyperlink" Target="https://www.leboncoin.fr/ad/voitures/3194804756" TargetMode="External" Id="rId474" /><Relationship Type="http://schemas.openxmlformats.org/officeDocument/2006/relationships/hyperlink" Target="https://www.leboncoin.fr/ad/voitures/3205141466" TargetMode="External" Id="rId475" /><Relationship Type="http://schemas.openxmlformats.org/officeDocument/2006/relationships/hyperlink" Target="https://www.leboncoin.fr/ad/voitures/3208942462" TargetMode="External" Id="rId476" /><Relationship Type="http://schemas.openxmlformats.org/officeDocument/2006/relationships/hyperlink" Target="https://www.leboncoin.fr/ad/voitures/3213662506" TargetMode="External" Id="rId477" /><Relationship Type="http://schemas.openxmlformats.org/officeDocument/2006/relationships/hyperlink" Target="https://www.leboncoin.fr/ad/voitures/3214892442" TargetMode="External" Id="rId478" /><Relationship Type="http://schemas.openxmlformats.org/officeDocument/2006/relationships/hyperlink" Target="https://www.leboncoin.fr/ad/voitures/3216720126" TargetMode="External" Id="rId479" /><Relationship Type="http://schemas.openxmlformats.org/officeDocument/2006/relationships/hyperlink" Target="https://www.leboncoin.fr/ad/voitures/3223210758" TargetMode="External" Id="rId480" /><Relationship Type="http://schemas.openxmlformats.org/officeDocument/2006/relationships/hyperlink" Target="https://www.leboncoin.fr/ad/voitures/3224716293" TargetMode="External" Id="rId481" /><Relationship Type="http://schemas.openxmlformats.org/officeDocument/2006/relationships/hyperlink" Target="https://www.leboncoin.fr/ad/voitures/3226389764" TargetMode="External" Id="rId482" /><Relationship Type="http://schemas.openxmlformats.org/officeDocument/2006/relationships/hyperlink" Target="https://www.leboncoin.fr/ad/voitures/3227346667" TargetMode="External" Id="rId483" /><Relationship Type="http://schemas.openxmlformats.org/officeDocument/2006/relationships/hyperlink" Target="https://www.leboncoin.fr/ad/voitures/3228200524" TargetMode="External" Id="rId484" /><Relationship Type="http://schemas.openxmlformats.org/officeDocument/2006/relationships/hyperlink" Target="https://www.leboncoin.fr/ad/voitures/3233339199" TargetMode="External" Id="rId485" /><Relationship Type="http://schemas.openxmlformats.org/officeDocument/2006/relationships/hyperlink" Target="https://www.leboncoin.fr/ad/voitures/3234830440" TargetMode="External" Id="rId486" /><Relationship Type="http://schemas.openxmlformats.org/officeDocument/2006/relationships/hyperlink" Target="https://www.leboncoin.fr/ad/voitures/3234830440" TargetMode="External" Id="rId487" /><Relationship Type="http://schemas.openxmlformats.org/officeDocument/2006/relationships/hyperlink" Target="https://www.leboncoin.fr/ad/voitures/3235072145" TargetMode="External" Id="rId488" /><Relationship Type="http://schemas.openxmlformats.org/officeDocument/2006/relationships/hyperlink" Target="https://www.leboncoin.fr/ad/voitures/3236629923" TargetMode="External" Id="rId489" /><Relationship Type="http://schemas.openxmlformats.org/officeDocument/2006/relationships/hyperlink" Target="https://www.leboncoin.fr/ad/voitures/3244969526" TargetMode="External" Id="rId490" /><Relationship Type="http://schemas.openxmlformats.org/officeDocument/2006/relationships/hyperlink" Target="https://www.leboncoin.fr/ad/voitures/3249044905" TargetMode="External" Id="rId491" /><Relationship Type="http://schemas.openxmlformats.org/officeDocument/2006/relationships/hyperlink" Target="https://www.leboncoin.fr/ad/voitures/3255993553" TargetMode="External" Id="rId492" /><Relationship Type="http://schemas.openxmlformats.org/officeDocument/2006/relationships/hyperlink" Target="https://www.leboncoin.fr/ad/voitures/3257381352" TargetMode="External" Id="rId493" /><Relationship Type="http://schemas.openxmlformats.org/officeDocument/2006/relationships/hyperlink" Target="https://www.leboncoin.fr/ad/voitures/3261091532" TargetMode="External" Id="rId494" /><Relationship Type="http://schemas.openxmlformats.org/officeDocument/2006/relationships/hyperlink" Target="https://www.leboncoin.fr/ad/voitures/3261152041" TargetMode="External" Id="rId495" /><Relationship Type="http://schemas.openxmlformats.org/officeDocument/2006/relationships/hyperlink" Target="https://www.leboncoin.fr/ad/voitures/3265294019" TargetMode="External" Id="rId496" /><Relationship Type="http://schemas.openxmlformats.org/officeDocument/2006/relationships/hyperlink" Target="https://www.leboncoin.fr/ad/voitures/3266137442" TargetMode="External" Id="rId497" /><Relationship Type="http://schemas.openxmlformats.org/officeDocument/2006/relationships/hyperlink" Target="https://www.leboncoin.fr/ad/voitures/3266468992" TargetMode="External" Id="rId498" /><Relationship Type="http://schemas.openxmlformats.org/officeDocument/2006/relationships/hyperlink" Target="https://www.leboncoin.fr/ad/voitures/3267019398" TargetMode="External" Id="rId499" /><Relationship Type="http://schemas.openxmlformats.org/officeDocument/2006/relationships/hyperlink" Target="https://www.leboncoin.fr/ad/voitures/3267529893" TargetMode="External" Id="rId500" /><Relationship Type="http://schemas.openxmlformats.org/officeDocument/2006/relationships/hyperlink" Target="https://www.leboncoin.fr/ad/voitures/3267627094" TargetMode="External" Id="rId501" /><Relationship Type="http://schemas.openxmlformats.org/officeDocument/2006/relationships/hyperlink" Target="https://www.leboncoin.fr/ad/voitures/3269059217" TargetMode="External" Id="rId502" /><Relationship Type="http://schemas.openxmlformats.org/officeDocument/2006/relationships/hyperlink" Target="https://www.leboncoin.fr/ad/voitures/3270983963" TargetMode="External" Id="rId503" /><Relationship Type="http://schemas.openxmlformats.org/officeDocument/2006/relationships/hyperlink" Target="https://www.leboncoin.fr/ad/voitures/3271472221" TargetMode="External" Id="rId504" /><Relationship Type="http://schemas.openxmlformats.org/officeDocument/2006/relationships/hyperlink" Target="https://www.leboncoin.fr/ad/voitures/3272564375" TargetMode="External" Id="rId505" /><Relationship Type="http://schemas.openxmlformats.org/officeDocument/2006/relationships/hyperlink" Target="https://www.leboncoin.fr/ad/voitures/3272892582" TargetMode="External" Id="rId506" /><Relationship Type="http://schemas.openxmlformats.org/officeDocument/2006/relationships/hyperlink" Target="https://www.leboncoin.fr/ad/voitures/3272963366" TargetMode="External" Id="rId507" /><Relationship Type="http://schemas.openxmlformats.org/officeDocument/2006/relationships/hyperlink" Target="https://www.leboncoin.fr/ad/voitures/3274504040" TargetMode="External" Id="rId508" /><Relationship Type="http://schemas.openxmlformats.org/officeDocument/2006/relationships/hyperlink" Target="https://www.leboncoin.fr/ad/voitures/3275167558" TargetMode="External" Id="rId509" /><Relationship Type="http://schemas.openxmlformats.org/officeDocument/2006/relationships/hyperlink" Target="https://www.leboncoin.fr/ad/voitures/3275432969" TargetMode="External" Id="rId510" /><Relationship Type="http://schemas.openxmlformats.org/officeDocument/2006/relationships/hyperlink" Target="https://www.leboncoin.fr/ad/voitures/3276464340" TargetMode="External" Id="rId511" /><Relationship Type="http://schemas.openxmlformats.org/officeDocument/2006/relationships/hyperlink" Target="https://www.leboncoin.fr/ad/voitures/3277303432" TargetMode="External" Id="rId512" /><Relationship Type="http://schemas.openxmlformats.org/officeDocument/2006/relationships/hyperlink" Target="https://www.leboncoin.fr/ad/voitures/3277850572" TargetMode="External" Id="rId513" /><Relationship Type="http://schemas.openxmlformats.org/officeDocument/2006/relationships/hyperlink" Target="https://www.leboncoin.fr/ad/voitures/3278140957" TargetMode="External" Id="rId514" /><Relationship Type="http://schemas.openxmlformats.org/officeDocument/2006/relationships/hyperlink" Target="https://www.leboncoin.fr/ad/voitures/3278292369" TargetMode="External" Id="rId515" /><Relationship Type="http://schemas.openxmlformats.org/officeDocument/2006/relationships/hyperlink" Target="https://www.leboncoin.fr/ad/voitures/3279539872" TargetMode="External" Id="rId516" /><Relationship Type="http://schemas.openxmlformats.org/officeDocument/2006/relationships/hyperlink" Target="https://www.leboncoin.fr/ad/voitures/3279820769" TargetMode="External" Id="rId517" /><Relationship Type="http://schemas.openxmlformats.org/officeDocument/2006/relationships/hyperlink" Target="https://www.leboncoin.fr/ad/voitures/3280631151" TargetMode="External" Id="rId518" /><Relationship Type="http://schemas.openxmlformats.org/officeDocument/2006/relationships/hyperlink" Target="https://www.leboncoin.fr/ad/voitures/3280951759" TargetMode="External" Id="rId519" /><Relationship Type="http://schemas.openxmlformats.org/officeDocument/2006/relationships/hyperlink" Target="https://www.leboncoin.fr/ad/voitures/3281142481" TargetMode="External" Id="rId520" /><Relationship Type="http://schemas.openxmlformats.org/officeDocument/2006/relationships/hyperlink" Target="https://www.leboncoin.fr/ad/voitures/3281269760" TargetMode="External" Id="rId521" /><Relationship Type="http://schemas.openxmlformats.org/officeDocument/2006/relationships/hyperlink" Target="https://www.leboncoin.fr/ad/voitures/3281743699" TargetMode="External" Id="rId522" /><Relationship Type="http://schemas.openxmlformats.org/officeDocument/2006/relationships/hyperlink" Target="https://www.leboncoin.fr/ad/voitures/3282908902" TargetMode="External" Id="rId523" /><Relationship Type="http://schemas.openxmlformats.org/officeDocument/2006/relationships/hyperlink" Target="https://www.leboncoin.fr/ad/voitures/3282993849" TargetMode="External" Id="rId524" /><Relationship Type="http://schemas.openxmlformats.org/officeDocument/2006/relationships/hyperlink" Target="https://www.leboncoin.fr/ad/voitures/3283155837" TargetMode="External" Id="rId525" /><Relationship Type="http://schemas.openxmlformats.org/officeDocument/2006/relationships/hyperlink" Target="https://www.leboncoin.fr/ad/voitures/3283554799" TargetMode="External" Id="rId526" /><Relationship Type="http://schemas.openxmlformats.org/officeDocument/2006/relationships/hyperlink" Target="https://www.leboncoin.fr/ad/voitures/3283952066" TargetMode="External" Id="rId527" /><Relationship Type="http://schemas.openxmlformats.org/officeDocument/2006/relationships/hyperlink" Target="https://www.leboncoin.fr/ad/voitures/3284594155" TargetMode="External" Id="rId528" /><Relationship Type="http://schemas.openxmlformats.org/officeDocument/2006/relationships/hyperlink" Target="https://www.leboncoin.fr/ad/voitures/3284730229" TargetMode="External" Id="rId529" /><Relationship Type="http://schemas.openxmlformats.org/officeDocument/2006/relationships/hyperlink" Target="https://www.leboncoin.fr/ad/voitures/3286790616" TargetMode="External" Id="rId530" /><Relationship Type="http://schemas.openxmlformats.org/officeDocument/2006/relationships/hyperlink" Target="https://www.leboncoin.fr/ad/voitures/3128001937" TargetMode="External" Id="rId531" /><Relationship Type="http://schemas.openxmlformats.org/officeDocument/2006/relationships/hyperlink" Target="https://www.leboncoin.fr/ad/voitures/3138081600" TargetMode="External" Id="rId532" /><Relationship Type="http://schemas.openxmlformats.org/officeDocument/2006/relationships/hyperlink" Target="https://www.leboncoin.fr/ad/voitures/3192502697" TargetMode="External" Id="rId533" /><Relationship Type="http://schemas.openxmlformats.org/officeDocument/2006/relationships/hyperlink" Target="https://www.leboncoin.fr/ad/voitures/3192502697" TargetMode="External" Id="rId534" /><Relationship Type="http://schemas.openxmlformats.org/officeDocument/2006/relationships/hyperlink" Target="https://www.leboncoin.fr/ad/voitures/3194330539" TargetMode="External" Id="rId535" /><Relationship Type="http://schemas.openxmlformats.org/officeDocument/2006/relationships/hyperlink" Target="https://www.leboncoin.fr/ad/voitures/3196043714" TargetMode="External" Id="rId536" /><Relationship Type="http://schemas.openxmlformats.org/officeDocument/2006/relationships/hyperlink" Target="https://www.leboncoin.fr/ad/voitures/3203094670" TargetMode="External" Id="rId537" /><Relationship Type="http://schemas.openxmlformats.org/officeDocument/2006/relationships/hyperlink" Target="https://www.leboncoin.fr/ad/voitures/3206698877" TargetMode="External" Id="rId538" /><Relationship Type="http://schemas.openxmlformats.org/officeDocument/2006/relationships/hyperlink" Target="https://www.leboncoin.fr/ad/voitures/3213417811" TargetMode="External" Id="rId539" /><Relationship Type="http://schemas.openxmlformats.org/officeDocument/2006/relationships/hyperlink" Target="https://www.leboncoin.fr/ad/voitures/3213424345" TargetMode="External" Id="rId540" /><Relationship Type="http://schemas.openxmlformats.org/officeDocument/2006/relationships/hyperlink" Target="https://www.leboncoin.fr/ad/voitures/3213662086" TargetMode="External" Id="rId541" /><Relationship Type="http://schemas.openxmlformats.org/officeDocument/2006/relationships/hyperlink" Target="https://www.leboncoin.fr/ad/voitures/3214095058" TargetMode="External" Id="rId542" /><Relationship Type="http://schemas.openxmlformats.org/officeDocument/2006/relationships/hyperlink" Target="https://www.leboncoin.fr/ad/voitures/3214587287" TargetMode="External" Id="rId543" /><Relationship Type="http://schemas.openxmlformats.org/officeDocument/2006/relationships/hyperlink" Target="https://www.leboncoin.fr/ad/voitures/3215149218" TargetMode="External" Id="rId544" /><Relationship Type="http://schemas.openxmlformats.org/officeDocument/2006/relationships/hyperlink" Target="https://www.leboncoin.fr/ad/voitures/3227303911" TargetMode="External" Id="rId545" /><Relationship Type="http://schemas.openxmlformats.org/officeDocument/2006/relationships/hyperlink" Target="https://www.leboncoin.fr/ad/voitures/3228156690" TargetMode="External" Id="rId546" /><Relationship Type="http://schemas.openxmlformats.org/officeDocument/2006/relationships/hyperlink" Target="https://www.leboncoin.fr/ad/voitures/3232184088" TargetMode="External" Id="rId547" /><Relationship Type="http://schemas.openxmlformats.org/officeDocument/2006/relationships/hyperlink" Target="https://www.leboncoin.fr/ad/voitures/3239890949" TargetMode="External" Id="rId548" /><Relationship Type="http://schemas.openxmlformats.org/officeDocument/2006/relationships/hyperlink" Target="https://www.leboncoin.fr/ad/voitures/3241715497" TargetMode="External" Id="rId549" /><Relationship Type="http://schemas.openxmlformats.org/officeDocument/2006/relationships/hyperlink" Target="https://www.leboncoin.fr/ad/voitures/3244467786" TargetMode="External" Id="rId550" /><Relationship Type="http://schemas.openxmlformats.org/officeDocument/2006/relationships/hyperlink" Target="https://www.leboncoin.fr/ad/voitures/3247666341" TargetMode="External" Id="rId551" /><Relationship Type="http://schemas.openxmlformats.org/officeDocument/2006/relationships/hyperlink" Target="https://www.leboncoin.fr/ad/voitures/3249020837" TargetMode="External" Id="rId552" /><Relationship Type="http://schemas.openxmlformats.org/officeDocument/2006/relationships/hyperlink" Target="https://www.leboncoin.fr/ad/voitures/3253304934" TargetMode="External" Id="rId553" /><Relationship Type="http://schemas.openxmlformats.org/officeDocument/2006/relationships/hyperlink" Target="https://www.leboncoin.fr/ad/voitures/3258419971" TargetMode="External" Id="rId554" /><Relationship Type="http://schemas.openxmlformats.org/officeDocument/2006/relationships/hyperlink" Target="https://www.leboncoin.fr/ad/voitures/3258520263" TargetMode="External" Id="rId555" /><Relationship Type="http://schemas.openxmlformats.org/officeDocument/2006/relationships/hyperlink" Target="https://www.leboncoin.fr/ad/voitures/3263120554" TargetMode="External" Id="rId556" /><Relationship Type="http://schemas.openxmlformats.org/officeDocument/2006/relationships/hyperlink" Target="https://www.leboncoin.fr/ad/voitures/3266721735" TargetMode="External" Id="rId557" /><Relationship Type="http://schemas.openxmlformats.org/officeDocument/2006/relationships/hyperlink" Target="https://www.leboncoin.fr/ad/voitures/3267035560" TargetMode="External" Id="rId558" /><Relationship Type="http://schemas.openxmlformats.org/officeDocument/2006/relationships/hyperlink" Target="https://www.leboncoin.fr/ad/voitures/3270378486" TargetMode="External" Id="rId559" /><Relationship Type="http://schemas.openxmlformats.org/officeDocument/2006/relationships/hyperlink" Target="https://www.leboncoin.fr/ad/voitures/3270568277" TargetMode="External" Id="rId560" /><Relationship Type="http://schemas.openxmlformats.org/officeDocument/2006/relationships/hyperlink" Target="https://www.leboncoin.fr/ad/voitures/3270821976" TargetMode="External" Id="rId561" /><Relationship Type="http://schemas.openxmlformats.org/officeDocument/2006/relationships/hyperlink" Target="https://www.leboncoin.fr/ad/voitures/3271574505" TargetMode="External" Id="rId562" /><Relationship Type="http://schemas.openxmlformats.org/officeDocument/2006/relationships/hyperlink" Target="https://www.leboncoin.fr/ad/voitures/3271944032" TargetMode="External" Id="rId563" /><Relationship Type="http://schemas.openxmlformats.org/officeDocument/2006/relationships/hyperlink" Target="https://www.leboncoin.fr/ad/voitures/3272175602" TargetMode="External" Id="rId564" /><Relationship Type="http://schemas.openxmlformats.org/officeDocument/2006/relationships/hyperlink" Target="https://www.leboncoin.fr/ad/voitures/3272603300" TargetMode="External" Id="rId565" /><Relationship Type="http://schemas.openxmlformats.org/officeDocument/2006/relationships/hyperlink" Target="https://www.leboncoin.fr/ad/voitures/3273797460" TargetMode="External" Id="rId566" /><Relationship Type="http://schemas.openxmlformats.org/officeDocument/2006/relationships/hyperlink" Target="https://www.leboncoin.fr/ad/voitures/3274728979" TargetMode="External" Id="rId567" /><Relationship Type="http://schemas.openxmlformats.org/officeDocument/2006/relationships/hyperlink" Target="https://www.leboncoin.fr/ad/voitures/3275857883" TargetMode="External" Id="rId568" /><Relationship Type="http://schemas.openxmlformats.org/officeDocument/2006/relationships/hyperlink" Target="https://www.leboncoin.fr/ad/voitures/3276480306" TargetMode="External" Id="rId569" /><Relationship Type="http://schemas.openxmlformats.org/officeDocument/2006/relationships/hyperlink" Target="https://www.leboncoin.fr/ad/voitures/3277011288" TargetMode="External" Id="rId570" /><Relationship Type="http://schemas.openxmlformats.org/officeDocument/2006/relationships/hyperlink" Target="https://www.leboncoin.fr/ad/voitures/3277083239" TargetMode="External" Id="rId571" /><Relationship Type="http://schemas.openxmlformats.org/officeDocument/2006/relationships/hyperlink" Target="https://www.leboncoin.fr/ad/voitures/3278139565" TargetMode="External" Id="rId572" /><Relationship Type="http://schemas.openxmlformats.org/officeDocument/2006/relationships/hyperlink" Target="https://www.leboncoin.fr/ad/voitures/3278151888" TargetMode="External" Id="rId573" /><Relationship Type="http://schemas.openxmlformats.org/officeDocument/2006/relationships/hyperlink" Target="https://www.leboncoin.fr/ad/voitures/3278205054" TargetMode="External" Id="rId574" /><Relationship Type="http://schemas.openxmlformats.org/officeDocument/2006/relationships/hyperlink" Target="https://www.leboncoin.fr/ad/voitures/3278209806" TargetMode="External" Id="rId575" /><Relationship Type="http://schemas.openxmlformats.org/officeDocument/2006/relationships/hyperlink" Target="https://www.leboncoin.fr/ad/voitures/3278260839" TargetMode="External" Id="rId576" /><Relationship Type="http://schemas.openxmlformats.org/officeDocument/2006/relationships/hyperlink" Target="https://www.leboncoin.fr/ad/voitures/3278728030" TargetMode="External" Id="rId577" /><Relationship Type="http://schemas.openxmlformats.org/officeDocument/2006/relationships/hyperlink" Target="https://www.leboncoin.fr/ad/voitures/3278728030" TargetMode="External" Id="rId578" /><Relationship Type="http://schemas.openxmlformats.org/officeDocument/2006/relationships/hyperlink" Target="https://www.leboncoin.fr/ad/voitures/3278966054" TargetMode="External" Id="rId579" /><Relationship Type="http://schemas.openxmlformats.org/officeDocument/2006/relationships/hyperlink" Target="https://www.leboncoin.fr/ad/voitures/3279041618" TargetMode="External" Id="rId580" /><Relationship Type="http://schemas.openxmlformats.org/officeDocument/2006/relationships/hyperlink" Target="https://www.leboncoin.fr/ad/voitures/3279739780" TargetMode="External" Id="rId581" /><Relationship Type="http://schemas.openxmlformats.org/officeDocument/2006/relationships/hyperlink" Target="https://www.leboncoin.fr/ad/voitures/3280329204" TargetMode="External" Id="rId582" /><Relationship Type="http://schemas.openxmlformats.org/officeDocument/2006/relationships/hyperlink" Target="https://www.leboncoin.fr/ad/voitures/3280508090" TargetMode="External" Id="rId583" /><Relationship Type="http://schemas.openxmlformats.org/officeDocument/2006/relationships/hyperlink" Target="https://www.leboncoin.fr/ad/voitures/3280631564" TargetMode="External" Id="rId584" /><Relationship Type="http://schemas.openxmlformats.org/officeDocument/2006/relationships/hyperlink" Target="https://www.leboncoin.fr/ad/voitures/3281973414" TargetMode="External" Id="rId585" /><Relationship Type="http://schemas.openxmlformats.org/officeDocument/2006/relationships/hyperlink" Target="https://www.leboncoin.fr/ad/voitures/3283262378" TargetMode="External" Id="rId586" /><Relationship Type="http://schemas.openxmlformats.org/officeDocument/2006/relationships/hyperlink" Target="https://www.leboncoin.fr/ad/voitures/3283833054" TargetMode="External" Id="rId587" /><Relationship Type="http://schemas.openxmlformats.org/officeDocument/2006/relationships/hyperlink" Target="https://www.leboncoin.fr/ad/voitures/3284158987" TargetMode="External" Id="rId588" /><Relationship Type="http://schemas.openxmlformats.org/officeDocument/2006/relationships/hyperlink" Target="https://www.leboncoin.fr/ad/voitures/3284607283" TargetMode="External" Id="rId589" /><Relationship Type="http://schemas.openxmlformats.org/officeDocument/2006/relationships/hyperlink" Target="https://www.leboncoin.fr/ad/voitures/3284841554" TargetMode="External" Id="rId590" /><Relationship Type="http://schemas.openxmlformats.org/officeDocument/2006/relationships/hyperlink" Target="https://www.leboncoin.fr/ad/voitures/3284882444" TargetMode="External" Id="rId591" /><Relationship Type="http://schemas.openxmlformats.org/officeDocument/2006/relationships/hyperlink" Target="https://www.leboncoin.fr/ad/voitures/3286583539" TargetMode="External" Id="rId592" /><Relationship Type="http://schemas.openxmlformats.org/officeDocument/2006/relationships/hyperlink" Target="https://www.leboncoin.fr/ad/voitures/3288187003" TargetMode="External" Id="rId593" /><Relationship Type="http://schemas.openxmlformats.org/officeDocument/2006/relationships/hyperlink" Target="https://www.leboncoin.fr/ad/voitures/3288653677" TargetMode="External" Id="rId594" /><Relationship Type="http://schemas.openxmlformats.org/officeDocument/2006/relationships/hyperlink" Target="https://www.leboncoin.fr/ad/voitures/3111952979" TargetMode="External" Id="rId595" /><Relationship Type="http://schemas.openxmlformats.org/officeDocument/2006/relationships/hyperlink" Target="https://www.leboncoin.fr/ad/voitures/3148980518" TargetMode="External" Id="rId596" /><Relationship Type="http://schemas.openxmlformats.org/officeDocument/2006/relationships/hyperlink" Target="https://www.leboncoin.fr/ad/voitures/3155317939" TargetMode="External" Id="rId597" /><Relationship Type="http://schemas.openxmlformats.org/officeDocument/2006/relationships/hyperlink" Target="https://www.leboncoin.fr/ad/voitures/3162482298" TargetMode="External" Id="rId598" /><Relationship Type="http://schemas.openxmlformats.org/officeDocument/2006/relationships/hyperlink" Target="https://www.leboncoin.fr/ad/voitures/3220887451" TargetMode="External" Id="rId599" /><Relationship Type="http://schemas.openxmlformats.org/officeDocument/2006/relationships/hyperlink" Target="https://www.leboncoin.fr/ad/voitures/3225541573" TargetMode="External" Id="rId600" /><Relationship Type="http://schemas.openxmlformats.org/officeDocument/2006/relationships/hyperlink" Target="https://www.leboncoin.fr/ad/voitures/3229733456" TargetMode="External" Id="rId601" /><Relationship Type="http://schemas.openxmlformats.org/officeDocument/2006/relationships/hyperlink" Target="https://www.leboncoin.fr/ad/voitures/3234959156" TargetMode="External" Id="rId602" /><Relationship Type="http://schemas.openxmlformats.org/officeDocument/2006/relationships/hyperlink" Target="https://www.leboncoin.fr/ad/voitures/3235031075" TargetMode="External" Id="rId603" /><Relationship Type="http://schemas.openxmlformats.org/officeDocument/2006/relationships/hyperlink" Target="https://www.leboncoin.fr/ad/voitures/3243861904" TargetMode="External" Id="rId604" /><Relationship Type="http://schemas.openxmlformats.org/officeDocument/2006/relationships/hyperlink" Target="https://www.leboncoin.fr/ad/voitures/3248026868" TargetMode="External" Id="rId605" /><Relationship Type="http://schemas.openxmlformats.org/officeDocument/2006/relationships/hyperlink" Target="https://www.leboncoin.fr/ad/voitures/3252273657" TargetMode="External" Id="rId606" /><Relationship Type="http://schemas.openxmlformats.org/officeDocument/2006/relationships/hyperlink" Target="https://www.leboncoin.fr/ad/voitures/3254332412" TargetMode="External" Id="rId607" /><Relationship Type="http://schemas.openxmlformats.org/officeDocument/2006/relationships/hyperlink" Target="https://www.leboncoin.fr/ad/voitures/3258667592" TargetMode="External" Id="rId608" /><Relationship Type="http://schemas.openxmlformats.org/officeDocument/2006/relationships/hyperlink" Target="https://www.leboncoin.fr/ad/voitures/3260553786" TargetMode="External" Id="rId609" /><Relationship Type="http://schemas.openxmlformats.org/officeDocument/2006/relationships/hyperlink" Target="https://www.leboncoin.fr/ad/voitures/3260826413" TargetMode="External" Id="rId610" /><Relationship Type="http://schemas.openxmlformats.org/officeDocument/2006/relationships/hyperlink" Target="https://www.leboncoin.fr/ad/voitures/3260826413" TargetMode="External" Id="rId611" /><Relationship Type="http://schemas.openxmlformats.org/officeDocument/2006/relationships/hyperlink" Target="https://www.leboncoin.fr/ad/voitures/3261006166" TargetMode="External" Id="rId612" /><Relationship Type="http://schemas.openxmlformats.org/officeDocument/2006/relationships/hyperlink" Target="https://www.leboncoin.fr/ad/voitures/3261622205" TargetMode="External" Id="rId613" /><Relationship Type="http://schemas.openxmlformats.org/officeDocument/2006/relationships/hyperlink" Target="https://www.leboncoin.fr/ad/voitures/3261693737" TargetMode="External" Id="rId614" /><Relationship Type="http://schemas.openxmlformats.org/officeDocument/2006/relationships/hyperlink" Target="https://www.leboncoin.fr/ad/voitures/3261693737" TargetMode="External" Id="rId615" /><Relationship Type="http://schemas.openxmlformats.org/officeDocument/2006/relationships/hyperlink" Target="https://www.leboncoin.fr/ad/voitures/3262040554" TargetMode="External" Id="rId616" /><Relationship Type="http://schemas.openxmlformats.org/officeDocument/2006/relationships/hyperlink" Target="https://www.leboncoin.fr/ad/voitures/3262391547" TargetMode="External" Id="rId617" /><Relationship Type="http://schemas.openxmlformats.org/officeDocument/2006/relationships/hyperlink" Target="https://www.leboncoin.fr/ad/voitures/3262391547" TargetMode="External" Id="rId618" /><Relationship Type="http://schemas.openxmlformats.org/officeDocument/2006/relationships/hyperlink" Target="https://www.leboncoin.fr/ad/voitures/3262638000" TargetMode="External" Id="rId619" /><Relationship Type="http://schemas.openxmlformats.org/officeDocument/2006/relationships/hyperlink" Target="https://www.leboncoin.fr/ad/voitures/3264837795" TargetMode="External" Id="rId620" /><Relationship Type="http://schemas.openxmlformats.org/officeDocument/2006/relationships/hyperlink" Target="https://www.leboncoin.fr/ad/voitures/3266864057" TargetMode="External" Id="rId621" /><Relationship Type="http://schemas.openxmlformats.org/officeDocument/2006/relationships/hyperlink" Target="https://www.leboncoin.fr/ad/voitures/3270112718" TargetMode="External" Id="rId622" /><Relationship Type="http://schemas.openxmlformats.org/officeDocument/2006/relationships/hyperlink" Target="https://www.leboncoin.fr/ad/voitures/3270289698" TargetMode="External" Id="rId623" /><Relationship Type="http://schemas.openxmlformats.org/officeDocument/2006/relationships/hyperlink" Target="https://www.leboncoin.fr/ad/voitures/3272175500" TargetMode="External" Id="rId624" /><Relationship Type="http://schemas.openxmlformats.org/officeDocument/2006/relationships/hyperlink" Target="https://www.leboncoin.fr/ad/voitures/3272349615" TargetMode="External" Id="rId625" /><Relationship Type="http://schemas.openxmlformats.org/officeDocument/2006/relationships/hyperlink" Target="https://www.leboncoin.fr/ad/voitures/3272615687" TargetMode="External" Id="rId626" /><Relationship Type="http://schemas.openxmlformats.org/officeDocument/2006/relationships/hyperlink" Target="https://www.leboncoin.fr/ad/voitures/3273076212" TargetMode="External" Id="rId627" /><Relationship Type="http://schemas.openxmlformats.org/officeDocument/2006/relationships/hyperlink" Target="https://www.leboncoin.fr/ad/voitures/3273260142" TargetMode="External" Id="rId628" /><Relationship Type="http://schemas.openxmlformats.org/officeDocument/2006/relationships/hyperlink" Target="https://www.leboncoin.fr/ad/voitures/3275029879" TargetMode="External" Id="rId629" /><Relationship Type="http://schemas.openxmlformats.org/officeDocument/2006/relationships/hyperlink" Target="https://www.leboncoin.fr/ad/voitures/3275151981" TargetMode="External" Id="rId630" /><Relationship Type="http://schemas.openxmlformats.org/officeDocument/2006/relationships/hyperlink" Target="https://www.leboncoin.fr/ad/voitures/3276649870" TargetMode="External" Id="rId631" /><Relationship Type="http://schemas.openxmlformats.org/officeDocument/2006/relationships/hyperlink" Target="https://www.leboncoin.fr/ad/voitures/3276674920" TargetMode="External" Id="rId632" /><Relationship Type="http://schemas.openxmlformats.org/officeDocument/2006/relationships/hyperlink" Target="https://www.leboncoin.fr/ad/voitures/3277297648" TargetMode="External" Id="rId633" /><Relationship Type="http://schemas.openxmlformats.org/officeDocument/2006/relationships/hyperlink" Target="https://www.leboncoin.fr/ad/voitures/3277619840" TargetMode="External" Id="rId634" /><Relationship Type="http://schemas.openxmlformats.org/officeDocument/2006/relationships/hyperlink" Target="https://www.leboncoin.fr/ad/voitures/3278178962" TargetMode="External" Id="rId635" /><Relationship Type="http://schemas.openxmlformats.org/officeDocument/2006/relationships/hyperlink" Target="https://www.leboncoin.fr/ad/voitures/3278695532" TargetMode="External" Id="rId636" /><Relationship Type="http://schemas.openxmlformats.org/officeDocument/2006/relationships/hyperlink" Target="https://www.leboncoin.fr/ad/voitures/3279867090" TargetMode="External" Id="rId637" /><Relationship Type="http://schemas.openxmlformats.org/officeDocument/2006/relationships/hyperlink" Target="https://www.leboncoin.fr/ad/voitures/3281829027" TargetMode="External" Id="rId638" /><Relationship Type="http://schemas.openxmlformats.org/officeDocument/2006/relationships/hyperlink" Target="https://www.leboncoin.fr/ad/voitures/3282299969" TargetMode="External" Id="rId639" /><Relationship Type="http://schemas.openxmlformats.org/officeDocument/2006/relationships/hyperlink" Target="https://www.leboncoin.fr/ad/voitures/3282432895" TargetMode="External" Id="rId640" /><Relationship Type="http://schemas.openxmlformats.org/officeDocument/2006/relationships/hyperlink" Target="https://www.leboncoin.fr/ad/voitures/3284044209" TargetMode="External" Id="rId641" /><Relationship Type="http://schemas.openxmlformats.org/officeDocument/2006/relationships/hyperlink" Target="https://www.leboncoin.fr/ad/voitures/3285271531" TargetMode="External" Id="rId642" /><Relationship Type="http://schemas.openxmlformats.org/officeDocument/2006/relationships/hyperlink" Target="https://www.leboncoin.fr/ad/voitures/3285680308" TargetMode="External" Id="rId643" /><Relationship Type="http://schemas.openxmlformats.org/officeDocument/2006/relationships/hyperlink" Target="https://www.leboncoin.fr/ad/voitures/3286310573" TargetMode="External" Id="rId644" /><Relationship Type="http://schemas.openxmlformats.org/officeDocument/2006/relationships/hyperlink" Target="https://www.leboncoin.fr/ad/voitures/3286902597" TargetMode="External" Id="rId645" /><Relationship Type="http://schemas.openxmlformats.org/officeDocument/2006/relationships/hyperlink" Target="https://www.leboncoin.fr/ad/voitures/3287358182" TargetMode="External" Id="rId646" /><Relationship Type="http://schemas.openxmlformats.org/officeDocument/2006/relationships/hyperlink" Target="https://www.leboncoin.fr/ad/voitures/3287481751" TargetMode="External" Id="rId647" /><Relationship Type="http://schemas.openxmlformats.org/officeDocument/2006/relationships/hyperlink" Target="https://www.leboncoin.fr/ad/voitures/3287640164" TargetMode="External" Id="rId648" /><Relationship Type="http://schemas.openxmlformats.org/officeDocument/2006/relationships/hyperlink" Target="https://www.leboncoin.fr/ad/voitures/3287649228" TargetMode="External" Id="rId649" /><Relationship Type="http://schemas.openxmlformats.org/officeDocument/2006/relationships/hyperlink" Target="https://www.leboncoin.fr/ad/voitures/3287894943" TargetMode="External" Id="rId650" /><Relationship Type="http://schemas.openxmlformats.org/officeDocument/2006/relationships/hyperlink" Target="https://www.leboncoin.fr/ad/voitures/3093503886" TargetMode="External" Id="rId651" /><Relationship Type="http://schemas.openxmlformats.org/officeDocument/2006/relationships/hyperlink" Target="https://www.leboncoin.fr/ad/voitures/3152592919" TargetMode="External" Id="rId652" /><Relationship Type="http://schemas.openxmlformats.org/officeDocument/2006/relationships/hyperlink" Target="https://www.leboncoin.fr/ad/voitures/3165656670" TargetMode="External" Id="rId653" /><Relationship Type="http://schemas.openxmlformats.org/officeDocument/2006/relationships/hyperlink" Target="https://www.leboncoin.fr/ad/voitures/3169074583" TargetMode="External" Id="rId654" /><Relationship Type="http://schemas.openxmlformats.org/officeDocument/2006/relationships/hyperlink" Target="https://www.leboncoin.fr/ad/voitures/3216991704" TargetMode="External" Id="rId655" /><Relationship Type="http://schemas.openxmlformats.org/officeDocument/2006/relationships/hyperlink" Target="https://www.leboncoin.fr/ad/voitures/3237229836" TargetMode="External" Id="rId656" /><Relationship Type="http://schemas.openxmlformats.org/officeDocument/2006/relationships/hyperlink" Target="https://www.leboncoin.fr/ad/voitures/3243865675" TargetMode="External" Id="rId657" /><Relationship Type="http://schemas.openxmlformats.org/officeDocument/2006/relationships/hyperlink" Target="https://www.leboncoin.fr/ad/voitures/3243871328" TargetMode="External" Id="rId658" /><Relationship Type="http://schemas.openxmlformats.org/officeDocument/2006/relationships/hyperlink" Target="https://www.leboncoin.fr/ad/voitures/3245939851" TargetMode="External" Id="rId659" /><Relationship Type="http://schemas.openxmlformats.org/officeDocument/2006/relationships/hyperlink" Target="https://www.leboncoin.fr/ad/voitures/3252684628" TargetMode="External" Id="rId660" /><Relationship Type="http://schemas.openxmlformats.org/officeDocument/2006/relationships/hyperlink" Target="https://www.leboncoin.fr/ad/voitures/3256587657" TargetMode="External" Id="rId661" /><Relationship Type="http://schemas.openxmlformats.org/officeDocument/2006/relationships/hyperlink" Target="https://www.leboncoin.fr/ad/voitures/3256587657" TargetMode="External" Id="rId662" /><Relationship Type="http://schemas.openxmlformats.org/officeDocument/2006/relationships/hyperlink" Target="https://www.leboncoin.fr/ad/voitures/3261154881" TargetMode="External" Id="rId663" /><Relationship Type="http://schemas.openxmlformats.org/officeDocument/2006/relationships/hyperlink" Target="https://www.leboncoin.fr/ad/voitures/3262231451" TargetMode="External" Id="rId664" /><Relationship Type="http://schemas.openxmlformats.org/officeDocument/2006/relationships/hyperlink" Target="https://www.leboncoin.fr/ad/voitures/3262231451" TargetMode="External" Id="rId665" /><Relationship Type="http://schemas.openxmlformats.org/officeDocument/2006/relationships/hyperlink" Target="https://www.leboncoin.fr/ad/voitures/3271644740" TargetMode="External" Id="rId666" /><Relationship Type="http://schemas.openxmlformats.org/officeDocument/2006/relationships/hyperlink" Target="https://www.leboncoin.fr/ad/voitures/3273010014" TargetMode="External" Id="rId667" /><Relationship Type="http://schemas.openxmlformats.org/officeDocument/2006/relationships/hyperlink" Target="https://www.leboncoin.fr/ad/voitures/3276458601" TargetMode="External" Id="rId668" /><Relationship Type="http://schemas.openxmlformats.org/officeDocument/2006/relationships/hyperlink" Target="https://www.leboncoin.fr/ad/voitures/3276459475" TargetMode="External" Id="rId669" /><Relationship Type="http://schemas.openxmlformats.org/officeDocument/2006/relationships/hyperlink" Target="https://www.leboncoin.fr/ad/voitures/3280273275" TargetMode="External" Id="rId670" /><Relationship Type="http://schemas.openxmlformats.org/officeDocument/2006/relationships/hyperlink" Target="https://www.leboncoin.fr/ad/voitures/3285387218" TargetMode="External" Id="rId671" /><Relationship Type="http://schemas.openxmlformats.org/officeDocument/2006/relationships/hyperlink" Target="https://www.leboncoin.fr/ad/voitures/3285622672" TargetMode="External" Id="rId672" /><Relationship Type="http://schemas.openxmlformats.org/officeDocument/2006/relationships/hyperlink" Target="https://www.leboncoin.fr/ad/voitures/3201621635" TargetMode="External" Id="rId673" /><Relationship Type="http://schemas.openxmlformats.org/officeDocument/2006/relationships/hyperlink" Target="https://www.leboncoin.fr/ad/voitures/3228654929" TargetMode="External" Id="rId674" /><Relationship Type="http://schemas.openxmlformats.org/officeDocument/2006/relationships/hyperlink" Target="https://www.leboncoin.fr/ad/voitures/3232797806" TargetMode="External" Id="rId675" /><Relationship Type="http://schemas.openxmlformats.org/officeDocument/2006/relationships/hyperlink" Target="https://www.leboncoin.fr/ad/voitures/3235601533" TargetMode="External" Id="rId676" /><Relationship Type="http://schemas.openxmlformats.org/officeDocument/2006/relationships/hyperlink" Target="https://www.leboncoin.fr/ad/voitures/3236310353" TargetMode="External" Id="rId677" /><Relationship Type="http://schemas.openxmlformats.org/officeDocument/2006/relationships/hyperlink" Target="https://www.leboncoin.fr/ad/voitures/3236310353" TargetMode="External" Id="rId678" /><Relationship Type="http://schemas.openxmlformats.org/officeDocument/2006/relationships/hyperlink" Target="https://www.leboncoin.fr/ad/voitures/3246605855" TargetMode="External" Id="rId679" /><Relationship Type="http://schemas.openxmlformats.org/officeDocument/2006/relationships/hyperlink" Target="https://www.leboncoin.fr/ad/voitures/3254091933" TargetMode="External" Id="rId680" /><Relationship Type="http://schemas.openxmlformats.org/officeDocument/2006/relationships/hyperlink" Target="https://www.leboncoin.fr/ad/voitures/3254592892" TargetMode="External" Id="rId681" /><Relationship Type="http://schemas.openxmlformats.org/officeDocument/2006/relationships/hyperlink" Target="https://www.leboncoin.fr/ad/voitures/3254592892" TargetMode="External" Id="rId682" /><Relationship Type="http://schemas.openxmlformats.org/officeDocument/2006/relationships/hyperlink" Target="https://www.leboncoin.fr/ad/voitures/3264401233" TargetMode="External" Id="rId683" /><Relationship Type="http://schemas.openxmlformats.org/officeDocument/2006/relationships/hyperlink" Target="https://www.leboncoin.fr/ad/voitures/3265072540" TargetMode="External" Id="rId684" /><Relationship Type="http://schemas.openxmlformats.org/officeDocument/2006/relationships/hyperlink" Target="https://www.leboncoin.fr/ad/voitures/3265411834" TargetMode="External" Id="rId685" /><Relationship Type="http://schemas.openxmlformats.org/officeDocument/2006/relationships/hyperlink" Target="https://www.leboncoin.fr/ad/voitures/3265418338" TargetMode="External" Id="rId686" /><Relationship Type="http://schemas.openxmlformats.org/officeDocument/2006/relationships/hyperlink" Target="https://www.leboncoin.fr/ad/voitures/3266701696" TargetMode="External" Id="rId687" /><Relationship Type="http://schemas.openxmlformats.org/officeDocument/2006/relationships/hyperlink" Target="https://www.leboncoin.fr/ad/voitures/3266949797" TargetMode="External" Id="rId688" /><Relationship Type="http://schemas.openxmlformats.org/officeDocument/2006/relationships/hyperlink" Target="https://www.leboncoin.fr/ad/voitures/3268258543" TargetMode="External" Id="rId689" /><Relationship Type="http://schemas.openxmlformats.org/officeDocument/2006/relationships/hyperlink" Target="https://www.leboncoin.fr/ad/voitures/3268824297" TargetMode="External" Id="rId690" /><Relationship Type="http://schemas.openxmlformats.org/officeDocument/2006/relationships/hyperlink" Target="https://www.leboncoin.fr/ad/voitures/3269180003" TargetMode="External" Id="rId691" /><Relationship Type="http://schemas.openxmlformats.org/officeDocument/2006/relationships/hyperlink" Target="https://www.leboncoin.fr/ad/voitures/3269220561" TargetMode="External" Id="rId692" /><Relationship Type="http://schemas.openxmlformats.org/officeDocument/2006/relationships/hyperlink" Target="https://www.leboncoin.fr/ad/voitures/3269820668" TargetMode="External" Id="rId693" /><Relationship Type="http://schemas.openxmlformats.org/officeDocument/2006/relationships/hyperlink" Target="https://www.leboncoin.fr/ad/voitures/3270178988" TargetMode="External" Id="rId694" /><Relationship Type="http://schemas.openxmlformats.org/officeDocument/2006/relationships/hyperlink" Target="https://www.leboncoin.fr/ad/voitures/3271251775" TargetMode="External" Id="rId695" /><Relationship Type="http://schemas.openxmlformats.org/officeDocument/2006/relationships/hyperlink" Target="https://www.leboncoin.fr/ad/voitures/3271536730" TargetMode="External" Id="rId696" /><Relationship Type="http://schemas.openxmlformats.org/officeDocument/2006/relationships/hyperlink" Target="https://www.leboncoin.fr/ad/voitures/3273813000" TargetMode="External" Id="rId697" /><Relationship Type="http://schemas.openxmlformats.org/officeDocument/2006/relationships/hyperlink" Target="https://www.leboncoin.fr/ad/voitures/3276478695" TargetMode="External" Id="rId698" /><Relationship Type="http://schemas.openxmlformats.org/officeDocument/2006/relationships/hyperlink" Target="https://www.leboncoin.fr/ad/voitures/3277403260" TargetMode="External" Id="rId699" /><Relationship Type="http://schemas.openxmlformats.org/officeDocument/2006/relationships/hyperlink" Target="https://www.leboncoin.fr/ad/voitures/3277928130" TargetMode="External" Id="rId700" /><Relationship Type="http://schemas.openxmlformats.org/officeDocument/2006/relationships/hyperlink" Target="https://www.leboncoin.fr/ad/voitures/3278196482" TargetMode="External" Id="rId701" /><Relationship Type="http://schemas.openxmlformats.org/officeDocument/2006/relationships/hyperlink" Target="https://www.leboncoin.fr/ad/voitures/3278551940" TargetMode="External" Id="rId702" /><Relationship Type="http://schemas.openxmlformats.org/officeDocument/2006/relationships/hyperlink" Target="https://www.leboncoin.fr/ad/voitures/3279054855" TargetMode="External" Id="rId703" /><Relationship Type="http://schemas.openxmlformats.org/officeDocument/2006/relationships/hyperlink" Target="https://www.leboncoin.fr/ad/voitures/3279265139" TargetMode="External" Id="rId704" /><Relationship Type="http://schemas.openxmlformats.org/officeDocument/2006/relationships/hyperlink" Target="https://www.leboncoin.fr/ad/voitures/3280012848" TargetMode="External" Id="rId705" /><Relationship Type="http://schemas.openxmlformats.org/officeDocument/2006/relationships/hyperlink" Target="https://www.leboncoin.fr/ad/voitures/3280760419" TargetMode="External" Id="rId706" /><Relationship Type="http://schemas.openxmlformats.org/officeDocument/2006/relationships/hyperlink" Target="https://www.leboncoin.fr/ad/voitures/3281895385" TargetMode="External" Id="rId707" /><Relationship Type="http://schemas.openxmlformats.org/officeDocument/2006/relationships/hyperlink" Target="https://www.leboncoin.fr/ad/voitures/3282160498" TargetMode="External" Id="rId708" /><Relationship Type="http://schemas.openxmlformats.org/officeDocument/2006/relationships/hyperlink" Target="https://www.leboncoin.fr/ad/voitures/3282185714" TargetMode="External" Id="rId709" /><Relationship Type="http://schemas.openxmlformats.org/officeDocument/2006/relationships/hyperlink" Target="https://www.leboncoin.fr/ad/voitures/3284375384" TargetMode="External" Id="rId710" /><Relationship Type="http://schemas.openxmlformats.org/officeDocument/2006/relationships/hyperlink" Target="https://www.leboncoin.fr/ad/voitures/3284985731" TargetMode="External" Id="rId711" /><Relationship Type="http://schemas.openxmlformats.org/officeDocument/2006/relationships/hyperlink" Target="https://www.leboncoin.fr/ad/voitures/3285167114" TargetMode="External" Id="rId712" /><Relationship Type="http://schemas.openxmlformats.org/officeDocument/2006/relationships/hyperlink" Target="https://www.leboncoin.fr/ad/voitures/3285168601" TargetMode="External" Id="rId713" /><Relationship Type="http://schemas.openxmlformats.org/officeDocument/2006/relationships/hyperlink" Target="https://www.leboncoin.fr/ad/voitures/3285782305" TargetMode="External" Id="rId714" /><Relationship Type="http://schemas.openxmlformats.org/officeDocument/2006/relationships/hyperlink" Target="https://www.leboncoin.fr/ad/voitures/3285996576" TargetMode="External" Id="rId715" /><Relationship Type="http://schemas.openxmlformats.org/officeDocument/2006/relationships/hyperlink" Target="https://www.leboncoin.fr/ad/voitures/3286579626" TargetMode="External" Id="rId716" /><Relationship Type="http://schemas.openxmlformats.org/officeDocument/2006/relationships/hyperlink" Target="https://www.leboncoin.fr/ad/voitures/3287201353" TargetMode="External" Id="rId717" /><Relationship Type="http://schemas.openxmlformats.org/officeDocument/2006/relationships/hyperlink" Target="https://www.leboncoin.fr/ad/voitures/3287724780" TargetMode="External" Id="rId718" /><Relationship Type="http://schemas.openxmlformats.org/officeDocument/2006/relationships/hyperlink" Target="https://www.leboncoin.fr/ad/voitures/3288007453" TargetMode="External" Id="rId719" /><Relationship Type="http://schemas.openxmlformats.org/officeDocument/2006/relationships/hyperlink" Target="https://www.leboncoin.fr/ad/voitures/3288029658" TargetMode="External" Id="rId720" /><Relationship Type="http://schemas.openxmlformats.org/officeDocument/2006/relationships/hyperlink" Target="https://www.leboncoin.fr/ad/voitures/3288055400" TargetMode="External" Id="rId721" /><Relationship Type="http://schemas.openxmlformats.org/officeDocument/2006/relationships/hyperlink" Target="https://www.leboncoin.fr/ad/voitures/3288098887" TargetMode="External" Id="rId722" /><Relationship Type="http://schemas.openxmlformats.org/officeDocument/2006/relationships/hyperlink" Target="https://www.leboncoin.fr/ad/voitures/3288361415" TargetMode="External" Id="rId723" /><Relationship Type="http://schemas.openxmlformats.org/officeDocument/2006/relationships/hyperlink" Target="https://www.leboncoin.fr/ad/voitures/3288442729" TargetMode="External" Id="rId724" /><Relationship Type="http://schemas.openxmlformats.org/officeDocument/2006/relationships/hyperlink" Target="https://www.leboncoin.fr/ad/voitures/3284612097" TargetMode="External" Id="rId725" /></Relationships>
</file>

<file path=xl/worksheets/_rels/sheet11.xml.rels><Relationships xmlns="http://schemas.openxmlformats.org/package/2006/relationships"><Relationship Type="http://schemas.openxmlformats.org/officeDocument/2006/relationships/hyperlink" Target="https://www.leboncoin.fr/ad/voitures/3287369967" TargetMode="External" Id="rId1" /><Relationship Type="http://schemas.openxmlformats.org/officeDocument/2006/relationships/hyperlink" Target="https://www.leboncoin.fr/ad/voitures/3234430383" TargetMode="External" Id="rId2" /><Relationship Type="http://schemas.openxmlformats.org/officeDocument/2006/relationships/hyperlink" Target="https://www.leboncoin.fr/ad/voitures/3271080732" TargetMode="External" Id="rId3" /><Relationship Type="http://schemas.openxmlformats.org/officeDocument/2006/relationships/hyperlink" Target="https://www.leboncoin.fr/ad/voitures/3287100326" TargetMode="External" Id="rId4" /><Relationship Type="http://schemas.openxmlformats.org/officeDocument/2006/relationships/hyperlink" Target="https://www.leboncoin.fr/ad/voitures/3269890983" TargetMode="External" Id="rId5" /><Relationship Type="http://schemas.openxmlformats.org/officeDocument/2006/relationships/hyperlink" Target="https://www.leboncoin.fr/ad/voitures/3288305043" TargetMode="External" Id="rId6" /><Relationship Type="http://schemas.openxmlformats.org/officeDocument/2006/relationships/hyperlink" Target="https://www.leboncoin.fr/ad/voitures/3267746572" TargetMode="External" Id="rId7" /><Relationship Type="http://schemas.openxmlformats.org/officeDocument/2006/relationships/hyperlink" Target="https://www.leboncoin.fr/ad/voitures/3270236878" TargetMode="External" Id="rId8" /><Relationship Type="http://schemas.openxmlformats.org/officeDocument/2006/relationships/hyperlink" Target="https://www.leboncoin.fr/ad/voitures/3273929462" TargetMode="External" Id="rId9" /><Relationship Type="http://schemas.openxmlformats.org/officeDocument/2006/relationships/hyperlink" Target="https://www.leboncoin.fr/ad/voitures/3284453819" TargetMode="External" Id="rId10" /><Relationship Type="http://schemas.openxmlformats.org/officeDocument/2006/relationships/hyperlink" Target="https://www.leboncoin.fr/ad/voitures/3261414202" TargetMode="External" Id="rId11" /><Relationship Type="http://schemas.openxmlformats.org/officeDocument/2006/relationships/hyperlink" Target="https://www.leboncoin.fr/ad/voitures/3237454171" TargetMode="External" Id="rId12" /><Relationship Type="http://schemas.openxmlformats.org/officeDocument/2006/relationships/hyperlink" Target="https://www.leboncoin.fr/ad/voitures/3268726676" TargetMode="External" Id="rId13" /><Relationship Type="http://schemas.openxmlformats.org/officeDocument/2006/relationships/hyperlink" Target="https://www.leboncoin.fr/ad/voitures/3287868399" TargetMode="External" Id="rId14" /><Relationship Type="http://schemas.openxmlformats.org/officeDocument/2006/relationships/hyperlink" Target="https://www.leboncoin.fr/ad/voitures/3282432895" TargetMode="External" Id="rId15" /><Relationship Type="http://schemas.openxmlformats.org/officeDocument/2006/relationships/hyperlink" Target="https://www.leboncoin.fr/ad/voitures/3275564839" TargetMode="External" Id="rId16" /><Relationship Type="http://schemas.openxmlformats.org/officeDocument/2006/relationships/hyperlink" Target="https://www.leboncoin.fr/ad/voitures/3235223068" TargetMode="External" Id="rId17" /><Relationship Type="http://schemas.openxmlformats.org/officeDocument/2006/relationships/hyperlink" Target="https://www.leboncoin.fr/ad/voitures/3287649228" TargetMode="External" Id="rId18" /><Relationship Type="http://schemas.openxmlformats.org/officeDocument/2006/relationships/hyperlink" Target="https://www.leboncoin.fr/ad/voitures/3273170431" TargetMode="External" Id="rId19" /><Relationship Type="http://schemas.openxmlformats.org/officeDocument/2006/relationships/hyperlink" Target="https://www.leboncoin.fr/ad/voitures/3267921242" TargetMode="External" Id="rId20" /><Relationship Type="http://schemas.openxmlformats.org/officeDocument/2006/relationships/hyperlink" Target="https://www.leboncoin.fr/ad/voitures/3177027931" TargetMode="External" Id="rId21" /><Relationship Type="http://schemas.openxmlformats.org/officeDocument/2006/relationships/hyperlink" Target="https://www.leboncoin.fr/ad/voitures/3270232311" TargetMode="External" Id="rId22" /><Relationship Type="http://schemas.openxmlformats.org/officeDocument/2006/relationships/hyperlink" Target="https://www.leboncoin.fr/ad/voitures/3272452236" TargetMode="External" Id="rId23" /><Relationship Type="http://schemas.openxmlformats.org/officeDocument/2006/relationships/hyperlink" Target="https://www.leboncoin.fr/ad/voitures/3282702066" TargetMode="External" Id="rId24" /><Relationship Type="http://schemas.openxmlformats.org/officeDocument/2006/relationships/hyperlink" Target="https://www.leboncoin.fr/ad/voitures/3254395601" TargetMode="External" Id="rId25" /><Relationship Type="http://schemas.openxmlformats.org/officeDocument/2006/relationships/hyperlink" Target="https://www.leboncoin.fr/ad/voitures/3287607190" TargetMode="External" Id="rId26" /><Relationship Type="http://schemas.openxmlformats.org/officeDocument/2006/relationships/hyperlink" Target="https://www.leboncoin.fr/ad/voitures/3285038445" TargetMode="External" Id="rId27" /><Relationship Type="http://schemas.openxmlformats.org/officeDocument/2006/relationships/hyperlink" Target="https://www.leboncoin.fr/ad/voitures/3287626619" TargetMode="External" Id="rId28" /><Relationship Type="http://schemas.openxmlformats.org/officeDocument/2006/relationships/hyperlink" Target="https://www.leboncoin.fr/ad/voitures/3283596303" TargetMode="External" Id="rId29" /><Relationship Type="http://schemas.openxmlformats.org/officeDocument/2006/relationships/hyperlink" Target="https://www.leboncoin.fr/ad/voitures/3264837795" TargetMode="External" Id="rId30" /><Relationship Type="http://schemas.openxmlformats.org/officeDocument/2006/relationships/hyperlink" Target="https://www.leboncoin.fr/ad/voitures/3277403260" TargetMode="External" Id="rId31" /><Relationship Type="http://schemas.openxmlformats.org/officeDocument/2006/relationships/hyperlink" Target="https://www.leboncoin.fr/ad/voitures/3288612753" TargetMode="External" Id="rId32" /><Relationship Type="http://schemas.openxmlformats.org/officeDocument/2006/relationships/hyperlink" Target="https://www.leboncoin.fr/ad/voitures/3285271531" TargetMode="External" Id="rId33" /><Relationship Type="http://schemas.openxmlformats.org/officeDocument/2006/relationships/hyperlink" Target="https://www.leboncoin.fr/ad/voitures/3262191550" TargetMode="External" Id="rId34" /><Relationship Type="http://schemas.openxmlformats.org/officeDocument/2006/relationships/hyperlink" Target="https://www.leboncoin.fr/ad/voitures/3208497714" TargetMode="External" Id="rId35" /><Relationship Type="http://schemas.openxmlformats.org/officeDocument/2006/relationships/hyperlink" Target="https://www.leboncoin.fr/ad/voitures/3211730689" TargetMode="External" Id="rId36" /><Relationship Type="http://schemas.openxmlformats.org/officeDocument/2006/relationships/hyperlink" Target="https://www.leboncoin.fr/ad/voitures/3287894943" TargetMode="External" Id="rId37" /><Relationship Type="http://schemas.openxmlformats.org/officeDocument/2006/relationships/hyperlink" Target="https://www.leboncoin.fr/ad/voitures/3281973414" TargetMode="External" Id="rId38" /><Relationship Type="http://schemas.openxmlformats.org/officeDocument/2006/relationships/hyperlink" Target="https://www.leboncoin.fr/ad/voitures/3284050430" TargetMode="External" Id="rId39" /><Relationship Type="http://schemas.openxmlformats.org/officeDocument/2006/relationships/hyperlink" Target="https://www.leboncoin.fr/ad/voitures/3276478695" TargetMode="External" Id="rId40" /><Relationship Type="http://schemas.openxmlformats.org/officeDocument/2006/relationships/hyperlink" Target="https://www.leboncoin.fr/ad/voitures/3265072540" TargetMode="External" Id="rId41" /><Relationship Type="http://schemas.openxmlformats.org/officeDocument/2006/relationships/hyperlink" Target="https://www.leboncoin.fr/ad/voitures/3282993849" TargetMode="External" Id="rId42" /><Relationship Type="http://schemas.openxmlformats.org/officeDocument/2006/relationships/hyperlink" Target="https://www.leboncoin.fr/ad/voitures/3213417811" TargetMode="External" Id="rId43" /><Relationship Type="http://schemas.openxmlformats.org/officeDocument/2006/relationships/hyperlink" Target="https://www.leboncoin.fr/ad/voitures/3279054855" TargetMode="External" Id="rId44" /><Relationship Type="http://schemas.openxmlformats.org/officeDocument/2006/relationships/hyperlink" Target="https://www.leboncoin.fr/ad/voitures/3277850572" TargetMode="External" Id="rId45" /><Relationship Type="http://schemas.openxmlformats.org/officeDocument/2006/relationships/hyperlink" Target="https://www.leboncoin.fr/ad/voitures/3251217335" TargetMode="External" Id="rId46" /><Relationship Type="http://schemas.openxmlformats.org/officeDocument/2006/relationships/hyperlink" Target="https://www.leboncoin.fr/ad/voitures/3287385983" TargetMode="External" Id="rId47" /><Relationship Type="http://schemas.openxmlformats.org/officeDocument/2006/relationships/hyperlink" Target="https://www.leboncoin.fr/ad/voitures/3267627094" TargetMode="External" Id="rId48" /><Relationship Type="http://schemas.openxmlformats.org/officeDocument/2006/relationships/hyperlink" Target="https://www.leboncoin.fr/ad/voitures/3285167114" TargetMode="External" Id="rId49" /><Relationship Type="http://schemas.openxmlformats.org/officeDocument/2006/relationships/hyperlink" Target="https://www.leboncoin.fr/ad/voitures/3152592919" TargetMode="External" Id="rId50" /><Relationship Type="http://schemas.openxmlformats.org/officeDocument/2006/relationships/hyperlink" Target="https://www.leboncoin.fr/ad/voitures/3278139565" TargetMode="External" Id="rId51" /><Relationship Type="http://schemas.openxmlformats.org/officeDocument/2006/relationships/hyperlink" Target="https://www.leboncoin.fr/ad/voitures/3272892582" TargetMode="External" Id="rId52" /><Relationship Type="http://schemas.openxmlformats.org/officeDocument/2006/relationships/hyperlink" Target="https://www.leboncoin.fr/ad/voitures/3280631151" TargetMode="External" Id="rId53" /><Relationship Type="http://schemas.openxmlformats.org/officeDocument/2006/relationships/hyperlink" Target="https://www.leboncoin.fr/ad/voitures/3288187003" TargetMode="External" Id="rId54" /><Relationship Type="http://schemas.openxmlformats.org/officeDocument/2006/relationships/hyperlink" Target="https://www.leboncoin.fr/ad/voitures/3283563302" TargetMode="External" Id="rId55" /><Relationship Type="http://schemas.openxmlformats.org/officeDocument/2006/relationships/hyperlink" Target="https://www.leboncoin.fr/ad/voitures/3283621933" TargetMode="External" Id="rId56" /><Relationship Type="http://schemas.openxmlformats.org/officeDocument/2006/relationships/hyperlink" Target="https://www.leboncoin.fr/ad/voitures/3271215938" TargetMode="External" Id="rId57" /><Relationship Type="http://schemas.openxmlformats.org/officeDocument/2006/relationships/hyperlink" Target="https://www.leboncoin.fr/ad/voitures/3284862818" TargetMode="External" Id="rId58" /><Relationship Type="http://schemas.openxmlformats.org/officeDocument/2006/relationships/hyperlink" Target="https://www.leboncoin.fr/ad/voitures/3266721735" TargetMode="External" Id="rId59" /><Relationship Type="http://schemas.openxmlformats.org/officeDocument/2006/relationships/hyperlink" Target="https://www.leboncoin.fr/ad/voitures/3244949226" TargetMode="External" Id="rId60" /><Relationship Type="http://schemas.openxmlformats.org/officeDocument/2006/relationships/hyperlink" Target="https://www.leboncoin.fr/ad/voitures/3237198765" TargetMode="External" Id="rId61" /><Relationship Type="http://schemas.openxmlformats.org/officeDocument/2006/relationships/hyperlink" Target="https://www.leboncoin.fr/ad/voitures/3261154881" TargetMode="External" Id="rId62" /><Relationship Type="http://schemas.openxmlformats.org/officeDocument/2006/relationships/hyperlink" Target="https://www.leboncoin.fr/ad/voitures/3241156907" TargetMode="External" Id="rId63" /></Relationships>
</file>

<file path=xl/worksheets/_rels/sheet12.xml.rels><Relationships xmlns="http://schemas.openxmlformats.org/package/2006/relationships"><Relationship Type="http://schemas.openxmlformats.org/officeDocument/2006/relationships/hyperlink" Target="https://www.leboncoin.fr/recherche?category=2&amp;text=208+gti+30th&amp;regdate=2014-2016" TargetMode="External" Id="rId1" /><Relationship Type="http://schemas.openxmlformats.org/officeDocument/2006/relationships/hyperlink" Target="https://www.leboncoin.fr/recherche?category=2&amp;text=911+997+carrera+s&amp;regdate=2004-2012" TargetMode="External" Id="rId2" /><Relationship Type="http://schemas.openxmlformats.org/officeDocument/2006/relationships/hyperlink" Target="https://www.leboncoin.fr/recherche?category=2&amp;text=boxster+986&amp;regdate=1996-2004" TargetMode="External" Id="rId3" /><Relationship Type="http://schemas.openxmlformats.org/officeDocument/2006/relationships/hyperlink" Target="https://www.leboncoin.fr/recherche?category=2&amp;text=boxster+987&amp;regdate=2005-2012" TargetMode="External" Id="rId4" /><Relationship Type="http://schemas.openxmlformats.org/officeDocument/2006/relationships/hyperlink" Target="https://www.leboncoin.fr/recherche?category=2&amp;text=twingo+toit+ouvrant&amp;regdate=1993-2007" TargetMode="External" Id="rId5" /><Relationship Type="http://schemas.openxmlformats.org/officeDocument/2006/relationships/hyperlink" Target="https://www.leboncoin.fr/recherche?category=2&amp;text=206+rc&amp;regdate=2003-2007" TargetMode="External" Id="rId6" /><Relationship Type="http://schemas.openxmlformats.org/officeDocument/2006/relationships/hyperlink" Target="https://www.leboncoin.fr/recherche?category=2&amp;text=clio+rs&amp;regdate=2000-2006" TargetMode="External" Id="rId7" /><Relationship Type="http://schemas.openxmlformats.org/officeDocument/2006/relationships/hyperlink" Target="https://www.leboncoin.fr/recherche?category=2&amp;text=saxo+vts&amp;regdate=1997-2004" TargetMode="External" Id="rId8" /><Relationship Type="http://schemas.openxmlformats.org/officeDocument/2006/relationships/hyperlink" Target="https://www.leboncoin.fr/recherche?category=2&amp;text=306+s16&amp;regdate=1993-2001" TargetMode="External" Id="rId9" /><Relationship Type="http://schemas.openxmlformats.org/officeDocument/2006/relationships/hyperlink" Target="https://www.leboncoin.fr/recherche?category=2&amp;text=bmw+z3&amp;regdate=1996-2002" TargetMode="External" Id="rId10" /><Relationship Type="http://schemas.openxmlformats.org/officeDocument/2006/relationships/hyperlink" Target="https://www.leboncoin.fr/recherche?category=2&amp;text=golf+gti+25&amp;regdate=2001-2002" TargetMode="External" Id="rId11" /><Relationship Type="http://schemas.openxmlformats.org/officeDocument/2006/relationships/hyperlink" Target="https://www.leboncoin.fr/recherche?category=2&amp;text=alfa+156+v6&amp;regdate=1997-2005" TargetMode="External" Id="rId12" /><Relationship Type="http://schemas.openxmlformats.org/officeDocument/2006/relationships/hyperlink" Target="https://www.leboncoin.fr/recherche?category=2&amp;text=mazda+mx5&amp;regdate=1989-1998" TargetMode="External" Id="rId13" /><Relationship Type="http://schemas.openxmlformats.org/officeDocument/2006/relationships/hyperlink" Target="https://www.leboncoin.fr/recherche?category=2&amp;text=205+gti&amp;regdate=1984-1994" TargetMode="External" Id="rId14" /><Relationship Type="http://schemas.openxmlformats.org/officeDocument/2006/relationships/hyperlink" Target="https://www.leboncoin.fr/recherche?category=2&amp;text=honda+s2000&amp;regdate=1999-2009" TargetMode="External" Id="rId15" /><Relationship Type="http://schemas.openxmlformats.org/officeDocument/2006/relationships/hyperlink" Target="https://www.leboncoin.fr/recherche?category=2&amp;text=megane+rs+r26&amp;regdate=2007-2009" TargetMode="External" Id="rId16" /></Relationships>
</file>

<file path=xl/worksheets/sheet1.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26" customWidth="1" min="1" max="1"/>
    <col width="100" customWidth="1" min="2" max="2"/>
  </cols>
  <sheetData>
    <row r="1">
      <c r="A1" s="1" t="inlineStr">
        <is>
          <t>COTE — base de suivi des cotes</t>
        </is>
      </c>
    </row>
    <row r="3">
      <c r="A3" s="2" t="inlineStr">
        <is>
          <t>Généré le</t>
        </is>
      </c>
      <c r="B3" s="3" t="n">
        <v>46310</v>
      </c>
    </row>
    <row r="4">
      <c r="A4" s="2" t="inlineStr">
        <is>
          <t>Dernier relevé</t>
        </is>
      </c>
      <c r="B4" s="3" t="n">
        <v>46310</v>
      </c>
    </row>
    <row r="5">
      <c r="A5" s="2" t="inlineStr">
        <is>
          <t>Dashboard</t>
        </is>
      </c>
      <c r="B5" s="4" t="inlineStr">
        <is>
          <t>https://mattchampavier-ui.github.io/cote-auto/</t>
        </is>
      </c>
    </row>
    <row r="6">
      <c r="A6" s="2" t="inlineStr"/>
      <c r="B6" s="5" t="inlineStr"/>
    </row>
    <row r="7">
      <c r="A7" s="2" t="inlineStr">
        <is>
          <t>Fonctionnement</t>
        </is>
      </c>
      <c r="B7" s="5" t="inlineStr">
        <is>
          <t>Ce fichier est régénéré automatiquement à chaque relevé (chaque lundi et le 1er du mois) à partir de tout l'historique.</t>
        </is>
      </c>
    </row>
    <row r="8">
      <c r="A8" s="2" t="inlineStr"/>
      <c r="B8" s="5" t="inlineStr">
        <is>
          <t>Il est aussi joint au récap mensuel par mail. Toute modification faite à la main ici sera écrasée : enregistre une copie pour annoter.</t>
        </is>
      </c>
    </row>
    <row r="9">
      <c r="A9" s="2" t="inlineStr"/>
      <c r="B9" s="5" t="inlineStr"/>
    </row>
    <row r="10">
      <c r="A10" s="2" t="inlineStr">
        <is>
          <t>Onglets</t>
        </is>
      </c>
      <c r="B10" s="5" t="inlineStr"/>
    </row>
    <row r="11">
      <c r="A11" s="2" t="inlineStr">
        <is>
          <t>Analyse du mois</t>
        </is>
      </c>
      <c r="B11" s="5" t="inlineStr">
        <is>
          <t>Situation actuelle de chaque véhicule : score, signal, prix, tendances, offre, ventes. Indicateurs clés en haut.</t>
        </is>
      </c>
    </row>
    <row r="12">
      <c r="A12" s="2" t="inlineStr">
        <is>
          <t>Historique mensuel</t>
        </is>
      </c>
      <c r="B12" s="5" t="inlineStr">
        <is>
          <t>Une ligne par véhicule et par mois (dernier relevé du mois). Variations vs mois précédent calculées par formule.</t>
        </is>
      </c>
    </row>
    <row r="13">
      <c r="A13" s="2" t="inlineStr">
        <is>
          <t>Médianes par mois</t>
        </is>
      </c>
      <c r="B13" s="5" t="inlineStr">
        <is>
          <t>Tableau croisé véhicule × mois des prix médians (formules sur l'onglet Historique mensuel).</t>
        </is>
      </c>
    </row>
    <row r="14">
      <c r="A14" s="2" t="inlineStr">
        <is>
          <t>Indice base 100</t>
        </is>
      </c>
      <c r="B14" s="5" t="inlineStr">
        <is>
          <t>Évolution de la médiane depuis le premier mois suivi (100 = premier mois), avec graphique.</t>
        </is>
      </c>
    </row>
    <row r="15">
      <c r="A15" s="2" t="inlineStr">
        <is>
          <t>Relevés</t>
        </is>
      </c>
      <c r="B15" s="5" t="inlineStr">
        <is>
          <t>Tous les relevés bruts, y compris l'amorce manuelle de septembre 2026.</t>
        </is>
      </c>
    </row>
    <row r="16">
      <c r="A16" s="2" t="inlineStr">
        <is>
          <t>Annonces</t>
        </is>
      </c>
      <c r="B16" s="5" t="inlineStr">
        <is>
          <t>Chaque annonce avec tout ce que fournit LeBonCoin : version et finition exactes, prix, ancien prix, estimation de prix LeBonCoin (min/max, positionnement), km, année, mise en circulation, carburant, boîte, puissance, couleur, entretien, historique, vendeur pro/particulier, localisation, photos, description ; durée en ligne et baisses de prix.</t>
        </is>
      </c>
    </row>
    <row r="17">
      <c r="A17" s="2" t="inlineStr">
        <is>
          <t>Historique des prix</t>
        </is>
      </c>
      <c r="B17" s="5" t="inlineStr">
        <is>
          <t>Chaque prix relevé pour chaque annonce, avec l'évolution d'un relevé à l'autre.</t>
        </is>
      </c>
    </row>
    <row r="18">
      <c r="A18" s="2" t="inlineStr">
        <is>
          <t>Par année-modèle</t>
        </is>
      </c>
      <c r="B18" s="5" t="inlineStr">
        <is>
          <t>Prix moyen, plus bas, plus haut et km moyen par véhicule et par année-modèle (annonces en vente).</t>
        </is>
      </c>
    </row>
    <row r="19">
      <c r="A19" s="2" t="inlineStr">
        <is>
          <t>Par kilométrage</t>
        </is>
      </c>
      <c r="B19" s="5" t="inlineStr">
        <is>
          <t>Mêmes indicateurs par tranche de kilométrage : mesure la décote liée au km.</t>
        </is>
      </c>
    </row>
    <row r="20">
      <c r="A20" s="2" t="inlineStr">
        <is>
          <t>Bonnes affaires</t>
        </is>
      </c>
      <c r="B20" s="5" t="inlineStr">
        <is>
          <t>Annonces du dernier relevé au moins 15 % sous la cote attendue pour leur kilométrage.</t>
        </is>
      </c>
    </row>
    <row r="21">
      <c r="A21" s="2" t="inlineStr">
        <is>
          <t>Véhicules</t>
        </is>
      </c>
      <c r="B21" s="5" t="inlineStr">
        <is>
          <t>Liste des véhicules suivis ou retirés et leurs critères de recherche.</t>
        </is>
      </c>
    </row>
    <row r="22">
      <c r="A22" s="2" t="inlineStr"/>
      <c r="B22" s="5" t="inlineStr"/>
    </row>
    <row r="23">
      <c r="A23" s="2" t="inlineStr">
        <is>
          <t>Définitions</t>
        </is>
      </c>
      <c r="B23" s="5" t="inlineStr"/>
    </row>
    <row r="24">
      <c r="A24" s="2" t="inlineStr">
        <is>
          <t>Médiane</t>
        </is>
      </c>
      <c r="B24" s="5" t="inlineStr">
        <is>
          <t>Prix médian des annonces retenues (après filtres : pièces, épaves, autres versions, doublons, prix aberrants).</t>
        </is>
      </c>
    </row>
    <row r="25">
      <c r="A25" s="2" t="inlineStr">
        <is>
          <t>Cote à km réf.</t>
        </is>
      </c>
      <c r="B25" s="5" t="inlineStr">
        <is>
          <t>Prix attendu à un kilométrage de référence fixe (régression prix/km) : compare les mois sans biais de kilométrage.</t>
        </is>
      </c>
    </row>
    <row r="26">
      <c r="A26" s="2" t="inlineStr">
        <is>
          <t>Position fourchette</t>
        </is>
      </c>
      <c r="B26" s="5" t="inlineStr">
        <is>
          <t>0 % = au plancher, 100 % = au plafond de prix observé (ou saisi pendant les 3 premiers mois).</t>
        </is>
      </c>
    </row>
    <row r="27">
      <c r="A27" s="2" t="inlineStr">
        <is>
          <t>Score</t>
        </is>
      </c>
      <c r="B27" s="5" t="inlineStr">
        <is>
          <t>Sur 100 : rareté 20 %, désirabilité 20 %, « dernier de » 10 %, proximité du plancher 20 %, momentum 15 %, marché 15 %.</t>
        </is>
      </c>
    </row>
    <row r="28">
      <c r="A28" s="2" t="inlineStr">
        <is>
          <t>Ventes</t>
        </is>
      </c>
      <c r="B28" s="5" t="inlineStr">
        <is>
          <t>Annonces disparues entre deux relevés. Une annonce peut aussi être retirée sans vente : c'est une estimation.</t>
        </is>
      </c>
    </row>
    <row r="29">
      <c r="A29" s="2" t="inlineStr">
        <is>
          <t>Avertissement</t>
        </is>
      </c>
      <c r="B29" s="5" t="inlineStr">
        <is>
          <t>Outil de suivi de marché, pas un conseil d'achat.</t>
        </is>
      </c>
    </row>
  </sheetData>
  <hyperlinks>
    <hyperlink xmlns:r="http://schemas.openxmlformats.org/officeDocument/2006/relationships" ref="B5" r:id="rId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4"/>
  <sheetViews>
    <sheetView showGridLines="0" workbookViewId="0">
      <pane xSplit="1" ySplit="8" topLeftCell="B9" activePane="bottomRight" state="frozen"/>
      <selection pane="topRight"/>
      <selection pane="bottomLeft"/>
      <selection pane="bottomRight" activeCell="A1" sqref="A1"/>
    </sheetView>
  </sheetViews>
  <sheetFormatPr baseColWidth="8" defaultRowHeight="15"/>
  <cols>
    <col width="34" customWidth="1" min="1" max="1"/>
    <col width="30" customWidth="1" min="2" max="2"/>
    <col width="10" customWidth="1" min="3" max="3"/>
    <col width="15"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3" customWidth="1" min="12" max="12"/>
    <col width="12" customWidth="1" min="13" max="13"/>
    <col width="10" customWidth="1" min="14" max="14"/>
    <col width="10" customWidth="1" min="15" max="15"/>
    <col width="10" customWidth="1" min="16" max="16"/>
    <col width="10" customWidth="1" min="17" max="17"/>
    <col width="9" customWidth="1" min="18" max="18"/>
    <col width="11" customWidth="1" min="19" max="19"/>
    <col width="10" customWidth="1" min="20" max="20"/>
    <col width="11" customWidth="1" min="21" max="21"/>
    <col width="11" customWidth="1" min="22" max="22"/>
    <col width="9" customWidth="1" min="23" max="23"/>
    <col width="13" customWidth="1" min="24" max="24"/>
    <col width="11" customWidth="1" min="25" max="25"/>
    <col width="12" customWidth="1" min="26" max="26"/>
    <col width="12" customWidth="1" min="27" max="27"/>
    <col width="12" customWidth="1" min="28" max="28"/>
    <col width="12" customWidth="1" min="29" max="29"/>
  </cols>
  <sheetData>
    <row r="1">
      <c r="A1" s="1" t="inlineStr">
        <is>
          <t>Analyse au 15/10/2026</t>
        </is>
      </c>
    </row>
    <row r="3">
      <c r="A3" s="6" t="inlineStr">
        <is>
          <t>Véhicules suivis</t>
        </is>
      </c>
      <c r="C3" s="6" t="inlineStr">
        <is>
          <t>Score moyen</t>
        </is>
      </c>
      <c r="E3" s="6" t="inlineStr">
        <is>
          <t>Annonces actives</t>
        </is>
      </c>
    </row>
    <row r="4">
      <c r="A4" s="7">
        <f>COUNTA(A9:A24)</f>
        <v/>
      </c>
      <c r="C4" s="8">
        <f>IFERROR(AVERAGEIF(N9:N24,"&gt;0",C9:C24),0)</f>
        <v/>
      </c>
      <c r="E4" s="7">
        <f>SUM(N9:N24)</f>
        <v/>
      </c>
    </row>
    <row r="5">
      <c r="A5" s="6" t="inlineStr">
        <is>
          <t>Ventes sur 30 jours</t>
        </is>
      </c>
      <c r="C5" s="6" t="inlineStr">
        <is>
          <t>Signaux d'achat</t>
        </is>
      </c>
      <c r="E5" s="6" t="inlineStr">
        <is>
          <t>Bonnes affaires</t>
        </is>
      </c>
    </row>
    <row r="6">
      <c r="A6" s="7">
        <f>SUM(O9:O24)</f>
        <v/>
      </c>
      <c r="C6" s="7">
        <f>COUNTIF(D9:D24,"Signal d'achat")</f>
        <v/>
      </c>
      <c r="E6" s="7">
        <f>SUM(Q9:Q24)</f>
        <v/>
      </c>
    </row>
    <row r="8" ht="30" customHeight="1">
      <c r="A8" s="9" t="inlineStr">
        <is>
          <t>Véhicule</t>
        </is>
      </c>
      <c r="B8" s="9" t="inlineStr">
        <is>
          <t>Catégorie</t>
        </is>
      </c>
      <c r="C8" s="9" t="inlineStr">
        <is>
          <t>Score /100</t>
        </is>
      </c>
      <c r="D8" s="9" t="inlineStr">
        <is>
          <t>Signal</t>
        </is>
      </c>
      <c r="E8" s="9" t="inlineStr">
        <is>
          <t>Médiane</t>
        </is>
      </c>
      <c r="F8" s="9" t="inlineStr">
        <is>
          <t>Plancher</t>
        </is>
      </c>
      <c r="G8" s="9" t="inlineStr">
        <is>
          <t>Plafond</t>
        </is>
      </c>
      <c r="H8" s="9" t="inlineStr">
        <is>
          <t>Position fourchette</t>
        </is>
      </c>
      <c r="I8" s="9" t="inlineStr">
        <is>
          <t>Tendance 1 mois</t>
        </is>
      </c>
      <c r="J8" s="9" t="inlineStr">
        <is>
          <t>Tendance 3 mois</t>
        </is>
      </c>
      <c r="K8" s="9" t="inlineStr">
        <is>
          <t>Tendance 12 mois</t>
        </is>
      </c>
      <c r="L8" s="9" t="inlineStr">
        <is>
          <t>Cote à km réf.</t>
        </is>
      </c>
      <c r="M8" s="9" t="inlineStr">
        <is>
          <t>Km réf.</t>
        </is>
      </c>
      <c r="N8" s="9" t="inlineStr">
        <is>
          <t>Annonces</t>
        </is>
      </c>
      <c r="O8" s="9" t="inlineStr">
        <is>
          <t>Vendues (30 j)</t>
        </is>
      </c>
      <c r="P8" s="9" t="inlineStr">
        <is>
          <t>Délai de vente</t>
        </is>
      </c>
      <c r="Q8" s="9" t="inlineStr">
        <is>
          <t>Bonnes affaires</t>
        </is>
      </c>
      <c r="R8" s="9" t="inlineStr">
        <is>
          <t>Rareté</t>
        </is>
      </c>
      <c r="S8" s="9" t="inlineStr">
        <is>
          <t>Désirabilité</t>
        </is>
      </c>
      <c r="T8" s="9" t="inlineStr">
        <is>
          <t>Dernier de</t>
        </is>
      </c>
      <c r="U8" s="9" t="inlineStr">
        <is>
          <t>Proximité plancher</t>
        </is>
      </c>
      <c r="V8" s="9" t="inlineStr">
        <is>
          <t>Momentum</t>
        </is>
      </c>
      <c r="W8" s="9" t="inlineStr">
        <is>
          <t>Marché</t>
        </is>
      </c>
      <c r="X8" s="9" t="inlineStr">
        <is>
          <t>Dernier relevé</t>
        </is>
      </c>
      <c r="Y8" s="9" t="inlineStr">
        <is>
          <t>LeBonCoin</t>
        </is>
      </c>
      <c r="Z8" s="9" t="inlineStr">
        <is>
          <t>Part de pros (en vente)</t>
        </is>
      </c>
      <c r="AA8" s="9" t="inlineStr">
        <is>
          <t>Part avec carnet d'entretien</t>
        </is>
      </c>
      <c r="AB8" s="9" t="inlineStr">
        <is>
          <t>Écart moyen vs estimation LBC</t>
        </is>
      </c>
      <c r="AC8" s="9" t="inlineStr">
        <is>
          <t>Jours en ligne moyens</t>
        </is>
      </c>
    </row>
    <row r="9">
      <c r="A9" s="10" t="inlineStr">
        <is>
          <t>Peugeot 208 GTi 30th</t>
        </is>
      </c>
      <c r="B9" s="10" t="inlineStr">
        <is>
          <t>Hot-hatch récente à tirage limité</t>
        </is>
      </c>
      <c r="C9" s="11" t="n">
        <v>70.2</v>
      </c>
      <c r="D9" s="10" t="inlineStr">
        <is>
          <t>Signal d'achat</t>
        </is>
      </c>
      <c r="E9" s="12" t="n">
        <v>15900</v>
      </c>
      <c r="F9" s="12" t="n">
        <v>12000</v>
      </c>
      <c r="G9" s="12" t="n">
        <v>24000</v>
      </c>
      <c r="H9" s="13">
        <f>IF(AND(ISNUMBER(E9),ISNUMBER(F9),ISNUMBER(G9),G9&gt;F9),(E9-F9)/(G9-F9),"")</f>
        <v/>
      </c>
      <c r="I9" s="14" t="n"/>
      <c r="J9" s="14" t="n"/>
      <c r="K9" s="14" t="n"/>
      <c r="L9" s="12" t="n">
        <v>15360</v>
      </c>
      <c r="M9" s="15" t="n">
        <v>100000</v>
      </c>
      <c r="N9" s="16" t="n">
        <v>11</v>
      </c>
      <c r="O9" s="16" t="n">
        <v>2</v>
      </c>
      <c r="P9" s="17" t="n">
        <v>61</v>
      </c>
      <c r="Q9" s="16" t="n">
        <v>2</v>
      </c>
      <c r="R9" s="16" t="n">
        <v>85</v>
      </c>
      <c r="S9" s="16" t="n">
        <v>80</v>
      </c>
      <c r="T9" s="16" t="n">
        <v>65</v>
      </c>
      <c r="U9" s="16" t="n">
        <v>68</v>
      </c>
      <c r="V9" s="16" t="n">
        <v>50</v>
      </c>
      <c r="W9" s="16" t="n">
        <v>65</v>
      </c>
      <c r="X9" s="18" t="n">
        <v>46310</v>
      </c>
      <c r="Y9" s="19" t="inlineStr">
        <is>
          <t>Voir</t>
        </is>
      </c>
      <c r="Z9" s="13">
        <f>IFERROR(COUNTIFS(Annonces!$A$2:$A$701,$A9,Annonces!$E$2:$E$701,"En vente",Annonces!$AF$2:$AF$701,"Pro")/COUNTIFS(Annonces!$A$2:$A$701,$A9,Annonces!$E$2:$E$701,"En vente",Annonces!$AF$2:$AF$701,"&lt;&gt;"),"")</f>
        <v/>
      </c>
      <c r="AA9" s="13">
        <f>IFERROR(COUNTIFS(Annonces!$A$2:$A$701,$A9,Annonces!$E$2:$E$701,"En vente",Annonces!$AD$2:$AD$701,"*arnet*")/COUNTIFS(Annonces!$A$2:$A$701,$A9,Annonces!$E$2:$E$701,"En vente",Annonces!$AD$2:$AD$701,"&lt;&gt;"),"")</f>
        <v/>
      </c>
      <c r="AB9" s="14">
        <f>IFERROR(AVERAGEIFS(Annonces!$R$2:$R$701,Annonces!$A$2:$A$701,$A9,Annonces!$E$2:$E$701,"En vente"),"")</f>
        <v/>
      </c>
      <c r="AC9" s="17">
        <f>IFERROR(AVERAGEIFS(Annonces!$J$2:$J$701,Annonces!$A$2:$A$701,$A9,Annonces!$E$2:$E$701,"En vente"),"")</f>
        <v/>
      </c>
    </row>
    <row r="10">
      <c r="A10" s="10" t="inlineStr">
        <is>
          <t>Porsche 911 997 Carrera S</t>
        </is>
      </c>
      <c r="B10" s="10" t="inlineStr">
        <is>
          <t>Sportive iconique</t>
        </is>
      </c>
      <c r="C10" s="11" t="n">
        <v>68.90000000000001</v>
      </c>
      <c r="D10" s="10" t="inlineStr">
        <is>
          <t>Signal d'achat</t>
        </is>
      </c>
      <c r="E10" s="12" t="n">
        <v>54990</v>
      </c>
      <c r="F10" s="12" t="n">
        <v>40000</v>
      </c>
      <c r="G10" s="12" t="n">
        <v>75000</v>
      </c>
      <c r="H10" s="13">
        <f>IF(AND(ISNUMBER(E10),ISNUMBER(F10),ISNUMBER(G10),G10&gt;F10),(E10-F10)/(G10-F10),"")</f>
        <v/>
      </c>
      <c r="I10" s="14" t="n"/>
      <c r="J10" s="14" t="n"/>
      <c r="K10" s="14" t="n"/>
      <c r="L10" s="12" t="n">
        <v>55870</v>
      </c>
      <c r="M10" s="15" t="n">
        <v>100000</v>
      </c>
      <c r="N10" s="16" t="n">
        <v>39</v>
      </c>
      <c r="O10" s="16" t="n">
        <v>0</v>
      </c>
      <c r="P10" s="17" t="n"/>
      <c r="Q10" s="16" t="n">
        <v>3</v>
      </c>
      <c r="R10" s="16" t="n">
        <v>40</v>
      </c>
      <c r="S10" s="16" t="n">
        <v>90</v>
      </c>
      <c r="T10" s="16" t="n">
        <v>90</v>
      </c>
      <c r="U10" s="16" t="n">
        <v>57</v>
      </c>
      <c r="V10" s="16" t="n">
        <v>50</v>
      </c>
      <c r="W10" s="16" t="n">
        <v>100</v>
      </c>
      <c r="X10" s="18" t="n">
        <v>46310</v>
      </c>
      <c r="Y10" s="19" t="inlineStr">
        <is>
          <t>Voir</t>
        </is>
      </c>
      <c r="Z10" s="13">
        <f>IFERROR(COUNTIFS(Annonces!$A$2:$A$701,$A10,Annonces!$E$2:$E$701,"En vente",Annonces!$AF$2:$AF$701,"Pro")/COUNTIFS(Annonces!$A$2:$A$701,$A10,Annonces!$E$2:$E$701,"En vente",Annonces!$AF$2:$AF$701,"&lt;&gt;"),"")</f>
        <v/>
      </c>
      <c r="AA10" s="13">
        <f>IFERROR(COUNTIFS(Annonces!$A$2:$A$701,$A10,Annonces!$E$2:$E$701,"En vente",Annonces!$AD$2:$AD$701,"*arnet*")/COUNTIFS(Annonces!$A$2:$A$701,$A10,Annonces!$E$2:$E$701,"En vente",Annonces!$AD$2:$AD$701,"&lt;&gt;"),"")</f>
        <v/>
      </c>
      <c r="AB10" s="14">
        <f>IFERROR(AVERAGEIFS(Annonces!$R$2:$R$701,Annonces!$A$2:$A$701,$A10,Annonces!$E$2:$E$701,"En vente"),"")</f>
        <v/>
      </c>
      <c r="AC10" s="17">
        <f>IFERROR(AVERAGEIFS(Annonces!$J$2:$J$701,Annonces!$A$2:$A$701,$A10,Annonces!$E$2:$E$701,"En vente"),"")</f>
        <v/>
      </c>
    </row>
    <row r="11">
      <c r="A11" s="10" t="inlineStr">
        <is>
          <t>Peugeot 205 GTI</t>
        </is>
      </c>
      <c r="B11" s="10" t="inlineStr">
        <is>
          <t>Hot-hatch icône des années 80</t>
        </is>
      </c>
      <c r="C11" s="11" t="n">
        <v>67.3</v>
      </c>
      <c r="D11" s="10" t="inlineStr">
        <is>
          <t>À surveiller</t>
        </is>
      </c>
      <c r="E11" s="12" t="n">
        <v>15450</v>
      </c>
      <c r="F11" s="12" t="n">
        <v>13125</v>
      </c>
      <c r="G11" s="12" t="n">
        <v>20675</v>
      </c>
      <c r="H11" s="13">
        <f>IF(AND(ISNUMBER(E11),ISNUMBER(F11),ISNUMBER(G11),G11&gt;F11),(E11-F11)/(G11-F11),"")</f>
        <v/>
      </c>
      <c r="I11" s="14" t="n"/>
      <c r="J11" s="14" t="n"/>
      <c r="K11" s="14" t="n"/>
      <c r="L11" s="12" t="n">
        <v>16890</v>
      </c>
      <c r="M11" s="15" t="n">
        <v>190000</v>
      </c>
      <c r="N11" s="16" t="n">
        <v>40</v>
      </c>
      <c r="O11" s="16" t="n">
        <v>0</v>
      </c>
      <c r="P11" s="17" t="n"/>
      <c r="Q11" s="16" t="n">
        <v>5</v>
      </c>
      <c r="R11" s="16" t="n">
        <v>45</v>
      </c>
      <c r="S11" s="16" t="n">
        <v>85</v>
      </c>
      <c r="T11" s="16" t="n">
        <v>50</v>
      </c>
      <c r="U11" s="16" t="n">
        <v>69</v>
      </c>
      <c r="V11" s="16" t="n">
        <v>50</v>
      </c>
      <c r="W11" s="16" t="n">
        <v>100</v>
      </c>
      <c r="X11" s="18" t="n">
        <v>46310</v>
      </c>
      <c r="Y11" s="19" t="inlineStr">
        <is>
          <t>Voir</t>
        </is>
      </c>
      <c r="Z11" s="13">
        <f>IFERROR(COUNTIFS(Annonces!$A$2:$A$701,$A11,Annonces!$E$2:$E$701,"En vente",Annonces!$AF$2:$AF$701,"Pro")/COUNTIFS(Annonces!$A$2:$A$701,$A11,Annonces!$E$2:$E$701,"En vente",Annonces!$AF$2:$AF$701,"&lt;&gt;"),"")</f>
        <v/>
      </c>
      <c r="AA11" s="13">
        <f>IFERROR(COUNTIFS(Annonces!$A$2:$A$701,$A11,Annonces!$E$2:$E$701,"En vente",Annonces!$AD$2:$AD$701,"*arnet*")/COUNTIFS(Annonces!$A$2:$A$701,$A11,Annonces!$E$2:$E$701,"En vente",Annonces!$AD$2:$AD$701,"&lt;&gt;"),"")</f>
        <v/>
      </c>
      <c r="AB11" s="14">
        <f>IFERROR(AVERAGEIFS(Annonces!$R$2:$R$701,Annonces!$A$2:$A$701,$A11,Annonces!$E$2:$E$701,"En vente"),"")</f>
        <v/>
      </c>
      <c r="AC11" s="17">
        <f>IFERROR(AVERAGEIFS(Annonces!$J$2:$J$701,Annonces!$A$2:$A$701,$A11,Annonces!$E$2:$E$701,"En vente"),"")</f>
        <v/>
      </c>
    </row>
    <row r="12">
      <c r="A12" s="10" t="inlineStr">
        <is>
          <t>Peugeot 206 RC</t>
        </is>
      </c>
      <c r="B12" s="10" t="inlineStr">
        <is>
          <t>Hot-hatch youngtimer 2000-2005</t>
        </is>
      </c>
      <c r="C12" s="11" t="n">
        <v>65.90000000000001</v>
      </c>
      <c r="D12" s="10" t="inlineStr">
        <is>
          <t>À surveiller</t>
        </is>
      </c>
      <c r="E12" s="12" t="n">
        <v>9000</v>
      </c>
      <c r="F12" s="12" t="n">
        <v>6500</v>
      </c>
      <c r="G12" s="12" t="n">
        <v>13500</v>
      </c>
      <c r="H12" s="13">
        <f>IF(AND(ISNUMBER(E12),ISNUMBER(F12),ISNUMBER(G12),G12&gt;F12),(E12-F12)/(G12-F12),"")</f>
        <v/>
      </c>
      <c r="I12" s="14" t="n"/>
      <c r="J12" s="14" t="n"/>
      <c r="K12" s="14" t="n"/>
      <c r="L12" s="12" t="n">
        <v>11050</v>
      </c>
      <c r="M12" s="15" t="n">
        <v>150000</v>
      </c>
      <c r="N12" s="16" t="n">
        <v>40</v>
      </c>
      <c r="O12" s="16" t="n">
        <v>0</v>
      </c>
      <c r="P12" s="17" t="n"/>
      <c r="Q12" s="16" t="n">
        <v>5</v>
      </c>
      <c r="R12" s="16" t="n">
        <v>45</v>
      </c>
      <c r="S12" s="16" t="n">
        <v>70</v>
      </c>
      <c r="T12" s="16" t="n">
        <v>75</v>
      </c>
      <c r="U12" s="16" t="n">
        <v>64</v>
      </c>
      <c r="V12" s="16" t="n">
        <v>50</v>
      </c>
      <c r="W12" s="16" t="n">
        <v>100</v>
      </c>
      <c r="X12" s="18" t="n">
        <v>46310</v>
      </c>
      <c r="Y12" s="19" t="inlineStr">
        <is>
          <t>Voir</t>
        </is>
      </c>
      <c r="Z12" s="13">
        <f>IFERROR(COUNTIFS(Annonces!$A$2:$A$701,$A12,Annonces!$E$2:$E$701,"En vente",Annonces!$AF$2:$AF$701,"Pro")/COUNTIFS(Annonces!$A$2:$A$701,$A12,Annonces!$E$2:$E$701,"En vente",Annonces!$AF$2:$AF$701,"&lt;&gt;"),"")</f>
        <v/>
      </c>
      <c r="AA12" s="13">
        <f>IFERROR(COUNTIFS(Annonces!$A$2:$A$701,$A12,Annonces!$E$2:$E$701,"En vente",Annonces!$AD$2:$AD$701,"*arnet*")/COUNTIFS(Annonces!$A$2:$A$701,$A12,Annonces!$E$2:$E$701,"En vente",Annonces!$AD$2:$AD$701,"&lt;&gt;"),"")</f>
        <v/>
      </c>
      <c r="AB12" s="14">
        <f>IFERROR(AVERAGEIFS(Annonces!$R$2:$R$701,Annonces!$A$2:$A$701,$A12,Annonces!$E$2:$E$701,"En vente"),"")</f>
        <v/>
      </c>
      <c r="AC12" s="17">
        <f>IFERROR(AVERAGEIFS(Annonces!$J$2:$J$701,Annonces!$A$2:$A$701,$A12,Annonces!$E$2:$E$701,"En vente"),"")</f>
        <v/>
      </c>
    </row>
    <row r="13">
      <c r="A13" s="10" t="inlineStr">
        <is>
          <t>Renault Twingo 1 découvrable</t>
        </is>
      </c>
      <c r="B13" s="10" t="inlineStr">
        <is>
          <t>Citadine iconique, variante toit ouvrant</t>
        </is>
      </c>
      <c r="C13" s="11" t="n">
        <v>65.5</v>
      </c>
      <c r="D13" s="10" t="inlineStr">
        <is>
          <t>À surveiller</t>
        </is>
      </c>
      <c r="E13" s="12" t="n">
        <v>3000</v>
      </c>
      <c r="F13" s="12" t="n">
        <v>1500</v>
      </c>
      <c r="G13" s="12" t="n">
        <v>6500</v>
      </c>
      <c r="H13" s="13">
        <f>IF(AND(ISNUMBER(E13),ISNUMBER(F13),ISNUMBER(G13),G13&gt;F13),(E13-F13)/(G13-F13),"")</f>
        <v/>
      </c>
      <c r="I13" s="14" t="n"/>
      <c r="J13" s="14" t="n"/>
      <c r="K13" s="14" t="n"/>
      <c r="L13" s="12" t="n">
        <v>3530</v>
      </c>
      <c r="M13" s="15" t="n">
        <v>150000</v>
      </c>
      <c r="N13" s="16" t="n">
        <v>37</v>
      </c>
      <c r="O13" s="16" t="n">
        <v>0</v>
      </c>
      <c r="P13" s="17" t="n"/>
      <c r="Q13" s="16" t="n">
        <v>5</v>
      </c>
      <c r="R13" s="16" t="n">
        <v>55</v>
      </c>
      <c r="S13" s="16" t="n">
        <v>65</v>
      </c>
      <c r="T13" s="16" t="n">
        <v>50</v>
      </c>
      <c r="U13" s="16" t="n">
        <v>70</v>
      </c>
      <c r="V13" s="16" t="n">
        <v>50</v>
      </c>
      <c r="W13" s="16" t="n">
        <v>100</v>
      </c>
      <c r="X13" s="18" t="n">
        <v>46310</v>
      </c>
      <c r="Y13" s="19" t="inlineStr">
        <is>
          <t>Voir</t>
        </is>
      </c>
      <c r="Z13" s="13">
        <f>IFERROR(COUNTIFS(Annonces!$A$2:$A$701,$A13,Annonces!$E$2:$E$701,"En vente",Annonces!$AF$2:$AF$701,"Pro")/COUNTIFS(Annonces!$A$2:$A$701,$A13,Annonces!$E$2:$E$701,"En vente",Annonces!$AF$2:$AF$701,"&lt;&gt;"),"")</f>
        <v/>
      </c>
      <c r="AA13" s="13">
        <f>IFERROR(COUNTIFS(Annonces!$A$2:$A$701,$A13,Annonces!$E$2:$E$701,"En vente",Annonces!$AD$2:$AD$701,"*arnet*")/COUNTIFS(Annonces!$A$2:$A$701,$A13,Annonces!$E$2:$E$701,"En vente",Annonces!$AD$2:$AD$701,"&lt;&gt;"),"")</f>
        <v/>
      </c>
      <c r="AB13" s="14">
        <f>IFERROR(AVERAGEIFS(Annonces!$R$2:$R$701,Annonces!$A$2:$A$701,$A13,Annonces!$E$2:$E$701,"En vente"),"")</f>
        <v/>
      </c>
      <c r="AC13" s="17">
        <f>IFERROR(AVERAGEIFS(Annonces!$J$2:$J$701,Annonces!$A$2:$A$701,$A13,Annonces!$E$2:$E$701,"En vente"),"")</f>
        <v/>
      </c>
    </row>
    <row r="14">
      <c r="A14" s="10" t="inlineStr">
        <is>
          <t>Honda S2000</t>
        </is>
      </c>
      <c r="B14" s="10" t="inlineStr">
        <is>
          <t>Roadster japonais culte</t>
        </is>
      </c>
      <c r="C14" s="11" t="n">
        <v>65.2</v>
      </c>
      <c r="D14" s="10" t="inlineStr">
        <is>
          <t>À surveiller</t>
        </is>
      </c>
      <c r="E14" s="12" t="n">
        <v>23900</v>
      </c>
      <c r="F14" s="12" t="n">
        <v>14900</v>
      </c>
      <c r="G14" s="12" t="n">
        <v>28950</v>
      </c>
      <c r="H14" s="13">
        <f>IF(AND(ISNUMBER(E14),ISNUMBER(F14),ISNUMBER(G14),G14&gt;F14),(E14-F14)/(G14-F14),"")</f>
        <v/>
      </c>
      <c r="I14" s="14" t="n"/>
      <c r="J14" s="14" t="n"/>
      <c r="K14" s="14" t="n"/>
      <c r="L14" s="12" t="n">
        <v>22870</v>
      </c>
      <c r="M14" s="15" t="n">
        <v>140000</v>
      </c>
      <c r="N14" s="16" t="n">
        <v>39</v>
      </c>
      <c r="O14" s="16" t="n">
        <v>0</v>
      </c>
      <c r="P14" s="17" t="n"/>
      <c r="Q14" s="16" t="n">
        <v>5</v>
      </c>
      <c r="R14" s="16" t="n">
        <v>50</v>
      </c>
      <c r="S14" s="16" t="n">
        <v>85</v>
      </c>
      <c r="T14" s="16" t="n">
        <v>85</v>
      </c>
      <c r="U14" s="16" t="n">
        <v>36</v>
      </c>
      <c r="V14" s="16" t="n">
        <v>50</v>
      </c>
      <c r="W14" s="16" t="n">
        <v>100</v>
      </c>
      <c r="X14" s="18" t="n">
        <v>46310</v>
      </c>
      <c r="Y14" s="19" t="inlineStr">
        <is>
          <t>Voir</t>
        </is>
      </c>
      <c r="Z14" s="13">
        <f>IFERROR(COUNTIFS(Annonces!$A$2:$A$701,$A14,Annonces!$E$2:$E$701,"En vente",Annonces!$AF$2:$AF$701,"Pro")/COUNTIFS(Annonces!$A$2:$A$701,$A14,Annonces!$E$2:$E$701,"En vente",Annonces!$AF$2:$AF$701,"&lt;&gt;"),"")</f>
        <v/>
      </c>
      <c r="AA14" s="13">
        <f>IFERROR(COUNTIFS(Annonces!$A$2:$A$701,$A14,Annonces!$E$2:$E$701,"En vente",Annonces!$AD$2:$AD$701,"*arnet*")/COUNTIFS(Annonces!$A$2:$A$701,$A14,Annonces!$E$2:$E$701,"En vente",Annonces!$AD$2:$AD$701,"&lt;&gt;"),"")</f>
        <v/>
      </c>
      <c r="AB14" s="14">
        <f>IFERROR(AVERAGEIFS(Annonces!$R$2:$R$701,Annonces!$A$2:$A$701,$A14,Annonces!$E$2:$E$701,"En vente"),"")</f>
        <v/>
      </c>
      <c r="AC14" s="17">
        <f>IFERROR(AVERAGEIFS(Annonces!$J$2:$J$701,Annonces!$A$2:$A$701,$A14,Annonces!$E$2:$E$701,"En vente"),"")</f>
        <v/>
      </c>
    </row>
    <row r="15">
      <c r="A15" s="10" t="inlineStr">
        <is>
          <t>Renault Clio II RS (172/182 ch)</t>
        </is>
      </c>
      <c r="B15" s="10" t="inlineStr">
        <is>
          <t>Hot-hatch youngtimer 2000-2005</t>
        </is>
      </c>
      <c r="C15" s="11" t="n">
        <v>62.8</v>
      </c>
      <c r="D15" s="10" t="inlineStr">
        <is>
          <t>À surveiller</t>
        </is>
      </c>
      <c r="E15" s="12" t="n">
        <v>10195</v>
      </c>
      <c r="F15" s="12" t="n">
        <v>5000</v>
      </c>
      <c r="G15" s="12" t="n">
        <v>17000</v>
      </c>
      <c r="H15" s="13">
        <f>IF(AND(ISNUMBER(E15),ISNUMBER(F15),ISNUMBER(G15),G15&gt;F15),(E15-F15)/(G15-F15),"")</f>
        <v/>
      </c>
      <c r="I15" s="14" t="n"/>
      <c r="J15" s="14" t="n"/>
      <c r="K15" s="14" t="n"/>
      <c r="L15" s="12" t="n">
        <v>10520</v>
      </c>
      <c r="M15" s="15" t="n">
        <v>160000</v>
      </c>
      <c r="N15" s="16" t="n">
        <v>36</v>
      </c>
      <c r="O15" s="16" t="n">
        <v>0</v>
      </c>
      <c r="P15" s="17" t="n"/>
      <c r="Q15" s="16" t="n">
        <v>5</v>
      </c>
      <c r="R15" s="16" t="n">
        <v>40</v>
      </c>
      <c r="S15" s="16" t="n">
        <v>75</v>
      </c>
      <c r="T15" s="16" t="n">
        <v>60</v>
      </c>
      <c r="U15" s="16" t="n">
        <v>57</v>
      </c>
      <c r="V15" s="16" t="n">
        <v>50</v>
      </c>
      <c r="W15" s="16" t="n">
        <v>100</v>
      </c>
      <c r="X15" s="18" t="n">
        <v>46310</v>
      </c>
      <c r="Y15" s="19" t="inlineStr">
        <is>
          <t>Voir</t>
        </is>
      </c>
      <c r="Z15" s="13">
        <f>IFERROR(COUNTIFS(Annonces!$A$2:$A$701,$A15,Annonces!$E$2:$E$701,"En vente",Annonces!$AF$2:$AF$701,"Pro")/COUNTIFS(Annonces!$A$2:$A$701,$A15,Annonces!$E$2:$E$701,"En vente",Annonces!$AF$2:$AF$701,"&lt;&gt;"),"")</f>
        <v/>
      </c>
      <c r="AA15" s="13">
        <f>IFERROR(COUNTIFS(Annonces!$A$2:$A$701,$A15,Annonces!$E$2:$E$701,"En vente",Annonces!$AD$2:$AD$701,"*arnet*")/COUNTIFS(Annonces!$A$2:$A$701,$A15,Annonces!$E$2:$E$701,"En vente",Annonces!$AD$2:$AD$701,"&lt;&gt;"),"")</f>
        <v/>
      </c>
      <c r="AB15" s="14">
        <f>IFERROR(AVERAGEIFS(Annonces!$R$2:$R$701,Annonces!$A$2:$A$701,$A15,Annonces!$E$2:$E$701,"En vente"),"")</f>
        <v/>
      </c>
      <c r="AC15" s="17">
        <f>IFERROR(AVERAGEIFS(Annonces!$J$2:$J$701,Annonces!$A$2:$A$701,$A15,Annonces!$E$2:$E$701,"En vente"),"")</f>
        <v/>
      </c>
    </row>
    <row r="16">
      <c r="A16" s="10" t="inlineStr">
        <is>
          <t>Peugeot 306 S16</t>
        </is>
      </c>
      <c r="B16" s="10" t="inlineStr">
        <is>
          <t>Hot-hatch youngtimer 1990-2000</t>
        </is>
      </c>
      <c r="C16" s="11" t="n">
        <v>61.9</v>
      </c>
      <c r="D16" s="10" t="inlineStr">
        <is>
          <t>À surveiller</t>
        </is>
      </c>
      <c r="E16" s="12" t="n">
        <v>9500</v>
      </c>
      <c r="F16" s="12" t="n">
        <v>6800</v>
      </c>
      <c r="G16" s="12" t="n">
        <v>15000</v>
      </c>
      <c r="H16" s="13">
        <f>IF(AND(ISNUMBER(E16),ISNUMBER(F16),ISNUMBER(G16),G16&gt;F16),(E16-F16)/(G16-F16),"")</f>
        <v/>
      </c>
      <c r="I16" s="14" t="n"/>
      <c r="J16" s="14" t="n"/>
      <c r="K16" s="14" t="n"/>
      <c r="L16" s="12" t="n">
        <v>11490</v>
      </c>
      <c r="M16" s="15" t="n">
        <v>180000</v>
      </c>
      <c r="N16" s="16" t="n">
        <v>33</v>
      </c>
      <c r="O16" s="16" t="n">
        <v>0</v>
      </c>
      <c r="P16" s="17" t="n"/>
      <c r="Q16" s="16" t="n">
        <v>5</v>
      </c>
      <c r="R16" s="16" t="n">
        <v>40</v>
      </c>
      <c r="S16" s="16" t="n">
        <v>65</v>
      </c>
      <c r="T16" s="16" t="n">
        <v>50</v>
      </c>
      <c r="U16" s="16" t="n">
        <v>67</v>
      </c>
      <c r="V16" s="16" t="n">
        <v>50</v>
      </c>
      <c r="W16" s="16" t="n">
        <v>100</v>
      </c>
      <c r="X16" s="18" t="n">
        <v>46310</v>
      </c>
      <c r="Y16" s="19" t="inlineStr">
        <is>
          <t>Voir</t>
        </is>
      </c>
      <c r="Z16" s="13">
        <f>IFERROR(COUNTIFS(Annonces!$A$2:$A$701,$A16,Annonces!$E$2:$E$701,"En vente",Annonces!$AF$2:$AF$701,"Pro")/COUNTIFS(Annonces!$A$2:$A$701,$A16,Annonces!$E$2:$E$701,"En vente",Annonces!$AF$2:$AF$701,"&lt;&gt;"),"")</f>
        <v/>
      </c>
      <c r="AA16" s="13">
        <f>IFERROR(COUNTIFS(Annonces!$A$2:$A$701,$A16,Annonces!$E$2:$E$701,"En vente",Annonces!$AD$2:$AD$701,"*arnet*")/COUNTIFS(Annonces!$A$2:$A$701,$A16,Annonces!$E$2:$E$701,"En vente",Annonces!$AD$2:$AD$701,"&lt;&gt;"),"")</f>
        <v/>
      </c>
      <c r="AB16" s="14">
        <f>IFERROR(AVERAGEIFS(Annonces!$R$2:$R$701,Annonces!$A$2:$A$701,$A16,Annonces!$E$2:$E$701,"En vente"),"")</f>
        <v/>
      </c>
      <c r="AC16" s="17">
        <f>IFERROR(AVERAGEIFS(Annonces!$J$2:$J$701,Annonces!$A$2:$A$701,$A16,Annonces!$E$2:$E$701,"En vente"),"")</f>
        <v/>
      </c>
    </row>
    <row r="17">
      <c r="A17" s="10" t="inlineStr">
        <is>
          <t>BMW Z3 1.9i / 2.0i</t>
        </is>
      </c>
      <c r="B17" s="10" t="inlineStr">
        <is>
          <t>Roadster youngtimer</t>
        </is>
      </c>
      <c r="C17" s="11" t="n">
        <v>61.9</v>
      </c>
      <c r="D17" s="10" t="inlineStr">
        <is>
          <t>À surveiller</t>
        </is>
      </c>
      <c r="E17" s="12" t="n">
        <v>10245</v>
      </c>
      <c r="F17" s="12" t="n">
        <v>9498</v>
      </c>
      <c r="G17" s="12" t="n">
        <v>12740</v>
      </c>
      <c r="H17" s="13">
        <f>IF(AND(ISNUMBER(E17),ISNUMBER(F17),ISNUMBER(G17),G17&gt;F17),(E17-F17)/(G17-F17),"")</f>
        <v/>
      </c>
      <c r="I17" s="14" t="n"/>
      <c r="J17" s="14" t="n"/>
      <c r="K17" s="14" t="n"/>
      <c r="L17" s="12" t="n">
        <v>10900</v>
      </c>
      <c r="M17" s="15" t="n">
        <v>130000</v>
      </c>
      <c r="N17" s="16" t="n">
        <v>24</v>
      </c>
      <c r="O17" s="16" t="n">
        <v>0</v>
      </c>
      <c r="P17" s="17" t="n"/>
      <c r="Q17" s="16" t="n">
        <v>3</v>
      </c>
      <c r="R17" s="16" t="n">
        <v>35</v>
      </c>
      <c r="S17" s="16" t="n">
        <v>65</v>
      </c>
      <c r="T17" s="16" t="n">
        <v>40</v>
      </c>
      <c r="U17" s="16" t="n">
        <v>77</v>
      </c>
      <c r="V17" s="16" t="n">
        <v>50</v>
      </c>
      <c r="W17" s="16" t="n">
        <v>100</v>
      </c>
      <c r="X17" s="18" t="n">
        <v>46310</v>
      </c>
      <c r="Y17" s="19" t="inlineStr">
        <is>
          <t>Voir</t>
        </is>
      </c>
      <c r="Z17" s="13">
        <f>IFERROR(COUNTIFS(Annonces!$A$2:$A$701,$A17,Annonces!$E$2:$E$701,"En vente",Annonces!$AF$2:$AF$701,"Pro")/COUNTIFS(Annonces!$A$2:$A$701,$A17,Annonces!$E$2:$E$701,"En vente",Annonces!$AF$2:$AF$701,"&lt;&gt;"),"")</f>
        <v/>
      </c>
      <c r="AA17" s="13">
        <f>IFERROR(COUNTIFS(Annonces!$A$2:$A$701,$A17,Annonces!$E$2:$E$701,"En vente",Annonces!$AD$2:$AD$701,"*arnet*")/COUNTIFS(Annonces!$A$2:$A$701,$A17,Annonces!$E$2:$E$701,"En vente",Annonces!$AD$2:$AD$701,"&lt;&gt;"),"")</f>
        <v/>
      </c>
      <c r="AB17" s="14">
        <f>IFERROR(AVERAGEIFS(Annonces!$R$2:$R$701,Annonces!$A$2:$A$701,$A17,Annonces!$E$2:$E$701,"En vente"),"")</f>
        <v/>
      </c>
      <c r="AC17" s="17">
        <f>IFERROR(AVERAGEIFS(Annonces!$J$2:$J$701,Annonces!$A$2:$A$701,$A17,Annonces!$E$2:$E$701,"En vente"),"")</f>
        <v/>
      </c>
    </row>
    <row r="18">
      <c r="A18" s="10" t="inlineStr">
        <is>
          <t>Volkswagen Golf IV GTI 25th Anniversary</t>
        </is>
      </c>
      <c r="B18" s="10" t="inlineStr">
        <is>
          <t>Hot-hatch à série limitée</t>
        </is>
      </c>
      <c r="C18" s="11" t="n">
        <v>61</v>
      </c>
      <c r="D18" s="10" t="inlineStr">
        <is>
          <t>À surveiller</t>
        </is>
      </c>
      <c r="E18" s="12" t="n">
        <v>11000</v>
      </c>
      <c r="F18" s="12" t="n">
        <v>11000</v>
      </c>
      <c r="G18" s="12" t="n">
        <v>11000</v>
      </c>
      <c r="H18" s="13">
        <f>IF(AND(ISNUMBER(E18),ISNUMBER(F18),ISNUMBER(G18),G18&gt;F18),(E18-F18)/(G18-F18),"")</f>
        <v/>
      </c>
      <c r="I18" s="14" t="n"/>
      <c r="J18" s="14" t="n"/>
      <c r="K18" s="14" t="n"/>
      <c r="L18" s="12" t="n">
        <v>11000</v>
      </c>
      <c r="M18" s="15" t="n">
        <v>200000</v>
      </c>
      <c r="N18" s="16" t="n">
        <v>1</v>
      </c>
      <c r="O18" s="16" t="n">
        <v>0</v>
      </c>
      <c r="P18" s="17" t="n"/>
      <c r="Q18" s="16" t="n">
        <v>0</v>
      </c>
      <c r="R18" s="16" t="n">
        <v>70</v>
      </c>
      <c r="S18" s="16" t="n">
        <v>65</v>
      </c>
      <c r="T18" s="16" t="n">
        <v>55</v>
      </c>
      <c r="U18" s="16" t="n">
        <v>100</v>
      </c>
      <c r="V18" s="16" t="n">
        <v>50</v>
      </c>
      <c r="W18" s="16" t="n">
        <v>7</v>
      </c>
      <c r="X18" s="18" t="n">
        <v>46310</v>
      </c>
      <c r="Y18" s="19" t="inlineStr">
        <is>
          <t>Voir</t>
        </is>
      </c>
      <c r="Z18" s="13">
        <f>IFERROR(COUNTIFS(Annonces!$A$2:$A$701,$A18,Annonces!$E$2:$E$701,"En vente",Annonces!$AF$2:$AF$701,"Pro")/COUNTIFS(Annonces!$A$2:$A$701,$A18,Annonces!$E$2:$E$701,"En vente",Annonces!$AF$2:$AF$701,"&lt;&gt;"),"")</f>
        <v/>
      </c>
      <c r="AA18" s="13">
        <f>IFERROR(COUNTIFS(Annonces!$A$2:$A$701,$A18,Annonces!$E$2:$E$701,"En vente",Annonces!$AD$2:$AD$701,"*arnet*")/COUNTIFS(Annonces!$A$2:$A$701,$A18,Annonces!$E$2:$E$701,"En vente",Annonces!$AD$2:$AD$701,"&lt;&gt;"),"")</f>
        <v/>
      </c>
      <c r="AB18" s="14">
        <f>IFERROR(AVERAGEIFS(Annonces!$R$2:$R$701,Annonces!$A$2:$A$701,$A18,Annonces!$E$2:$E$701,"En vente"),"")</f>
        <v/>
      </c>
      <c r="AC18" s="17">
        <f>IFERROR(AVERAGEIFS(Annonces!$J$2:$J$701,Annonces!$A$2:$A$701,$A18,Annonces!$E$2:$E$701,"En vente"),"")</f>
        <v/>
      </c>
    </row>
    <row r="19">
      <c r="A19" s="10" t="inlineStr">
        <is>
          <t>Porsche Boxster 987</t>
        </is>
      </c>
      <c r="B19" s="10" t="inlineStr">
        <is>
          <t>Roadster Porsche</t>
        </is>
      </c>
      <c r="C19" s="11" t="n">
        <v>60.1</v>
      </c>
      <c r="D19" s="10" t="inlineStr">
        <is>
          <t>À surveiller</t>
        </is>
      </c>
      <c r="E19" s="12" t="n">
        <v>29250</v>
      </c>
      <c r="F19" s="12" t="n">
        <v>20000</v>
      </c>
      <c r="G19" s="12" t="n">
        <v>45000</v>
      </c>
      <c r="H19" s="13">
        <f>IF(AND(ISNUMBER(E19),ISNUMBER(F19),ISNUMBER(G19),G19&gt;F19),(E19-F19)/(G19-F19),"")</f>
        <v/>
      </c>
      <c r="I19" s="14" t="n"/>
      <c r="J19" s="14" t="n"/>
      <c r="K19" s="14" t="n"/>
      <c r="L19" s="12" t="n">
        <v>32020</v>
      </c>
      <c r="M19" s="15" t="n">
        <v>80000</v>
      </c>
      <c r="N19" s="16" t="n">
        <v>40</v>
      </c>
      <c r="O19" s="16" t="n">
        <v>0</v>
      </c>
      <c r="P19" s="17" t="n"/>
      <c r="Q19" s="16" t="n">
        <v>5</v>
      </c>
      <c r="R19" s="16" t="n">
        <v>30</v>
      </c>
      <c r="S19" s="16" t="n">
        <v>75</v>
      </c>
      <c r="T19" s="16" t="n">
        <v>40</v>
      </c>
      <c r="U19" s="16" t="n">
        <v>63</v>
      </c>
      <c r="V19" s="16" t="n">
        <v>50</v>
      </c>
      <c r="W19" s="16" t="n">
        <v>100</v>
      </c>
      <c r="X19" s="18" t="n">
        <v>46310</v>
      </c>
      <c r="Y19" s="19" t="inlineStr">
        <is>
          <t>Voir</t>
        </is>
      </c>
      <c r="Z19" s="13">
        <f>IFERROR(COUNTIFS(Annonces!$A$2:$A$701,$A19,Annonces!$E$2:$E$701,"En vente",Annonces!$AF$2:$AF$701,"Pro")/COUNTIFS(Annonces!$A$2:$A$701,$A19,Annonces!$E$2:$E$701,"En vente",Annonces!$AF$2:$AF$701,"&lt;&gt;"),"")</f>
        <v/>
      </c>
      <c r="AA19" s="13">
        <f>IFERROR(COUNTIFS(Annonces!$A$2:$A$701,$A19,Annonces!$E$2:$E$701,"En vente",Annonces!$AD$2:$AD$701,"*arnet*")/COUNTIFS(Annonces!$A$2:$A$701,$A19,Annonces!$E$2:$E$701,"En vente",Annonces!$AD$2:$AD$701,"&lt;&gt;"),"")</f>
        <v/>
      </c>
      <c r="AB19" s="14">
        <f>IFERROR(AVERAGEIFS(Annonces!$R$2:$R$701,Annonces!$A$2:$A$701,$A19,Annonces!$E$2:$E$701,"En vente"),"")</f>
        <v/>
      </c>
      <c r="AC19" s="17">
        <f>IFERROR(AVERAGEIFS(Annonces!$J$2:$J$701,Annonces!$A$2:$A$701,$A19,Annonces!$E$2:$E$701,"En vente"),"")</f>
        <v/>
      </c>
    </row>
    <row r="20">
      <c r="A20" s="10" t="inlineStr">
        <is>
          <t>Porsche Boxster 986</t>
        </is>
      </c>
      <c r="B20" s="10" t="inlineStr">
        <is>
          <t>Roadster d'entrée de gamme Porsche</t>
        </is>
      </c>
      <c r="C20" s="11" t="n">
        <v>58.4</v>
      </c>
      <c r="D20" s="10" t="inlineStr">
        <is>
          <t>À surveiller</t>
        </is>
      </c>
      <c r="E20" s="12" t="n">
        <v>19890</v>
      </c>
      <c r="F20" s="12" t="n">
        <v>15000</v>
      </c>
      <c r="G20" s="12" t="n">
        <v>27000</v>
      </c>
      <c r="H20" s="13">
        <f>IF(AND(ISNUMBER(E20),ISNUMBER(F20),ISNUMBER(G20),G20&gt;F20),(E20-F20)/(G20-F20),"")</f>
        <v/>
      </c>
      <c r="I20" s="14" t="n"/>
      <c r="J20" s="14" t="n"/>
      <c r="K20" s="14" t="n"/>
      <c r="L20" s="12" t="n">
        <v>20520</v>
      </c>
      <c r="M20" s="15" t="n">
        <v>110000</v>
      </c>
      <c r="N20" s="16" t="n">
        <v>40</v>
      </c>
      <c r="O20" s="16" t="n">
        <v>0</v>
      </c>
      <c r="P20" s="17" t="n"/>
      <c r="Q20" s="16" t="n">
        <v>5</v>
      </c>
      <c r="R20" s="16" t="n">
        <v>35</v>
      </c>
      <c r="S20" s="16" t="n">
        <v>70</v>
      </c>
      <c r="T20" s="16" t="n">
        <v>30</v>
      </c>
      <c r="U20" s="16" t="n">
        <v>59</v>
      </c>
      <c r="V20" s="16" t="n">
        <v>50</v>
      </c>
      <c r="W20" s="16" t="n">
        <v>100</v>
      </c>
      <c r="X20" s="18" t="n">
        <v>46310</v>
      </c>
      <c r="Y20" s="19" t="inlineStr">
        <is>
          <t>Voir</t>
        </is>
      </c>
      <c r="Z20" s="13">
        <f>IFERROR(COUNTIFS(Annonces!$A$2:$A$701,$A20,Annonces!$E$2:$E$701,"En vente",Annonces!$AF$2:$AF$701,"Pro")/COUNTIFS(Annonces!$A$2:$A$701,$A20,Annonces!$E$2:$E$701,"En vente",Annonces!$AF$2:$AF$701,"&lt;&gt;"),"")</f>
        <v/>
      </c>
      <c r="AA20" s="13">
        <f>IFERROR(COUNTIFS(Annonces!$A$2:$A$701,$A20,Annonces!$E$2:$E$701,"En vente",Annonces!$AD$2:$AD$701,"*arnet*")/COUNTIFS(Annonces!$A$2:$A$701,$A20,Annonces!$E$2:$E$701,"En vente",Annonces!$AD$2:$AD$701,"&lt;&gt;"),"")</f>
        <v/>
      </c>
      <c r="AB20" s="14">
        <f>IFERROR(AVERAGEIFS(Annonces!$R$2:$R$701,Annonces!$A$2:$A$701,$A20,Annonces!$E$2:$E$701,"En vente"),"")</f>
        <v/>
      </c>
      <c r="AC20" s="17">
        <f>IFERROR(AVERAGEIFS(Annonces!$J$2:$J$701,Annonces!$A$2:$A$701,$A20,Annonces!$E$2:$E$701,"En vente"),"")</f>
        <v/>
      </c>
    </row>
    <row r="21">
      <c r="A21" s="10" t="inlineStr">
        <is>
          <t>Renault Mégane II RS R26</t>
        </is>
      </c>
      <c r="B21" s="10" t="inlineStr">
        <is>
          <t>Hot-hatch à série limitée</t>
        </is>
      </c>
      <c r="C21" s="11" t="n">
        <v>58</v>
      </c>
      <c r="D21" s="10" t="inlineStr">
        <is>
          <t>À surveiller</t>
        </is>
      </c>
      <c r="E21" s="12" t="n">
        <v>22990</v>
      </c>
      <c r="F21" s="12" t="n">
        <v>19900</v>
      </c>
      <c r="G21" s="12" t="n">
        <v>24990</v>
      </c>
      <c r="H21" s="13">
        <f>IF(AND(ISNUMBER(E21),ISNUMBER(F21),ISNUMBER(G21),G21&gt;F21),(E21-F21)/(G21-F21),"")</f>
        <v/>
      </c>
      <c r="I21" s="14" t="n"/>
      <c r="J21" s="14" t="n"/>
      <c r="K21" s="14" t="n"/>
      <c r="L21" s="12" t="n">
        <v>23170</v>
      </c>
      <c r="M21" s="15" t="n">
        <v>100000</v>
      </c>
      <c r="N21" s="16" t="n">
        <v>15</v>
      </c>
      <c r="O21" s="16" t="n">
        <v>5</v>
      </c>
      <c r="P21" s="17" t="n">
        <v>62</v>
      </c>
      <c r="Q21" s="16" t="n">
        <v>2</v>
      </c>
      <c r="R21" s="16" t="n">
        <v>55</v>
      </c>
      <c r="S21" s="16" t="n">
        <v>75</v>
      </c>
      <c r="T21" s="16" t="n">
        <v>50</v>
      </c>
      <c r="U21" s="16" t="n">
        <v>39</v>
      </c>
      <c r="V21" s="16" t="n">
        <v>50</v>
      </c>
      <c r="W21" s="16" t="n">
        <v>78</v>
      </c>
      <c r="X21" s="18" t="n">
        <v>46310</v>
      </c>
      <c r="Y21" s="19" t="inlineStr">
        <is>
          <t>Voir</t>
        </is>
      </c>
      <c r="Z21" s="13">
        <f>IFERROR(COUNTIFS(Annonces!$A$2:$A$701,$A21,Annonces!$E$2:$E$701,"En vente",Annonces!$AF$2:$AF$701,"Pro")/COUNTIFS(Annonces!$A$2:$A$701,$A21,Annonces!$E$2:$E$701,"En vente",Annonces!$AF$2:$AF$701,"&lt;&gt;"),"")</f>
        <v/>
      </c>
      <c r="AA21" s="13">
        <f>IFERROR(COUNTIFS(Annonces!$A$2:$A$701,$A21,Annonces!$E$2:$E$701,"En vente",Annonces!$AD$2:$AD$701,"*arnet*")/COUNTIFS(Annonces!$A$2:$A$701,$A21,Annonces!$E$2:$E$701,"En vente",Annonces!$AD$2:$AD$701,"&lt;&gt;"),"")</f>
        <v/>
      </c>
      <c r="AB21" s="14">
        <f>IFERROR(AVERAGEIFS(Annonces!$R$2:$R$701,Annonces!$A$2:$A$701,$A21,Annonces!$E$2:$E$701,"En vente"),"")</f>
        <v/>
      </c>
      <c r="AC21" s="17">
        <f>IFERROR(AVERAGEIFS(Annonces!$J$2:$J$701,Annonces!$A$2:$A$701,$A21,Annonces!$E$2:$E$701,"En vente"),"")</f>
        <v/>
      </c>
    </row>
    <row r="22">
      <c r="A22" s="10" t="inlineStr">
        <is>
          <t>Mazda MX-5 NA</t>
        </is>
      </c>
      <c r="B22" s="10" t="inlineStr">
        <is>
          <t>Roadster youngtimer</t>
        </is>
      </c>
      <c r="C22" s="11" t="n">
        <v>56.1</v>
      </c>
      <c r="D22" s="10" t="inlineStr">
        <is>
          <t>À surveiller</t>
        </is>
      </c>
      <c r="E22" s="12" t="n">
        <v>11990</v>
      </c>
      <c r="F22" s="12" t="n">
        <v>8938</v>
      </c>
      <c r="G22" s="12" t="n">
        <v>13875</v>
      </c>
      <c r="H22" s="13">
        <f>IF(AND(ISNUMBER(E22),ISNUMBER(F22),ISNUMBER(G22),G22&gt;F22),(E22-F22)/(G22-F22),"")</f>
        <v/>
      </c>
      <c r="I22" s="14" t="n"/>
      <c r="J22" s="14" t="n"/>
      <c r="K22" s="14" t="n"/>
      <c r="L22" s="12" t="n">
        <v>11470</v>
      </c>
      <c r="M22" s="15" t="n">
        <v>160000</v>
      </c>
      <c r="N22" s="16" t="n">
        <v>38</v>
      </c>
      <c r="O22" s="16" t="n">
        <v>0</v>
      </c>
      <c r="P22" s="17" t="n"/>
      <c r="Q22" s="16" t="n">
        <v>5</v>
      </c>
      <c r="R22" s="16" t="n">
        <v>25</v>
      </c>
      <c r="S22" s="16" t="n">
        <v>75</v>
      </c>
      <c r="T22" s="16" t="n">
        <v>60</v>
      </c>
      <c r="U22" s="16" t="n">
        <v>38</v>
      </c>
      <c r="V22" s="16" t="n">
        <v>50</v>
      </c>
      <c r="W22" s="16" t="n">
        <v>100</v>
      </c>
      <c r="X22" s="18" t="n">
        <v>46310</v>
      </c>
      <c r="Y22" s="19" t="inlineStr">
        <is>
          <t>Voir</t>
        </is>
      </c>
      <c r="Z22" s="13">
        <f>IFERROR(COUNTIFS(Annonces!$A$2:$A$701,$A22,Annonces!$E$2:$E$701,"En vente",Annonces!$AF$2:$AF$701,"Pro")/COUNTIFS(Annonces!$A$2:$A$701,$A22,Annonces!$E$2:$E$701,"En vente",Annonces!$AF$2:$AF$701,"&lt;&gt;"),"")</f>
        <v/>
      </c>
      <c r="AA22" s="13">
        <f>IFERROR(COUNTIFS(Annonces!$A$2:$A$701,$A22,Annonces!$E$2:$E$701,"En vente",Annonces!$AD$2:$AD$701,"*arnet*")/COUNTIFS(Annonces!$A$2:$A$701,$A22,Annonces!$E$2:$E$701,"En vente",Annonces!$AD$2:$AD$701,"&lt;&gt;"),"")</f>
        <v/>
      </c>
      <c r="AB22" s="14">
        <f>IFERROR(AVERAGEIFS(Annonces!$R$2:$R$701,Annonces!$A$2:$A$701,$A22,Annonces!$E$2:$E$701,"En vente"),"")</f>
        <v/>
      </c>
      <c r="AC22" s="17">
        <f>IFERROR(AVERAGEIFS(Annonces!$J$2:$J$701,Annonces!$A$2:$A$701,$A22,Annonces!$E$2:$E$701,"En vente"),"")</f>
        <v/>
      </c>
    </row>
    <row r="23">
      <c r="A23" s="10" t="inlineStr">
        <is>
          <t>Citroën Saxo VTS 16V</t>
        </is>
      </c>
      <c r="B23" s="10" t="inlineStr">
        <is>
          <t>Hot-hatch youngtimer 2000-2005</t>
        </is>
      </c>
      <c r="C23" s="11" t="n">
        <v>56</v>
      </c>
      <c r="D23" s="10" t="inlineStr">
        <is>
          <t>À surveiller</t>
        </is>
      </c>
      <c r="E23" s="12" t="n">
        <v>6750</v>
      </c>
      <c r="F23" s="12" t="n">
        <v>4500</v>
      </c>
      <c r="G23" s="12" t="n">
        <v>9500</v>
      </c>
      <c r="H23" s="13">
        <f>IF(AND(ISNUMBER(E23),ISNUMBER(F23),ISNUMBER(G23),G23&gt;F23),(E23-F23)/(G23-F23),"")</f>
        <v/>
      </c>
      <c r="I23" s="14" t="n"/>
      <c r="J23" s="14" t="n"/>
      <c r="K23" s="14" t="n"/>
      <c r="L23" s="12" t="n">
        <v>7450</v>
      </c>
      <c r="M23" s="15" t="n">
        <v>150000</v>
      </c>
      <c r="N23" s="16" t="n">
        <v>40</v>
      </c>
      <c r="O23" s="16" t="n">
        <v>0</v>
      </c>
      <c r="P23" s="17" t="n"/>
      <c r="Q23" s="16" t="n">
        <v>5</v>
      </c>
      <c r="R23" s="16" t="n">
        <v>30</v>
      </c>
      <c r="S23" s="16" t="n">
        <v>55</v>
      </c>
      <c r="T23" s="16" t="n">
        <v>55</v>
      </c>
      <c r="U23" s="16" t="n">
        <v>55</v>
      </c>
      <c r="V23" s="16" t="n">
        <v>50</v>
      </c>
      <c r="W23" s="16" t="n">
        <v>100</v>
      </c>
      <c r="X23" s="18" t="n">
        <v>46310</v>
      </c>
      <c r="Y23" s="19" t="inlineStr">
        <is>
          <t>Voir</t>
        </is>
      </c>
      <c r="Z23" s="13">
        <f>IFERROR(COUNTIFS(Annonces!$A$2:$A$701,$A23,Annonces!$E$2:$E$701,"En vente",Annonces!$AF$2:$AF$701,"Pro")/COUNTIFS(Annonces!$A$2:$A$701,$A23,Annonces!$E$2:$E$701,"En vente",Annonces!$AF$2:$AF$701,"&lt;&gt;"),"")</f>
        <v/>
      </c>
      <c r="AA23" s="13">
        <f>IFERROR(COUNTIFS(Annonces!$A$2:$A$701,$A23,Annonces!$E$2:$E$701,"En vente",Annonces!$AD$2:$AD$701,"*arnet*")/COUNTIFS(Annonces!$A$2:$A$701,$A23,Annonces!$E$2:$E$701,"En vente",Annonces!$AD$2:$AD$701,"&lt;&gt;"),"")</f>
        <v/>
      </c>
      <c r="AB23" s="14">
        <f>IFERROR(AVERAGEIFS(Annonces!$R$2:$R$701,Annonces!$A$2:$A$701,$A23,Annonces!$E$2:$E$701,"En vente"),"")</f>
        <v/>
      </c>
      <c r="AC23" s="17">
        <f>IFERROR(AVERAGEIFS(Annonces!$J$2:$J$701,Annonces!$A$2:$A$701,$A23,Annonces!$E$2:$E$701,"En vente"),"")</f>
        <v/>
      </c>
    </row>
    <row r="24">
      <c r="A24" s="10" t="inlineStr">
        <is>
          <t>Alfa Romeo 156 2.5 V6 24V</t>
        </is>
      </c>
      <c r="B24" s="10" t="inlineStr">
        <is>
          <t>Berline sportive youngtimer</t>
        </is>
      </c>
      <c r="C24" s="11" t="n">
        <v>52.8</v>
      </c>
      <c r="D24" s="10" t="inlineStr">
        <is>
          <t>Attendre</t>
        </is>
      </c>
      <c r="E24" s="12" t="n">
        <v>6995</v>
      </c>
      <c r="F24" s="12" t="n">
        <v>4293</v>
      </c>
      <c r="G24" s="12" t="n">
        <v>8050</v>
      </c>
      <c r="H24" s="13">
        <f>IF(AND(ISNUMBER(E24),ISNUMBER(F24),ISNUMBER(G24),G24&gt;F24),(E24-F24)/(G24-F24),"")</f>
        <v/>
      </c>
      <c r="I24" s="14" t="n"/>
      <c r="J24" s="14" t="n"/>
      <c r="K24" s="14" t="n"/>
      <c r="L24" s="12" t="n">
        <v>7010</v>
      </c>
      <c r="M24" s="15" t="n">
        <v>200000</v>
      </c>
      <c r="N24" s="16" t="n">
        <v>8</v>
      </c>
      <c r="O24" s="16" t="n">
        <v>2</v>
      </c>
      <c r="P24" s="17" t="n">
        <v>41</v>
      </c>
      <c r="Q24" s="16" t="n">
        <v>3</v>
      </c>
      <c r="R24" s="16" t="n">
        <v>50</v>
      </c>
      <c r="S24" s="16" t="n">
        <v>65</v>
      </c>
      <c r="T24" s="16" t="n">
        <v>70</v>
      </c>
      <c r="U24" s="16" t="n">
        <v>28</v>
      </c>
      <c r="V24" s="16" t="n">
        <v>50</v>
      </c>
      <c r="W24" s="16" t="n">
        <v>64</v>
      </c>
      <c r="X24" s="18" t="n">
        <v>46310</v>
      </c>
      <c r="Y24" s="19" t="inlineStr">
        <is>
          <t>Voir</t>
        </is>
      </c>
      <c r="Z24" s="13">
        <f>IFERROR(COUNTIFS(Annonces!$A$2:$A$701,$A24,Annonces!$E$2:$E$701,"En vente",Annonces!$AF$2:$AF$701,"Pro")/COUNTIFS(Annonces!$A$2:$A$701,$A24,Annonces!$E$2:$E$701,"En vente",Annonces!$AF$2:$AF$701,"&lt;&gt;"),"")</f>
        <v/>
      </c>
      <c r="AA24" s="13">
        <f>IFERROR(COUNTIFS(Annonces!$A$2:$A$701,$A24,Annonces!$E$2:$E$701,"En vente",Annonces!$AD$2:$AD$701,"*arnet*")/COUNTIFS(Annonces!$A$2:$A$701,$A24,Annonces!$E$2:$E$701,"En vente",Annonces!$AD$2:$AD$701,"&lt;&gt;"),"")</f>
        <v/>
      </c>
      <c r="AB24" s="14">
        <f>IFERROR(AVERAGEIFS(Annonces!$R$2:$R$701,Annonces!$A$2:$A$701,$A24,Annonces!$E$2:$E$701,"En vente"),"")</f>
        <v/>
      </c>
      <c r="AC24" s="17">
        <f>IFERROR(AVERAGEIFS(Annonces!$J$2:$J$701,Annonces!$A$2:$A$701,$A24,Annonces!$E$2:$E$701,"En vente"),"")</f>
        <v/>
      </c>
    </row>
  </sheetData>
  <autoFilter ref="A8:AC24"/>
  <conditionalFormatting sqref="D9:D24">
    <cfRule type="expression" priority="1" dxfId="0">
      <formula>ISNUMBER(SEARCH("achat",D9))</formula>
    </cfRule>
    <cfRule type="expression" priority="2" dxfId="1">
      <formula>ISNUMBER(SEARCH("surveiller",D9))</formula>
    </cfRule>
  </conditionalFormatting>
  <hyperlinks>
    <hyperlink xmlns:r="http://schemas.openxmlformats.org/officeDocument/2006/relationships" ref="Y9" r:id="rId1"/>
    <hyperlink xmlns:r="http://schemas.openxmlformats.org/officeDocument/2006/relationships" ref="Y10" r:id="rId2"/>
    <hyperlink xmlns:r="http://schemas.openxmlformats.org/officeDocument/2006/relationships" ref="Y11" r:id="rId3"/>
    <hyperlink xmlns:r="http://schemas.openxmlformats.org/officeDocument/2006/relationships" ref="Y12" r:id="rId4"/>
    <hyperlink xmlns:r="http://schemas.openxmlformats.org/officeDocument/2006/relationships" ref="Y13" r:id="rId5"/>
    <hyperlink xmlns:r="http://schemas.openxmlformats.org/officeDocument/2006/relationships" ref="Y14" r:id="rId6"/>
    <hyperlink xmlns:r="http://schemas.openxmlformats.org/officeDocument/2006/relationships" ref="Y15" r:id="rId7"/>
    <hyperlink xmlns:r="http://schemas.openxmlformats.org/officeDocument/2006/relationships" ref="Y16" r:id="rId8"/>
    <hyperlink xmlns:r="http://schemas.openxmlformats.org/officeDocument/2006/relationships" ref="Y17" r:id="rId9"/>
    <hyperlink xmlns:r="http://schemas.openxmlformats.org/officeDocument/2006/relationships" ref="Y18" r:id="rId10"/>
    <hyperlink xmlns:r="http://schemas.openxmlformats.org/officeDocument/2006/relationships" ref="Y19" r:id="rId11"/>
    <hyperlink xmlns:r="http://schemas.openxmlformats.org/officeDocument/2006/relationships" ref="Y20" r:id="rId12"/>
    <hyperlink xmlns:r="http://schemas.openxmlformats.org/officeDocument/2006/relationships" ref="Y21" r:id="rId13"/>
    <hyperlink xmlns:r="http://schemas.openxmlformats.org/officeDocument/2006/relationships" ref="Y22" r:id="rId14"/>
    <hyperlink xmlns:r="http://schemas.openxmlformats.org/officeDocument/2006/relationships" ref="Y23" r:id="rId15"/>
    <hyperlink xmlns:r="http://schemas.openxmlformats.org/officeDocument/2006/relationships" ref="Y24" r:id="rId16"/>
  </hyperlinks>
  <pageMargins left="0.75" right="0.75" top="1" bottom="1" header="0.5" footer="0.5"/>
  <drawing xmlns:r="http://schemas.openxmlformats.org/officeDocument/2006/relationships" r:id="rId17"/>
</worksheet>
</file>

<file path=xl/worksheets/sheet3.xml><?xml version="1.0" encoding="utf-8"?>
<worksheet xmlns="http://schemas.openxmlformats.org/spreadsheetml/2006/main">
  <sheetPr>
    <outlinePr summaryBelow="1" summaryRight="1"/>
    <pageSetUpPr/>
  </sheetPr>
  <dimension ref="A1:P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4" customWidth="1" min="2" max="2"/>
    <col width="12" customWidth="1" min="3" max="3"/>
    <col width="14" customWidth="1" min="4" max="4"/>
    <col width="12" customWidth="1" min="5" max="5"/>
    <col width="12" customWidth="1" min="6" max="6"/>
    <col width="13" customWidth="1" min="7" max="7"/>
    <col width="13" customWidth="1" min="8" max="8"/>
    <col width="10" customWidth="1" min="9" max="9"/>
    <col width="11" customWidth="1" min="10" max="10"/>
    <col width="9" customWidth="1" min="11" max="11"/>
    <col width="10" customWidth="1" min="12" max="12"/>
    <col width="10" customWidth="1" min="13" max="13"/>
    <col width="10" customWidth="1" min="14" max="14"/>
    <col width="11" customWidth="1" min="15" max="15"/>
    <col width="15" customWidth="1" min="16" max="16"/>
  </cols>
  <sheetData>
    <row r="1" ht="30" customHeight="1">
      <c r="A1" s="9" t="inlineStr">
        <is>
          <t>Mois</t>
        </is>
      </c>
      <c r="B1" s="9" t="inlineStr">
        <is>
          <t>Véhicule</t>
        </is>
      </c>
      <c r="C1" s="9" t="inlineStr">
        <is>
          <t>Médiane</t>
        </is>
      </c>
      <c r="D1" s="9" t="inlineStr">
        <is>
          <t>Évol. médiane vs mois préc.</t>
        </is>
      </c>
      <c r="E1" s="9" t="inlineStr">
        <is>
          <t>P25</t>
        </is>
      </c>
      <c r="F1" s="9" t="inlineStr">
        <is>
          <t>P75</t>
        </is>
      </c>
      <c r="G1" s="9" t="inlineStr">
        <is>
          <t>Cote à km réf.</t>
        </is>
      </c>
      <c r="H1" s="9" t="inlineStr">
        <is>
          <t>Évol. cote km réf.</t>
        </is>
      </c>
      <c r="I1" s="9" t="inlineStr">
        <is>
          <t>Annonces</t>
        </is>
      </c>
      <c r="J1" s="9" t="inlineStr">
        <is>
          <t>Nouvelles annonces</t>
        </is>
      </c>
      <c r="K1" s="9" t="inlineStr">
        <is>
          <t>Vendues</t>
        </is>
      </c>
      <c r="L1" s="9" t="inlineStr">
        <is>
          <t>Délai de vente</t>
        </is>
      </c>
      <c r="M1" s="9" t="inlineStr">
        <is>
          <t>Relevés dans le mois</t>
        </is>
      </c>
      <c r="N1" s="9" t="inlineStr">
        <is>
          <t>Score /100</t>
        </is>
      </c>
      <c r="O1" s="9" t="inlineStr">
        <is>
          <t>Évol. score (pts)</t>
        </is>
      </c>
      <c r="P1" s="9" t="inlineStr">
        <is>
          <t>Signal</t>
        </is>
      </c>
    </row>
    <row r="2">
      <c r="A2" s="10" t="inlineStr">
        <is>
          <t>2026-10</t>
        </is>
      </c>
      <c r="B2" s="10" t="inlineStr">
        <is>
          <t>Alfa Romeo 156 2.5 V6 24V</t>
        </is>
      </c>
      <c r="C2" s="12" t="n">
        <v>6995</v>
      </c>
      <c r="D2" s="14">
        <f>IF(AND($B2=$B1,ISNUMBER(C2),ISNUMBER(C1)),C2/C1-1,"")</f>
        <v/>
      </c>
      <c r="E2" s="12" t="n">
        <v>4293</v>
      </c>
      <c r="F2" s="12" t="n">
        <v>8050</v>
      </c>
      <c r="G2" s="12" t="n">
        <v>7010</v>
      </c>
      <c r="H2" s="14">
        <f>IF(AND($B2=$B1,ISNUMBER(G2),ISNUMBER(G1)),G2/G1-1,"")</f>
        <v/>
      </c>
      <c r="I2" s="16" t="n">
        <v>8</v>
      </c>
      <c r="J2" s="16" t="n">
        <v>10</v>
      </c>
      <c r="K2" s="16" t="n">
        <v>2</v>
      </c>
      <c r="L2" s="17" t="n">
        <v>41</v>
      </c>
      <c r="M2" s="16" t="n">
        <v>2</v>
      </c>
      <c r="N2" s="11" t="n">
        <v>52.8</v>
      </c>
      <c r="O2" s="20">
        <f>IF(AND($B2=$B1,ISNUMBER(N2),ISNUMBER(N1)),N2-N1,"")</f>
        <v/>
      </c>
      <c r="P2" s="10" t="inlineStr">
        <is>
          <t>Attendre</t>
        </is>
      </c>
    </row>
    <row r="3">
      <c r="A3" s="10" t="inlineStr">
        <is>
          <t>2026-10</t>
        </is>
      </c>
      <c r="B3" s="10" t="inlineStr">
        <is>
          <t>BMW Z3 1.9i / 2.0i</t>
        </is>
      </c>
      <c r="C3" s="12" t="n">
        <v>10245</v>
      </c>
      <c r="D3" s="14">
        <f>IF(AND($B3=$B2,ISNUMBER(C3),ISNUMBER(C2)),C3/C2-1,"")</f>
        <v/>
      </c>
      <c r="E3" s="12" t="n">
        <v>9498</v>
      </c>
      <c r="F3" s="12" t="n">
        <v>11993</v>
      </c>
      <c r="G3" s="12" t="n">
        <v>10900</v>
      </c>
      <c r="H3" s="14">
        <f>IF(AND($B3=$B2,ISNUMBER(G3),ISNUMBER(G2)),G3/G2-1,"")</f>
        <v/>
      </c>
      <c r="I3" s="16" t="n">
        <v>24</v>
      </c>
      <c r="J3" s="16" t="n">
        <v>38</v>
      </c>
      <c r="K3" s="16" t="n">
        <v>0</v>
      </c>
      <c r="L3" s="17" t="n"/>
      <c r="M3" s="16" t="n">
        <v>2</v>
      </c>
      <c r="N3" s="11" t="n">
        <v>61.9</v>
      </c>
      <c r="O3" s="20">
        <f>IF(AND($B3=$B2,ISNUMBER(N3),ISNUMBER(N2)),N3-N2,"")</f>
        <v/>
      </c>
      <c r="P3" s="10" t="inlineStr">
        <is>
          <t>À surveiller</t>
        </is>
      </c>
    </row>
    <row r="4">
      <c r="A4" s="10" t="inlineStr">
        <is>
          <t>2026-09</t>
        </is>
      </c>
      <c r="B4" s="10" t="inlineStr">
        <is>
          <t>Citroën Saxo VTS 16V</t>
        </is>
      </c>
      <c r="C4" s="12" t="n">
        <v>6600</v>
      </c>
      <c r="D4" s="14">
        <f>IF(AND($B4=$B3,ISNUMBER(C4),ISNUMBER(C3)),C4/C3-1,"")</f>
        <v/>
      </c>
      <c r="E4" s="12" t="n"/>
      <c r="F4" s="12" t="n"/>
      <c r="G4" s="12" t="n"/>
      <c r="H4" s="14">
        <f>IF(AND($B4=$B3,ISNUMBER(G4),ISNUMBER(G3)),G4/G3-1,"")</f>
        <v/>
      </c>
      <c r="I4" s="16" t="n">
        <v>2</v>
      </c>
      <c r="J4" s="16" t="n">
        <v>0</v>
      </c>
      <c r="K4" s="16" t="n"/>
      <c r="L4" s="17" t="n"/>
      <c r="M4" s="16" t="n">
        <v>1</v>
      </c>
      <c r="N4" s="11" t="n">
        <v>43.6</v>
      </c>
      <c r="O4" s="20">
        <f>IF(AND($B4=$B3,ISNUMBER(N4),ISNUMBER(N3)),N4-N3,"")</f>
        <v/>
      </c>
      <c r="P4" s="10" t="inlineStr">
        <is>
          <t>Attendre</t>
        </is>
      </c>
    </row>
    <row r="5">
      <c r="A5" s="10" t="inlineStr">
        <is>
          <t>2026-10</t>
        </is>
      </c>
      <c r="B5" s="10" t="inlineStr">
        <is>
          <t>Citroën Saxo VTS 16V</t>
        </is>
      </c>
      <c r="C5" s="12" t="n">
        <v>6750</v>
      </c>
      <c r="D5" s="14">
        <f>IF(AND($B5=$B4,ISNUMBER(C5),ISNUMBER(C4)),C5/C4-1,"")</f>
        <v/>
      </c>
      <c r="E5" s="12" t="n">
        <v>5000</v>
      </c>
      <c r="F5" s="12" t="n">
        <v>8850</v>
      </c>
      <c r="G5" s="12" t="n">
        <v>7450</v>
      </c>
      <c r="H5" s="14">
        <f>IF(AND($B5=$B4,ISNUMBER(G5),ISNUMBER(G4)),G5/G4-1,"")</f>
        <v/>
      </c>
      <c r="I5" s="16" t="n">
        <v>40</v>
      </c>
      <c r="J5" s="16" t="n">
        <v>57</v>
      </c>
      <c r="K5" s="16" t="n">
        <v>0</v>
      </c>
      <c r="L5" s="17" t="n"/>
      <c r="M5" s="16" t="n">
        <v>2</v>
      </c>
      <c r="N5" s="11" t="n">
        <v>56</v>
      </c>
      <c r="O5" s="20">
        <f>IF(AND($B5=$B4,ISNUMBER(N5),ISNUMBER(N4)),N5-N4,"")</f>
        <v/>
      </c>
      <c r="P5" s="10" t="inlineStr">
        <is>
          <t>À surveiller</t>
        </is>
      </c>
    </row>
    <row r="6">
      <c r="A6" s="10" t="inlineStr">
        <is>
          <t>2026-10</t>
        </is>
      </c>
      <c r="B6" s="10" t="inlineStr">
        <is>
          <t>Honda S2000</t>
        </is>
      </c>
      <c r="C6" s="12" t="n">
        <v>23900</v>
      </c>
      <c r="D6" s="14">
        <f>IF(AND($B6=$B5,ISNUMBER(C6),ISNUMBER(C5)),C6/C5-1,"")</f>
        <v/>
      </c>
      <c r="E6" s="12" t="n">
        <v>17950</v>
      </c>
      <c r="F6" s="12" t="n">
        <v>28950</v>
      </c>
      <c r="G6" s="12" t="n">
        <v>22870</v>
      </c>
      <c r="H6" s="14">
        <f>IF(AND($B6=$B5,ISNUMBER(G6),ISNUMBER(G5)),G6/G5-1,"")</f>
        <v/>
      </c>
      <c r="I6" s="16" t="n">
        <v>39</v>
      </c>
      <c r="J6" s="16" t="n">
        <v>51</v>
      </c>
      <c r="K6" s="16" t="n">
        <v>0</v>
      </c>
      <c r="L6" s="17" t="n"/>
      <c r="M6" s="16" t="n">
        <v>2</v>
      </c>
      <c r="N6" s="11" t="n">
        <v>65.2</v>
      </c>
      <c r="O6" s="20">
        <f>IF(AND($B6=$B5,ISNUMBER(N6),ISNUMBER(N5)),N6-N5,"")</f>
        <v/>
      </c>
      <c r="P6" s="10" t="inlineStr">
        <is>
          <t>À surveiller</t>
        </is>
      </c>
    </row>
    <row r="7">
      <c r="A7" s="10" t="inlineStr">
        <is>
          <t>2026-10</t>
        </is>
      </c>
      <c r="B7" s="10" t="inlineStr">
        <is>
          <t>Mazda MX-5 NA</t>
        </is>
      </c>
      <c r="C7" s="12" t="n">
        <v>11990</v>
      </c>
      <c r="D7" s="14">
        <f>IF(AND($B7=$B6,ISNUMBER(C7),ISNUMBER(C6)),C7/C6-1,"")</f>
        <v/>
      </c>
      <c r="E7" s="12" t="n">
        <v>8938</v>
      </c>
      <c r="F7" s="12" t="n">
        <v>13875</v>
      </c>
      <c r="G7" s="12" t="n">
        <v>11470</v>
      </c>
      <c r="H7" s="14">
        <f>IF(AND($B7=$B6,ISNUMBER(G7),ISNUMBER(G6)),G7/G6-1,"")</f>
        <v/>
      </c>
      <c r="I7" s="16" t="n">
        <v>38</v>
      </c>
      <c r="J7" s="16" t="n">
        <v>45</v>
      </c>
      <c r="K7" s="16" t="n">
        <v>0</v>
      </c>
      <c r="L7" s="17" t="n"/>
      <c r="M7" s="16" t="n">
        <v>2</v>
      </c>
      <c r="N7" s="11" t="n">
        <v>56.1</v>
      </c>
      <c r="O7" s="20">
        <f>IF(AND($B7=$B6,ISNUMBER(N7),ISNUMBER(N6)),N7-N6,"")</f>
        <v/>
      </c>
      <c r="P7" s="10" t="inlineStr">
        <is>
          <t>À surveiller</t>
        </is>
      </c>
    </row>
    <row r="8">
      <c r="A8" s="10" t="inlineStr">
        <is>
          <t>2026-10</t>
        </is>
      </c>
      <c r="B8" s="10" t="inlineStr">
        <is>
          <t>Peugeot 205 GTI</t>
        </is>
      </c>
      <c r="C8" s="12" t="n">
        <v>15450</v>
      </c>
      <c r="D8" s="14">
        <f>IF(AND($B8=$B7,ISNUMBER(C8),ISNUMBER(C7)),C8/C7-1,"")</f>
        <v/>
      </c>
      <c r="E8" s="12" t="n">
        <v>13125</v>
      </c>
      <c r="F8" s="12" t="n">
        <v>20000</v>
      </c>
      <c r="G8" s="12" t="n">
        <v>16890</v>
      </c>
      <c r="H8" s="14">
        <f>IF(AND($B8=$B7,ISNUMBER(G8),ISNUMBER(G7)),G8/G7-1,"")</f>
        <v/>
      </c>
      <c r="I8" s="16" t="n">
        <v>40</v>
      </c>
      <c r="J8" s="16" t="n">
        <v>65</v>
      </c>
      <c r="K8" s="16" t="n">
        <v>0</v>
      </c>
      <c r="L8" s="17" t="n"/>
      <c r="M8" s="16" t="n">
        <v>2</v>
      </c>
      <c r="N8" s="11" t="n">
        <v>67.3</v>
      </c>
      <c r="O8" s="20">
        <f>IF(AND($B8=$B7,ISNUMBER(N8),ISNUMBER(N7)),N8-N7,"")</f>
        <v/>
      </c>
      <c r="P8" s="10" t="inlineStr">
        <is>
          <t>À surveiller</t>
        </is>
      </c>
    </row>
    <row r="9">
      <c r="A9" s="10" t="inlineStr">
        <is>
          <t>2026-09</t>
        </is>
      </c>
      <c r="B9" s="10" t="inlineStr">
        <is>
          <t>Peugeot 206 RC</t>
        </is>
      </c>
      <c r="C9" s="12" t="n">
        <v>6790</v>
      </c>
      <c r="D9" s="14">
        <f>IF(AND($B9=$B8,ISNUMBER(C9),ISNUMBER(C8)),C9/C8-1,"")</f>
        <v/>
      </c>
      <c r="E9" s="12" t="n"/>
      <c r="F9" s="12" t="n"/>
      <c r="G9" s="12" t="n"/>
      <c r="H9" s="14">
        <f>IF(AND($B9=$B8,ISNUMBER(G9),ISNUMBER(G8)),G9/G8-1,"")</f>
        <v/>
      </c>
      <c r="I9" s="16" t="n">
        <v>1</v>
      </c>
      <c r="J9" s="16" t="n">
        <v>0</v>
      </c>
      <c r="K9" s="16" t="n"/>
      <c r="L9" s="17" t="n"/>
      <c r="M9" s="16" t="n">
        <v>1</v>
      </c>
      <c r="N9" s="11" t="n">
        <v>58.2</v>
      </c>
      <c r="O9" s="20">
        <f>IF(AND($B9=$B8,ISNUMBER(N9),ISNUMBER(N8)),N9-N8,"")</f>
        <v/>
      </c>
      <c r="P9" s="10" t="inlineStr">
        <is>
          <t>À surveiller</t>
        </is>
      </c>
    </row>
    <row r="10">
      <c r="A10" s="10" t="inlineStr">
        <is>
          <t>2026-10</t>
        </is>
      </c>
      <c r="B10" s="10" t="inlineStr">
        <is>
          <t>Peugeot 206 RC</t>
        </is>
      </c>
      <c r="C10" s="12" t="n">
        <v>9000</v>
      </c>
      <c r="D10" s="14">
        <f>IF(AND($B10=$B9,ISNUMBER(C10),ISNUMBER(C9)),C10/C9-1,"")</f>
        <v/>
      </c>
      <c r="E10" s="12" t="n">
        <v>6975</v>
      </c>
      <c r="F10" s="12" t="n">
        <v>12100</v>
      </c>
      <c r="G10" s="12" t="n">
        <v>11050</v>
      </c>
      <c r="H10" s="14">
        <f>IF(AND($B10=$B9,ISNUMBER(G10),ISNUMBER(G9)),G10/G9-1,"")</f>
        <v/>
      </c>
      <c r="I10" s="16" t="n">
        <v>40</v>
      </c>
      <c r="J10" s="16" t="n">
        <v>25</v>
      </c>
      <c r="K10" s="16" t="n">
        <v>0</v>
      </c>
      <c r="L10" s="17" t="n"/>
      <c r="M10" s="16" t="n">
        <v>2</v>
      </c>
      <c r="N10" s="11" t="n">
        <v>65.90000000000001</v>
      </c>
      <c r="O10" s="20">
        <f>IF(AND($B10=$B9,ISNUMBER(N10),ISNUMBER(N9)),N10-N9,"")</f>
        <v/>
      </c>
      <c r="P10" s="10" t="inlineStr">
        <is>
          <t>À surveiller</t>
        </is>
      </c>
    </row>
    <row r="11">
      <c r="A11" s="10" t="inlineStr">
        <is>
          <t>2026-09</t>
        </is>
      </c>
      <c r="B11" s="10" t="inlineStr">
        <is>
          <t>Peugeot 208 GTi 30th</t>
        </is>
      </c>
      <c r="C11" s="12" t="n">
        <v>15990</v>
      </c>
      <c r="D11" s="14">
        <f>IF(AND($B11=$B10,ISNUMBER(C11),ISNUMBER(C10)),C11/C10-1,"")</f>
        <v/>
      </c>
      <c r="E11" s="12" t="n"/>
      <c r="F11" s="12" t="n"/>
      <c r="G11" s="12" t="n"/>
      <c r="H11" s="14">
        <f>IF(AND($B11=$B10,ISNUMBER(G11),ISNUMBER(G10)),G11/G10-1,"")</f>
        <v/>
      </c>
      <c r="I11" s="16" t="n">
        <v>7</v>
      </c>
      <c r="J11" s="16" t="n">
        <v>0</v>
      </c>
      <c r="K11" s="16" t="n"/>
      <c r="L11" s="17" t="n"/>
      <c r="M11" s="16" t="n">
        <v>1</v>
      </c>
      <c r="N11" s="11" t="n">
        <v>67.40000000000001</v>
      </c>
      <c r="O11" s="20">
        <f>IF(AND($B11=$B10,ISNUMBER(N11),ISNUMBER(N10)),N11-N10,"")</f>
        <v/>
      </c>
      <c r="P11" s="10" t="inlineStr">
        <is>
          <t>À surveiller</t>
        </is>
      </c>
    </row>
    <row r="12">
      <c r="A12" s="10" t="inlineStr">
        <is>
          <t>2026-10</t>
        </is>
      </c>
      <c r="B12" s="10" t="inlineStr">
        <is>
          <t>Peugeot 208 GTi 30th</t>
        </is>
      </c>
      <c r="C12" s="12" t="n">
        <v>15900</v>
      </c>
      <c r="D12" s="14">
        <f>IF(AND($B12=$B11,ISNUMBER(C12),ISNUMBER(C11)),C12/C11-1,"")</f>
        <v/>
      </c>
      <c r="E12" s="12" t="n">
        <v>14695</v>
      </c>
      <c r="F12" s="12" t="n">
        <v>17885</v>
      </c>
      <c r="G12" s="12" t="n">
        <v>15360</v>
      </c>
      <c r="H12" s="14">
        <f>IF(AND($B12=$B11,ISNUMBER(G12),ISNUMBER(G11)),G12/G11-1,"")</f>
        <v/>
      </c>
      <c r="I12" s="16" t="n">
        <v>11</v>
      </c>
      <c r="J12" s="16" t="n">
        <v>13</v>
      </c>
      <c r="K12" s="16" t="n">
        <v>2</v>
      </c>
      <c r="L12" s="17" t="n">
        <v>61</v>
      </c>
      <c r="M12" s="16" t="n">
        <v>2</v>
      </c>
      <c r="N12" s="11" t="n">
        <v>70.2</v>
      </c>
      <c r="O12" s="20">
        <f>IF(AND($B12=$B11,ISNUMBER(N12),ISNUMBER(N11)),N12-N11,"")</f>
        <v/>
      </c>
      <c r="P12" s="10" t="inlineStr">
        <is>
          <t>Signal d'achat</t>
        </is>
      </c>
    </row>
    <row r="13">
      <c r="A13" s="10" t="inlineStr">
        <is>
          <t>2026-10</t>
        </is>
      </c>
      <c r="B13" s="10" t="inlineStr">
        <is>
          <t>Peugeot 306 S16</t>
        </is>
      </c>
      <c r="C13" s="12" t="n">
        <v>9500</v>
      </c>
      <c r="D13" s="14">
        <f>IF(AND($B13=$B12,ISNUMBER(C13),ISNUMBER(C12)),C13/C12-1,"")</f>
        <v/>
      </c>
      <c r="E13" s="12" t="n">
        <v>8000</v>
      </c>
      <c r="F13" s="12" t="n">
        <v>15000</v>
      </c>
      <c r="G13" s="12" t="n">
        <v>11490</v>
      </c>
      <c r="H13" s="14">
        <f>IF(AND($B13=$B12,ISNUMBER(G13),ISNUMBER(G12)),G13/G12-1,"")</f>
        <v/>
      </c>
      <c r="I13" s="16" t="n">
        <v>33</v>
      </c>
      <c r="J13" s="16" t="n">
        <v>41</v>
      </c>
      <c r="K13" s="16" t="n">
        <v>0</v>
      </c>
      <c r="L13" s="17" t="n"/>
      <c r="M13" s="16" t="n">
        <v>2</v>
      </c>
      <c r="N13" s="11" t="n">
        <v>61.9</v>
      </c>
      <c r="O13" s="20">
        <f>IF(AND($B13=$B12,ISNUMBER(N13),ISNUMBER(N12)),N13-N12,"")</f>
        <v/>
      </c>
      <c r="P13" s="10" t="inlineStr">
        <is>
          <t>À surveiller</t>
        </is>
      </c>
    </row>
    <row r="14">
      <c r="A14" s="10" t="inlineStr">
        <is>
          <t>2026-09</t>
        </is>
      </c>
      <c r="B14" s="10" t="inlineStr">
        <is>
          <t>Porsche 911 997 Carrera S</t>
        </is>
      </c>
      <c r="C14" s="12" t="n">
        <v>51000</v>
      </c>
      <c r="D14" s="14">
        <f>IF(AND($B14=$B13,ISNUMBER(C14),ISNUMBER(C13)),C14/C13-1,"")</f>
        <v/>
      </c>
      <c r="E14" s="12" t="n"/>
      <c r="F14" s="12" t="n"/>
      <c r="G14" s="12" t="n"/>
      <c r="H14" s="14">
        <f>IF(AND($B14=$B13,ISNUMBER(G14),ISNUMBER(G13)),G14/G13-1,"")</f>
        <v/>
      </c>
      <c r="I14" s="16" t="n">
        <v>11</v>
      </c>
      <c r="J14" s="16" t="n">
        <v>0</v>
      </c>
      <c r="K14" s="16" t="n"/>
      <c r="L14" s="17" t="n"/>
      <c r="M14" s="16" t="n">
        <v>1</v>
      </c>
      <c r="N14" s="11" t="n">
        <v>67.2</v>
      </c>
      <c r="O14" s="20">
        <f>IF(AND($B14=$B13,ISNUMBER(N14),ISNUMBER(N13)),N14-N13,"")</f>
        <v/>
      </c>
      <c r="P14" s="10" t="inlineStr">
        <is>
          <t>À surveiller</t>
        </is>
      </c>
    </row>
    <row r="15">
      <c r="A15" s="10" t="inlineStr">
        <is>
          <t>2026-10</t>
        </is>
      </c>
      <c r="B15" s="10" t="inlineStr">
        <is>
          <t>Porsche 911 997 Carrera S</t>
        </is>
      </c>
      <c r="C15" s="12" t="n">
        <v>54990</v>
      </c>
      <c r="D15" s="14">
        <f>IF(AND($B15=$B14,ISNUMBER(C15),ISNUMBER(C14)),C15/C14-1,"")</f>
        <v/>
      </c>
      <c r="E15" s="12" t="n">
        <v>49940</v>
      </c>
      <c r="F15" s="12" t="n">
        <v>59900</v>
      </c>
      <c r="G15" s="12" t="n">
        <v>55870</v>
      </c>
      <c r="H15" s="14">
        <f>IF(AND($B15=$B14,ISNUMBER(G15),ISNUMBER(G14)),G15/G14-1,"")</f>
        <v/>
      </c>
      <c r="I15" s="16" t="n">
        <v>39</v>
      </c>
      <c r="J15" s="16" t="n">
        <v>66</v>
      </c>
      <c r="K15" s="16" t="n">
        <v>0</v>
      </c>
      <c r="L15" s="17" t="n"/>
      <c r="M15" s="16" t="n">
        <v>2</v>
      </c>
      <c r="N15" s="11" t="n">
        <v>68.90000000000001</v>
      </c>
      <c r="O15" s="20">
        <f>IF(AND($B15=$B14,ISNUMBER(N15),ISNUMBER(N14)),N15-N14,"")</f>
        <v/>
      </c>
      <c r="P15" s="10" t="inlineStr">
        <is>
          <t>Signal d'achat</t>
        </is>
      </c>
    </row>
    <row r="16">
      <c r="A16" s="10" t="inlineStr">
        <is>
          <t>2026-09</t>
        </is>
      </c>
      <c r="B16" s="10" t="inlineStr">
        <is>
          <t>Porsche Boxster 986</t>
        </is>
      </c>
      <c r="C16" s="12" t="n">
        <v>22425</v>
      </c>
      <c r="D16" s="14">
        <f>IF(AND($B16=$B15,ISNUMBER(C16),ISNUMBER(C15)),C16/C15-1,"")</f>
        <v/>
      </c>
      <c r="E16" s="12" t="n"/>
      <c r="F16" s="12" t="n"/>
      <c r="G16" s="12" t="n"/>
      <c r="H16" s="14">
        <f>IF(AND($B16=$B15,ISNUMBER(G16),ISNUMBER(G15)),G16/G15-1,"")</f>
        <v/>
      </c>
      <c r="I16" s="16" t="n">
        <v>4</v>
      </c>
      <c r="J16" s="16" t="n">
        <v>0</v>
      </c>
      <c r="K16" s="16" t="n"/>
      <c r="L16" s="17" t="n"/>
      <c r="M16" s="16" t="n">
        <v>1</v>
      </c>
      <c r="N16" s="11" t="n">
        <v>43.1</v>
      </c>
      <c r="O16" s="20">
        <f>IF(AND($B16=$B15,ISNUMBER(N16),ISNUMBER(N15)),N16-N15,"")</f>
        <v/>
      </c>
      <c r="P16" s="10" t="inlineStr">
        <is>
          <t>Attendre</t>
        </is>
      </c>
    </row>
    <row r="17">
      <c r="A17" s="10" t="inlineStr">
        <is>
          <t>2026-10</t>
        </is>
      </c>
      <c r="B17" s="10" t="inlineStr">
        <is>
          <t>Porsche Boxster 986</t>
        </is>
      </c>
      <c r="C17" s="12" t="n">
        <v>19890</v>
      </c>
      <c r="D17" s="14">
        <f>IF(AND($B17=$B16,ISNUMBER(C17),ISNUMBER(C16)),C17/C16-1,"")</f>
        <v/>
      </c>
      <c r="E17" s="12" t="n">
        <v>17375</v>
      </c>
      <c r="F17" s="12" t="n">
        <v>21990</v>
      </c>
      <c r="G17" s="12" t="n">
        <v>20520</v>
      </c>
      <c r="H17" s="14">
        <f>IF(AND($B17=$B16,ISNUMBER(G17),ISNUMBER(G16)),G17/G16-1,"")</f>
        <v/>
      </c>
      <c r="I17" s="16" t="n">
        <v>40</v>
      </c>
      <c r="J17" s="16" t="n">
        <v>63</v>
      </c>
      <c r="K17" s="16" t="n">
        <v>0</v>
      </c>
      <c r="L17" s="17" t="n"/>
      <c r="M17" s="16" t="n">
        <v>2</v>
      </c>
      <c r="N17" s="11" t="n">
        <v>58.4</v>
      </c>
      <c r="O17" s="20">
        <f>IF(AND($B17=$B16,ISNUMBER(N17),ISNUMBER(N16)),N17-N16,"")</f>
        <v/>
      </c>
      <c r="P17" s="10" t="inlineStr">
        <is>
          <t>À surveiller</t>
        </is>
      </c>
    </row>
    <row r="18">
      <c r="A18" s="10" t="inlineStr">
        <is>
          <t>2026-09</t>
        </is>
      </c>
      <c r="B18" s="10" t="inlineStr">
        <is>
          <t>Porsche Boxster 987</t>
        </is>
      </c>
      <c r="C18" s="12" t="n">
        <v>43990</v>
      </c>
      <c r="D18" s="14">
        <f>IF(AND($B18=$B17,ISNUMBER(C18),ISNUMBER(C17)),C18/C17-1,"")</f>
        <v/>
      </c>
      <c r="E18" s="12" t="n"/>
      <c r="F18" s="12" t="n"/>
      <c r="G18" s="12" t="n"/>
      <c r="H18" s="14">
        <f>IF(AND($B18=$B17,ISNUMBER(G18),ISNUMBER(G17)),G18/G17-1,"")</f>
        <v/>
      </c>
      <c r="I18" s="16" t="n">
        <v>5</v>
      </c>
      <c r="J18" s="16" t="n">
        <v>0</v>
      </c>
      <c r="K18" s="16" t="n"/>
      <c r="L18" s="17" t="n"/>
      <c r="M18" s="16" t="n">
        <v>1</v>
      </c>
      <c r="N18" s="11" t="n">
        <v>38.3</v>
      </c>
      <c r="O18" s="20">
        <f>IF(AND($B18=$B17,ISNUMBER(N18),ISNUMBER(N17)),N18-N17,"")</f>
        <v/>
      </c>
      <c r="P18" s="10" t="inlineStr">
        <is>
          <t>Attendre</t>
        </is>
      </c>
    </row>
    <row r="19">
      <c r="A19" s="10" t="inlineStr">
        <is>
          <t>2026-10</t>
        </is>
      </c>
      <c r="B19" s="10" t="inlineStr">
        <is>
          <t>Porsche Boxster 987</t>
        </is>
      </c>
      <c r="C19" s="12" t="n">
        <v>29250</v>
      </c>
      <c r="D19" s="14">
        <f>IF(AND($B19=$B18,ISNUMBER(C19),ISNUMBER(C18)),C19/C18-1,"")</f>
        <v/>
      </c>
      <c r="E19" s="12" t="n">
        <v>26675</v>
      </c>
      <c r="F19" s="12" t="n">
        <v>34493</v>
      </c>
      <c r="G19" s="12" t="n">
        <v>32020</v>
      </c>
      <c r="H19" s="14">
        <f>IF(AND($B19=$B18,ISNUMBER(G19),ISNUMBER(G18)),G19/G18-1,"")</f>
        <v/>
      </c>
      <c r="I19" s="16" t="n">
        <v>40</v>
      </c>
      <c r="J19" s="16" t="n">
        <v>62</v>
      </c>
      <c r="K19" s="16" t="n">
        <v>0</v>
      </c>
      <c r="L19" s="17" t="n"/>
      <c r="M19" s="16" t="n">
        <v>2</v>
      </c>
      <c r="N19" s="11" t="n">
        <v>60.1</v>
      </c>
      <c r="O19" s="20">
        <f>IF(AND($B19=$B18,ISNUMBER(N19),ISNUMBER(N18)),N19-N18,"")</f>
        <v/>
      </c>
      <c r="P19" s="10" t="inlineStr">
        <is>
          <t>À surveiller</t>
        </is>
      </c>
    </row>
    <row r="20">
      <c r="A20" s="10" t="inlineStr">
        <is>
          <t>2026-09</t>
        </is>
      </c>
      <c r="B20" s="10" t="inlineStr">
        <is>
          <t>Renault Clio II RS (172/182 ch)</t>
        </is>
      </c>
      <c r="C20" s="12" t="n">
        <v>8899.5</v>
      </c>
      <c r="D20" s="14">
        <f>IF(AND($B20=$B19,ISNUMBER(C20),ISNUMBER(C19)),C20/C19-1,"")</f>
        <v/>
      </c>
      <c r="E20" s="12" t="n"/>
      <c r="F20" s="12" t="n"/>
      <c r="G20" s="12" t="n"/>
      <c r="H20" s="14">
        <f>IF(AND($B20=$B19,ISNUMBER(G20),ISNUMBER(G19)),G20/G19-1,"")</f>
        <v/>
      </c>
      <c r="I20" s="16" t="n">
        <v>2</v>
      </c>
      <c r="J20" s="16" t="n">
        <v>0</v>
      </c>
      <c r="K20" s="16" t="n"/>
      <c r="L20" s="17" t="n"/>
      <c r="M20" s="16" t="n">
        <v>1</v>
      </c>
      <c r="N20" s="11" t="n">
        <v>52</v>
      </c>
      <c r="O20" s="20">
        <f>IF(AND($B20=$B19,ISNUMBER(N20),ISNUMBER(N19)),N20-N19,"")</f>
        <v/>
      </c>
      <c r="P20" s="10" t="inlineStr">
        <is>
          <t>Attendre</t>
        </is>
      </c>
    </row>
    <row r="21">
      <c r="A21" s="10" t="inlineStr">
        <is>
          <t>2026-10</t>
        </is>
      </c>
      <c r="B21" s="10" t="inlineStr">
        <is>
          <t>Renault Clio II RS (172/182 ch)</t>
        </is>
      </c>
      <c r="C21" s="12" t="n">
        <v>10195</v>
      </c>
      <c r="D21" s="14">
        <f>IF(AND($B21=$B20,ISNUMBER(C21),ISNUMBER(C20)),C21/C20-1,"")</f>
        <v/>
      </c>
      <c r="E21" s="12" t="n">
        <v>7900</v>
      </c>
      <c r="F21" s="12" t="n">
        <v>12248</v>
      </c>
      <c r="G21" s="12" t="n">
        <v>10520</v>
      </c>
      <c r="H21" s="14">
        <f>IF(AND($B21=$B20,ISNUMBER(G21),ISNUMBER(G20)),G21/G20-1,"")</f>
        <v/>
      </c>
      <c r="I21" s="16" t="n">
        <v>36</v>
      </c>
      <c r="J21" s="16" t="n">
        <v>53</v>
      </c>
      <c r="K21" s="16" t="n">
        <v>0</v>
      </c>
      <c r="L21" s="17" t="n"/>
      <c r="M21" s="16" t="n">
        <v>2</v>
      </c>
      <c r="N21" s="11" t="n">
        <v>62.8</v>
      </c>
      <c r="O21" s="20">
        <f>IF(AND($B21=$B20,ISNUMBER(N21),ISNUMBER(N20)),N21-N20,"")</f>
        <v/>
      </c>
      <c r="P21" s="10" t="inlineStr">
        <is>
          <t>À surveiller</t>
        </is>
      </c>
    </row>
    <row r="22">
      <c r="A22" s="10" t="inlineStr">
        <is>
          <t>2026-10</t>
        </is>
      </c>
      <c r="B22" s="10" t="inlineStr">
        <is>
          <t>Renault Mégane II RS R26</t>
        </is>
      </c>
      <c r="C22" s="12" t="n">
        <v>22990</v>
      </c>
      <c r="D22" s="14">
        <f>IF(AND($B22=$B21,ISNUMBER(C22),ISNUMBER(C21)),C22/C21-1,"")</f>
        <v/>
      </c>
      <c r="E22" s="12" t="n">
        <v>19900</v>
      </c>
      <c r="F22" s="12" t="n">
        <v>24495</v>
      </c>
      <c r="G22" s="12" t="n">
        <v>23170</v>
      </c>
      <c r="H22" s="14">
        <f>IF(AND($B22=$B21,ISNUMBER(G22),ISNUMBER(G21)),G22/G21-1,"")</f>
        <v/>
      </c>
      <c r="I22" s="16" t="n">
        <v>15</v>
      </c>
      <c r="J22" s="16" t="n">
        <v>20</v>
      </c>
      <c r="K22" s="16" t="n">
        <v>5</v>
      </c>
      <c r="L22" s="17" t="n">
        <v>62</v>
      </c>
      <c r="M22" s="16" t="n">
        <v>2</v>
      </c>
      <c r="N22" s="11" t="n">
        <v>58</v>
      </c>
      <c r="O22" s="20">
        <f>IF(AND($B22=$B21,ISNUMBER(N22),ISNUMBER(N21)),N22-N21,"")</f>
        <v/>
      </c>
      <c r="P22" s="10" t="inlineStr">
        <is>
          <t>À surveiller</t>
        </is>
      </c>
    </row>
    <row r="23">
      <c r="A23" s="10" t="inlineStr">
        <is>
          <t>2026-09</t>
        </is>
      </c>
      <c r="B23" s="10" t="inlineStr">
        <is>
          <t>Renault Twingo 1 découvrable</t>
        </is>
      </c>
      <c r="C23" s="12" t="n">
        <v>5490</v>
      </c>
      <c r="D23" s="14">
        <f>IF(AND($B23=$B22,ISNUMBER(C23),ISNUMBER(C22)),C23/C22-1,"")</f>
        <v/>
      </c>
      <c r="E23" s="12" t="n"/>
      <c r="F23" s="12" t="n"/>
      <c r="G23" s="12" t="n"/>
      <c r="H23" s="14">
        <f>IF(AND($B23=$B22,ISNUMBER(G23),ISNUMBER(G22)),G23/G22-1,"")</f>
        <v/>
      </c>
      <c r="I23" s="16" t="n">
        <v>6</v>
      </c>
      <c r="J23" s="16" t="n">
        <v>0</v>
      </c>
      <c r="K23" s="16" t="n"/>
      <c r="L23" s="17" t="n"/>
      <c r="M23" s="16" t="n">
        <v>1</v>
      </c>
      <c r="N23" s="11" t="n">
        <v>46.5</v>
      </c>
      <c r="O23" s="20">
        <f>IF(AND($B23=$B22,ISNUMBER(N23),ISNUMBER(N22)),N23-N22,"")</f>
        <v/>
      </c>
      <c r="P23" s="10" t="inlineStr">
        <is>
          <t>Attendre</t>
        </is>
      </c>
    </row>
    <row r="24">
      <c r="A24" s="10" t="inlineStr">
        <is>
          <t>2026-10</t>
        </is>
      </c>
      <c r="B24" s="10" t="inlineStr">
        <is>
          <t>Renault Twingo 1 découvrable</t>
        </is>
      </c>
      <c r="C24" s="12" t="n">
        <v>3000</v>
      </c>
      <c r="D24" s="14">
        <f>IF(AND($B24=$B23,ISNUMBER(C24),ISNUMBER(C23)),C24/C23-1,"")</f>
        <v/>
      </c>
      <c r="E24" s="12" t="n">
        <v>2400</v>
      </c>
      <c r="F24" s="12" t="n">
        <v>3650</v>
      </c>
      <c r="G24" s="12" t="n">
        <v>3530</v>
      </c>
      <c r="H24" s="14">
        <f>IF(AND($B24=$B23,ISNUMBER(G24),ISNUMBER(G23)),G24/G23-1,"")</f>
        <v/>
      </c>
      <c r="I24" s="16" t="n">
        <v>37</v>
      </c>
      <c r="J24" s="16" t="n">
        <v>50</v>
      </c>
      <c r="K24" s="16" t="n">
        <v>0</v>
      </c>
      <c r="L24" s="17" t="n"/>
      <c r="M24" s="16" t="n">
        <v>2</v>
      </c>
      <c r="N24" s="11" t="n">
        <v>65.5</v>
      </c>
      <c r="O24" s="20">
        <f>IF(AND($B24=$B23,ISNUMBER(N24),ISNUMBER(N23)),N24-N23,"")</f>
        <v/>
      </c>
      <c r="P24" s="10" t="inlineStr">
        <is>
          <t>À surveiller</t>
        </is>
      </c>
    </row>
    <row r="25">
      <c r="A25" s="10" t="inlineStr">
        <is>
          <t>2026-10</t>
        </is>
      </c>
      <c r="B25" s="10" t="inlineStr">
        <is>
          <t>Volkswagen Golf IV GTI 25th Anniversary</t>
        </is>
      </c>
      <c r="C25" s="12" t="n">
        <v>11000</v>
      </c>
      <c r="D25" s="14">
        <f>IF(AND($B25=$B24,ISNUMBER(C25),ISNUMBER(C24)),C25/C24-1,"")</f>
        <v/>
      </c>
      <c r="E25" s="12" t="n">
        <v>11000</v>
      </c>
      <c r="F25" s="12" t="n">
        <v>11000</v>
      </c>
      <c r="G25" s="12" t="n">
        <v>11000</v>
      </c>
      <c r="H25" s="14">
        <f>IF(AND($B25=$B24,ISNUMBER(G25),ISNUMBER(G24)),G25/G24-1,"")</f>
        <v/>
      </c>
      <c r="I25" s="16" t="n">
        <v>1</v>
      </c>
      <c r="J25" s="16" t="n">
        <v>1</v>
      </c>
      <c r="K25" s="16" t="n">
        <v>0</v>
      </c>
      <c r="L25" s="17" t="n"/>
      <c r="M25" s="16" t="n">
        <v>1</v>
      </c>
      <c r="N25" s="11" t="n">
        <v>61</v>
      </c>
      <c r="O25" s="20">
        <f>IF(AND($B25=$B24,ISNUMBER(N25),ISNUMBER(N24)),N25-N24,"")</f>
        <v/>
      </c>
      <c r="P25" s="10" t="inlineStr">
        <is>
          <t>À surveiller</t>
        </is>
      </c>
    </row>
  </sheetData>
  <autoFilter ref="A1:P25"/>
  <conditionalFormatting sqref="P2:P25">
    <cfRule type="expression" priority="1" dxfId="0">
      <formula>ISNUMBER(SEARCH("achat",P2))</formula>
    </cfRule>
    <cfRule type="expression" priority="2" dxfId="1">
      <formula>ISNUMBER(SEARCH("surveiller",P2))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12" customWidth="1" min="2" max="2"/>
    <col width="12" customWidth="1" min="3" max="3"/>
  </cols>
  <sheetData>
    <row r="1">
      <c r="A1" s="21" t="inlineStr">
        <is>
          <t>Véhicule</t>
        </is>
      </c>
      <c r="B1" s="21" t="inlineStr">
        <is>
          <t>2026-09</t>
        </is>
      </c>
      <c r="C1" s="21" t="inlineStr">
        <is>
          <t>2026-10</t>
        </is>
      </c>
    </row>
    <row r="2">
      <c r="A2" s="5" t="inlineStr">
        <is>
          <t>Alfa Romeo 156 2.5 V6 24V</t>
        </is>
      </c>
      <c r="B2" s="22">
        <f>IFERROR(AVERAGEIFS('Historique mensuel'!$C$2:$C$25,'Historique mensuel'!$B$2:$B$25,$A2,'Historique mensuel'!$A$2:$A$25,B$1),"")</f>
        <v/>
      </c>
      <c r="C2" s="22">
        <f>IFERROR(AVERAGEIFS('Historique mensuel'!$C$2:$C$25,'Historique mensuel'!$B$2:$B$25,$A2,'Historique mensuel'!$A$2:$A$25,C$1),"")</f>
        <v/>
      </c>
    </row>
    <row r="3">
      <c r="A3" s="5" t="inlineStr">
        <is>
          <t>BMW Z3 1.9i / 2.0i</t>
        </is>
      </c>
      <c r="B3" s="22">
        <f>IFERROR(AVERAGEIFS('Historique mensuel'!$C$2:$C$25,'Historique mensuel'!$B$2:$B$25,$A3,'Historique mensuel'!$A$2:$A$25,B$1),"")</f>
        <v/>
      </c>
      <c r="C3" s="22">
        <f>IFERROR(AVERAGEIFS('Historique mensuel'!$C$2:$C$25,'Historique mensuel'!$B$2:$B$25,$A3,'Historique mensuel'!$A$2:$A$25,C$1),"")</f>
        <v/>
      </c>
    </row>
    <row r="4">
      <c r="A4" s="5" t="inlineStr">
        <is>
          <t>Citroën Saxo VTS 16V</t>
        </is>
      </c>
      <c r="B4" s="22">
        <f>IFERROR(AVERAGEIFS('Historique mensuel'!$C$2:$C$25,'Historique mensuel'!$B$2:$B$25,$A4,'Historique mensuel'!$A$2:$A$25,B$1),"")</f>
        <v/>
      </c>
      <c r="C4" s="22">
        <f>IFERROR(AVERAGEIFS('Historique mensuel'!$C$2:$C$25,'Historique mensuel'!$B$2:$B$25,$A4,'Historique mensuel'!$A$2:$A$25,C$1),"")</f>
        <v/>
      </c>
    </row>
    <row r="5">
      <c r="A5" s="5" t="inlineStr">
        <is>
          <t>Honda S2000</t>
        </is>
      </c>
      <c r="B5" s="22">
        <f>IFERROR(AVERAGEIFS('Historique mensuel'!$C$2:$C$25,'Historique mensuel'!$B$2:$B$25,$A5,'Historique mensuel'!$A$2:$A$25,B$1),"")</f>
        <v/>
      </c>
      <c r="C5" s="22">
        <f>IFERROR(AVERAGEIFS('Historique mensuel'!$C$2:$C$25,'Historique mensuel'!$B$2:$B$25,$A5,'Historique mensuel'!$A$2:$A$25,C$1),"")</f>
        <v/>
      </c>
    </row>
    <row r="6">
      <c r="A6" s="5" t="inlineStr">
        <is>
          <t>Mazda MX-5 NA</t>
        </is>
      </c>
      <c r="B6" s="22">
        <f>IFERROR(AVERAGEIFS('Historique mensuel'!$C$2:$C$25,'Historique mensuel'!$B$2:$B$25,$A6,'Historique mensuel'!$A$2:$A$25,B$1),"")</f>
        <v/>
      </c>
      <c r="C6" s="22">
        <f>IFERROR(AVERAGEIFS('Historique mensuel'!$C$2:$C$25,'Historique mensuel'!$B$2:$B$25,$A6,'Historique mensuel'!$A$2:$A$25,C$1),"")</f>
        <v/>
      </c>
    </row>
    <row r="7">
      <c r="A7" s="5" t="inlineStr">
        <is>
          <t>Peugeot 205 GTI</t>
        </is>
      </c>
      <c r="B7" s="22">
        <f>IFERROR(AVERAGEIFS('Historique mensuel'!$C$2:$C$25,'Historique mensuel'!$B$2:$B$25,$A7,'Historique mensuel'!$A$2:$A$25,B$1),"")</f>
        <v/>
      </c>
      <c r="C7" s="22">
        <f>IFERROR(AVERAGEIFS('Historique mensuel'!$C$2:$C$25,'Historique mensuel'!$B$2:$B$25,$A7,'Historique mensuel'!$A$2:$A$25,C$1),"")</f>
        <v/>
      </c>
    </row>
    <row r="8">
      <c r="A8" s="5" t="inlineStr">
        <is>
          <t>Peugeot 206 RC</t>
        </is>
      </c>
      <c r="B8" s="22">
        <f>IFERROR(AVERAGEIFS('Historique mensuel'!$C$2:$C$25,'Historique mensuel'!$B$2:$B$25,$A8,'Historique mensuel'!$A$2:$A$25,B$1),"")</f>
        <v/>
      </c>
      <c r="C8" s="22">
        <f>IFERROR(AVERAGEIFS('Historique mensuel'!$C$2:$C$25,'Historique mensuel'!$B$2:$B$25,$A8,'Historique mensuel'!$A$2:$A$25,C$1),"")</f>
        <v/>
      </c>
    </row>
    <row r="9">
      <c r="A9" s="5" t="inlineStr">
        <is>
          <t>Peugeot 208 GTi 30th</t>
        </is>
      </c>
      <c r="B9" s="22">
        <f>IFERROR(AVERAGEIFS('Historique mensuel'!$C$2:$C$25,'Historique mensuel'!$B$2:$B$25,$A9,'Historique mensuel'!$A$2:$A$25,B$1),"")</f>
        <v/>
      </c>
      <c r="C9" s="22">
        <f>IFERROR(AVERAGEIFS('Historique mensuel'!$C$2:$C$25,'Historique mensuel'!$B$2:$B$25,$A9,'Historique mensuel'!$A$2:$A$25,C$1),"")</f>
        <v/>
      </c>
    </row>
    <row r="10">
      <c r="A10" s="5" t="inlineStr">
        <is>
          <t>Peugeot 306 S16</t>
        </is>
      </c>
      <c r="B10" s="22">
        <f>IFERROR(AVERAGEIFS('Historique mensuel'!$C$2:$C$25,'Historique mensuel'!$B$2:$B$25,$A10,'Historique mensuel'!$A$2:$A$25,B$1),"")</f>
        <v/>
      </c>
      <c r="C10" s="22">
        <f>IFERROR(AVERAGEIFS('Historique mensuel'!$C$2:$C$25,'Historique mensuel'!$B$2:$B$25,$A10,'Historique mensuel'!$A$2:$A$25,C$1),"")</f>
        <v/>
      </c>
    </row>
    <row r="11">
      <c r="A11" s="5" t="inlineStr">
        <is>
          <t>Porsche 911 997 Carrera S</t>
        </is>
      </c>
      <c r="B11" s="22">
        <f>IFERROR(AVERAGEIFS('Historique mensuel'!$C$2:$C$25,'Historique mensuel'!$B$2:$B$25,$A11,'Historique mensuel'!$A$2:$A$25,B$1),"")</f>
        <v/>
      </c>
      <c r="C11" s="22">
        <f>IFERROR(AVERAGEIFS('Historique mensuel'!$C$2:$C$25,'Historique mensuel'!$B$2:$B$25,$A11,'Historique mensuel'!$A$2:$A$25,C$1),"")</f>
        <v/>
      </c>
    </row>
    <row r="12">
      <c r="A12" s="5" t="inlineStr">
        <is>
          <t>Porsche Boxster 986</t>
        </is>
      </c>
      <c r="B12" s="22">
        <f>IFERROR(AVERAGEIFS('Historique mensuel'!$C$2:$C$25,'Historique mensuel'!$B$2:$B$25,$A12,'Historique mensuel'!$A$2:$A$25,B$1),"")</f>
        <v/>
      </c>
      <c r="C12" s="22">
        <f>IFERROR(AVERAGEIFS('Historique mensuel'!$C$2:$C$25,'Historique mensuel'!$B$2:$B$25,$A12,'Historique mensuel'!$A$2:$A$25,C$1),"")</f>
        <v/>
      </c>
    </row>
    <row r="13">
      <c r="A13" s="5" t="inlineStr">
        <is>
          <t>Porsche Boxster 987</t>
        </is>
      </c>
      <c r="B13" s="22">
        <f>IFERROR(AVERAGEIFS('Historique mensuel'!$C$2:$C$25,'Historique mensuel'!$B$2:$B$25,$A13,'Historique mensuel'!$A$2:$A$25,B$1),"")</f>
        <v/>
      </c>
      <c r="C13" s="22">
        <f>IFERROR(AVERAGEIFS('Historique mensuel'!$C$2:$C$25,'Historique mensuel'!$B$2:$B$25,$A13,'Historique mensuel'!$A$2:$A$25,C$1),"")</f>
        <v/>
      </c>
    </row>
    <row r="14">
      <c r="A14" s="5" t="inlineStr">
        <is>
          <t>Renault Clio II RS (172/182 ch)</t>
        </is>
      </c>
      <c r="B14" s="22">
        <f>IFERROR(AVERAGEIFS('Historique mensuel'!$C$2:$C$25,'Historique mensuel'!$B$2:$B$25,$A14,'Historique mensuel'!$A$2:$A$25,B$1),"")</f>
        <v/>
      </c>
      <c r="C14" s="22">
        <f>IFERROR(AVERAGEIFS('Historique mensuel'!$C$2:$C$25,'Historique mensuel'!$B$2:$B$25,$A14,'Historique mensuel'!$A$2:$A$25,C$1),"")</f>
        <v/>
      </c>
    </row>
    <row r="15">
      <c r="A15" s="5" t="inlineStr">
        <is>
          <t>Renault Mégane II RS R26</t>
        </is>
      </c>
      <c r="B15" s="22">
        <f>IFERROR(AVERAGEIFS('Historique mensuel'!$C$2:$C$25,'Historique mensuel'!$B$2:$B$25,$A15,'Historique mensuel'!$A$2:$A$25,B$1),"")</f>
        <v/>
      </c>
      <c r="C15" s="22">
        <f>IFERROR(AVERAGEIFS('Historique mensuel'!$C$2:$C$25,'Historique mensuel'!$B$2:$B$25,$A15,'Historique mensuel'!$A$2:$A$25,C$1),"")</f>
        <v/>
      </c>
    </row>
    <row r="16">
      <c r="A16" s="5" t="inlineStr">
        <is>
          <t>Renault Twingo 1 découvrable</t>
        </is>
      </c>
      <c r="B16" s="22">
        <f>IFERROR(AVERAGEIFS('Historique mensuel'!$C$2:$C$25,'Historique mensuel'!$B$2:$B$25,$A16,'Historique mensuel'!$A$2:$A$25,B$1),"")</f>
        <v/>
      </c>
      <c r="C16" s="22">
        <f>IFERROR(AVERAGEIFS('Historique mensuel'!$C$2:$C$25,'Historique mensuel'!$B$2:$B$25,$A16,'Historique mensuel'!$A$2:$A$25,C$1),"")</f>
        <v/>
      </c>
    </row>
    <row r="17">
      <c r="A17" s="5" t="inlineStr">
        <is>
          <t>Volkswagen Golf IV GTI 25th Anniversary</t>
        </is>
      </c>
      <c r="B17" s="22">
        <f>IFERROR(AVERAGEIFS('Historique mensuel'!$C$2:$C$25,'Historique mensuel'!$B$2:$B$25,$A17,'Historique mensuel'!$A$2:$A$25,B$1),"")</f>
        <v/>
      </c>
      <c r="C17" s="22">
        <f>IFERROR(AVERAGEIFS('Historique mensuel'!$C$2:$C$25,'Historique mensuel'!$B$2:$B$25,$A17,'Historique mensuel'!$A$2:$A$25,C$1),"")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23" t="inlineStr">
        <is>
          <t>Évolution de la médiane, base 100 au premier mois suivi de chaque véhicule</t>
        </is>
      </c>
    </row>
    <row r="2">
      <c r="A2" s="6" t="inlineStr">
        <is>
          <t>Valeurs calculées par le robot à partir de l'onglet Historique mensuel (cases vides = pas de relevé ce mois-là, pour que le graphique ne les compte pas comme des zéros).</t>
        </is>
      </c>
    </row>
    <row r="4" ht="42" customHeight="1">
      <c r="A4" s="9" t="inlineStr">
        <is>
          <t>Mois</t>
        </is>
      </c>
      <c r="B4" s="9" t="inlineStr">
        <is>
          <t>Alfa Romeo 156 2.5 V6 24V</t>
        </is>
      </c>
      <c r="C4" s="9" t="inlineStr">
        <is>
          <t>BMW Z3 1.9i / 2.0i</t>
        </is>
      </c>
      <c r="D4" s="9" t="inlineStr">
        <is>
          <t>Citroën Saxo VTS 16V</t>
        </is>
      </c>
      <c r="E4" s="9" t="inlineStr">
        <is>
          <t>Honda S2000</t>
        </is>
      </c>
      <c r="F4" s="9" t="inlineStr">
        <is>
          <t>Mazda MX-5 NA</t>
        </is>
      </c>
      <c r="G4" s="9" t="inlineStr">
        <is>
          <t>Peugeot 205 GTI</t>
        </is>
      </c>
      <c r="H4" s="9" t="inlineStr">
        <is>
          <t>Peugeot 206 RC</t>
        </is>
      </c>
      <c r="I4" s="9" t="inlineStr">
        <is>
          <t>Peugeot 208 GTi 30th</t>
        </is>
      </c>
      <c r="J4" s="9" t="inlineStr">
        <is>
          <t>Peugeot 306 S16</t>
        </is>
      </c>
      <c r="K4" s="9" t="inlineStr">
        <is>
          <t>Porsche 911 997 Carrera S</t>
        </is>
      </c>
      <c r="L4" s="9" t="inlineStr">
        <is>
          <t>Porsche Boxster 986</t>
        </is>
      </c>
      <c r="M4" s="9" t="inlineStr">
        <is>
          <t>Porsche Boxster 987</t>
        </is>
      </c>
      <c r="N4" s="9" t="inlineStr">
        <is>
          <t>Renault Clio II RS (172/182 ch)</t>
        </is>
      </c>
      <c r="O4" s="9" t="inlineStr">
        <is>
          <t>Renault Mégane II RS R26</t>
        </is>
      </c>
      <c r="P4" s="9" t="inlineStr">
        <is>
          <t>Renault Twingo 1 découvrable</t>
        </is>
      </c>
      <c r="Q4" s="9" t="inlineStr">
        <is>
          <t>Volkswagen Golf IV GTI 25th Anniversary</t>
        </is>
      </c>
    </row>
    <row r="5">
      <c r="A5" s="5" t="inlineStr">
        <is>
          <t>2026-09</t>
        </is>
      </c>
      <c r="D5" s="24" t="n">
        <v>100</v>
      </c>
      <c r="H5" s="24" t="n">
        <v>100</v>
      </c>
      <c r="I5" s="24" t="n">
        <v>100</v>
      </c>
      <c r="K5" s="24" t="n">
        <v>100</v>
      </c>
      <c r="L5" s="24" t="n">
        <v>100</v>
      </c>
      <c r="M5" s="24" t="n">
        <v>100</v>
      </c>
      <c r="N5" s="24" t="n">
        <v>100</v>
      </c>
      <c r="P5" s="24" t="n">
        <v>100</v>
      </c>
    </row>
    <row r="6">
      <c r="A6" s="5" t="inlineStr">
        <is>
          <t>2026-10</t>
        </is>
      </c>
      <c r="B6" s="24" t="n">
        <v>100</v>
      </c>
      <c r="C6" s="24" t="n">
        <v>100</v>
      </c>
      <c r="D6" s="24" t="n">
        <v>102.3</v>
      </c>
      <c r="E6" s="24" t="n">
        <v>100</v>
      </c>
      <c r="F6" s="24" t="n">
        <v>100</v>
      </c>
      <c r="G6" s="24" t="n">
        <v>100</v>
      </c>
      <c r="H6" s="24" t="n">
        <v>132.5</v>
      </c>
      <c r="I6" s="24" t="n">
        <v>99.40000000000001</v>
      </c>
      <c r="J6" s="24" t="n">
        <v>100</v>
      </c>
      <c r="K6" s="24" t="n">
        <v>107.8</v>
      </c>
      <c r="L6" s="24" t="n">
        <v>88.7</v>
      </c>
      <c r="M6" s="24" t="n">
        <v>66.5</v>
      </c>
      <c r="N6" s="24" t="n">
        <v>114.6</v>
      </c>
      <c r="O6" s="24" t="n">
        <v>100</v>
      </c>
      <c r="P6" s="24" t="n">
        <v>54.6</v>
      </c>
      <c r="Q6" s="24" t="n">
        <v>100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Q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4" customWidth="1" min="2" max="2"/>
    <col width="9" customWidth="1" min="3" max="3"/>
    <col width="10" customWidth="1" min="4" max="4"/>
    <col width="11" customWidth="1" min="5" max="5"/>
    <col width="11" customWidth="1" min="6" max="6"/>
    <col width="11" customWidth="1" min="7" max="7"/>
    <col width="11" customWidth="1" min="8" max="8"/>
    <col width="11" customWidth="1" min="9" max="9"/>
    <col width="12" customWidth="1" min="10" max="10"/>
    <col width="13" customWidth="1" min="11" max="11"/>
    <col width="12" customWidth="1" min="12" max="12"/>
    <col width="10" customWidth="1" min="13" max="13"/>
    <col width="9" customWidth="1" min="14" max="14"/>
    <col width="10" customWidth="1" min="15" max="15"/>
    <col width="10" customWidth="1" min="16" max="16"/>
    <col width="11" customWidth="1" min="17" max="17"/>
  </cols>
  <sheetData>
    <row r="1" ht="30" customHeight="1">
      <c r="A1" s="9" t="inlineStr">
        <is>
          <t>Date</t>
        </is>
      </c>
      <c r="B1" s="9" t="inlineStr">
        <is>
          <t>Véhicule</t>
        </is>
      </c>
      <c r="C1" s="9" t="inlineStr">
        <is>
          <t>Source</t>
        </is>
      </c>
      <c r="D1" s="9" t="inlineStr">
        <is>
          <t>Annonces</t>
        </is>
      </c>
      <c r="E1" s="9" t="inlineStr">
        <is>
          <t>Min</t>
        </is>
      </c>
      <c r="F1" s="9" t="inlineStr">
        <is>
          <t>P25</t>
        </is>
      </c>
      <c r="G1" s="9" t="inlineStr">
        <is>
          <t>Médiane</t>
        </is>
      </c>
      <c r="H1" s="9" t="inlineStr">
        <is>
          <t>P75</t>
        </is>
      </c>
      <c r="I1" s="9" t="inlineStr">
        <is>
          <t>Max</t>
        </is>
      </c>
      <c r="J1" s="9" t="inlineStr">
        <is>
          <t>Km médian</t>
        </is>
      </c>
      <c r="K1" s="9" t="inlineStr">
        <is>
          <t>Cote à km réf.</t>
        </is>
      </c>
      <c r="L1" s="9" t="inlineStr">
        <is>
          <t>Km réf.</t>
        </is>
      </c>
      <c r="M1" s="9" t="inlineStr">
        <is>
          <t>Nouvelles</t>
        </is>
      </c>
      <c r="N1" s="9" t="inlineStr">
        <is>
          <t>Vendues</t>
        </is>
      </c>
      <c r="O1" s="9" t="inlineStr">
        <is>
          <t>Délai de vente</t>
        </is>
      </c>
      <c r="P1" s="9" t="inlineStr">
        <is>
          <t>Part de pros</t>
        </is>
      </c>
      <c r="Q1" s="9" t="inlineStr">
        <is>
          <t>Annonces écartées</t>
        </is>
      </c>
    </row>
    <row r="2">
      <c r="A2" s="18" t="n">
        <v>46310</v>
      </c>
      <c r="B2" s="10" t="inlineStr">
        <is>
          <t>Alfa Romeo 156 2.5 V6 24V</t>
        </is>
      </c>
      <c r="C2" s="10" t="inlineStr">
        <is>
          <t>apify</t>
        </is>
      </c>
      <c r="D2" s="16" t="n">
        <v>8</v>
      </c>
      <c r="E2" s="12" t="n">
        <v>3200</v>
      </c>
      <c r="F2" s="12" t="n">
        <v>4293</v>
      </c>
      <c r="G2" s="12" t="n">
        <v>6995</v>
      </c>
      <c r="H2" s="12" t="n">
        <v>8050</v>
      </c>
      <c r="I2" s="12" t="n">
        <v>14900</v>
      </c>
      <c r="J2" s="15" t="n">
        <v>201000</v>
      </c>
      <c r="K2" s="12" t="n">
        <v>7010</v>
      </c>
      <c r="L2" s="15" t="n">
        <v>200000</v>
      </c>
      <c r="M2" s="16" t="n">
        <v>2</v>
      </c>
      <c r="N2" s="16" t="n">
        <v>2</v>
      </c>
      <c r="O2" s="17" t="n">
        <v>41</v>
      </c>
      <c r="P2" s="13" t="n">
        <v>0.25</v>
      </c>
      <c r="Q2" s="16" t="n">
        <v>6</v>
      </c>
    </row>
    <row r="3">
      <c r="A3" s="18" t="n">
        <v>46310</v>
      </c>
      <c r="B3" s="10" t="inlineStr">
        <is>
          <t>BMW Z3 1.9i / 2.0i</t>
        </is>
      </c>
      <c r="C3" s="10" t="inlineStr">
        <is>
          <t>apify</t>
        </is>
      </c>
      <c r="D3" s="16" t="n">
        <v>24</v>
      </c>
      <c r="E3" s="12" t="n">
        <v>7000</v>
      </c>
      <c r="F3" s="12" t="n">
        <v>9498</v>
      </c>
      <c r="G3" s="12" t="n">
        <v>10245</v>
      </c>
      <c r="H3" s="12" t="n">
        <v>11993</v>
      </c>
      <c r="I3" s="12" t="n">
        <v>15000</v>
      </c>
      <c r="J3" s="15" t="n">
        <v>142000</v>
      </c>
      <c r="K3" s="12" t="n">
        <v>10900</v>
      </c>
      <c r="L3" s="15" t="n">
        <v>130000</v>
      </c>
      <c r="M3" s="16" t="n">
        <v>24</v>
      </c>
      <c r="N3" s="16" t="n">
        <v>0</v>
      </c>
      <c r="O3" s="17" t="n"/>
      <c r="P3" s="13" t="n">
        <v>0.58</v>
      </c>
      <c r="Q3" s="16" t="n">
        <v>16</v>
      </c>
    </row>
    <row r="4">
      <c r="A4" s="18" t="n">
        <v>46310</v>
      </c>
      <c r="B4" s="10" t="inlineStr">
        <is>
          <t>Citroën Saxo VTS 16V</t>
        </is>
      </c>
      <c r="C4" s="10" t="inlineStr">
        <is>
          <t>apify</t>
        </is>
      </c>
      <c r="D4" s="16" t="n">
        <v>40</v>
      </c>
      <c r="E4" s="12" t="n">
        <v>800</v>
      </c>
      <c r="F4" s="12" t="n">
        <v>5000</v>
      </c>
      <c r="G4" s="12" t="n">
        <v>6750</v>
      </c>
      <c r="H4" s="12" t="n">
        <v>8850</v>
      </c>
      <c r="I4" s="12" t="n">
        <v>16000</v>
      </c>
      <c r="J4" s="15" t="n">
        <v>188000</v>
      </c>
      <c r="K4" s="12" t="n">
        <v>7450</v>
      </c>
      <c r="L4" s="15" t="n">
        <v>150000</v>
      </c>
      <c r="M4" s="16" t="n">
        <v>17</v>
      </c>
      <c r="N4" s="16" t="n">
        <v>0</v>
      </c>
      <c r="O4" s="17" t="n"/>
      <c r="P4" s="13" t="n">
        <v>0.03</v>
      </c>
      <c r="Q4" s="16" t="n">
        <v>0</v>
      </c>
    </row>
    <row r="5">
      <c r="A5" s="18" t="n">
        <v>46310</v>
      </c>
      <c r="B5" s="10" t="inlineStr">
        <is>
          <t>Honda S2000</t>
        </is>
      </c>
      <c r="C5" s="10" t="inlineStr">
        <is>
          <t>apify</t>
        </is>
      </c>
      <c r="D5" s="16" t="n">
        <v>39</v>
      </c>
      <c r="E5" s="12" t="n">
        <v>4599</v>
      </c>
      <c r="F5" s="12" t="n">
        <v>17950</v>
      </c>
      <c r="G5" s="12" t="n">
        <v>23900</v>
      </c>
      <c r="H5" s="12" t="n">
        <v>28950</v>
      </c>
      <c r="I5" s="12" t="n">
        <v>49990</v>
      </c>
      <c r="J5" s="15" t="n">
        <v>135000</v>
      </c>
      <c r="K5" s="12" t="n">
        <v>22870</v>
      </c>
      <c r="L5" s="15" t="n">
        <v>140000</v>
      </c>
      <c r="M5" s="16" t="n">
        <v>12</v>
      </c>
      <c r="N5" s="16" t="n">
        <v>0</v>
      </c>
      <c r="O5" s="17" t="n"/>
      <c r="P5" s="13" t="n">
        <v>0.38</v>
      </c>
      <c r="Q5" s="16" t="n">
        <v>1</v>
      </c>
    </row>
    <row r="6">
      <c r="A6" s="18" t="n">
        <v>46310</v>
      </c>
      <c r="B6" s="10" t="inlineStr">
        <is>
          <t>Mazda MX-5 NA</t>
        </is>
      </c>
      <c r="C6" s="10" t="inlineStr">
        <is>
          <t>apify</t>
        </is>
      </c>
      <c r="D6" s="16" t="n">
        <v>38</v>
      </c>
      <c r="E6" s="12" t="n">
        <v>3000</v>
      </c>
      <c r="F6" s="12" t="n">
        <v>8938</v>
      </c>
      <c r="G6" s="12" t="n">
        <v>11990</v>
      </c>
      <c r="H6" s="12" t="n">
        <v>13875</v>
      </c>
      <c r="I6" s="12" t="n">
        <v>17990</v>
      </c>
      <c r="J6" s="15" t="n">
        <v>163000</v>
      </c>
      <c r="K6" s="12" t="n">
        <v>11470</v>
      </c>
      <c r="L6" s="15" t="n">
        <v>160000</v>
      </c>
      <c r="M6" s="16" t="n">
        <v>8</v>
      </c>
      <c r="N6" s="16" t="n">
        <v>0</v>
      </c>
      <c r="O6" s="17" t="n"/>
      <c r="P6" s="13" t="n">
        <v>0.16</v>
      </c>
      <c r="Q6" s="16" t="n">
        <v>2</v>
      </c>
    </row>
    <row r="7">
      <c r="A7" s="18" t="n">
        <v>46310</v>
      </c>
      <c r="B7" s="10" t="inlineStr">
        <is>
          <t>Peugeot 205 GTI</t>
        </is>
      </c>
      <c r="C7" s="10" t="inlineStr">
        <is>
          <t>apify</t>
        </is>
      </c>
      <c r="D7" s="16" t="n">
        <v>40</v>
      </c>
      <c r="E7" s="12" t="n">
        <v>9800</v>
      </c>
      <c r="F7" s="12" t="n">
        <v>13125</v>
      </c>
      <c r="G7" s="12" t="n">
        <v>15450</v>
      </c>
      <c r="H7" s="12" t="n">
        <v>20000</v>
      </c>
      <c r="I7" s="12" t="n">
        <v>31000</v>
      </c>
      <c r="J7" s="15" t="n">
        <v>187000</v>
      </c>
      <c r="K7" s="12" t="n">
        <v>16890</v>
      </c>
      <c r="L7" s="15" t="n">
        <v>190000</v>
      </c>
      <c r="M7" s="16" t="n">
        <v>27</v>
      </c>
      <c r="N7" s="16" t="n">
        <v>0</v>
      </c>
      <c r="O7" s="17" t="n"/>
      <c r="P7" s="13" t="n">
        <v>0.13</v>
      </c>
      <c r="Q7" s="16" t="n">
        <v>0</v>
      </c>
    </row>
    <row r="8">
      <c r="A8" s="18" t="n">
        <v>46310</v>
      </c>
      <c r="B8" s="10" t="inlineStr">
        <is>
          <t>Peugeot 206 RC</t>
        </is>
      </c>
      <c r="C8" s="10" t="inlineStr">
        <is>
          <t>apify</t>
        </is>
      </c>
      <c r="D8" s="16" t="n">
        <v>40</v>
      </c>
      <c r="E8" s="12" t="n">
        <v>5900</v>
      </c>
      <c r="F8" s="12" t="n">
        <v>6975</v>
      </c>
      <c r="G8" s="12" t="n">
        <v>9000</v>
      </c>
      <c r="H8" s="12" t="n">
        <v>12100</v>
      </c>
      <c r="I8" s="12" t="n">
        <v>17900</v>
      </c>
      <c r="J8" s="15" t="n">
        <v>170000</v>
      </c>
      <c r="K8" s="12" t="n">
        <v>11050</v>
      </c>
      <c r="L8" s="15" t="n">
        <v>150000</v>
      </c>
      <c r="M8" s="16" t="n">
        <v>23</v>
      </c>
      <c r="N8" s="16" t="n">
        <v>0</v>
      </c>
      <c r="O8" s="17" t="n"/>
      <c r="P8" s="13" t="n">
        <v>0.08</v>
      </c>
      <c r="Q8" s="16" t="n">
        <v>0</v>
      </c>
    </row>
    <row r="9">
      <c r="A9" s="18" t="n">
        <v>46310</v>
      </c>
      <c r="B9" s="10" t="inlineStr">
        <is>
          <t>Peugeot 208 GTi 30th</t>
        </is>
      </c>
      <c r="C9" s="10" t="inlineStr">
        <is>
          <t>apify</t>
        </is>
      </c>
      <c r="D9" s="16" t="n">
        <v>11</v>
      </c>
      <c r="E9" s="12" t="n">
        <v>10500</v>
      </c>
      <c r="F9" s="12" t="n">
        <v>14695</v>
      </c>
      <c r="G9" s="12" t="n">
        <v>15900</v>
      </c>
      <c r="H9" s="12" t="n">
        <v>17885</v>
      </c>
      <c r="I9" s="12" t="n">
        <v>23490</v>
      </c>
      <c r="J9" s="15" t="n">
        <v>84000</v>
      </c>
      <c r="K9" s="12" t="n">
        <v>15360</v>
      </c>
      <c r="L9" s="15" t="n">
        <v>100000</v>
      </c>
      <c r="M9" s="16" t="n">
        <v>3</v>
      </c>
      <c r="N9" s="16" t="n">
        <v>2</v>
      </c>
      <c r="O9" s="17" t="n">
        <v>61</v>
      </c>
      <c r="P9" s="13" t="n">
        <v>0.45</v>
      </c>
      <c r="Q9" s="16" t="n">
        <v>1</v>
      </c>
    </row>
    <row r="10">
      <c r="A10" s="18" t="n">
        <v>46310</v>
      </c>
      <c r="B10" s="10" t="inlineStr">
        <is>
          <t>Peugeot 306 S16</t>
        </is>
      </c>
      <c r="C10" s="10" t="inlineStr">
        <is>
          <t>apify</t>
        </is>
      </c>
      <c r="D10" s="16" t="n">
        <v>33</v>
      </c>
      <c r="E10" s="12" t="n">
        <v>3500</v>
      </c>
      <c r="F10" s="12" t="n">
        <v>8000</v>
      </c>
      <c r="G10" s="12" t="n">
        <v>9500</v>
      </c>
      <c r="H10" s="12" t="n">
        <v>15000</v>
      </c>
      <c r="I10" s="12" t="n">
        <v>26800</v>
      </c>
      <c r="J10" s="15" t="n">
        <v>191000</v>
      </c>
      <c r="K10" s="12" t="n">
        <v>11490</v>
      </c>
      <c r="L10" s="15" t="n">
        <v>180000</v>
      </c>
      <c r="M10" s="16" t="n">
        <v>16</v>
      </c>
      <c r="N10" s="16" t="n">
        <v>0</v>
      </c>
      <c r="O10" s="17" t="n"/>
      <c r="P10" s="13" t="n">
        <v>0.03</v>
      </c>
      <c r="Q10" s="16" t="n">
        <v>7</v>
      </c>
    </row>
    <row r="11">
      <c r="A11" s="18" t="n">
        <v>46310</v>
      </c>
      <c r="B11" s="10" t="inlineStr">
        <is>
          <t>Porsche 911 997 Carrera S</t>
        </is>
      </c>
      <c r="C11" s="10" t="inlineStr">
        <is>
          <t>apify</t>
        </is>
      </c>
      <c r="D11" s="16" t="n">
        <v>39</v>
      </c>
      <c r="E11" s="12" t="n">
        <v>45990</v>
      </c>
      <c r="F11" s="12" t="n">
        <v>49940</v>
      </c>
      <c r="G11" s="12" t="n">
        <v>54990</v>
      </c>
      <c r="H11" s="12" t="n">
        <v>59900</v>
      </c>
      <c r="I11" s="12" t="n">
        <v>69990</v>
      </c>
      <c r="J11" s="15" t="n">
        <v>105000</v>
      </c>
      <c r="K11" s="12" t="n">
        <v>55870</v>
      </c>
      <c r="L11" s="15" t="n">
        <v>100000</v>
      </c>
      <c r="M11" s="16" t="n">
        <v>30</v>
      </c>
      <c r="N11" s="16" t="n">
        <v>0</v>
      </c>
      <c r="O11" s="17" t="n"/>
      <c r="P11" s="13" t="n">
        <v>0.85</v>
      </c>
      <c r="Q11" s="16" t="n">
        <v>1</v>
      </c>
    </row>
    <row r="12">
      <c r="A12" s="18" t="n">
        <v>46310</v>
      </c>
      <c r="B12" s="10" t="inlineStr">
        <is>
          <t>Porsche Boxster 986</t>
        </is>
      </c>
      <c r="C12" s="10" t="inlineStr">
        <is>
          <t>apify</t>
        </is>
      </c>
      <c r="D12" s="16" t="n">
        <v>40</v>
      </c>
      <c r="E12" s="12" t="n">
        <v>10999</v>
      </c>
      <c r="F12" s="12" t="n">
        <v>17375</v>
      </c>
      <c r="G12" s="12" t="n">
        <v>19890</v>
      </c>
      <c r="H12" s="12" t="n">
        <v>21990</v>
      </c>
      <c r="I12" s="12" t="n">
        <v>26000</v>
      </c>
      <c r="J12" s="15" t="n">
        <v>125000</v>
      </c>
      <c r="K12" s="12" t="n">
        <v>20520</v>
      </c>
      <c r="L12" s="15" t="n">
        <v>110000</v>
      </c>
      <c r="M12" s="16" t="n">
        <v>23</v>
      </c>
      <c r="N12" s="16" t="n">
        <v>0</v>
      </c>
      <c r="O12" s="17" t="n"/>
      <c r="P12" s="13" t="n">
        <v>0.5</v>
      </c>
      <c r="Q12" s="16" t="n">
        <v>0</v>
      </c>
    </row>
    <row r="13">
      <c r="A13" s="18" t="n">
        <v>46310</v>
      </c>
      <c r="B13" s="10" t="inlineStr">
        <is>
          <t>Porsche Boxster 987</t>
        </is>
      </c>
      <c r="C13" s="10" t="inlineStr">
        <is>
          <t>apify</t>
        </is>
      </c>
      <c r="D13" s="16" t="n">
        <v>40</v>
      </c>
      <c r="E13" s="12" t="n">
        <v>19900</v>
      </c>
      <c r="F13" s="12" t="n">
        <v>26675</v>
      </c>
      <c r="G13" s="12" t="n">
        <v>29250</v>
      </c>
      <c r="H13" s="12" t="n">
        <v>34493</v>
      </c>
      <c r="I13" s="12" t="n">
        <v>49900</v>
      </c>
      <c r="J13" s="15" t="n">
        <v>99000</v>
      </c>
      <c r="K13" s="12" t="n">
        <v>32020</v>
      </c>
      <c r="L13" s="15" t="n">
        <v>80000</v>
      </c>
      <c r="M13" s="16" t="n">
        <v>24</v>
      </c>
      <c r="N13" s="16" t="n">
        <v>0</v>
      </c>
      <c r="O13" s="17" t="n"/>
      <c r="P13" s="13" t="n">
        <v>0.55</v>
      </c>
      <c r="Q13" s="16" t="n">
        <v>0</v>
      </c>
    </row>
    <row r="14">
      <c r="A14" s="18" t="n">
        <v>46310</v>
      </c>
      <c r="B14" s="10" t="inlineStr">
        <is>
          <t>Renault Clio II RS (172/182 ch)</t>
        </is>
      </c>
      <c r="C14" s="10" t="inlineStr">
        <is>
          <t>apify</t>
        </is>
      </c>
      <c r="D14" s="16" t="n">
        <v>36</v>
      </c>
      <c r="E14" s="12" t="n">
        <v>4000</v>
      </c>
      <c r="F14" s="12" t="n">
        <v>7900</v>
      </c>
      <c r="G14" s="12" t="n">
        <v>10195</v>
      </c>
      <c r="H14" s="12" t="n">
        <v>12248</v>
      </c>
      <c r="I14" s="12" t="n">
        <v>19500</v>
      </c>
      <c r="J14" s="15" t="n">
        <v>167000</v>
      </c>
      <c r="K14" s="12" t="n">
        <v>10520</v>
      </c>
      <c r="L14" s="15" t="n">
        <v>160000</v>
      </c>
      <c r="M14" s="16" t="n">
        <v>15</v>
      </c>
      <c r="N14" s="16" t="n">
        <v>0</v>
      </c>
      <c r="O14" s="17" t="n"/>
      <c r="P14" s="13" t="n">
        <v>0.25</v>
      </c>
      <c r="Q14" s="16" t="n">
        <v>4</v>
      </c>
    </row>
    <row r="15">
      <c r="A15" s="18" t="n">
        <v>46310</v>
      </c>
      <c r="B15" s="10" t="inlineStr">
        <is>
          <t>Renault Mégane II RS R26</t>
        </is>
      </c>
      <c r="C15" s="10" t="inlineStr">
        <is>
          <t>apify</t>
        </is>
      </c>
      <c r="D15" s="16" t="n">
        <v>15</v>
      </c>
      <c r="E15" s="12" t="n">
        <v>14900</v>
      </c>
      <c r="F15" s="12" t="n">
        <v>19900</v>
      </c>
      <c r="G15" s="12" t="n">
        <v>22990</v>
      </c>
      <c r="H15" s="12" t="n">
        <v>24495</v>
      </c>
      <c r="I15" s="12" t="n">
        <v>31490</v>
      </c>
      <c r="J15" s="15" t="n">
        <v>109000</v>
      </c>
      <c r="K15" s="12" t="n">
        <v>23170</v>
      </c>
      <c r="L15" s="15" t="n">
        <v>100000</v>
      </c>
      <c r="M15" s="16" t="n">
        <v>2</v>
      </c>
      <c r="N15" s="16" t="n">
        <v>5</v>
      </c>
      <c r="O15" s="17" t="n">
        <v>62</v>
      </c>
      <c r="P15" s="13" t="n">
        <v>0.6</v>
      </c>
      <c r="Q15" s="16" t="n">
        <v>3</v>
      </c>
    </row>
    <row r="16">
      <c r="A16" s="18" t="n">
        <v>46310</v>
      </c>
      <c r="B16" s="10" t="inlineStr">
        <is>
          <t>Renault Twingo 1 découvrable</t>
        </is>
      </c>
      <c r="C16" s="10" t="inlineStr">
        <is>
          <t>apify</t>
        </is>
      </c>
      <c r="D16" s="16" t="n">
        <v>37</v>
      </c>
      <c r="E16" s="12" t="n">
        <v>1690</v>
      </c>
      <c r="F16" s="12" t="n">
        <v>2400</v>
      </c>
      <c r="G16" s="12" t="n">
        <v>3000</v>
      </c>
      <c r="H16" s="12" t="n">
        <v>3650</v>
      </c>
      <c r="I16" s="12" t="n">
        <v>5990</v>
      </c>
      <c r="J16" s="15" t="n">
        <v>175000</v>
      </c>
      <c r="K16" s="12" t="n">
        <v>3530</v>
      </c>
      <c r="L16" s="15" t="n">
        <v>150000</v>
      </c>
      <c r="M16" s="16" t="n">
        <v>23</v>
      </c>
      <c r="N16" s="16" t="n">
        <v>0</v>
      </c>
      <c r="O16" s="17" t="n"/>
      <c r="P16" s="13" t="n">
        <v>0.16</v>
      </c>
      <c r="Q16" s="16" t="n">
        <v>3</v>
      </c>
    </row>
    <row r="17">
      <c r="A17" s="18" t="n">
        <v>46310</v>
      </c>
      <c r="B17" s="10" t="inlineStr">
        <is>
          <t>Volkswagen Golf IV GTI 25th Anniversary</t>
        </is>
      </c>
      <c r="C17" s="10" t="inlineStr">
        <is>
          <t>apify</t>
        </is>
      </c>
      <c r="D17" s="16" t="n">
        <v>1</v>
      </c>
      <c r="E17" s="12" t="n">
        <v>11000</v>
      </c>
      <c r="F17" s="12" t="n">
        <v>11000</v>
      </c>
      <c r="G17" s="12" t="n">
        <v>11000</v>
      </c>
      <c r="H17" s="12" t="n">
        <v>11000</v>
      </c>
      <c r="I17" s="12" t="n">
        <v>11000</v>
      </c>
      <c r="J17" s="15" t="n">
        <v>195000</v>
      </c>
      <c r="K17" s="12" t="n">
        <v>11000</v>
      </c>
      <c r="L17" s="15" t="n">
        <v>200000</v>
      </c>
      <c r="M17" s="16" t="n">
        <v>1</v>
      </c>
      <c r="N17" s="16" t="n">
        <v>0</v>
      </c>
      <c r="O17" s="17" t="n"/>
      <c r="P17" s="13" t="n">
        <v>0</v>
      </c>
      <c r="Q17" s="16" t="n">
        <v>4</v>
      </c>
    </row>
    <row r="18">
      <c r="A18" s="18" t="n">
        <v>46296</v>
      </c>
      <c r="B18" s="10" t="inlineStr">
        <is>
          <t>Alfa Romeo 156 2.5 V6 24V</t>
        </is>
      </c>
      <c r="C18" s="10" t="inlineStr">
        <is>
          <t>apify</t>
        </is>
      </c>
      <c r="D18" s="16" t="n">
        <v>8</v>
      </c>
      <c r="E18" s="12" t="n">
        <v>3200</v>
      </c>
      <c r="F18" s="12" t="n">
        <v>4293</v>
      </c>
      <c r="G18" s="12" t="n">
        <v>5695</v>
      </c>
      <c r="H18" s="12" t="n">
        <v>7125</v>
      </c>
      <c r="I18" s="12" t="n">
        <v>8800</v>
      </c>
      <c r="J18" s="15" t="n">
        <v>198000</v>
      </c>
      <c r="K18" s="12" t="n">
        <v>5700</v>
      </c>
      <c r="L18" s="15" t="n">
        <v>200000</v>
      </c>
      <c r="M18" s="16" t="n">
        <v>8</v>
      </c>
      <c r="N18" s="16" t="n">
        <v>0</v>
      </c>
      <c r="O18" s="17" t="n"/>
      <c r="P18" s="13" t="n">
        <v>0.25</v>
      </c>
      <c r="Q18" s="16" t="n">
        <v>6</v>
      </c>
    </row>
    <row r="19">
      <c r="A19" s="18" t="n">
        <v>46296</v>
      </c>
      <c r="B19" s="10" t="inlineStr">
        <is>
          <t>BMW Z3 1.9i / 2.0i</t>
        </is>
      </c>
      <c r="C19" s="10" t="inlineStr">
        <is>
          <t>apify</t>
        </is>
      </c>
      <c r="D19" s="16" t="n">
        <v>14</v>
      </c>
      <c r="E19" s="12" t="n">
        <v>7490</v>
      </c>
      <c r="F19" s="12" t="n">
        <v>9990</v>
      </c>
      <c r="G19" s="12" t="n">
        <v>11240</v>
      </c>
      <c r="H19" s="12" t="n">
        <v>12740</v>
      </c>
      <c r="I19" s="12" t="n">
        <v>17900</v>
      </c>
      <c r="J19" s="15" t="n">
        <v>125000</v>
      </c>
      <c r="K19" s="12" t="n">
        <v>12020</v>
      </c>
      <c r="L19" s="15" t="n">
        <v>130000</v>
      </c>
      <c r="M19" s="16" t="n">
        <v>14</v>
      </c>
      <c r="N19" s="16" t="n">
        <v>0</v>
      </c>
      <c r="O19" s="17" t="n"/>
      <c r="P19" s="13" t="n">
        <v>0.86</v>
      </c>
      <c r="Q19" s="16" t="n">
        <v>26</v>
      </c>
    </row>
    <row r="20">
      <c r="A20" s="18" t="n">
        <v>46296</v>
      </c>
      <c r="B20" s="10" t="inlineStr">
        <is>
          <t>Citroën Saxo VTS 16V</t>
        </is>
      </c>
      <c r="C20" s="10" t="inlineStr">
        <is>
          <t>apify</t>
        </is>
      </c>
      <c r="D20" s="16" t="n">
        <v>40</v>
      </c>
      <c r="E20" s="12" t="n">
        <v>1600</v>
      </c>
      <c r="F20" s="12" t="n">
        <v>4875</v>
      </c>
      <c r="G20" s="12" t="n">
        <v>6350</v>
      </c>
      <c r="H20" s="12" t="n">
        <v>8350</v>
      </c>
      <c r="I20" s="12" t="n">
        <v>12980</v>
      </c>
      <c r="J20" s="15" t="n">
        <v>189000</v>
      </c>
      <c r="K20" s="12" t="n">
        <v>7750</v>
      </c>
      <c r="L20" s="15" t="n">
        <v>150000</v>
      </c>
      <c r="M20" s="16" t="n">
        <v>40</v>
      </c>
      <c r="N20" s="16" t="n">
        <v>0</v>
      </c>
      <c r="O20" s="17" t="n"/>
      <c r="P20" s="13" t="n">
        <v>0.03</v>
      </c>
      <c r="Q20" s="16" t="n">
        <v>0</v>
      </c>
    </row>
    <row r="21">
      <c r="A21" s="18" t="n">
        <v>46296</v>
      </c>
      <c r="B21" s="10" t="inlineStr">
        <is>
          <t>Honda S2000</t>
        </is>
      </c>
      <c r="C21" s="10" t="inlineStr">
        <is>
          <t>apify</t>
        </is>
      </c>
      <c r="D21" s="16" t="n">
        <v>39</v>
      </c>
      <c r="E21" s="12" t="n">
        <v>4599</v>
      </c>
      <c r="F21" s="12" t="n">
        <v>14900</v>
      </c>
      <c r="G21" s="12" t="n">
        <v>21000</v>
      </c>
      <c r="H21" s="12" t="n">
        <v>27500</v>
      </c>
      <c r="I21" s="12" t="n">
        <v>49990</v>
      </c>
      <c r="J21" s="15" t="n">
        <v>139000</v>
      </c>
      <c r="K21" s="12" t="n">
        <v>22260</v>
      </c>
      <c r="L21" s="15" t="n">
        <v>140000</v>
      </c>
      <c r="M21" s="16" t="n">
        <v>39</v>
      </c>
      <c r="N21" s="16" t="n">
        <v>0</v>
      </c>
      <c r="O21" s="17" t="n"/>
      <c r="P21" s="13" t="n">
        <v>0.38</v>
      </c>
      <c r="Q21" s="16" t="n">
        <v>1</v>
      </c>
    </row>
    <row r="22">
      <c r="A22" s="18" t="n">
        <v>46296</v>
      </c>
      <c r="B22" s="10" t="inlineStr">
        <is>
          <t>Mazda MX-5 NA</t>
        </is>
      </c>
      <c r="C22" s="10" t="inlineStr">
        <is>
          <t>apify</t>
        </is>
      </c>
      <c r="D22" s="16" t="n">
        <v>37</v>
      </c>
      <c r="E22" s="12" t="n">
        <v>3990</v>
      </c>
      <c r="F22" s="12" t="n">
        <v>9500</v>
      </c>
      <c r="G22" s="12" t="n">
        <v>11980</v>
      </c>
      <c r="H22" s="12" t="n">
        <v>13500</v>
      </c>
      <c r="I22" s="12" t="n">
        <v>17990</v>
      </c>
      <c r="J22" s="15" t="n">
        <v>163000</v>
      </c>
      <c r="K22" s="12" t="n">
        <v>11580</v>
      </c>
      <c r="L22" s="15" t="n">
        <v>160000</v>
      </c>
      <c r="M22" s="16" t="n">
        <v>37</v>
      </c>
      <c r="N22" s="16" t="n">
        <v>0</v>
      </c>
      <c r="O22" s="17" t="n"/>
      <c r="P22" s="13" t="n">
        <v>0.14</v>
      </c>
      <c r="Q22" s="16" t="n">
        <v>3</v>
      </c>
    </row>
    <row r="23">
      <c r="A23" s="18" t="n">
        <v>46296</v>
      </c>
      <c r="B23" s="10" t="inlineStr">
        <is>
          <t>Peugeot 205 GTI</t>
        </is>
      </c>
      <c r="C23" s="10" t="inlineStr">
        <is>
          <t>apify</t>
        </is>
      </c>
      <c r="D23" s="16" t="n">
        <v>38</v>
      </c>
      <c r="E23" s="12" t="n">
        <v>5500</v>
      </c>
      <c r="F23" s="12" t="n">
        <v>14925</v>
      </c>
      <c r="G23" s="12" t="n">
        <v>18000</v>
      </c>
      <c r="H23" s="12" t="n">
        <v>20675</v>
      </c>
      <c r="I23" s="12" t="n">
        <v>31000</v>
      </c>
      <c r="J23" s="15" t="n">
        <v>185000</v>
      </c>
      <c r="K23" s="12" t="n">
        <v>17870</v>
      </c>
      <c r="L23" s="15" t="n">
        <v>190000</v>
      </c>
      <c r="M23" s="16" t="n">
        <v>38</v>
      </c>
      <c r="N23" s="16" t="n">
        <v>0</v>
      </c>
      <c r="O23" s="17" t="n"/>
      <c r="P23" s="13" t="n">
        <v>0.11</v>
      </c>
      <c r="Q23" s="16" t="n">
        <v>2</v>
      </c>
    </row>
    <row r="24">
      <c r="A24" s="18" t="n">
        <v>46296</v>
      </c>
      <c r="B24" s="10" t="inlineStr">
        <is>
          <t>Peugeot 206 RC</t>
        </is>
      </c>
      <c r="C24" s="10" t="inlineStr">
        <is>
          <t>apify</t>
        </is>
      </c>
      <c r="D24" s="16" t="n">
        <v>39</v>
      </c>
      <c r="E24" s="12" t="n">
        <v>5400</v>
      </c>
      <c r="F24" s="12" t="n">
        <v>7500</v>
      </c>
      <c r="G24" s="12" t="n">
        <v>9990</v>
      </c>
      <c r="H24" s="12" t="n">
        <v>12600</v>
      </c>
      <c r="I24" s="12" t="n">
        <v>18500</v>
      </c>
      <c r="J24" s="15" t="n">
        <v>159000</v>
      </c>
      <c r="K24" s="12" t="n">
        <v>11240</v>
      </c>
      <c r="L24" s="15" t="n">
        <v>150000</v>
      </c>
      <c r="M24" s="16" t="n">
        <v>2</v>
      </c>
      <c r="N24" s="16" t="n">
        <v>0</v>
      </c>
      <c r="O24" s="17" t="n"/>
      <c r="P24" s="13" t="n">
        <v>0.1</v>
      </c>
      <c r="Q24" s="16" t="n">
        <v>1</v>
      </c>
    </row>
    <row r="25">
      <c r="A25" s="18" t="n">
        <v>46296</v>
      </c>
      <c r="B25" s="10" t="inlineStr">
        <is>
          <t>Peugeot 208 GTi 30th</t>
        </is>
      </c>
      <c r="C25" s="10" t="inlineStr">
        <is>
          <t>apify</t>
        </is>
      </c>
      <c r="D25" s="16" t="n">
        <v>10</v>
      </c>
      <c r="E25" s="12" t="n">
        <v>10500</v>
      </c>
      <c r="F25" s="12" t="n">
        <v>13368</v>
      </c>
      <c r="G25" s="12" t="n">
        <v>14940</v>
      </c>
      <c r="H25" s="12" t="n">
        <v>17100</v>
      </c>
      <c r="I25" s="12" t="n">
        <v>23490</v>
      </c>
      <c r="J25" s="15" t="n">
        <v>110000</v>
      </c>
      <c r="K25" s="12" t="n">
        <v>16280</v>
      </c>
      <c r="L25" s="15" t="n">
        <v>100000</v>
      </c>
      <c r="M25" s="16" t="n">
        <v>10</v>
      </c>
      <c r="N25" s="16" t="n">
        <v>0</v>
      </c>
      <c r="O25" s="17" t="n"/>
      <c r="P25" s="13" t="n">
        <v>0.4</v>
      </c>
      <c r="Q25" s="16" t="n">
        <v>0</v>
      </c>
    </row>
    <row r="26">
      <c r="A26" s="18" t="n">
        <v>46296</v>
      </c>
      <c r="B26" s="10" t="inlineStr">
        <is>
          <t>Peugeot 306 S16</t>
        </is>
      </c>
      <c r="C26" s="10" t="inlineStr">
        <is>
          <t>apify</t>
        </is>
      </c>
      <c r="D26" s="16" t="n">
        <v>25</v>
      </c>
      <c r="E26" s="12" t="n">
        <v>1000</v>
      </c>
      <c r="F26" s="12" t="n">
        <v>6800</v>
      </c>
      <c r="G26" s="12" t="n">
        <v>8200</v>
      </c>
      <c r="H26" s="12" t="n">
        <v>12800</v>
      </c>
      <c r="I26" s="12" t="n">
        <v>26800</v>
      </c>
      <c r="J26" s="15" t="n">
        <v>185000</v>
      </c>
      <c r="K26" s="12" t="n">
        <v>9790</v>
      </c>
      <c r="L26" s="15" t="n">
        <v>180000</v>
      </c>
      <c r="M26" s="16" t="n">
        <v>25</v>
      </c>
      <c r="N26" s="16" t="n">
        <v>0</v>
      </c>
      <c r="O26" s="17" t="n"/>
      <c r="P26" s="13" t="n">
        <v>0</v>
      </c>
      <c r="Q26" s="16" t="n">
        <v>5</v>
      </c>
    </row>
    <row r="27">
      <c r="A27" s="18" t="n">
        <v>46296</v>
      </c>
      <c r="B27" s="10" t="inlineStr">
        <is>
          <t>Porsche 911 997 Carrera S</t>
        </is>
      </c>
      <c r="C27" s="10" t="inlineStr">
        <is>
          <t>apify</t>
        </is>
      </c>
      <c r="D27" s="16" t="n">
        <v>36</v>
      </c>
      <c r="E27" s="12" t="n">
        <v>39990</v>
      </c>
      <c r="F27" s="12" t="n">
        <v>49988</v>
      </c>
      <c r="G27" s="12" t="n">
        <v>51395</v>
      </c>
      <c r="H27" s="12" t="n">
        <v>56240</v>
      </c>
      <c r="I27" s="12" t="n">
        <v>69599</v>
      </c>
      <c r="J27" s="15" t="n">
        <v>110000</v>
      </c>
      <c r="K27" s="12" t="n">
        <v>55200</v>
      </c>
      <c r="L27" s="15" t="n">
        <v>100000</v>
      </c>
      <c r="M27" s="16" t="n">
        <v>36</v>
      </c>
      <c r="N27" s="16" t="n">
        <v>0</v>
      </c>
      <c r="O27" s="17" t="n"/>
      <c r="P27" s="13" t="n">
        <v>0.83</v>
      </c>
      <c r="Q27" s="16" t="n">
        <v>4</v>
      </c>
    </row>
    <row r="28">
      <c r="A28" s="18" t="n">
        <v>46296</v>
      </c>
      <c r="B28" s="10" t="inlineStr">
        <is>
          <t>Porsche Boxster 986</t>
        </is>
      </c>
      <c r="C28" s="10" t="inlineStr">
        <is>
          <t>apify</t>
        </is>
      </c>
      <c r="D28" s="16" t="n">
        <v>40</v>
      </c>
      <c r="E28" s="12" t="n">
        <v>5000</v>
      </c>
      <c r="F28" s="12" t="n">
        <v>13998</v>
      </c>
      <c r="G28" s="12" t="n">
        <v>17650</v>
      </c>
      <c r="H28" s="12" t="n">
        <v>19900</v>
      </c>
      <c r="I28" s="12" t="n">
        <v>26000</v>
      </c>
      <c r="J28" s="15" t="n">
        <v>136000</v>
      </c>
      <c r="K28" s="12" t="n">
        <v>19280</v>
      </c>
      <c r="L28" s="15" t="n">
        <v>110000</v>
      </c>
      <c r="M28" s="16" t="n">
        <v>40</v>
      </c>
      <c r="N28" s="16" t="n">
        <v>0</v>
      </c>
      <c r="O28" s="17" t="n"/>
      <c r="P28" s="13" t="n">
        <v>0.35</v>
      </c>
      <c r="Q28" s="16" t="n">
        <v>0</v>
      </c>
    </row>
    <row r="29">
      <c r="A29" s="18" t="n">
        <v>46296</v>
      </c>
      <c r="B29" s="10" t="inlineStr">
        <is>
          <t>Porsche Boxster 987</t>
        </is>
      </c>
      <c r="C29" s="10" t="inlineStr">
        <is>
          <t>apify</t>
        </is>
      </c>
      <c r="D29" s="16" t="n">
        <v>38</v>
      </c>
      <c r="E29" s="12" t="n">
        <v>18950</v>
      </c>
      <c r="F29" s="12" t="n">
        <v>27048</v>
      </c>
      <c r="G29" s="12" t="n">
        <v>29245</v>
      </c>
      <c r="H29" s="12" t="n">
        <v>35373</v>
      </c>
      <c r="I29" s="12" t="n">
        <v>46990</v>
      </c>
      <c r="J29" s="15" t="n">
        <v>96000</v>
      </c>
      <c r="K29" s="12" t="n">
        <v>33340</v>
      </c>
      <c r="L29" s="15" t="n">
        <v>80000</v>
      </c>
      <c r="M29" s="16" t="n">
        <v>38</v>
      </c>
      <c r="N29" s="16" t="n">
        <v>0</v>
      </c>
      <c r="O29" s="17" t="n"/>
      <c r="P29" s="13" t="n">
        <v>0.63</v>
      </c>
      <c r="Q29" s="16" t="n">
        <v>2</v>
      </c>
    </row>
    <row r="30">
      <c r="A30" s="18" t="n">
        <v>46296</v>
      </c>
      <c r="B30" s="10" t="inlineStr">
        <is>
          <t>Renault Clio II RS (172/182 ch)</t>
        </is>
      </c>
      <c r="C30" s="10" t="inlineStr">
        <is>
          <t>apify</t>
        </is>
      </c>
      <c r="D30" s="16" t="n">
        <v>38</v>
      </c>
      <c r="E30" s="12" t="n">
        <v>5500</v>
      </c>
      <c r="F30" s="12" t="n">
        <v>8600</v>
      </c>
      <c r="G30" s="12" t="n">
        <v>10500</v>
      </c>
      <c r="H30" s="12" t="n">
        <v>12865</v>
      </c>
      <c r="I30" s="12" t="n">
        <v>19500</v>
      </c>
      <c r="J30" s="15" t="n">
        <v>165000</v>
      </c>
      <c r="K30" s="12" t="n">
        <v>11000</v>
      </c>
      <c r="L30" s="15" t="n">
        <v>160000</v>
      </c>
      <c r="M30" s="16" t="n">
        <v>38</v>
      </c>
      <c r="N30" s="16" t="n">
        <v>0</v>
      </c>
      <c r="O30" s="17" t="n"/>
      <c r="P30" s="13" t="n">
        <v>0.13</v>
      </c>
      <c r="Q30" s="16" t="n">
        <v>2</v>
      </c>
    </row>
    <row r="31">
      <c r="A31" s="18" t="n">
        <v>46296</v>
      </c>
      <c r="B31" s="10" t="inlineStr">
        <is>
          <t>Renault Mégane II RS R26</t>
        </is>
      </c>
      <c r="C31" s="10" t="inlineStr">
        <is>
          <t>apify</t>
        </is>
      </c>
      <c r="D31" s="16" t="n">
        <v>18</v>
      </c>
      <c r="E31" s="12" t="n">
        <v>14900</v>
      </c>
      <c r="F31" s="12" t="n">
        <v>20050</v>
      </c>
      <c r="G31" s="12" t="n">
        <v>23485</v>
      </c>
      <c r="H31" s="12" t="n">
        <v>24990</v>
      </c>
      <c r="I31" s="12" t="n">
        <v>31490</v>
      </c>
      <c r="J31" s="15" t="n">
        <v>94000</v>
      </c>
      <c r="K31" s="12" t="n">
        <v>22980</v>
      </c>
      <c r="L31" s="15" t="n">
        <v>100000</v>
      </c>
      <c r="M31" s="16" t="n">
        <v>18</v>
      </c>
      <c r="N31" s="16" t="n">
        <v>0</v>
      </c>
      <c r="O31" s="17" t="n"/>
      <c r="P31" s="13" t="n">
        <v>0.61</v>
      </c>
      <c r="Q31" s="16" t="n">
        <v>7</v>
      </c>
    </row>
    <row r="32">
      <c r="A32" s="18" t="n">
        <v>46296</v>
      </c>
      <c r="B32" s="10" t="inlineStr">
        <is>
          <t>Renault Twingo 1 découvrable</t>
        </is>
      </c>
      <c r="C32" s="10" t="inlineStr">
        <is>
          <t>apify</t>
        </is>
      </c>
      <c r="D32" s="16" t="n">
        <v>27</v>
      </c>
      <c r="E32" s="12" t="n">
        <v>699</v>
      </c>
      <c r="F32" s="12" t="n">
        <v>2095</v>
      </c>
      <c r="G32" s="12" t="n">
        <v>2990</v>
      </c>
      <c r="H32" s="12" t="n">
        <v>3550</v>
      </c>
      <c r="I32" s="12" t="n">
        <v>5990</v>
      </c>
      <c r="J32" s="15" t="n">
        <v>165000</v>
      </c>
      <c r="K32" s="12" t="n">
        <v>3380</v>
      </c>
      <c r="L32" s="15" t="n">
        <v>150000</v>
      </c>
      <c r="M32" s="16" t="n">
        <v>27</v>
      </c>
      <c r="N32" s="16" t="n">
        <v>0</v>
      </c>
      <c r="O32" s="17" t="n"/>
      <c r="P32" s="13" t="n">
        <v>0.22</v>
      </c>
      <c r="Q32" s="16" t="n">
        <v>13</v>
      </c>
    </row>
    <row r="33">
      <c r="A33" s="18" t="n">
        <v>46273</v>
      </c>
      <c r="B33" s="10" t="inlineStr">
        <is>
          <t>Citroën Saxo VTS 16V</t>
        </is>
      </c>
      <c r="C33" s="10" t="inlineStr">
        <is>
          <t>manuel</t>
        </is>
      </c>
      <c r="D33" s="16" t="n">
        <v>2</v>
      </c>
      <c r="E33" s="12" t="n">
        <v>6500</v>
      </c>
      <c r="F33" s="12" t="n"/>
      <c r="G33" s="12" t="n">
        <v>6600</v>
      </c>
      <c r="H33" s="12" t="n"/>
      <c r="I33" s="12" t="n">
        <v>6700</v>
      </c>
      <c r="J33" s="15" t="n">
        <v>153683</v>
      </c>
      <c r="K33" s="12" t="n"/>
      <c r="L33" s="15" t="n"/>
      <c r="M33" s="16" t="n"/>
      <c r="N33" s="16" t="n"/>
      <c r="O33" s="17" t="n"/>
      <c r="P33" s="13" t="n"/>
      <c r="Q33" s="16" t="n"/>
    </row>
    <row r="34">
      <c r="A34" s="18" t="n">
        <v>46273</v>
      </c>
      <c r="B34" s="10" t="inlineStr">
        <is>
          <t>Peugeot 206 RC</t>
        </is>
      </c>
      <c r="C34" s="10" t="inlineStr">
        <is>
          <t>manuel</t>
        </is>
      </c>
      <c r="D34" s="16" t="n">
        <v>1</v>
      </c>
      <c r="E34" s="12" t="n">
        <v>6790</v>
      </c>
      <c r="F34" s="12" t="n"/>
      <c r="G34" s="12" t="n">
        <v>6790</v>
      </c>
      <c r="H34" s="12" t="n"/>
      <c r="I34" s="12" t="n">
        <v>6790</v>
      </c>
      <c r="J34" s="15" t="n">
        <v>244000</v>
      </c>
      <c r="K34" s="12" t="n"/>
      <c r="L34" s="15" t="n"/>
      <c r="M34" s="16" t="n"/>
      <c r="N34" s="16" t="n"/>
      <c r="O34" s="17" t="n"/>
      <c r="P34" s="13" t="n"/>
      <c r="Q34" s="16" t="n"/>
    </row>
    <row r="35">
      <c r="A35" s="18" t="n">
        <v>46273</v>
      </c>
      <c r="B35" s="10" t="inlineStr">
        <is>
          <t>Peugeot 208 GTi 30th</t>
        </is>
      </c>
      <c r="C35" s="10" t="inlineStr">
        <is>
          <t>manuel</t>
        </is>
      </c>
      <c r="D35" s="16" t="n">
        <v>7</v>
      </c>
      <c r="E35" s="12" t="n">
        <v>12990</v>
      </c>
      <c r="F35" s="12" t="n"/>
      <c r="G35" s="12" t="n">
        <v>15990</v>
      </c>
      <c r="H35" s="12" t="n"/>
      <c r="I35" s="12" t="n">
        <v>23490</v>
      </c>
      <c r="J35" s="15" t="n">
        <v>108000</v>
      </c>
      <c r="K35" s="12" t="n"/>
      <c r="L35" s="15" t="n"/>
      <c r="M35" s="16" t="n"/>
      <c r="N35" s="16" t="n"/>
      <c r="O35" s="17" t="n"/>
      <c r="P35" s="13" t="n"/>
      <c r="Q35" s="16" t="n"/>
    </row>
    <row r="36">
      <c r="A36" s="18" t="n">
        <v>46273</v>
      </c>
      <c r="B36" s="10" t="inlineStr">
        <is>
          <t>Porsche 911 997 Carrera S</t>
        </is>
      </c>
      <c r="C36" s="10" t="inlineStr">
        <is>
          <t>manuel</t>
        </is>
      </c>
      <c r="D36" s="16" t="n">
        <v>11</v>
      </c>
      <c r="E36" s="12" t="n">
        <v>46500</v>
      </c>
      <c r="F36" s="12" t="n"/>
      <c r="G36" s="12" t="n">
        <v>51000</v>
      </c>
      <c r="H36" s="12" t="n"/>
      <c r="I36" s="12" t="n">
        <v>74900</v>
      </c>
      <c r="J36" s="15" t="n">
        <v>100000</v>
      </c>
      <c r="K36" s="12" t="n"/>
      <c r="L36" s="15" t="n"/>
      <c r="M36" s="16" t="n"/>
      <c r="N36" s="16" t="n"/>
      <c r="O36" s="17" t="n"/>
      <c r="P36" s="13" t="n"/>
      <c r="Q36" s="16" t="n"/>
    </row>
    <row r="37">
      <c r="A37" s="18" t="n">
        <v>46273</v>
      </c>
      <c r="B37" s="10" t="inlineStr">
        <is>
          <t>Porsche Boxster 986</t>
        </is>
      </c>
      <c r="C37" s="10" t="inlineStr">
        <is>
          <t>manuel</t>
        </is>
      </c>
      <c r="D37" s="16" t="n">
        <v>4</v>
      </c>
      <c r="E37" s="12" t="n">
        <v>17986</v>
      </c>
      <c r="F37" s="12" t="n"/>
      <c r="G37" s="12" t="n">
        <v>22425</v>
      </c>
      <c r="H37" s="12" t="n"/>
      <c r="I37" s="12" t="n">
        <v>26900</v>
      </c>
      <c r="J37" s="15" t="n">
        <v>110000</v>
      </c>
      <c r="K37" s="12" t="n"/>
      <c r="L37" s="15" t="n"/>
      <c r="M37" s="16" t="n"/>
      <c r="N37" s="16" t="n"/>
      <c r="O37" s="17" t="n"/>
      <c r="P37" s="13" t="n"/>
      <c r="Q37" s="16" t="n"/>
    </row>
    <row r="38">
      <c r="A38" s="18" t="n">
        <v>46273</v>
      </c>
      <c r="B38" s="10" t="inlineStr">
        <is>
          <t>Porsche Boxster 987</t>
        </is>
      </c>
      <c r="C38" s="10" t="inlineStr">
        <is>
          <t>manuel</t>
        </is>
      </c>
      <c r="D38" s="16" t="n">
        <v>5</v>
      </c>
      <c r="E38" s="12" t="n">
        <v>33000</v>
      </c>
      <c r="F38" s="12" t="n"/>
      <c r="G38" s="12" t="n">
        <v>43990</v>
      </c>
      <c r="H38" s="12" t="n"/>
      <c r="I38" s="12" t="n">
        <v>72986</v>
      </c>
      <c r="J38" s="15" t="n">
        <v>65000</v>
      </c>
      <c r="K38" s="12" t="n"/>
      <c r="L38" s="15" t="n"/>
      <c r="M38" s="16" t="n"/>
      <c r="N38" s="16" t="n"/>
      <c r="O38" s="17" t="n"/>
      <c r="P38" s="13" t="n"/>
      <c r="Q38" s="16" t="n"/>
    </row>
    <row r="39">
      <c r="A39" s="18" t="n">
        <v>46273</v>
      </c>
      <c r="B39" s="10" t="inlineStr">
        <is>
          <t>Renault Clio II RS (172/182 ch)</t>
        </is>
      </c>
      <c r="C39" s="10" t="inlineStr">
        <is>
          <t>manuel</t>
        </is>
      </c>
      <c r="D39" s="16" t="n">
        <v>2</v>
      </c>
      <c r="E39" s="12" t="n">
        <v>6000</v>
      </c>
      <c r="F39" s="12" t="n"/>
      <c r="G39" s="12" t="n">
        <v>8899.5</v>
      </c>
      <c r="H39" s="12" t="n"/>
      <c r="I39" s="12" t="n">
        <v>11799</v>
      </c>
      <c r="J39" s="15" t="n">
        <v>168000</v>
      </c>
      <c r="K39" s="12" t="n"/>
      <c r="L39" s="15" t="n"/>
      <c r="M39" s="16" t="n"/>
      <c r="N39" s="16" t="n"/>
      <c r="O39" s="17" t="n"/>
      <c r="P39" s="13" t="n"/>
      <c r="Q39" s="16" t="n"/>
    </row>
    <row r="40">
      <c r="A40" s="18" t="n">
        <v>46273</v>
      </c>
      <c r="B40" s="10" t="inlineStr">
        <is>
          <t>Renault Twingo 1 découvrable</t>
        </is>
      </c>
      <c r="C40" s="10" t="inlineStr">
        <is>
          <t>manuel</t>
        </is>
      </c>
      <c r="D40" s="16" t="n">
        <v>6</v>
      </c>
      <c r="E40" s="12" t="n">
        <v>1500</v>
      </c>
      <c r="F40" s="12" t="n"/>
      <c r="G40" s="12" t="n">
        <v>5490</v>
      </c>
      <c r="H40" s="12" t="n"/>
      <c r="I40" s="12" t="n">
        <v>6290</v>
      </c>
      <c r="J40" s="15" t="n">
        <v>150000</v>
      </c>
      <c r="K40" s="12" t="n"/>
      <c r="L40" s="15" t="n"/>
      <c r="M40" s="16" t="n"/>
      <c r="N40" s="16" t="n"/>
      <c r="O40" s="17" t="n"/>
      <c r="P40" s="13" t="n"/>
      <c r="Q40" s="16" t="n"/>
    </row>
  </sheetData>
  <autoFilter ref="A1:Q4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Q7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38" customWidth="1" min="2" max="2"/>
    <col width="30" customWidth="1" min="3" max="3"/>
    <col width="12" customWidth="1" min="4" max="4"/>
    <col width="10" customWidth="1" min="5" max="5"/>
    <col width="11" customWidth="1" min="6" max="6"/>
    <col width="11" customWidth="1" min="7" max="7"/>
    <col width="11" customWidth="1" min="8" max="8"/>
    <col width="11" customWidth="1" min="9" max="9"/>
    <col width="10" customWidth="1" min="10" max="10"/>
    <col width="11" customWidth="1" min="11" max="11"/>
    <col width="11" customWidth="1" min="12" max="12"/>
    <col width="10" customWidth="1" min="13" max="13"/>
    <col width="9" customWidth="1" min="14" max="14"/>
    <col width="11" customWidth="1" min="15" max="15"/>
    <col width="11" customWidth="1" min="16" max="16"/>
    <col width="11" customWidth="1" min="17" max="17"/>
    <col width="11" customWidth="1" min="18" max="18"/>
    <col width="16" customWidth="1" min="19" max="19"/>
    <col width="12" customWidth="1" min="20" max="20"/>
    <col width="8" customWidth="1" min="21" max="21"/>
    <col width="11" customWidth="1" min="22" max="22"/>
    <col width="10" customWidth="1" min="23" max="23"/>
    <col width="11" customWidth="1" min="24" max="24"/>
    <col width="10" customWidth="1" min="25" max="25"/>
    <col width="10" customWidth="1" min="26" max="26"/>
    <col width="11" customWidth="1" min="27" max="27"/>
    <col width="7" customWidth="1" min="28" max="28"/>
    <col width="11" customWidth="1" min="29" max="29"/>
    <col width="30" customWidth="1" min="30" max="30"/>
    <col width="18" customWidth="1" min="31" max="31"/>
    <col width="11" customWidth="1" min="32" max="32"/>
    <col width="16" customWidth="1" min="33" max="33"/>
    <col width="10" customWidth="1" min="34" max="34"/>
    <col width="16" customWidth="1" min="35" max="35"/>
    <col width="16" customWidth="1" min="36" max="36"/>
    <col width="8" customWidth="1" min="37" max="37"/>
    <col width="10" customWidth="1" min="38" max="38"/>
    <col width="8" customWidth="1" min="39" max="39"/>
    <col width="60" customWidth="1" min="40" max="40"/>
    <col width="50" customWidth="1" min="41" max="41"/>
    <col width="9" customWidth="1" min="42" max="42"/>
    <col width="13" customWidth="1" min="43" max="43"/>
  </cols>
  <sheetData>
    <row r="1" ht="30" customHeight="1">
      <c r="A1" s="9" t="inlineStr">
        <is>
          <t>Véhicule</t>
        </is>
      </c>
      <c r="B1" s="9" t="inlineStr">
        <is>
          <t>Titre</t>
        </is>
      </c>
      <c r="C1" s="9" t="inlineStr">
        <is>
          <t>Version</t>
        </is>
      </c>
      <c r="D1" s="9" t="inlineStr">
        <is>
          <t>Finition</t>
        </is>
      </c>
      <c r="E1" s="9" t="inlineStr">
        <is>
          <t>Statut</t>
        </is>
      </c>
      <c r="F1" s="9" t="inlineStr">
        <is>
          <t>Publiée le</t>
        </is>
      </c>
      <c r="G1" s="9" t="inlineStr">
        <is>
          <t>Première vue</t>
        </is>
      </c>
      <c r="H1" s="9" t="inlineStr">
        <is>
          <t>Dernière vue</t>
        </is>
      </c>
      <c r="I1" s="9" t="inlineStr">
        <is>
          <t>Partie le</t>
        </is>
      </c>
      <c r="J1" s="9" t="inlineStr">
        <is>
          <t>Jours en ligne</t>
        </is>
      </c>
      <c r="K1" s="9" t="inlineStr">
        <is>
          <t>Prix initial</t>
        </is>
      </c>
      <c r="L1" s="9" t="inlineStr">
        <is>
          <t>Prix actuel</t>
        </is>
      </c>
      <c r="M1" s="9" t="inlineStr">
        <is>
          <t>Baisse de prix</t>
        </is>
      </c>
      <c r="N1" s="9" t="inlineStr">
        <is>
          <t>Nb de baisses</t>
        </is>
      </c>
      <c r="O1" s="9" t="inlineStr">
        <is>
          <t>Ancien prix affiché</t>
        </is>
      </c>
      <c r="P1" s="9" t="inlineStr">
        <is>
          <t>Estimation LBC min</t>
        </is>
      </c>
      <c r="Q1" s="9" t="inlineStr">
        <is>
          <t>Estimation LBC max</t>
        </is>
      </c>
      <c r="R1" s="9" t="inlineStr">
        <is>
          <t>Écart vs estimation LBC</t>
        </is>
      </c>
      <c r="S1" s="9" t="inlineStr">
        <is>
          <t>Positionnement LBC</t>
        </is>
      </c>
      <c r="T1" s="9" t="inlineStr">
        <is>
          <t>Km</t>
        </is>
      </c>
      <c r="U1" s="9" t="inlineStr">
        <is>
          <t>Année</t>
        </is>
      </c>
      <c r="V1" s="9" t="inlineStr">
        <is>
          <t>Mise en circulation</t>
        </is>
      </c>
      <c r="W1" s="9" t="inlineStr">
        <is>
          <t>Carburant</t>
        </is>
      </c>
      <c r="X1" s="9" t="inlineStr">
        <is>
          <t>Boîte</t>
        </is>
      </c>
      <c r="Y1" s="9" t="inlineStr">
        <is>
          <t>Puissance DIN (ch)</t>
        </is>
      </c>
      <c r="Z1" s="9" t="inlineStr">
        <is>
          <t>Puissance fiscale (CV)</t>
        </is>
      </c>
      <c r="AA1" s="9" t="inlineStr">
        <is>
          <t>Couleur</t>
        </is>
      </c>
      <c r="AB1" s="9" t="inlineStr">
        <is>
          <t>Portes</t>
        </is>
      </c>
      <c r="AC1" s="9" t="inlineStr">
        <is>
          <t>Type</t>
        </is>
      </c>
      <c r="AD1" s="9" t="inlineStr">
        <is>
          <t>Entretien</t>
        </is>
      </c>
      <c r="AE1" s="9" t="inlineStr">
        <is>
          <t>Historique</t>
        </is>
      </c>
      <c r="AF1" s="9" t="inlineStr">
        <is>
          <t>Vendeur</t>
        </is>
      </c>
      <c r="AG1" s="9" t="inlineStr">
        <is>
          <t>Ville</t>
        </is>
      </c>
      <c r="AH1" s="9" t="inlineStr">
        <is>
          <t>Code postal</t>
        </is>
      </c>
      <c r="AI1" s="9" t="inlineStr">
        <is>
          <t>Département</t>
        </is>
      </c>
      <c r="AJ1" s="9" t="inlineStr">
        <is>
          <t>Région</t>
        </is>
      </c>
      <c r="AK1" s="9" t="inlineStr">
        <is>
          <t>Photos</t>
        </is>
      </c>
      <c r="AL1" s="9" t="inlineStr">
        <is>
          <t>Remontée payante</t>
        </is>
      </c>
      <c r="AM1" s="9" t="inlineStr">
        <is>
          <t>Urgent</t>
        </is>
      </c>
      <c r="AN1" s="9" t="inlineStr">
        <is>
          <t>Description (extrait)</t>
        </is>
      </c>
      <c r="AO1" s="9" t="inlineStr">
        <is>
          <t>Autres caractéristiques</t>
        </is>
      </c>
      <c r="AP1" s="9" t="inlineStr">
        <is>
          <t>Annonce</t>
        </is>
      </c>
      <c r="AQ1" s="9" t="inlineStr">
        <is>
          <t>Id</t>
        </is>
      </c>
    </row>
    <row r="2">
      <c r="A2" s="10" t="inlineStr">
        <is>
          <t>Alfa Romeo 156 2.5 V6 24V</t>
        </is>
      </c>
      <c r="B2" s="10" t="inlineStr">
        <is>
          <t>Alfa Roméo 156 SW V6 2,5l 24s</t>
        </is>
      </c>
      <c r="C2" s="10" t="n"/>
      <c r="D2" s="10" t="n"/>
      <c r="E2" s="10" t="inlineStr">
        <is>
          <t>En vente</t>
        </is>
      </c>
      <c r="F2" s="18" t="n">
        <v>46303</v>
      </c>
      <c r="G2" s="18" t="n">
        <v>46237</v>
      </c>
      <c r="H2" s="18" t="n">
        <v>46310</v>
      </c>
      <c r="I2" s="18" t="n"/>
      <c r="J2" s="17">
        <f>IF(OR(ISNUMBER(F2),ISNUMBER(G2)),IF(ISNUMBER(I2),I2,H2)-IF(ISNUMBER(F2),F2,G2),"")</f>
        <v/>
      </c>
      <c r="K2" s="12" t="n">
        <v>7500</v>
      </c>
      <c r="L2" s="12" t="n">
        <v>7500</v>
      </c>
      <c r="M2" s="13">
        <f>IF(AND(ISNUMBER(K2),ISNUMBER(L2),K2&gt;0),1-L2/K2,"")</f>
        <v/>
      </c>
      <c r="N2" s="16" t="n">
        <v>0</v>
      </c>
      <c r="O2" s="12" t="n"/>
      <c r="P2" s="12" t="n"/>
      <c r="Q2" s="12" t="n"/>
      <c r="R2" s="14">
        <f>IF(AND(ISNUMBER(L2),ISNUMBER(P2),ISNUMBER(Q2)),L2/((P2+Q2)/2)-1,"")</f>
        <v/>
      </c>
      <c r="S2" s="10" t="n"/>
      <c r="T2" s="15" t="n">
        <v>316324</v>
      </c>
      <c r="U2" s="16" t="n">
        <v>2003</v>
      </c>
      <c r="V2" s="10" t="inlineStr">
        <is>
          <t>10/2003</t>
        </is>
      </c>
      <c r="W2" s="10" t="inlineStr">
        <is>
          <t>Essence</t>
        </is>
      </c>
      <c r="X2" s="10" t="inlineStr">
        <is>
          <t>Manuelle</t>
        </is>
      </c>
      <c r="Y2" s="16" t="n">
        <v>190</v>
      </c>
      <c r="Z2" s="16" t="n">
        <v>14</v>
      </c>
      <c r="AA2" s="10" t="inlineStr">
        <is>
          <t>Noir</t>
        </is>
      </c>
      <c r="AB2" s="16" t="n">
        <v>5</v>
      </c>
      <c r="AC2" s="10" t="inlineStr">
        <is>
          <t>Break</t>
        </is>
      </c>
      <c r="AD2" s="10" t="n"/>
      <c r="AE2" s="10" t="n"/>
      <c r="AF2" s="10" t="inlineStr">
        <is>
          <t>Particulier</t>
        </is>
      </c>
      <c r="AG2" s="10" t="inlineStr">
        <is>
          <t>La Chaussée-Saint-Victor</t>
        </is>
      </c>
      <c r="AH2" s="10" t="inlineStr">
        <is>
          <t>41260</t>
        </is>
      </c>
      <c r="AI2" s="10" t="inlineStr">
        <is>
          <t>Loir-et-Cher</t>
        </is>
      </c>
      <c r="AJ2" s="10" t="inlineStr">
        <is>
          <t>Centre</t>
        </is>
      </c>
      <c r="AK2" s="16" t="n">
        <v>3</v>
      </c>
      <c r="AL2" s="10" t="n"/>
      <c r="AM2" s="10" t="inlineStr">
        <is>
          <t>Non</t>
        </is>
      </c>
      <c r="AN2" s="10" t="inlineStr">
        <is>
          <t>Alfa Roméo 156 de 2003 V6 Busso 2,5l 24 soupapes finition TI. Parfaitement entretenue : courroie de distribution et pompe à eau faites en 2024 (facture). vidange moteur boîte 2025 (facture) Intérieur cuir noir spécifique TI en excellent état général. 4 Pneus neuf Triangle train avant récent. Alternateur, démarreur, embrayage remplacer Voiture avec entretien suivi depuis l'achat</t>
        </is>
      </c>
      <c r="AO2" s="10" t="inlineStr">
        <is>
          <t>Dommages : Non endommagé ; Sellerie : Tout cuir ; Équipements intérieurs : Jantes en alliage, Régulateur de vitesse ; vehicle_euro_emissions_standard : Euro 3 ; Permis : Avec permis ; Importé : false</t>
        </is>
      </c>
      <c r="AP2" s="19" t="inlineStr">
        <is>
          <t>Voir</t>
        </is>
      </c>
      <c r="AQ2" s="10" t="inlineStr">
        <is>
          <t>2903975057</t>
        </is>
      </c>
    </row>
    <row r="3">
      <c r="A3" s="10" t="inlineStr">
        <is>
          <t>Alfa Romeo 156 2.5 V6 24V</t>
        </is>
      </c>
      <c r="B3" s="10" t="inlineStr">
        <is>
          <t>Alfa Romeo 156 2.5 V6 Busso</t>
        </is>
      </c>
      <c r="C3" s="10" t="n"/>
      <c r="D3" s="10" t="n"/>
      <c r="E3" s="10" t="inlineStr">
        <is>
          <t>En vente</t>
        </is>
      </c>
      <c r="F3" s="18" t="n">
        <v>46259</v>
      </c>
      <c r="G3" s="18" t="n">
        <v>46259</v>
      </c>
      <c r="H3" s="18" t="n">
        <v>46310</v>
      </c>
      <c r="I3" s="18" t="n"/>
      <c r="J3" s="17">
        <f>IF(OR(ISNUMBER(F3),ISNUMBER(G3)),IF(ISNUMBER(I3),I3,H3)-IF(ISNUMBER(F3),F3,G3),"")</f>
        <v/>
      </c>
      <c r="K3" s="12" t="n">
        <v>8800</v>
      </c>
      <c r="L3" s="12" t="n">
        <v>8800</v>
      </c>
      <c r="M3" s="13">
        <f>IF(AND(ISNUMBER(K3),ISNUMBER(L3),K3&gt;0),1-L3/K3,"")</f>
        <v/>
      </c>
      <c r="N3" s="16" t="n">
        <v>0</v>
      </c>
      <c r="O3" s="12" t="n"/>
      <c r="P3" s="12" t="n"/>
      <c r="Q3" s="12" t="n"/>
      <c r="R3" s="14">
        <f>IF(AND(ISNUMBER(L3),ISNUMBER(P3),ISNUMBER(Q3)),L3/((P3+Q3)/2)-1,"")</f>
        <v/>
      </c>
      <c r="S3" s="10" t="n"/>
      <c r="T3" s="15" t="n">
        <v>200000</v>
      </c>
      <c r="U3" s="16" t="n">
        <v>2001</v>
      </c>
      <c r="V3" s="10" t="inlineStr">
        <is>
          <t>06/2001</t>
        </is>
      </c>
      <c r="W3" s="10" t="inlineStr">
        <is>
          <t>Essence</t>
        </is>
      </c>
      <c r="X3" s="10" t="inlineStr">
        <is>
          <t>Manuelle</t>
        </is>
      </c>
      <c r="Y3" s="16" t="n">
        <v>192</v>
      </c>
      <c r="Z3" s="16" t="n">
        <v>13</v>
      </c>
      <c r="AA3" s="10" t="inlineStr">
        <is>
          <t>Gris</t>
        </is>
      </c>
      <c r="AB3" s="16" t="n">
        <v>4</v>
      </c>
      <c r="AC3" s="10" t="inlineStr">
        <is>
          <t>Berline</t>
        </is>
      </c>
      <c r="AD3" s="10" t="inlineStr">
        <is>
          <t>Véhicule non fumeur, Factures disponibles, Réparations utiles déjà faites</t>
        </is>
      </c>
      <c r="AE3" s="10" t="n"/>
      <c r="AF3" s="10" t="inlineStr">
        <is>
          <t>Particulier</t>
        </is>
      </c>
      <c r="AG3" s="10" t="inlineStr">
        <is>
          <t>Waldighofen</t>
        </is>
      </c>
      <c r="AH3" s="10" t="inlineStr">
        <is>
          <t>68640</t>
        </is>
      </c>
      <c r="AI3" s="10" t="inlineStr">
        <is>
          <t>Haut-Rhin</t>
        </is>
      </c>
      <c r="AJ3" s="10" t="inlineStr">
        <is>
          <t>Alsace</t>
        </is>
      </c>
      <c r="AK3" s="16" t="n">
        <v>10</v>
      </c>
      <c r="AL3" s="10" t="n"/>
      <c r="AM3" s="10" t="inlineStr">
        <is>
          <t>Non</t>
        </is>
      </c>
      <c r="AN3" s="10" t="inlineStr">
        <is>
          <t>Magnifique Alfa Romeo 156 équipée du légendaire V6 Busso 2.5 24V atmosphérique (192 ch), un moteur recherché pour sa sonorité exceptionnelle et son caractère unique. 200 000 km – boîte manuelle – très bel état général. Véhicule importé de Suisse, avec historique et factures d’entretien disponibles. Nombreux travaux récents réalisés : * Ligne d’échappement Ragazzon * Ressorts Eibach neufs * Train avant révisé (rotules, articulations…) * Pompe à essence neuve * Joints de couvre-culasse remplacés *</t>
        </is>
      </c>
      <c r="AO3" s="10" t="inlineStr">
        <is>
          <t>vehicle_technical_inspection_valid : Oui ; Contrôle technique : 2028 ; Sellerie : Tout cuir ; Équipements intérieurs : Climatisation ; Permis : Avec permis ; Importé : false</t>
        </is>
      </c>
      <c r="AP3" s="19" t="inlineStr">
        <is>
          <t>Voir</t>
        </is>
      </c>
      <c r="AQ3" s="10" t="inlineStr">
        <is>
          <t>3222893175</t>
        </is>
      </c>
    </row>
    <row r="4">
      <c r="A4" s="10" t="inlineStr">
        <is>
          <t>Alfa Romeo 156 2.5 V6 24V</t>
        </is>
      </c>
      <c r="B4" s="10" t="inlineStr">
        <is>
          <t>Alfa romeo 156 2.5 v6 24v</t>
        </is>
      </c>
      <c r="C4" s="10" t="inlineStr">
        <is>
          <t>156 2.5 V6 24v</t>
        </is>
      </c>
      <c r="D4" s="10" t="inlineStr">
        <is>
          <t>Base</t>
        </is>
      </c>
      <c r="E4" s="10" t="inlineStr">
        <is>
          <t>En vente</t>
        </is>
      </c>
      <c r="F4" s="18" t="n">
        <v>46225</v>
      </c>
      <c r="G4" s="18" t="n">
        <v>46225</v>
      </c>
      <c r="H4" s="18" t="n">
        <v>46310</v>
      </c>
      <c r="I4" s="18" t="n"/>
      <c r="J4" s="17">
        <f>IF(OR(ISNUMBER(F4),ISNUMBER(G4)),IF(ISNUMBER(I4),I4,H4)-IF(ISNUMBER(F4),F4,G4),"")</f>
        <v/>
      </c>
      <c r="K4" s="12" t="n">
        <v>6490</v>
      </c>
      <c r="L4" s="12" t="n">
        <v>6490</v>
      </c>
      <c r="M4" s="13">
        <f>IF(AND(ISNUMBER(K4),ISNUMBER(L4),K4&gt;0),1-L4/K4,"")</f>
        <v/>
      </c>
      <c r="N4" s="16" t="n">
        <v>0</v>
      </c>
      <c r="O4" s="12" t="n">
        <v>6790</v>
      </c>
      <c r="P4" s="12" t="n"/>
      <c r="Q4" s="12" t="n"/>
      <c r="R4" s="14">
        <f>IF(AND(ISNUMBER(L4),ISNUMBER(P4),ISNUMBER(Q4)),L4/((P4+Q4)/2)-1,"")</f>
        <v/>
      </c>
      <c r="S4" s="10" t="n"/>
      <c r="T4" s="15" t="n">
        <v>196500</v>
      </c>
      <c r="U4" s="16" t="n">
        <v>1998</v>
      </c>
      <c r="V4" s="10" t="inlineStr">
        <is>
          <t>04/1998</t>
        </is>
      </c>
      <c r="W4" s="10" t="inlineStr">
        <is>
          <t>Essence</t>
        </is>
      </c>
      <c r="X4" s="10" t="inlineStr">
        <is>
          <t>Manuelle</t>
        </is>
      </c>
      <c r="Y4" s="16" t="n">
        <v>190</v>
      </c>
      <c r="Z4" s="16" t="n">
        <v>14</v>
      </c>
      <c r="AA4" s="10" t="inlineStr">
        <is>
          <t>Bleu</t>
        </is>
      </c>
      <c r="AB4" s="16" t="n">
        <v>4</v>
      </c>
      <c r="AC4" s="10" t="inlineStr">
        <is>
          <t>Berline</t>
        </is>
      </c>
      <c r="AD4" s="10" t="n"/>
      <c r="AE4" s="10" t="n"/>
      <c r="AF4" s="10" t="inlineStr">
        <is>
          <t>Pro</t>
        </is>
      </c>
      <c r="AG4" s="10" t="inlineStr">
        <is>
          <t>Abbeville</t>
        </is>
      </c>
      <c r="AH4" s="10" t="inlineStr">
        <is>
          <t>80100</t>
        </is>
      </c>
      <c r="AI4" s="10" t="inlineStr">
        <is>
          <t>Somme</t>
        </is>
      </c>
      <c r="AJ4" s="10" t="inlineStr">
        <is>
          <t>Picardie</t>
        </is>
      </c>
      <c r="AK4" s="16" t="n">
        <v>43</v>
      </c>
      <c r="AL4" s="10" t="n"/>
      <c r="AM4" s="10" t="inlineStr">
        <is>
          <t>Non</t>
        </is>
      </c>
      <c r="AN4" s="10" t="inlineStr">
        <is>
          <t>L'Agence TransakAuto ABBEVILLE, société spécialisée en courtage automobile, 1er réseau d'intermédiation automobile auprès des particuliers avec + de 180 agences en France depuis 2011, vous propose ce véhicule Alfa Romeo, 156, Bleu, 14 chevaux fiscaux, 4 portes, 196 500 km. ⚠ 🔦 Véhicule visible uniquement sur rdv à l'agence TransakAuto ABBEVILLE, du mardi au samedi de Lundi - Vendredi 10h - 19h Samedi 10h - 18h Véhicule en dépôt-vente [non stocké sur place]. Visible uniquement sur rendez-vous da</t>
        </is>
      </c>
      <c r="AO4" s="10" t="inlineStr">
        <is>
          <t>Équipements intérieurs : Climatisation, Jantes en alliage ; VO récent : false ; custom_ref : VO42668613 ; Importé : true ; vehicle_history_report_status : visible ; spare_parts_availability : Non renseignée</t>
        </is>
      </c>
      <c r="AP4" s="19" t="inlineStr">
        <is>
          <t>Voir</t>
        </is>
      </c>
      <c r="AQ4" s="10" t="inlineStr">
        <is>
          <t>3237198858</t>
        </is>
      </c>
    </row>
    <row r="5">
      <c r="A5" s="10" t="inlineStr">
        <is>
          <t>Alfa Romeo 156 2.5 V6 24V</t>
        </is>
      </c>
      <c r="B5" s="10" t="inlineStr">
        <is>
          <t>Alfa 156 2.5 v6 GPL</t>
        </is>
      </c>
      <c r="C5" s="10" t="n"/>
      <c r="D5" s="10" t="n"/>
      <c r="E5" s="10" t="inlineStr">
        <is>
          <t>En vente</t>
        </is>
      </c>
      <c r="F5" s="18" t="n">
        <v>46267</v>
      </c>
      <c r="G5" s="18" t="n">
        <v>46267</v>
      </c>
      <c r="H5" s="18" t="n">
        <v>46310</v>
      </c>
      <c r="I5" s="18" t="n"/>
      <c r="J5" s="17">
        <f>IF(OR(ISNUMBER(F5),ISNUMBER(G5)),IF(ISNUMBER(I5),I5,H5)-IF(ISNUMBER(F5),F5,G5),"")</f>
        <v/>
      </c>
      <c r="K5" s="12" t="n">
        <v>3200</v>
      </c>
      <c r="L5" s="12" t="n">
        <v>3200</v>
      </c>
      <c r="M5" s="13">
        <f>IF(AND(ISNUMBER(K5),ISNUMBER(L5),K5&gt;0),1-L5/K5,"")</f>
        <v/>
      </c>
      <c r="N5" s="16" t="n">
        <v>0</v>
      </c>
      <c r="O5" s="12" t="n"/>
      <c r="P5" s="12" t="n"/>
      <c r="Q5" s="12" t="n"/>
      <c r="R5" s="14">
        <f>IF(AND(ISNUMBER(L5),ISNUMBER(P5),ISNUMBER(Q5)),L5/((P5+Q5)/2)-1,"")</f>
        <v/>
      </c>
      <c r="S5" s="10" t="n"/>
      <c r="T5" s="15" t="n">
        <v>202000</v>
      </c>
      <c r="U5" s="16" t="n">
        <v>1999</v>
      </c>
      <c r="V5" s="10" t="inlineStr">
        <is>
          <t>07/1999</t>
        </is>
      </c>
      <c r="W5" s="10" t="inlineStr">
        <is>
          <t>Essence</t>
        </is>
      </c>
      <c r="X5" s="10" t="inlineStr">
        <is>
          <t>Manuelle</t>
        </is>
      </c>
      <c r="Y5" s="16" t="n">
        <v>190</v>
      </c>
      <c r="Z5" s="16" t="n">
        <v>13</v>
      </c>
      <c r="AA5" s="10" t="inlineStr">
        <is>
          <t>Noir</t>
        </is>
      </c>
      <c r="AB5" s="16" t="n">
        <v>4</v>
      </c>
      <c r="AC5" s="10" t="inlineStr">
        <is>
          <t>Berline</t>
        </is>
      </c>
      <c r="AD5" s="10" t="n"/>
      <c r="AE5" s="10" t="n"/>
      <c r="AF5" s="10" t="inlineStr">
        <is>
          <t>Particulier</t>
        </is>
      </c>
      <c r="AG5" s="10" t="inlineStr">
        <is>
          <t>Romans</t>
        </is>
      </c>
      <c r="AH5" s="10" t="inlineStr">
        <is>
          <t>79260</t>
        </is>
      </c>
      <c r="AI5" s="10" t="inlineStr">
        <is>
          <t>Deux-Sèvres</t>
        </is>
      </c>
      <c r="AJ5" s="10" t="inlineStr">
        <is>
          <t>Poitou-Charentes</t>
        </is>
      </c>
      <c r="AK5" s="16" t="n">
        <v>3</v>
      </c>
      <c r="AL5" s="10" t="n"/>
      <c r="AM5" s="10" t="inlineStr">
        <is>
          <t>Non</t>
        </is>
      </c>
      <c r="AN5" s="10" t="inlineStr">
        <is>
          <t>Alfa 156 2.5 v6 équipe GPL 202000 km Sortie de grange n' a pas roulé depuis 6 ans . Démarré de temps en temps pour la lubrification. Amortisseur bilstein Ressort court H&amp;R Intermédiaire ragazzon Silencieux ragazzon Intérieur cuir momo</t>
        </is>
      </c>
      <c r="AO5" s="10" t="inlineStr">
        <is>
          <t>Permis : Avec permis ; Importé : false</t>
        </is>
      </c>
      <c r="AP5" s="19" t="inlineStr">
        <is>
          <t>Voir</t>
        </is>
      </c>
      <c r="AQ5" s="10" t="inlineStr">
        <is>
          <t>3261414202</t>
        </is>
      </c>
    </row>
    <row r="6">
      <c r="A6" s="10" t="inlineStr">
        <is>
          <t>Alfa Romeo 156 2.5 V6 24V</t>
        </is>
      </c>
      <c r="B6" s="10" t="inlineStr">
        <is>
          <t>Alfa romeo 166 v6 busso 2003</t>
        </is>
      </c>
      <c r="C6" s="10" t="n"/>
      <c r="D6" s="10" t="n"/>
      <c r="E6" s="10" t="inlineStr">
        <is>
          <t>En vente</t>
        </is>
      </c>
      <c r="F6" s="18" t="n">
        <v>46268</v>
      </c>
      <c r="G6" s="18" t="n">
        <v>46268</v>
      </c>
      <c r="H6" s="18" t="n">
        <v>46310</v>
      </c>
      <c r="I6" s="18" t="n"/>
      <c r="J6" s="17">
        <f>IF(OR(ISNUMBER(F6),ISNUMBER(G6)),IF(ISNUMBER(I6),I6,H6)-IF(ISNUMBER(F6),F6,G6),"")</f>
        <v/>
      </c>
      <c r="K6" s="12" t="n">
        <v>4390</v>
      </c>
      <c r="L6" s="12" t="n">
        <v>4390</v>
      </c>
      <c r="M6" s="13">
        <f>IF(AND(ISNUMBER(K6),ISNUMBER(L6),K6&gt;0),1-L6/K6,"")</f>
        <v/>
      </c>
      <c r="N6" s="16" t="n">
        <v>0</v>
      </c>
      <c r="O6" s="12" t="n"/>
      <c r="P6" s="12" t="n"/>
      <c r="Q6" s="12" t="n"/>
      <c r="R6" s="14">
        <f>IF(AND(ISNUMBER(L6),ISNUMBER(P6),ISNUMBER(Q6)),L6/((P6+Q6)/2)-1,"")</f>
        <v/>
      </c>
      <c r="S6" s="10" t="n"/>
      <c r="T6" s="15" t="n">
        <v>207800</v>
      </c>
      <c r="U6" s="16" t="n">
        <v>2003</v>
      </c>
      <c r="V6" s="10" t="inlineStr">
        <is>
          <t>01/2003</t>
        </is>
      </c>
      <c r="W6" s="10" t="inlineStr">
        <is>
          <t>Essence</t>
        </is>
      </c>
      <c r="X6" s="10" t="inlineStr">
        <is>
          <t>Manuelle</t>
        </is>
      </c>
      <c r="Y6" s="16" t="n">
        <v>188</v>
      </c>
      <c r="Z6" s="16" t="n">
        <v>14</v>
      </c>
      <c r="AA6" s="10" t="inlineStr">
        <is>
          <t>Gris</t>
        </is>
      </c>
      <c r="AB6" s="16" t="n">
        <v>4</v>
      </c>
      <c r="AC6" s="10" t="inlineStr">
        <is>
          <t>Berline</t>
        </is>
      </c>
      <c r="AD6" s="10" t="inlineStr">
        <is>
          <t>Carnet d'entretien disponible, Véhicule non fumeur, Factures disponibles</t>
        </is>
      </c>
      <c r="AE6" s="10" t="n"/>
      <c r="AF6" s="10" t="inlineStr">
        <is>
          <t>Particulier</t>
        </is>
      </c>
      <c r="AG6" s="10" t="inlineStr">
        <is>
          <t>Lapalisse</t>
        </is>
      </c>
      <c r="AH6" s="10" t="inlineStr">
        <is>
          <t>03120</t>
        </is>
      </c>
      <c r="AI6" s="10" t="inlineStr">
        <is>
          <t>Allier</t>
        </is>
      </c>
      <c r="AJ6" s="10" t="inlineStr">
        <is>
          <t>Auvergne</t>
        </is>
      </c>
      <c r="AK6" s="16" t="n">
        <v>3</v>
      </c>
      <c r="AL6" s="10" t="n"/>
      <c r="AM6" s="10" t="inlineStr">
        <is>
          <t>Non</t>
        </is>
      </c>
      <c r="AN6" s="10" t="inlineStr">
        <is>
          <t>Vends mon Alfa Romeo 166 V6 de 2003 avec 207800kms moteur busso 2.5 V6 188 ch (156 / 164) beaucoup d'options intérieur cuir, gps, radio cd, régulateur de vitesse, climatisation, jantes alu etc Le véhicule est en bon état pour son âge pochette de bord disponible (factures aussi) Moteur boite fonctionne parfaitement (distribution 2018) CT ok et papiers à mon nom Plus d'information par Téléphone uniquement ,merci échange possible 4x4 ou véhicule sportive gti 16 crx vtec turbo.. Prix à déb si achete</t>
        </is>
      </c>
      <c r="AO6" s="10" t="inlineStr">
        <is>
          <t>Dommages : Bon état général ; Sellerie : Tout cuir ; Équipements intérieurs : Climatisation, Coffre à ouverture électrique, Jantes en alliage, Ordinateur de bord, Phares anti-brouillard, Roue de secours, Régulateur de vitesse, Sièges chauffants, Sièges en cuir, Sièges électriques, Système de navigation ; Permis : Avec permis ; Importé : false</t>
        </is>
      </c>
      <c r="AP6" s="19" t="inlineStr">
        <is>
          <t>Voir</t>
        </is>
      </c>
      <c r="AQ6" s="10" t="inlineStr">
        <is>
          <t>3262191550</t>
        </is>
      </c>
    </row>
    <row r="7">
      <c r="A7" s="10" t="inlineStr">
        <is>
          <t>Alfa Romeo 156 2.5 V6 24V</t>
        </is>
      </c>
      <c r="B7" s="10" t="inlineStr">
        <is>
          <t>Alfa Romeo 156 v6 SW 2.5</t>
        </is>
      </c>
      <c r="C7" s="10" t="n"/>
      <c r="D7" s="10" t="n"/>
      <c r="E7" s="10" t="inlineStr">
        <is>
          <t>En vente</t>
        </is>
      </c>
      <c r="F7" s="18" t="n">
        <v>46289</v>
      </c>
      <c r="G7" s="18" t="n">
        <v>46289</v>
      </c>
      <c r="H7" s="18" t="n">
        <v>46310</v>
      </c>
      <c r="I7" s="18" t="n"/>
      <c r="J7" s="17">
        <f>IF(OR(ISNUMBER(F7),ISNUMBER(G7)),IF(ISNUMBER(I7),I7,H7)-IF(ISNUMBER(F7),F7,G7),"")</f>
        <v/>
      </c>
      <c r="K7" s="12" t="n">
        <v>4000</v>
      </c>
      <c r="L7" s="12" t="n">
        <v>4000</v>
      </c>
      <c r="M7" s="13">
        <f>IF(AND(ISNUMBER(K7),ISNUMBER(L7),K7&gt;0),1-L7/K7,"")</f>
        <v/>
      </c>
      <c r="N7" s="16" t="n">
        <v>0</v>
      </c>
      <c r="O7" s="12" t="n"/>
      <c r="P7" s="12" t="n"/>
      <c r="Q7" s="12" t="n"/>
      <c r="R7" s="14">
        <f>IF(AND(ISNUMBER(L7),ISNUMBER(P7),ISNUMBER(Q7)),L7/((P7+Q7)/2)-1,"")</f>
        <v/>
      </c>
      <c r="S7" s="10" t="n"/>
      <c r="T7" s="15" t="n">
        <v>175000</v>
      </c>
      <c r="U7" s="16" t="n">
        <v>2004</v>
      </c>
      <c r="V7" s="10" t="inlineStr">
        <is>
          <t>01/2004</t>
        </is>
      </c>
      <c r="W7" s="10" t="inlineStr">
        <is>
          <t>Essence</t>
        </is>
      </c>
      <c r="X7" s="10" t="inlineStr">
        <is>
          <t>Manuelle</t>
        </is>
      </c>
      <c r="Y7" s="16" t="n">
        <v>192</v>
      </c>
      <c r="Z7" s="16" t="n">
        <v>14</v>
      </c>
      <c r="AA7" s="10" t="inlineStr">
        <is>
          <t>Noir</t>
        </is>
      </c>
      <c r="AB7" s="16" t="n">
        <v>5</v>
      </c>
      <c r="AC7" s="10" t="inlineStr">
        <is>
          <t>Berline</t>
        </is>
      </c>
      <c r="AD7" s="10" t="inlineStr">
        <is>
          <t>Factures disponibles, Carnet d'entretien disponible</t>
        </is>
      </c>
      <c r="AE7" s="10" t="n"/>
      <c r="AF7" s="10" t="inlineStr">
        <is>
          <t>Particulier</t>
        </is>
      </c>
      <c r="AG7" s="10" t="inlineStr">
        <is>
          <t>Mortcerf</t>
        </is>
      </c>
      <c r="AH7" s="10" t="inlineStr">
        <is>
          <t>77163</t>
        </is>
      </c>
      <c r="AI7" s="10" t="inlineStr">
        <is>
          <t>Seine-et-Marne</t>
        </is>
      </c>
      <c r="AJ7" s="10" t="inlineStr">
        <is>
          <t>Ile-de-France</t>
        </is>
      </c>
      <c r="AK7" s="16" t="n">
        <v>3</v>
      </c>
      <c r="AL7" s="10" t="n"/>
      <c r="AM7" s="10" t="inlineStr">
        <is>
          <t>Non</t>
        </is>
      </c>
      <c r="AN7" s="10" t="inlineStr">
        <is>
          <t>Bonjour Je vends mon Alfa Romeo 156 v6 2.5 En break, SW. Phase 3. Assez bon état général. 178 000 kms Cuir beige abricot a l intérieur Entretien effectué, distribution, embrayage, bougies, soufflet de transmission, pompe a eau.... Ct ok Parcours toutes distances. Disponible pour tous renseignements</t>
        </is>
      </c>
      <c r="AO7" s="10" t="inlineStr">
        <is>
          <t>vehicle_technical_inspection_valid : Non ; Dommages : Bon état général ; Sellerie : Tout cuir ; Équipements intérieurs : Climatisation, Jantes en alliage, Ordinateur de bord, Régulateur de vitesse, Rétroviseurs dégivrants, Siège arrière rabattable, Siège réglable en hauteur, Sièges en cuir, Vitres électriques arrières, Volant réglable en hauteur, Volant réglable en profondeur ; vehicle_euro_emissions_standard : Euro 5 ; Permis : Avec permis ; Importé : false ; vehicle_history_teaser_critair : 3 ; vehicle_history_teaser_owners : 5 ; vehicle_history_teaser_expertises : false ; vehicle_history_teaser_special_uses : false ; vehicle_history_teaser_atypical_operations : false ; vehicle_history_teaser_importations : false</t>
        </is>
      </c>
      <c r="AP7" s="19" t="inlineStr">
        <is>
          <t>Voir</t>
        </is>
      </c>
      <c r="AQ7" s="10" t="inlineStr">
        <is>
          <t>3275564839</t>
        </is>
      </c>
    </row>
    <row r="8">
      <c r="A8" s="10" t="inlineStr">
        <is>
          <t>Alfa Romeo 156 2.5 V6 24V</t>
        </is>
      </c>
      <c r="B8" s="10" t="inlineStr">
        <is>
          <t>Alfa Romeo 156 2.5 V6 Busso Rouge 1997</t>
        </is>
      </c>
      <c r="C8" s="10" t="n"/>
      <c r="D8" s="10" t="n"/>
      <c r="E8" s="10" t="inlineStr">
        <is>
          <t>En vente</t>
        </is>
      </c>
      <c r="F8" s="18" t="n">
        <v>46298</v>
      </c>
      <c r="G8" s="18" t="n">
        <v>46298</v>
      </c>
      <c r="H8" s="18" t="n">
        <v>46310</v>
      </c>
      <c r="I8" s="18" t="n"/>
      <c r="J8" s="17">
        <f>IF(OR(ISNUMBER(F8),ISNUMBER(G8)),IF(ISNUMBER(I8),I8,H8)-IF(ISNUMBER(F8),F8,G8),"")</f>
        <v/>
      </c>
      <c r="K8" s="12" t="n">
        <v>14900</v>
      </c>
      <c r="L8" s="12" t="n">
        <v>14900</v>
      </c>
      <c r="M8" s="13">
        <f>IF(AND(ISNUMBER(K8),ISNUMBER(L8),K8&gt;0),1-L8/K8,"")</f>
        <v/>
      </c>
      <c r="N8" s="16" t="n">
        <v>0</v>
      </c>
      <c r="O8" s="12" t="n"/>
      <c r="P8" s="12" t="n"/>
      <c r="Q8" s="12" t="n"/>
      <c r="R8" s="14">
        <f>IF(AND(ISNUMBER(L8),ISNUMBER(P8),ISNUMBER(Q8)),L8/((P8+Q8)/2)-1,"")</f>
        <v/>
      </c>
      <c r="S8" s="10" t="n"/>
      <c r="T8" s="15" t="n">
        <v>55000</v>
      </c>
      <c r="U8" s="16" t="n">
        <v>1997</v>
      </c>
      <c r="V8" s="10" t="inlineStr">
        <is>
          <t>11/1997</t>
        </is>
      </c>
      <c r="W8" s="10" t="inlineStr">
        <is>
          <t>Essence</t>
        </is>
      </c>
      <c r="X8" s="10" t="inlineStr">
        <is>
          <t>Manuelle</t>
        </is>
      </c>
      <c r="Y8" s="16" t="n">
        <v>190</v>
      </c>
      <c r="Z8" s="16" t="n">
        <v>14</v>
      </c>
      <c r="AA8" s="10" t="inlineStr">
        <is>
          <t>Rouge</t>
        </is>
      </c>
      <c r="AB8" s="16" t="n">
        <v>4</v>
      </c>
      <c r="AC8" s="10" t="inlineStr">
        <is>
          <t>Berline</t>
        </is>
      </c>
      <c r="AD8" s="10" t="n"/>
      <c r="AE8" s="10" t="n"/>
      <c r="AF8" s="10" t="inlineStr">
        <is>
          <t>Pro</t>
        </is>
      </c>
      <c r="AG8" s="10" t="inlineStr">
        <is>
          <t>Saint-Junien</t>
        </is>
      </c>
      <c r="AH8" s="10" t="inlineStr">
        <is>
          <t>87200</t>
        </is>
      </c>
      <c r="AI8" s="10" t="inlineStr">
        <is>
          <t>Haute-Vienne</t>
        </is>
      </c>
      <c r="AJ8" s="10" t="inlineStr">
        <is>
          <t>Limousin</t>
        </is>
      </c>
      <c r="AK8" s="16" t="n">
        <v>5</v>
      </c>
      <c r="AL8" s="10" t="n"/>
      <c r="AM8" s="10" t="inlineStr">
        <is>
          <t>Non</t>
        </is>
      </c>
      <c r="AN8" s="10" t="inlineStr">
        <is>
          <t>La Maison du Cylindre, garage spécialisé dans l'achat-vente et l'entretien de véhicules de collection, situé en Haute-Vienne (87), vous propose : Alfa Romeo 156 2.5 V6 Busso Rouge 1997 en superbe état intérieur et extérieur Kilométrage : 55 000 km relevé compteur Moteur : V6 Busso 2.5L 190ch Boîte de vitesses manuelle 6 rapports Teinte Rosso Alfa Sellerie velours gris logotée Alfa Romeo Freins à disques ventilés à l'avant ABS Direction assistée Vitres électriques Fermeture centralisée Rétroviseu</t>
        </is>
      </c>
      <c r="AO8" s="10" t="inlineStr">
        <is>
          <t>Sellerie : Tissu ; Permis : Sans permis ; VO récent : false ; Importé : false ; vehicle_history_report_status : visible ; vehicle_history_teaser_critair : 3 ; vehicle_history_teaser_owners : 2 ; vehicle_history_teaser_expertises : false ; vehicle_history_teaser_special_uses : false ; vehicle_history_teaser_atypical_operations : true ; vehicle_history_teaser_importations : true ; spare_parts_availability : Non renseignée</t>
        </is>
      </c>
      <c r="AP8" s="19" t="inlineStr">
        <is>
          <t>Voir</t>
        </is>
      </c>
      <c r="AQ8" s="10" t="inlineStr">
        <is>
          <t>3281190008</t>
        </is>
      </c>
    </row>
    <row r="9">
      <c r="A9" s="10" t="inlineStr">
        <is>
          <t>Alfa Romeo 156 2.5 V6 24V</t>
        </is>
      </c>
      <c r="B9" s="10" t="inlineStr">
        <is>
          <t>Alfa Romeo 156 2.5 V6 24V</t>
        </is>
      </c>
      <c r="C9" s="10" t="n"/>
      <c r="D9" s="10" t="n"/>
      <c r="E9" s="10" t="inlineStr">
        <is>
          <t>En vente</t>
        </is>
      </c>
      <c r="F9" s="18" t="n">
        <v>46301</v>
      </c>
      <c r="G9" s="18" t="n">
        <v>46301</v>
      </c>
      <c r="H9" s="18" t="n">
        <v>46310</v>
      </c>
      <c r="I9" s="18" t="n"/>
      <c r="J9" s="17">
        <f>IF(OR(ISNUMBER(F9),ISNUMBER(G9)),IF(ISNUMBER(I9),I9,H9)-IF(ISNUMBER(F9),F9,G9),"")</f>
        <v/>
      </c>
      <c r="K9" s="12" t="n">
        <v>7800</v>
      </c>
      <c r="L9" s="12" t="n">
        <v>7800</v>
      </c>
      <c r="M9" s="13">
        <f>IF(AND(ISNUMBER(K9),ISNUMBER(L9),K9&gt;0),1-L9/K9,"")</f>
        <v/>
      </c>
      <c r="N9" s="16" t="n">
        <v>0</v>
      </c>
      <c r="O9" s="12" t="n"/>
      <c r="P9" s="12" t="n"/>
      <c r="Q9" s="12" t="n"/>
      <c r="R9" s="14">
        <f>IF(AND(ISNUMBER(L9),ISNUMBER(P9),ISNUMBER(Q9)),L9/((P9+Q9)/2)-1,"")</f>
        <v/>
      </c>
      <c r="S9" s="10" t="n"/>
      <c r="T9" s="15" t="n">
        <v>213808</v>
      </c>
      <c r="U9" s="16" t="n">
        <v>2002</v>
      </c>
      <c r="V9" s="10" t="inlineStr">
        <is>
          <t>03/2002</t>
        </is>
      </c>
      <c r="W9" s="10" t="inlineStr">
        <is>
          <t>Essence</t>
        </is>
      </c>
      <c r="X9" s="10" t="inlineStr">
        <is>
          <t>Manuelle</t>
        </is>
      </c>
      <c r="Y9" s="16" t="n">
        <v>192</v>
      </c>
      <c r="Z9" s="16" t="n">
        <v>14</v>
      </c>
      <c r="AA9" s="10" t="inlineStr">
        <is>
          <t>Gris</t>
        </is>
      </c>
      <c r="AB9" s="16" t="n">
        <v>4</v>
      </c>
      <c r="AC9" s="10" t="inlineStr">
        <is>
          <t>Berline</t>
        </is>
      </c>
      <c r="AD9" s="10" t="inlineStr">
        <is>
          <t>Carnet d'entretien disponible, Factures disponibles, Véhicule non fumeur, Réparations utiles déjà faites</t>
        </is>
      </c>
      <c r="AE9" s="10" t="inlineStr">
        <is>
          <t>Première main</t>
        </is>
      </c>
      <c r="AF9" s="10" t="inlineStr">
        <is>
          <t>Particulier</t>
        </is>
      </c>
      <c r="AG9" s="10" t="inlineStr">
        <is>
          <t>Le Havre</t>
        </is>
      </c>
      <c r="AH9" s="10" t="inlineStr">
        <is>
          <t>76620</t>
        </is>
      </c>
      <c r="AI9" s="10" t="inlineStr">
        <is>
          <t>Seine-Maritime</t>
        </is>
      </c>
      <c r="AJ9" s="10" t="inlineStr">
        <is>
          <t>Haute-Normandie</t>
        </is>
      </c>
      <c r="AK9" s="16" t="n">
        <v>3</v>
      </c>
      <c r="AL9" s="10" t="n"/>
      <c r="AM9" s="10" t="inlineStr">
        <is>
          <t>Non</t>
        </is>
      </c>
      <c r="AN9" s="10" t="inlineStr">
        <is>
          <t>Bonjour , Avis aux passionnés et connaisseurs de la marque au trèfle ,Je me sépare à contre-cœur de mon Alfa Romeo 156 V6 2.5 de 2002, équipée du mythique moteur Arese (sonorité et comportement d'exception). Le véhicule a toujours été respecté, temps de chauffe et d'arrêt scrupuleusement appliqués, aucunes corrosion ! Dossier de factures monumentale. Énorme préparation esthétique et mécanique récente (plusieurs milliers d'euros investis cette année). ⚙️ TRAIN AVANT &amp; CHÂSSIS (Refait à neuf en Ju</t>
        </is>
      </c>
      <c r="AO9" s="10" t="inlineStr">
        <is>
          <t>vehicle_technical_inspection_valid : Non ; Dommages : Traces d’usure normales ; Sellerie : Tout cuir ; Équipements intérieurs : Régulateur de vitesse, Sièges chauffants, Sièges en cuir ; vehicle_euro_emissions_standard : Euro 3 ; Permis : Avec permis ; Importé : false ; vehicle_history_teaser_critair : 3 ; vehicle_history_teaser_owners : 3 ; vehicle_history_teaser_expertises : false ; vehicle_history_teaser_special_uses : false ; vehicle_history_teaser_atypical_operations : false ; vehicle_history_teaser_importations : false</t>
        </is>
      </c>
      <c r="AP9" s="19" t="inlineStr">
        <is>
          <t>Voir</t>
        </is>
      </c>
      <c r="AQ9" s="10" t="inlineStr">
        <is>
          <t>3283116401</t>
        </is>
      </c>
    </row>
    <row r="10">
      <c r="A10" s="10" t="inlineStr">
        <is>
          <t>Alfa Romeo 156 2.5 V6 24V</t>
        </is>
      </c>
      <c r="B10" s="10" t="inlineStr">
        <is>
          <t>ALFA ROMEO 156 2.5 V6 24V BOÎTE AUTOMATIQUE 195cv COMPLÈTEMENT RÉVISÉ</t>
        </is>
      </c>
      <c r="C10" s="10" t="n"/>
      <c r="D10" s="10" t="n"/>
      <c r="E10" s="10" t="inlineStr">
        <is>
          <t>Partie</t>
        </is>
      </c>
      <c r="F10" s="18" t="n">
        <v>46244</v>
      </c>
      <c r="G10" s="18" t="n">
        <v>46244</v>
      </c>
      <c r="H10" s="18" t="n">
        <v>46296</v>
      </c>
      <c r="I10" s="18" t="n">
        <v>46310</v>
      </c>
      <c r="J10" s="17">
        <f>IF(OR(ISNUMBER(F10),ISNUMBER(G10)),IF(ISNUMBER(I10),I10,H10)-IF(ISNUMBER(F10),F10,G10),"")</f>
        <v/>
      </c>
      <c r="K10" s="12" t="n">
        <v>4900</v>
      </c>
      <c r="L10" s="12" t="n">
        <v>4900</v>
      </c>
      <c r="M10" s="13">
        <f>IF(AND(ISNUMBER(K10),ISNUMBER(L10),K10&gt;0),1-L10/K10,"")</f>
        <v/>
      </c>
      <c r="N10" s="16" t="n">
        <v>0</v>
      </c>
      <c r="O10" s="12" t="n"/>
      <c r="P10" s="12" t="n"/>
      <c r="Q10" s="12" t="n"/>
      <c r="R10" s="14">
        <f>IF(AND(ISNUMBER(L10),ISNUMBER(P10),ISNUMBER(Q10)),L10/((P10+Q10)/2)-1,"")</f>
        <v/>
      </c>
      <c r="S10" s="10" t="n"/>
      <c r="T10" s="15" t="n">
        <v>147000</v>
      </c>
      <c r="U10" s="16" t="n">
        <v>2001</v>
      </c>
      <c r="V10" s="10" t="n"/>
      <c r="W10" s="10" t="inlineStr">
        <is>
          <t>Essence</t>
        </is>
      </c>
      <c r="X10" s="10" t="inlineStr">
        <is>
          <t>Automatique</t>
        </is>
      </c>
      <c r="Y10" s="16" t="n">
        <v>195</v>
      </c>
      <c r="Z10" s="16" t="n">
        <v>10</v>
      </c>
      <c r="AA10" s="10" t="inlineStr">
        <is>
          <t>Ivoire</t>
        </is>
      </c>
      <c r="AB10" s="16" t="n">
        <v>5</v>
      </c>
      <c r="AC10" s="10" t="inlineStr">
        <is>
          <t>Berline</t>
        </is>
      </c>
      <c r="AD10" s="10" t="n"/>
      <c r="AE10" s="10" t="n"/>
      <c r="AF10" s="10" t="inlineStr">
        <is>
          <t>Pro</t>
        </is>
      </c>
      <c r="AG10" s="10" t="inlineStr">
        <is>
          <t>Blotzheim</t>
        </is>
      </c>
      <c r="AH10" s="10" t="inlineStr">
        <is>
          <t>68730</t>
        </is>
      </c>
      <c r="AI10" s="10" t="inlineStr">
        <is>
          <t>Haut-Rhin</t>
        </is>
      </c>
      <c r="AJ10" s="10" t="inlineStr">
        <is>
          <t>Alsace</t>
        </is>
      </c>
      <c r="AK10" s="16" t="n"/>
      <c r="AL10" s="10" t="n"/>
      <c r="AM10" s="10" t="n"/>
      <c r="AN10" s="10" t="n"/>
      <c r="AO10" s="10" t="n"/>
      <c r="AP10" s="19" t="inlineStr">
        <is>
          <t>Voir</t>
        </is>
      </c>
      <c r="AQ10" s="10" t="inlineStr">
        <is>
          <t>3212500586</t>
        </is>
      </c>
    </row>
    <row r="11">
      <c r="A11" s="10" t="inlineStr">
        <is>
          <t>Alfa Romeo 156 2.5 V6 24V</t>
        </is>
      </c>
      <c r="B11" s="10" t="inlineStr">
        <is>
          <t>Alfa Romeo 156 2.5 V6 24V</t>
        </is>
      </c>
      <c r="C11" s="10" t="n"/>
      <c r="D11" s="10" t="n"/>
      <c r="E11" s="10" t="inlineStr">
        <is>
          <t>Partie</t>
        </is>
      </c>
      <c r="F11" s="18" t="n">
        <v>46281</v>
      </c>
      <c r="G11" s="18" t="n">
        <v>46281</v>
      </c>
      <c r="H11" s="18" t="n">
        <v>46296</v>
      </c>
      <c r="I11" s="18" t="n">
        <v>46310</v>
      </c>
      <c r="J11" s="17">
        <f>IF(OR(ISNUMBER(F11),ISNUMBER(G11)),IF(ISNUMBER(I11),I11,H11)-IF(ISNUMBER(F11),F11,G11),"")</f>
        <v/>
      </c>
      <c r="K11" s="12" t="n">
        <v>7000</v>
      </c>
      <c r="L11" s="12" t="n">
        <v>7000</v>
      </c>
      <c r="M11" s="13">
        <f>IF(AND(ISNUMBER(K11),ISNUMBER(L11),K11&gt;0),1-L11/K11,"")</f>
        <v/>
      </c>
      <c r="N11" s="16" t="n">
        <v>0</v>
      </c>
      <c r="O11" s="12" t="n"/>
      <c r="P11" s="12" t="n"/>
      <c r="Q11" s="12" t="n"/>
      <c r="R11" s="14">
        <f>IF(AND(ISNUMBER(L11),ISNUMBER(P11),ISNUMBER(Q11)),L11/((P11+Q11)/2)-1,"")</f>
        <v/>
      </c>
      <c r="S11" s="10" t="n"/>
      <c r="T11" s="15" t="n">
        <v>160000</v>
      </c>
      <c r="U11" s="16" t="n">
        <v>2002</v>
      </c>
      <c r="V11" s="10" t="n"/>
      <c r="W11" s="10" t="inlineStr">
        <is>
          <t>Essence</t>
        </is>
      </c>
      <c r="X11" s="10" t="inlineStr">
        <is>
          <t>Automatique</t>
        </is>
      </c>
      <c r="Y11" s="16" t="n">
        <v>192</v>
      </c>
      <c r="Z11" s="16" t="n">
        <v>14</v>
      </c>
      <c r="AA11" s="10" t="inlineStr">
        <is>
          <t>Autre</t>
        </is>
      </c>
      <c r="AB11" s="16" t="n">
        <v>4</v>
      </c>
      <c r="AC11" s="10" t="inlineStr">
        <is>
          <t>Berline</t>
        </is>
      </c>
      <c r="AD11" s="10" t="n"/>
      <c r="AE11" s="10" t="n"/>
      <c r="AF11" s="10" t="inlineStr">
        <is>
          <t>Particulier</t>
        </is>
      </c>
      <c r="AG11" s="10" t="inlineStr">
        <is>
          <t>Marne-la-Vallée</t>
        </is>
      </c>
      <c r="AH11" s="10" t="inlineStr">
        <is>
          <t>77186</t>
        </is>
      </c>
      <c r="AI11" s="10" t="inlineStr">
        <is>
          <t>Seine-et-Marne</t>
        </is>
      </c>
      <c r="AJ11" s="10" t="inlineStr">
        <is>
          <t>Ile-de-France</t>
        </is>
      </c>
      <c r="AK11" s="16" t="n"/>
      <c r="AL11" s="10" t="n"/>
      <c r="AM11" s="10" t="n"/>
      <c r="AN11" s="10" t="n"/>
      <c r="AO11" s="10" t="n"/>
      <c r="AP11" s="19" t="inlineStr">
        <is>
          <t>Voir</t>
        </is>
      </c>
      <c r="AQ11" s="10" t="inlineStr">
        <is>
          <t>3270896149</t>
        </is>
      </c>
    </row>
    <row r="12">
      <c r="A12" s="10" t="inlineStr">
        <is>
          <t>BMW Z3 1.9i / 2.0i</t>
        </is>
      </c>
      <c r="B12" s="10" t="inlineStr">
        <is>
          <t>BMW z3</t>
        </is>
      </c>
      <c r="C12" s="10" t="n"/>
      <c r="D12" s="10" t="n"/>
      <c r="E12" s="10" t="inlineStr">
        <is>
          <t>En vente</t>
        </is>
      </c>
      <c r="F12" s="18" t="n">
        <v>46300</v>
      </c>
      <c r="G12" s="18" t="n">
        <v>46300</v>
      </c>
      <c r="H12" s="18" t="n">
        <v>46310</v>
      </c>
      <c r="I12" s="18" t="n"/>
      <c r="J12" s="17">
        <f>IF(OR(ISNUMBER(F12),ISNUMBER(G12)),IF(ISNUMBER(I12),I12,H12)-IF(ISNUMBER(F12),F12,G12),"")</f>
        <v/>
      </c>
      <c r="K12" s="12" t="n">
        <v>7000</v>
      </c>
      <c r="L12" s="12" t="n">
        <v>7000</v>
      </c>
      <c r="M12" s="13">
        <f>IF(AND(ISNUMBER(K12),ISNUMBER(L12),K12&gt;0),1-L12/K12,"")</f>
        <v/>
      </c>
      <c r="N12" s="16" t="n">
        <v>0</v>
      </c>
      <c r="O12" s="12" t="n">
        <v>8000</v>
      </c>
      <c r="P12" s="12" t="n"/>
      <c r="Q12" s="12" t="n"/>
      <c r="R12" s="14">
        <f>IF(AND(ISNUMBER(L12),ISNUMBER(P12),ISNUMBER(Q12)),L12/((P12+Q12)/2)-1,"")</f>
        <v/>
      </c>
      <c r="S12" s="10" t="n"/>
      <c r="T12" s="15" t="n">
        <v>158652</v>
      </c>
      <c r="U12" s="16" t="n">
        <v>1999</v>
      </c>
      <c r="V12" s="10" t="inlineStr">
        <is>
          <t>08/1999</t>
        </is>
      </c>
      <c r="W12" s="10" t="inlineStr">
        <is>
          <t>Essence</t>
        </is>
      </c>
      <c r="X12" s="10" t="inlineStr">
        <is>
          <t>Manuelle</t>
        </is>
      </c>
      <c r="Y12" s="16" t="n">
        <v>118</v>
      </c>
      <c r="Z12" s="16" t="n">
        <v>8</v>
      </c>
      <c r="AA12" s="10" t="inlineStr">
        <is>
          <t>Gris</t>
        </is>
      </c>
      <c r="AB12" s="16" t="n">
        <v>2</v>
      </c>
      <c r="AC12" s="10" t="inlineStr">
        <is>
          <t>Cabriolet</t>
        </is>
      </c>
      <c r="AD12" s="10" t="n"/>
      <c r="AE12" s="10" t="n"/>
      <c r="AF12" s="10" t="inlineStr">
        <is>
          <t>Particulier</t>
        </is>
      </c>
      <c r="AG12" s="10" t="inlineStr">
        <is>
          <t>Mallemort</t>
        </is>
      </c>
      <c r="AH12" s="10" t="inlineStr">
        <is>
          <t>13370</t>
        </is>
      </c>
      <c r="AI12" s="10" t="inlineStr">
        <is>
          <t>Bouches-du-Rhône</t>
        </is>
      </c>
      <c r="AJ12" s="10" t="inlineStr">
        <is>
          <t>Provence-Alpes-Côte d'Azur</t>
        </is>
      </c>
      <c r="AK12" s="16" t="n">
        <v>3</v>
      </c>
      <c r="AL12" s="10" t="n"/>
      <c r="AM12" s="10" t="inlineStr">
        <is>
          <t>Non</t>
        </is>
      </c>
      <c r="AN12" s="10" t="inlineStr">
        <is>
          <t>BMW z3 en bon état</t>
        </is>
      </c>
      <c r="AO12" s="10" t="inlineStr">
        <is>
          <t>Dommages : Bon état général ; Sellerie : Tissu ; Équipements intérieurs : Climatisation, Phares anti-brouillard, Sièges électriques ; Permis : Avec permis ; Importé : false</t>
        </is>
      </c>
      <c r="AP12" s="19" t="inlineStr">
        <is>
          <t>Voir</t>
        </is>
      </c>
      <c r="AQ12" s="10" t="inlineStr">
        <is>
          <t>3211730689</t>
        </is>
      </c>
    </row>
    <row r="13">
      <c r="A13" s="10" t="inlineStr">
        <is>
          <t>BMW Z3 1.9i / 2.0i</t>
        </is>
      </c>
      <c r="B13" s="10" t="inlineStr">
        <is>
          <t>BMW Z3 Roadster 1.8i 115ch SELLERIE NEUVE</t>
        </is>
      </c>
      <c r="C13" s="10" t="inlineStr">
        <is>
          <t>Z3 Roadster 1.8i 115ch</t>
        </is>
      </c>
      <c r="D13" s="10" t="inlineStr">
        <is>
          <t>Base</t>
        </is>
      </c>
      <c r="E13" s="10" t="inlineStr">
        <is>
          <t>En vente</t>
        </is>
      </c>
      <c r="F13" s="18" t="n">
        <v>46280</v>
      </c>
      <c r="G13" s="18" t="n">
        <v>46280</v>
      </c>
      <c r="H13" s="18" t="n">
        <v>46310</v>
      </c>
      <c r="I13" s="18" t="n"/>
      <c r="J13" s="17">
        <f>IF(OR(ISNUMBER(F13),ISNUMBER(G13)),IF(ISNUMBER(I13),I13,H13)-IF(ISNUMBER(F13),F13,G13),"")</f>
        <v/>
      </c>
      <c r="K13" s="12" t="n">
        <v>8990</v>
      </c>
      <c r="L13" s="12" t="n">
        <v>8990</v>
      </c>
      <c r="M13" s="13">
        <f>IF(AND(ISNUMBER(K13),ISNUMBER(L13),K13&gt;0),1-L13/K13,"")</f>
        <v/>
      </c>
      <c r="N13" s="16" t="n">
        <v>0</v>
      </c>
      <c r="O13" s="12" t="n"/>
      <c r="P13" s="12" t="n"/>
      <c r="Q13" s="12" t="n"/>
      <c r="R13" s="14">
        <f>IF(AND(ISNUMBER(L13),ISNUMBER(P13),ISNUMBER(Q13)),L13/((P13+Q13)/2)-1,"")</f>
        <v/>
      </c>
      <c r="S13" s="10" t="n"/>
      <c r="T13" s="15" t="n">
        <v>147000</v>
      </c>
      <c r="U13" s="16" t="n">
        <v>1996</v>
      </c>
      <c r="V13" s="10" t="inlineStr">
        <is>
          <t>05/1996</t>
        </is>
      </c>
      <c r="W13" s="10" t="inlineStr">
        <is>
          <t>Essence</t>
        </is>
      </c>
      <c r="X13" s="10" t="inlineStr">
        <is>
          <t>Manuelle</t>
        </is>
      </c>
      <c r="Y13" s="16" t="n">
        <v>116</v>
      </c>
      <c r="Z13" s="16" t="n">
        <v>9</v>
      </c>
      <c r="AA13" s="10" t="inlineStr">
        <is>
          <t>Gris</t>
        </is>
      </c>
      <c r="AB13" s="16" t="n">
        <v>2</v>
      </c>
      <c r="AC13" s="10" t="n"/>
      <c r="AD13" s="10" t="n"/>
      <c r="AE13" s="10" t="n"/>
      <c r="AF13" s="10" t="inlineStr">
        <is>
          <t>Pro</t>
        </is>
      </c>
      <c r="AG13" s="10" t="inlineStr">
        <is>
          <t>Abbeville</t>
        </is>
      </c>
      <c r="AH13" s="10" t="inlineStr">
        <is>
          <t>80100</t>
        </is>
      </c>
      <c r="AI13" s="10" t="inlineStr">
        <is>
          <t>Somme</t>
        </is>
      </c>
      <c r="AJ13" s="10" t="inlineStr">
        <is>
          <t>Picardie</t>
        </is>
      </c>
      <c r="AK13" s="16" t="n">
        <v>50</v>
      </c>
      <c r="AL13" s="10" t="inlineStr">
        <is>
          <t>Oui</t>
        </is>
      </c>
      <c r="AM13" s="10" t="inlineStr">
        <is>
          <t>Non</t>
        </is>
      </c>
      <c r="AN13" s="10" t="inlineStr">
        <is>
          <t xml:space="preserve">L'Agence TransakAuto ABBEVILLE, société spécialisée en courtage automobile, 1er réseau d'intermédiation automobile auprès des particuliers avec + de 180 agences en France depuis 2011, vous propose ce véhicule Bmw, Z3, Gris, 9 chevaux fiscaux, 2 portes, 147 000 km. ⚠ 🔦 Véhicule visible uniquement sur rdv à l'agence TransakAuto ABBEVILLE, du mardi au samedi de Lundi - Vendredi 10h - 19h Samedi 10h - 18h Véhicule en dépôt-vente [non stocké sur place]. Visible uniquement sur rendez-vous dans votre </t>
        </is>
      </c>
      <c r="AO13" s="10" t="inlineStr">
        <is>
          <t>Équipements intérieurs : Jantes en alliage, Sièges en cuir ; VO récent : false ; custom_ref : VO17964933 ; Importé : true ; vehicle_history_report_status : visible ; spare_parts_availability : Non renseignée</t>
        </is>
      </c>
      <c r="AP13" s="19" t="inlineStr">
        <is>
          <t>Voir</t>
        </is>
      </c>
      <c r="AQ13" s="10" t="inlineStr">
        <is>
          <t>3237198765</t>
        </is>
      </c>
    </row>
    <row r="14">
      <c r="A14" s="10" t="inlineStr">
        <is>
          <t>BMW Z3 1.9i / 2.0i</t>
        </is>
      </c>
      <c r="B14" s="10" t="inlineStr">
        <is>
          <t>BMW Z3 1.8L Roadster 115CV / CARROSSERIE NEUVE BMW / ENTRETIEN À JOUR / ÉTAT CONCOURS</t>
        </is>
      </c>
      <c r="C14" s="10" t="inlineStr">
        <is>
          <t>Z3 Roadster 1.8i 115ch</t>
        </is>
      </c>
      <c r="D14" s="10" t="inlineStr">
        <is>
          <t>Base</t>
        </is>
      </c>
      <c r="E14" s="10" t="inlineStr">
        <is>
          <t>En vente</t>
        </is>
      </c>
      <c r="F14" s="18" t="n">
        <v>46225</v>
      </c>
      <c r="G14" s="18" t="n">
        <v>46225</v>
      </c>
      <c r="H14" s="18" t="n">
        <v>46310</v>
      </c>
      <c r="I14" s="18" t="n"/>
      <c r="J14" s="17">
        <f>IF(OR(ISNUMBER(F14),ISNUMBER(G14)),IF(ISNUMBER(I14),I14,H14)-IF(ISNUMBER(F14),F14,G14),"")</f>
        <v/>
      </c>
      <c r="K14" s="12" t="n">
        <v>12990</v>
      </c>
      <c r="L14" s="12" t="n">
        <v>12990</v>
      </c>
      <c r="M14" s="13">
        <f>IF(AND(ISNUMBER(K14),ISNUMBER(L14),K14&gt;0),1-L14/K14,"")</f>
        <v/>
      </c>
      <c r="N14" s="16" t="n">
        <v>0</v>
      </c>
      <c r="O14" s="12" t="n">
        <v>13490</v>
      </c>
      <c r="P14" s="12" t="n"/>
      <c r="Q14" s="12" t="n"/>
      <c r="R14" s="14">
        <f>IF(AND(ISNUMBER(L14),ISNUMBER(P14),ISNUMBER(Q14)),L14/((P14+Q14)/2)-1,"")</f>
        <v/>
      </c>
      <c r="S14" s="10" t="n"/>
      <c r="T14" s="15" t="n">
        <v>104800</v>
      </c>
      <c r="U14" s="16" t="n">
        <v>1997</v>
      </c>
      <c r="V14" s="10" t="inlineStr">
        <is>
          <t>03/1997</t>
        </is>
      </c>
      <c r="W14" s="10" t="inlineStr">
        <is>
          <t>Essence</t>
        </is>
      </c>
      <c r="X14" s="10" t="inlineStr">
        <is>
          <t>Manuelle</t>
        </is>
      </c>
      <c r="Y14" s="16" t="n">
        <v>116</v>
      </c>
      <c r="Z14" s="16" t="n">
        <v>7</v>
      </c>
      <c r="AA14" s="10" t="inlineStr">
        <is>
          <t>Noir</t>
        </is>
      </c>
      <c r="AB14" s="16" t="n">
        <v>2</v>
      </c>
      <c r="AC14" s="10" t="inlineStr">
        <is>
          <t>Cabriolet</t>
        </is>
      </c>
      <c r="AD14" s="10" t="n"/>
      <c r="AE14" s="10" t="n"/>
      <c r="AF14" s="10" t="inlineStr">
        <is>
          <t>Pro</t>
        </is>
      </c>
      <c r="AG14" s="10" t="inlineStr">
        <is>
          <t>Saint-Quentin</t>
        </is>
      </c>
      <c r="AH14" s="10" t="inlineStr">
        <is>
          <t>02100</t>
        </is>
      </c>
      <c r="AI14" s="10" t="inlineStr">
        <is>
          <t>Aisne</t>
        </is>
      </c>
      <c r="AJ14" s="10" t="inlineStr">
        <is>
          <t>Picardie</t>
        </is>
      </c>
      <c r="AK14" s="16" t="n">
        <v>39</v>
      </c>
      <c r="AL14" s="10" t="inlineStr">
        <is>
          <t>Oui</t>
        </is>
      </c>
      <c r="AM14" s="10" t="inlineStr">
        <is>
          <t>Non</t>
        </is>
      </c>
      <c r="AN14" s="10" t="inlineStr">
        <is>
          <t xml:space="preserve">L'Agence TransakAuto SAINT-QUENTIN, société spécialisée en courtage automobile, 1er réseau d'intermédiation automobile auprès des particuliers avec + de 180 agences en France depuis 2011, vous propose ce véhicule Bmw, Z3, Noir, 7 chevaux fiscaux, 2 portes, 104 800 km. 🚗 Véhicule visible uniquement sur rdv à l'agence TransakAuto SAINT-QUENTIN, du mardi au samedi de 10H00 à 18H00. Merci de nous appeler avant toute venue afin de vérifier sa disponibilité ainsi que les modalités de la visite. (Une </t>
        </is>
      </c>
      <c r="AO14" s="10" t="inlineStr">
        <is>
          <t>Équipements intérieurs : Climatisation, Jantes en alliage, Phares anti-brouillard, Sièges chauffants ; VO récent : false ; custom_ref : VO15721372 ; Importé : true ; vehicle_history_report_status : visible ; spare_parts_availability : Non renseignée</t>
        </is>
      </c>
      <c r="AP14" s="19" t="inlineStr">
        <is>
          <t>Voir</t>
        </is>
      </c>
      <c r="AQ14" s="10" t="inlineStr">
        <is>
          <t>3237237759</t>
        </is>
      </c>
    </row>
    <row r="15">
      <c r="A15" s="10" t="inlineStr">
        <is>
          <t>BMW Z3 1.9i / 2.0i</t>
        </is>
      </c>
      <c r="B15" s="10" t="inlineStr">
        <is>
          <t>BMW Z3 Roadster 1.8i 115ch GARANTIE 12 MOIS</t>
        </is>
      </c>
      <c r="C15" s="10" t="inlineStr">
        <is>
          <t>Z3 Roadster 1.8i 115ch</t>
        </is>
      </c>
      <c r="D15" s="10" t="inlineStr">
        <is>
          <t>Base</t>
        </is>
      </c>
      <c r="E15" s="10" t="inlineStr">
        <is>
          <t>En vente</t>
        </is>
      </c>
      <c r="F15" s="18" t="n">
        <v>46293</v>
      </c>
      <c r="G15" s="18" t="n">
        <v>46293</v>
      </c>
      <c r="H15" s="18" t="n">
        <v>46310</v>
      </c>
      <c r="I15" s="18" t="n"/>
      <c r="J15" s="17">
        <f>IF(OR(ISNUMBER(F15),ISNUMBER(G15)),IF(ISNUMBER(I15),I15,H15)-IF(ISNUMBER(F15),F15,G15),"")</f>
        <v/>
      </c>
      <c r="K15" s="12" t="n">
        <v>9990</v>
      </c>
      <c r="L15" s="12" t="n">
        <v>9990</v>
      </c>
      <c r="M15" s="13">
        <f>IF(AND(ISNUMBER(K15),ISNUMBER(L15),K15&gt;0),1-L15/K15,"")</f>
        <v/>
      </c>
      <c r="N15" s="16" t="n">
        <v>0</v>
      </c>
      <c r="O15" s="12" t="n"/>
      <c r="P15" s="12" t="n"/>
      <c r="Q15" s="12" t="n"/>
      <c r="R15" s="14">
        <f>IF(AND(ISNUMBER(L15),ISNUMBER(P15),ISNUMBER(Q15)),L15/((P15+Q15)/2)-1,"")</f>
        <v/>
      </c>
      <c r="S15" s="10" t="n"/>
      <c r="T15" s="15" t="n">
        <v>151000</v>
      </c>
      <c r="U15" s="16" t="n">
        <v>1999</v>
      </c>
      <c r="V15" s="10" t="inlineStr">
        <is>
          <t>07/1999</t>
        </is>
      </c>
      <c r="W15" s="10" t="inlineStr">
        <is>
          <t>Essence</t>
        </is>
      </c>
      <c r="X15" s="10" t="inlineStr">
        <is>
          <t>Manuelle</t>
        </is>
      </c>
      <c r="Y15" s="16" t="n">
        <v>116</v>
      </c>
      <c r="Z15" s="16" t="n">
        <v>7</v>
      </c>
      <c r="AA15" s="10" t="inlineStr">
        <is>
          <t>Bleu</t>
        </is>
      </c>
      <c r="AB15" s="16" t="n">
        <v>2</v>
      </c>
      <c r="AC15" s="10" t="inlineStr">
        <is>
          <t>Cabriolet</t>
        </is>
      </c>
      <c r="AD15" s="10" t="n"/>
      <c r="AE15" s="10" t="n"/>
      <c r="AF15" s="10" t="inlineStr">
        <is>
          <t>Pro</t>
        </is>
      </c>
      <c r="AG15" s="10" t="inlineStr">
        <is>
          <t>Béziers</t>
        </is>
      </c>
      <c r="AH15" s="10" t="inlineStr">
        <is>
          <t>34500</t>
        </is>
      </c>
      <c r="AI15" s="10" t="inlineStr">
        <is>
          <t>Hérault</t>
        </is>
      </c>
      <c r="AJ15" s="10" t="inlineStr">
        <is>
          <t>Languedoc-Roussillon</t>
        </is>
      </c>
      <c r="AK15" s="16" t="n">
        <v>13</v>
      </c>
      <c r="AL15" s="10" t="inlineStr">
        <is>
          <t>Oui</t>
        </is>
      </c>
      <c r="AM15" s="10" t="inlineStr">
        <is>
          <t>Non</t>
        </is>
      </c>
      <c r="AN15" s="10" t="inlineStr">
        <is>
          <t>BMW Z3 Roadster 1.8i 115ch GARANTIE 12 MOIS cabriolet, bleu, 7 cv, 2 portes, première mise en circulation le 01/07/1999, garantie 12 mois. Véhicule décrit avec ses équipements de série. Les équipements, les options et la version décrits sont sous réserve d erreurs de saisie. Ils doivent être vérifiés par l acheteur pendant l essai ou à la livraison. La garantie actuelle peut être étendue jusqu à 48 mois. Nous pouvons reprendre votre véhicule pour cet achat ou vous proposer un financement avec no</t>
        </is>
      </c>
      <c r="AO15" s="10" t="inlineStr">
        <is>
          <t>Équipements intérieurs : Jantes en alliage, Vitres électriques arrières ; Permis : Avec permis ; VO récent : false ; custom_ref : 64DV000520 ; Importé : true ; vehicle_history_report_status : visible ; spare_parts_availability : Non renseignée</t>
        </is>
      </c>
      <c r="AP15" s="19" t="inlineStr">
        <is>
          <t>Voir</t>
        </is>
      </c>
      <c r="AQ15" s="10" t="inlineStr">
        <is>
          <t>3243864537</t>
        </is>
      </c>
    </row>
    <row r="16">
      <c r="A16" s="10" t="inlineStr">
        <is>
          <t>BMW Z3 1.9i / 2.0i</t>
        </is>
      </c>
      <c r="B16" s="10" t="inlineStr">
        <is>
          <t>Bmw z3</t>
        </is>
      </c>
      <c r="C16" s="10" t="inlineStr">
        <is>
          <t>Z3 Roadster 1.8i 115ch</t>
        </is>
      </c>
      <c r="D16" s="10" t="inlineStr">
        <is>
          <t>Base</t>
        </is>
      </c>
      <c r="E16" s="10" t="inlineStr">
        <is>
          <t>En vente</t>
        </is>
      </c>
      <c r="F16" s="18" t="n">
        <v>46309</v>
      </c>
      <c r="G16" s="18" t="n">
        <v>46309</v>
      </c>
      <c r="H16" s="18" t="n">
        <v>46310</v>
      </c>
      <c r="I16" s="18" t="n"/>
      <c r="J16" s="17">
        <f>IF(OR(ISNUMBER(F16),ISNUMBER(G16)),IF(ISNUMBER(I16),I16,H16)-IF(ISNUMBER(F16),F16,G16),"")</f>
        <v/>
      </c>
      <c r="K16" s="12" t="n">
        <v>12000</v>
      </c>
      <c r="L16" s="12" t="n">
        <v>12000</v>
      </c>
      <c r="M16" s="13">
        <f>IF(AND(ISNUMBER(K16),ISNUMBER(L16),K16&gt;0),1-L16/K16,"")</f>
        <v/>
      </c>
      <c r="N16" s="16" t="n">
        <v>0</v>
      </c>
      <c r="O16" s="12" t="n"/>
      <c r="P16" s="12" t="n"/>
      <c r="Q16" s="12" t="n"/>
      <c r="R16" s="14">
        <f>IF(AND(ISNUMBER(L16),ISNUMBER(P16),ISNUMBER(Q16)),L16/((P16+Q16)/2)-1,"")</f>
        <v/>
      </c>
      <c r="S16" s="10" t="n"/>
      <c r="T16" s="15" t="n">
        <v>65000</v>
      </c>
      <c r="U16" s="16" t="n">
        <v>1996</v>
      </c>
      <c r="V16" s="10" t="inlineStr">
        <is>
          <t>10/1996</t>
        </is>
      </c>
      <c r="W16" s="10" t="inlineStr">
        <is>
          <t>Essence</t>
        </is>
      </c>
      <c r="X16" s="10" t="inlineStr">
        <is>
          <t>Manuelle</t>
        </is>
      </c>
      <c r="Y16" s="16" t="n">
        <v>115</v>
      </c>
      <c r="Z16" s="16" t="n">
        <v>7</v>
      </c>
      <c r="AA16" s="10" t="inlineStr">
        <is>
          <t>Noir</t>
        </is>
      </c>
      <c r="AB16" s="16" t="n">
        <v>2</v>
      </c>
      <c r="AC16" s="10" t="inlineStr">
        <is>
          <t>Cabriolet</t>
        </is>
      </c>
      <c r="AD16" s="10" t="n"/>
      <c r="AE16" s="10" t="n"/>
      <c r="AF16" s="10" t="inlineStr">
        <is>
          <t>Particulier</t>
        </is>
      </c>
      <c r="AG16" s="10" t="inlineStr">
        <is>
          <t>Saint-Victoret</t>
        </is>
      </c>
      <c r="AH16" s="10" t="inlineStr">
        <is>
          <t>13730</t>
        </is>
      </c>
      <c r="AI16" s="10" t="inlineStr">
        <is>
          <t>Bouches-du-Rhône</t>
        </is>
      </c>
      <c r="AJ16" s="10" t="inlineStr">
        <is>
          <t>Provence-Alpes-Côte d'Azur</t>
        </is>
      </c>
      <c r="AK16" s="16" t="n">
        <v>3</v>
      </c>
      <c r="AL16" s="10" t="n"/>
      <c r="AM16" s="10" t="inlineStr">
        <is>
          <t>Non</t>
        </is>
      </c>
      <c r="AN16" s="10" t="inlineStr">
        <is>
          <t>Bmw Z3, faible, kilométrage en très bon état Peinture d'origine, prix 12 000 €</t>
        </is>
      </c>
      <c r="AO16" s="10" t="inlineStr">
        <is>
          <t>Dommages : Excellent état (proche du neuf) ; Sellerie : Tout cuir ; vehicle_euro_emissions_standard : Euro 2 ; Permis : Avec permis ; Importé : false</t>
        </is>
      </c>
      <c r="AP16" s="19" t="inlineStr">
        <is>
          <t>Voir</t>
        </is>
      </c>
      <c r="AQ16" s="10" t="inlineStr">
        <is>
          <t>3246077665</t>
        </is>
      </c>
    </row>
    <row r="17">
      <c r="A17" s="10" t="inlineStr">
        <is>
          <t>BMW Z3 1.9i / 2.0i</t>
        </is>
      </c>
      <c r="B17" s="10" t="inlineStr">
        <is>
          <t>Bmw z3</t>
        </is>
      </c>
      <c r="C17" s="10" t="inlineStr">
        <is>
          <t>Base_Z3 Roadster 1.9i 140ch</t>
        </is>
      </c>
      <c r="D17" s="10" t="inlineStr">
        <is>
          <t>Base</t>
        </is>
      </c>
      <c r="E17" s="10" t="inlineStr">
        <is>
          <t>En vente</t>
        </is>
      </c>
      <c r="F17" s="18" t="n">
        <v>46302</v>
      </c>
      <c r="G17" s="18" t="n">
        <v>46302</v>
      </c>
      <c r="H17" s="18" t="n">
        <v>46310</v>
      </c>
      <c r="I17" s="18" t="n"/>
      <c r="J17" s="17">
        <f>IF(OR(ISNUMBER(F17),ISNUMBER(G17)),IF(ISNUMBER(I17),I17,H17)-IF(ISNUMBER(F17),F17,G17),"")</f>
        <v/>
      </c>
      <c r="K17" s="12" t="n">
        <v>10500</v>
      </c>
      <c r="L17" s="12" t="n">
        <v>10500</v>
      </c>
      <c r="M17" s="13">
        <f>IF(AND(ISNUMBER(K17),ISNUMBER(L17),K17&gt;0),1-L17/K17,"")</f>
        <v/>
      </c>
      <c r="N17" s="16" t="n">
        <v>0</v>
      </c>
      <c r="O17" s="12" t="n">
        <v>10900</v>
      </c>
      <c r="P17" s="12" t="n"/>
      <c r="Q17" s="12" t="n"/>
      <c r="R17" s="14">
        <f>IF(AND(ISNUMBER(L17),ISNUMBER(P17),ISNUMBER(Q17)),L17/((P17+Q17)/2)-1,"")</f>
        <v/>
      </c>
      <c r="S17" s="10" t="n"/>
      <c r="T17" s="15" t="n">
        <v>168200</v>
      </c>
      <c r="U17" s="16" t="n">
        <v>1996</v>
      </c>
      <c r="V17" s="10" t="inlineStr">
        <is>
          <t>07/1996</t>
        </is>
      </c>
      <c r="W17" s="10" t="inlineStr">
        <is>
          <t>Essence</t>
        </is>
      </c>
      <c r="X17" s="10" t="inlineStr">
        <is>
          <t>Manuelle</t>
        </is>
      </c>
      <c r="Y17" s="16" t="n">
        <v>140</v>
      </c>
      <c r="Z17" s="16" t="n">
        <v>10</v>
      </c>
      <c r="AA17" s="10" t="inlineStr">
        <is>
          <t>Gris</t>
        </is>
      </c>
      <c r="AB17" s="16" t="n">
        <v>2</v>
      </c>
      <c r="AC17" s="10" t="inlineStr">
        <is>
          <t>Cabriolet</t>
        </is>
      </c>
      <c r="AD17" s="10" t="n"/>
      <c r="AE17" s="10" t="n"/>
      <c r="AF17" s="10" t="inlineStr">
        <is>
          <t>Particulier</t>
        </is>
      </c>
      <c r="AG17" s="10" t="inlineStr">
        <is>
          <t>Bagnoles de l'Orne Normandie</t>
        </is>
      </c>
      <c r="AH17" s="10" t="inlineStr">
        <is>
          <t>61140</t>
        </is>
      </c>
      <c r="AI17" s="10" t="inlineStr">
        <is>
          <t>Orne</t>
        </is>
      </c>
      <c r="AJ17" s="10" t="inlineStr">
        <is>
          <t>Basse-Normandie</t>
        </is>
      </c>
      <c r="AK17" s="16" t="n">
        <v>3</v>
      </c>
      <c r="AL17" s="10" t="n"/>
      <c r="AM17" s="10" t="inlineStr">
        <is>
          <t>Non</t>
        </is>
      </c>
      <c r="AN17" s="10" t="inlineStr">
        <is>
          <t>BMW Z3 Roadster de 1996, un cabriolet très agréable a conduire, extérieur gris métal avec un intérieur rouge bordeaux - Marque : BMW - Modèle : Z3 - Année : 1996 - Kilométrage : 168 200 km - Motorisation : 1.9i 140 ch - Carburant : Essence - Boîte de vitesses : Manuelle - Couleur : Gris - Type : Cabriolet Roadster - Nombre de sièges : 2 - Nombre de portes : 2 - Puissance fiscale : 10 Cv - Contrôle technique : Valide jusqu'en 05/2027 Capote remplacée en 2020. N'hésitez pas à me contacter pour plu</t>
        </is>
      </c>
      <c r="AO17" s="10" t="inlineStr">
        <is>
          <t>Sellerie : Tout cuir ; Équipements intérieurs : Siège réglable en hauteur, Sièges chauffants, Sièges en cuir, Sièges électriques ; Permis : Avec permis ; Importé : false</t>
        </is>
      </c>
      <c r="AP17" s="19" t="inlineStr">
        <is>
          <t>Voir</t>
        </is>
      </c>
      <c r="AQ17" s="10" t="inlineStr">
        <is>
          <t>3246862811</t>
        </is>
      </c>
    </row>
    <row r="18">
      <c r="A18" s="10" t="inlineStr">
        <is>
          <t>BMW Z3 1.9i / 2.0i</t>
        </is>
      </c>
      <c r="B18" s="10" t="inlineStr">
        <is>
          <t>Bmw z3</t>
        </is>
      </c>
      <c r="C18" s="10" t="n"/>
      <c r="D18" s="10" t="n"/>
      <c r="E18" s="10" t="inlineStr">
        <is>
          <t>En vente</t>
        </is>
      </c>
      <c r="F18" s="18" t="n">
        <v>46261</v>
      </c>
      <c r="G18" s="18" t="n">
        <v>46261</v>
      </c>
      <c r="H18" s="18" t="n">
        <v>46310</v>
      </c>
      <c r="I18" s="18" t="n"/>
      <c r="J18" s="17">
        <f>IF(OR(ISNUMBER(F18),ISNUMBER(G18)),IF(ISNUMBER(I18),I18,H18)-IF(ISNUMBER(F18),F18,G18),"")</f>
        <v/>
      </c>
      <c r="K18" s="12" t="n">
        <v>11900</v>
      </c>
      <c r="L18" s="12" t="n">
        <v>11900</v>
      </c>
      <c r="M18" s="13">
        <f>IF(AND(ISNUMBER(K18),ISNUMBER(L18),K18&gt;0),1-L18/K18,"")</f>
        <v/>
      </c>
      <c r="N18" s="16" t="n">
        <v>0</v>
      </c>
      <c r="O18" s="12" t="n">
        <v>12900</v>
      </c>
      <c r="P18" s="12" t="n"/>
      <c r="Q18" s="12" t="n"/>
      <c r="R18" s="14">
        <f>IF(AND(ISNUMBER(L18),ISNUMBER(P18),ISNUMBER(Q18)),L18/((P18+Q18)/2)-1,"")</f>
        <v/>
      </c>
      <c r="S18" s="10" t="n"/>
      <c r="T18" s="15" t="n">
        <v>96810</v>
      </c>
      <c r="U18" s="16" t="n">
        <v>1999</v>
      </c>
      <c r="V18" s="10" t="inlineStr">
        <is>
          <t>06/1999</t>
        </is>
      </c>
      <c r="W18" s="10" t="inlineStr">
        <is>
          <t>Essence</t>
        </is>
      </c>
      <c r="X18" s="10" t="inlineStr">
        <is>
          <t>Manuelle</t>
        </is>
      </c>
      <c r="Y18" s="16" t="n">
        <v>118</v>
      </c>
      <c r="Z18" s="16" t="n">
        <v>8</v>
      </c>
      <c r="AA18" s="10" t="inlineStr">
        <is>
          <t>Rouge</t>
        </is>
      </c>
      <c r="AB18" s="16" t="n">
        <v>2</v>
      </c>
      <c r="AC18" s="10" t="inlineStr">
        <is>
          <t>Cabriolet</t>
        </is>
      </c>
      <c r="AD18" s="10" t="n"/>
      <c r="AE18" s="10" t="n"/>
      <c r="AF18" s="10" t="inlineStr">
        <is>
          <t>Particulier</t>
        </is>
      </c>
      <c r="AG18" s="10" t="inlineStr">
        <is>
          <t>Mirmande</t>
        </is>
      </c>
      <c r="AH18" s="10" t="inlineStr">
        <is>
          <t>26270</t>
        </is>
      </c>
      <c r="AI18" s="10" t="inlineStr">
        <is>
          <t>Drôme</t>
        </is>
      </c>
      <c r="AJ18" s="10" t="inlineStr">
        <is>
          <t>Rhône-Alpes</t>
        </is>
      </c>
      <c r="AK18" s="16" t="n">
        <v>7</v>
      </c>
      <c r="AL18" s="10" t="n"/>
      <c r="AM18" s="10" t="inlineStr">
        <is>
          <t>Non</t>
        </is>
      </c>
      <c r="AN18" s="10" t="inlineStr">
        <is>
          <t>Je vends un très beau cabriolet BMW Z3, modèle "M" avec une mise à jour du calculateur au E85 (éthanol), grosse économie dans les déplacements, (0,83 e/l au lieu de 2,25 e/l) très bien entretenu avec seulement 96810 kilomètres pour un véhicule de 1999. C'est un modèle M, avec la particularité de posséder des jantes aluminium BMW à déports (d'origine) ce qui lui procure une super tenue de route. D'autre part, contrairement à beaucoup de ce modèle de cabriolet, il ne possède pas des sièges en cuir</t>
        </is>
      </c>
      <c r="AO18" s="10" t="inlineStr">
        <is>
          <t>vehicle_technical_inspection_valid : Non ; Dommages : Excellent état (proche du neuf) ; Sellerie : Tissu ; Permis : Avec permis ; Importé : false ; vehicle_history_teaser_critair : 3 ; vehicle_history_teaser_owners : 2 ; vehicle_history_teaser_expertises : false ; vehicle_history_teaser_special_uses : false ; vehicle_history_teaser_atypical_operations : true ; vehicle_history_teaser_importations : true</t>
        </is>
      </c>
      <c r="AP18" s="19" t="inlineStr">
        <is>
          <t>Voir</t>
        </is>
      </c>
      <c r="AQ18" s="10" t="inlineStr">
        <is>
          <t>3257804096</t>
        </is>
      </c>
    </row>
    <row r="19">
      <c r="A19" s="10" t="inlineStr">
        <is>
          <t>BMW Z3 1.9i / 2.0i</t>
        </is>
      </c>
      <c r="B19" s="10" t="inlineStr">
        <is>
          <t>Bmw z3 1.9 140ch roadster + entretien à jour + garantie</t>
        </is>
      </c>
      <c r="C19" s="10" t="inlineStr">
        <is>
          <t>Z3 Roadster 1.9i 140ch</t>
        </is>
      </c>
      <c r="D19" s="10" t="inlineStr">
        <is>
          <t>Base</t>
        </is>
      </c>
      <c r="E19" s="10" t="inlineStr">
        <is>
          <t>En vente</t>
        </is>
      </c>
      <c r="F19" s="18" t="n">
        <v>46268</v>
      </c>
      <c r="G19" s="18" t="n">
        <v>46268</v>
      </c>
      <c r="H19" s="18" t="n">
        <v>46310</v>
      </c>
      <c r="I19" s="18" t="n"/>
      <c r="J19" s="17">
        <f>IF(OR(ISNUMBER(F19),ISNUMBER(G19)),IF(ISNUMBER(I19),I19,H19)-IF(ISNUMBER(F19),F19,G19),"")</f>
        <v/>
      </c>
      <c r="K19" s="12" t="n">
        <v>9990</v>
      </c>
      <c r="L19" s="12" t="n">
        <v>9990</v>
      </c>
      <c r="M19" s="13">
        <f>IF(AND(ISNUMBER(K19),ISNUMBER(L19),K19&gt;0),1-L19/K19,"")</f>
        <v/>
      </c>
      <c r="N19" s="16" t="n">
        <v>0</v>
      </c>
      <c r="O19" s="12" t="n"/>
      <c r="P19" s="12" t="n"/>
      <c r="Q19" s="12" t="n"/>
      <c r="R19" s="14">
        <f>IF(AND(ISNUMBER(L19),ISNUMBER(P19),ISNUMBER(Q19)),L19/((P19+Q19)/2)-1,"")</f>
        <v/>
      </c>
      <c r="S19" s="10" t="n"/>
      <c r="T19" s="15" t="n">
        <v>137000</v>
      </c>
      <c r="U19" s="16" t="n">
        <v>1998</v>
      </c>
      <c r="V19" s="10" t="inlineStr">
        <is>
          <t>05/1998</t>
        </is>
      </c>
      <c r="W19" s="10" t="inlineStr">
        <is>
          <t>Essence</t>
        </is>
      </c>
      <c r="X19" s="10" t="inlineStr">
        <is>
          <t>Manuelle</t>
        </is>
      </c>
      <c r="Y19" s="16" t="n">
        <v>140</v>
      </c>
      <c r="Z19" s="16" t="n">
        <v>9</v>
      </c>
      <c r="AA19" s="10" t="inlineStr">
        <is>
          <t>Gris</t>
        </is>
      </c>
      <c r="AB19" s="16" t="n">
        <v>2</v>
      </c>
      <c r="AC19" s="10" t="inlineStr">
        <is>
          <t>Cabriolet</t>
        </is>
      </c>
      <c r="AD19" s="10" t="n"/>
      <c r="AE19" s="10" t="n"/>
      <c r="AF19" s="10" t="inlineStr">
        <is>
          <t>Pro</t>
        </is>
      </c>
      <c r="AG19" s="10" t="inlineStr">
        <is>
          <t>Saint-Laurent-des-Vignes</t>
        </is>
      </c>
      <c r="AH19" s="10" t="inlineStr">
        <is>
          <t>24100</t>
        </is>
      </c>
      <c r="AI19" s="10" t="inlineStr">
        <is>
          <t>Dordogne</t>
        </is>
      </c>
      <c r="AJ19" s="10" t="inlineStr">
        <is>
          <t>Aquitaine</t>
        </is>
      </c>
      <c r="AK19" s="16" t="n">
        <v>15</v>
      </c>
      <c r="AL19" s="10" t="inlineStr">
        <is>
          <t>Oui</t>
        </is>
      </c>
      <c r="AM19" s="10" t="inlineStr">
        <is>
          <t>Non</t>
        </is>
      </c>
      <c r="AN19" s="10" t="inlineStr">
        <is>
          <t>BMW Z3 1.9 140CH ROADSTER + ENTRETIEN À JOUR + GARANTIE cabriolet, gris, 9 cv, 2 portes, première mise en circulation le 13/05/1998, garantie 98 mois. 2 places OPTIONS ET ÉQUIPEMENTS : Garantie : - Garantie 3 mois - Garantie 6 mois Pack : - équipements Sécurité : - Airbags Autres équipements et informations : - Démarche ( hors carte gris) - Les véhicules sont visible uniquement sur rendez-vous - Malgré tout le soin apporté à nos annonces des erreurs peuvent s'être glissées (options - Nettoyage P</t>
        </is>
      </c>
      <c r="AO19" s="10" t="inlineStr">
        <is>
          <t>Permis : Avec permis ; VO récent : false ; custom_ref : 0001136 ; Importé : true ; vehicle_history_report_status : visible ; spare_parts_availability : Non renseignée</t>
        </is>
      </c>
      <c r="AP19" s="19" t="inlineStr">
        <is>
          <t>Voir</t>
        </is>
      </c>
      <c r="AQ19" s="10" t="inlineStr">
        <is>
          <t>3262111623</t>
        </is>
      </c>
    </row>
    <row r="20">
      <c r="A20" s="10" t="inlineStr">
        <is>
          <t>BMW Z3 1.9i / 2.0i</t>
        </is>
      </c>
      <c r="B20" s="10" t="inlineStr">
        <is>
          <t>BMW Z3 1.9 i 140cv</t>
        </is>
      </c>
      <c r="C20" s="10" t="inlineStr">
        <is>
          <t>Z3 Roadster 1.9i 140ch</t>
        </is>
      </c>
      <c r="D20" s="10" t="inlineStr">
        <is>
          <t>Base</t>
        </is>
      </c>
      <c r="E20" s="10" t="inlineStr">
        <is>
          <t>En vente</t>
        </is>
      </c>
      <c r="F20" s="18" t="n">
        <v>46273</v>
      </c>
      <c r="G20" s="18" t="n">
        <v>46273</v>
      </c>
      <c r="H20" s="18" t="n">
        <v>46310</v>
      </c>
      <c r="I20" s="18" t="n"/>
      <c r="J20" s="17">
        <f>IF(OR(ISNUMBER(F20),ISNUMBER(G20)),IF(ISNUMBER(I20),I20,H20)-IF(ISNUMBER(F20),F20,G20),"")</f>
        <v/>
      </c>
      <c r="K20" s="12" t="n">
        <v>10990</v>
      </c>
      <c r="L20" s="12" t="n">
        <v>10990</v>
      </c>
      <c r="M20" s="13">
        <f>IF(AND(ISNUMBER(K20),ISNUMBER(L20),K20&gt;0),1-L20/K20,"")</f>
        <v/>
      </c>
      <c r="N20" s="16" t="n">
        <v>0</v>
      </c>
      <c r="O20" s="12" t="n">
        <v>11390</v>
      </c>
      <c r="P20" s="12" t="n"/>
      <c r="Q20" s="12" t="n"/>
      <c r="R20" s="14">
        <f>IF(AND(ISNUMBER(L20),ISNUMBER(P20),ISNUMBER(Q20)),L20/((P20+Q20)/2)-1,"")</f>
        <v/>
      </c>
      <c r="S20" s="10" t="n"/>
      <c r="T20" s="15" t="n">
        <v>116200</v>
      </c>
      <c r="U20" s="16" t="n">
        <v>1999</v>
      </c>
      <c r="V20" s="10" t="inlineStr">
        <is>
          <t>03/1999</t>
        </is>
      </c>
      <c r="W20" s="10" t="inlineStr">
        <is>
          <t>Essence</t>
        </is>
      </c>
      <c r="X20" s="10" t="inlineStr">
        <is>
          <t>Manuelle</t>
        </is>
      </c>
      <c r="Y20" s="16" t="n">
        <v>140</v>
      </c>
      <c r="Z20" s="16" t="n">
        <v>9</v>
      </c>
      <c r="AA20" s="10" t="inlineStr">
        <is>
          <t>Violet</t>
        </is>
      </c>
      <c r="AB20" s="16" t="n">
        <v>2</v>
      </c>
      <c r="AC20" s="10" t="inlineStr">
        <is>
          <t>Cabriolet</t>
        </is>
      </c>
      <c r="AD20" s="10" t="n"/>
      <c r="AE20" s="10" t="n"/>
      <c r="AF20" s="10" t="inlineStr">
        <is>
          <t>Pro</t>
        </is>
      </c>
      <c r="AG20" s="10" t="inlineStr">
        <is>
          <t>Metz</t>
        </is>
      </c>
      <c r="AH20" s="10" t="inlineStr">
        <is>
          <t>57050</t>
        </is>
      </c>
      <c r="AI20" s="10" t="inlineStr">
        <is>
          <t>Moselle</t>
        </is>
      </c>
      <c r="AJ20" s="10" t="inlineStr">
        <is>
          <t>Lorraine</t>
        </is>
      </c>
      <c r="AK20" s="16" t="n">
        <v>20</v>
      </c>
      <c r="AL20" s="10" t="inlineStr">
        <is>
          <t>Oui</t>
        </is>
      </c>
      <c r="AM20" s="10" t="inlineStr">
        <is>
          <t>Non</t>
        </is>
      </c>
      <c r="AN20" s="10" t="inlineStr">
        <is>
          <t>AVEC FACTURES CT MOINS DE 6MOIS Pour vous garantir un accueil personnalisé et un accompagnement de qualité, tous nos véhicules sont visibles uniquement sur rendez-vous. L’AGENCE AUTOMOBILIÈRE accompagne chaque vente dans un esprit de confiance, d’honnêteté et de transparence. Découvrez plus de 5 000 véhicules d'occasion rigoureusement sélectionnés sur notre site. La garantie légale de conformité ne s'applique pas dans une vente entre particuliers. OPTIONS ET ÉQUIPEMENTS : Intérieur : - Climatisa</t>
        </is>
      </c>
      <c r="AO20" s="10" t="inlineStr">
        <is>
          <t>Équipements intérieurs : Climatisation, Vitres électriques arrières ; VO récent : false ; custom_ref : 508254 ; Importé : true ; vehicle_history_report_status : visible ; spare_parts_availability : Non renseignée</t>
        </is>
      </c>
      <c r="AP20" s="19" t="inlineStr">
        <is>
          <t>Voir</t>
        </is>
      </c>
      <c r="AQ20" s="10" t="inlineStr">
        <is>
          <t>3265952895</t>
        </is>
      </c>
    </row>
    <row r="21">
      <c r="A21" s="10" t="inlineStr">
        <is>
          <t>BMW Z3 1.9i / 2.0i</t>
        </is>
      </c>
      <c r="B21" s="10" t="inlineStr">
        <is>
          <t>Bmw z3</t>
        </is>
      </c>
      <c r="C21" s="10" t="n"/>
      <c r="D21" s="10" t="n"/>
      <c r="E21" s="10" t="inlineStr">
        <is>
          <t>En vente</t>
        </is>
      </c>
      <c r="F21" s="18" t="n">
        <v>46279</v>
      </c>
      <c r="G21" s="18" t="n">
        <v>46279</v>
      </c>
      <c r="H21" s="18" t="n">
        <v>46310</v>
      </c>
      <c r="I21" s="18" t="n"/>
      <c r="J21" s="17">
        <f>IF(OR(ISNUMBER(F21),ISNUMBER(G21)),IF(ISNUMBER(I21),I21,H21)-IF(ISNUMBER(F21),F21,G21),"")</f>
        <v/>
      </c>
      <c r="K21" s="12" t="n">
        <v>9500</v>
      </c>
      <c r="L21" s="12" t="n">
        <v>9500</v>
      </c>
      <c r="M21" s="13">
        <f>IF(AND(ISNUMBER(K21),ISNUMBER(L21),K21&gt;0),1-L21/K21,"")</f>
        <v/>
      </c>
      <c r="N21" s="16" t="n">
        <v>0</v>
      </c>
      <c r="O21" s="12" t="n">
        <v>10000</v>
      </c>
      <c r="P21" s="12" t="n"/>
      <c r="Q21" s="12" t="n"/>
      <c r="R21" s="14">
        <f>IF(AND(ISNUMBER(L21),ISNUMBER(P21),ISNUMBER(Q21)),L21/((P21+Q21)/2)-1,"")</f>
        <v/>
      </c>
      <c r="S21" s="10" t="n"/>
      <c r="T21" s="15" t="n">
        <v>186000</v>
      </c>
      <c r="U21" s="16" t="n">
        <v>1997</v>
      </c>
      <c r="V21" s="10" t="inlineStr">
        <is>
          <t>05/1997</t>
        </is>
      </c>
      <c r="W21" s="10" t="inlineStr">
        <is>
          <t>Essence</t>
        </is>
      </c>
      <c r="X21" s="10" t="inlineStr">
        <is>
          <t>Manuelle</t>
        </is>
      </c>
      <c r="Y21" s="16" t="n">
        <v>140</v>
      </c>
      <c r="Z21" s="16" t="n">
        <v>10</v>
      </c>
      <c r="AA21" s="10" t="inlineStr">
        <is>
          <t>Noir</t>
        </is>
      </c>
      <c r="AB21" s="16" t="n">
        <v>2</v>
      </c>
      <c r="AC21" s="10" t="inlineStr">
        <is>
          <t>Cabriolet</t>
        </is>
      </c>
      <c r="AD21" s="10" t="inlineStr">
        <is>
          <t>Véhicule non fumeur</t>
        </is>
      </c>
      <c r="AE21" s="10" t="n"/>
      <c r="AF21" s="10" t="inlineStr">
        <is>
          <t>Particulier</t>
        </is>
      </c>
      <c r="AG21" s="10" t="inlineStr">
        <is>
          <t>Saint-Nicolas-de-Redon</t>
        </is>
      </c>
      <c r="AH21" s="10" t="inlineStr">
        <is>
          <t>44460</t>
        </is>
      </c>
      <c r="AI21" s="10" t="inlineStr">
        <is>
          <t>Loire-Atlantique</t>
        </is>
      </c>
      <c r="AJ21" s="10" t="inlineStr">
        <is>
          <t>Pays de la Loire</t>
        </is>
      </c>
      <c r="AK21" s="16" t="n">
        <v>9</v>
      </c>
      <c r="AL21" s="10" t="n"/>
      <c r="AM21" s="10" t="inlineStr">
        <is>
          <t>Non</t>
        </is>
      </c>
      <c r="AN21" s="10" t="inlineStr">
        <is>
          <t>BMW Z3 phase 1 de 1997 Je vend ce véhicule pour des projets financiers. C’est une bmw z3 de 1997 en phase 1, moteur 1,9l 140chv, de couleur noir intérieur beige, avec hard-top. Ce véhicule est équipé d’une demi ligne (après catalyseur) en inox faites sur mesure, je la vend avec celle d’origine. Très bon état général, n’hésitez pas à me contacter par message pour plus de détails. Ce véhicule sera vendu avec le contrôle technique à jour (rien à prévoir) Il sera aussi vendue avec : - les jantes d’o</t>
        </is>
      </c>
      <c r="AO21" s="10" t="inlineStr">
        <is>
          <t>vehicle_technical_inspection_valid : Non ; Dommages : Bon état général ; Sellerie : Tout cuir ; Équipements intérieurs : Bluetooth, Sièges en cuir, Sièges électriques ; Permis : Avec permis ; Importé : false</t>
        </is>
      </c>
      <c r="AP21" s="19" t="inlineStr">
        <is>
          <t>Voir</t>
        </is>
      </c>
      <c r="AQ21" s="10" t="inlineStr">
        <is>
          <t>3269719393</t>
        </is>
      </c>
    </row>
    <row r="22">
      <c r="A22" s="10" t="inlineStr">
        <is>
          <t>BMW Z3 1.9i / 2.0i</t>
        </is>
      </c>
      <c r="B22" s="10" t="inlineStr">
        <is>
          <t>Bmw Z3 ROADSTER 2.0 I 150 M</t>
        </is>
      </c>
      <c r="C22" s="10" t="inlineStr">
        <is>
          <t>Z3 M Roadster M 325ch</t>
        </is>
      </c>
      <c r="D22" s="10" t="inlineStr">
        <is>
          <t>Base</t>
        </is>
      </c>
      <c r="E22" s="10" t="inlineStr">
        <is>
          <t>En vente</t>
        </is>
      </c>
      <c r="F22" s="18" t="n">
        <v>46280</v>
      </c>
      <c r="G22" s="18" t="n">
        <v>46280</v>
      </c>
      <c r="H22" s="18" t="n">
        <v>46310</v>
      </c>
      <c r="I22" s="18" t="n"/>
      <c r="J22" s="17">
        <f>IF(OR(ISNUMBER(F22),ISNUMBER(G22)),IF(ISNUMBER(I22),I22,H22)-IF(ISNUMBER(F22),F22,G22),"")</f>
        <v/>
      </c>
      <c r="K22" s="12" t="n">
        <v>14990</v>
      </c>
      <c r="L22" s="12" t="n">
        <v>14990</v>
      </c>
      <c r="M22" s="13">
        <f>IF(AND(ISNUMBER(K22),ISNUMBER(L22),K22&gt;0),1-L22/K22,"")</f>
        <v/>
      </c>
      <c r="N22" s="16" t="n">
        <v>0</v>
      </c>
      <c r="O22" s="12" t="n"/>
      <c r="P22" s="12" t="n"/>
      <c r="Q22" s="12" t="n"/>
      <c r="R22" s="14">
        <f>IF(AND(ISNUMBER(L22),ISNUMBER(P22),ISNUMBER(Q22)),L22/((P22+Q22)/2)-1,"")</f>
        <v/>
      </c>
      <c r="S22" s="10" t="n"/>
      <c r="T22" s="15" t="n">
        <v>165500</v>
      </c>
      <c r="U22" s="16" t="n">
        <v>2000</v>
      </c>
      <c r="V22" s="10" t="inlineStr">
        <is>
          <t>04/2000</t>
        </is>
      </c>
      <c r="W22" s="10" t="inlineStr">
        <is>
          <t>Essence</t>
        </is>
      </c>
      <c r="X22" s="10" t="inlineStr">
        <is>
          <t>Manuelle</t>
        </is>
      </c>
      <c r="Y22" s="16" t="n">
        <v>150</v>
      </c>
      <c r="Z22" s="16" t="n">
        <v>10</v>
      </c>
      <c r="AA22" s="10" t="inlineStr">
        <is>
          <t>Bleu</t>
        </is>
      </c>
      <c r="AB22" s="16" t="n">
        <v>2</v>
      </c>
      <c r="AC22" s="10" t="inlineStr">
        <is>
          <t>Cabriolet</t>
        </is>
      </c>
      <c r="AD22" s="10" t="n"/>
      <c r="AE22" s="10" t="n"/>
      <c r="AF22" s="10" t="inlineStr">
        <is>
          <t>Pro</t>
        </is>
      </c>
      <c r="AG22" s="10" t="inlineStr">
        <is>
          <t>Pibrac</t>
        </is>
      </c>
      <c r="AH22" s="10" t="inlineStr">
        <is>
          <t>31820</t>
        </is>
      </c>
      <c r="AI22" s="10" t="inlineStr">
        <is>
          <t>Haute-Garonne</t>
        </is>
      </c>
      <c r="AJ22" s="10" t="inlineStr">
        <is>
          <t>Midi-Pyrénées</t>
        </is>
      </c>
      <c r="AK22" s="16" t="n">
        <v>29</v>
      </c>
      <c r="AL22" s="10" t="inlineStr">
        <is>
          <t>Oui</t>
        </is>
      </c>
      <c r="AM22" s="10" t="inlineStr">
        <is>
          <t>Non</t>
        </is>
      </c>
      <c r="AN22" s="10" t="inlineStr">
        <is>
          <t xml:space="preserve">Bmw Z3 ROADSTER 2.0 I 150 M, roadster, bleu, 10 cv, 2 portes, première mise en circulation le 21/04/2000. 2 places 🏎️ **BMW Z3 Roadster – 2.0i 150 M** 📅 2000 | 📊 165 000 km | ⛽ Essence – 150 ch (2.0 6 cylindres) | 🔧 Boîte manuelle | 🔩 Propulsion ✨ **Le roadster emblématique, élégant et plaisir à l’état pur !** Cette **BMW Z3 Roadster 2.0i 150 ch** en finition **M** est une véritable voiture plaisir. Son **6 cylindres en ligne**, sa propulsion et son format compact offrent une expérience de </t>
        </is>
      </c>
      <c r="AO22" s="10" t="inlineStr">
        <is>
          <t>Permis : Avec permis ; VO récent : false ; custom_ref : BHC_85C69B ; Importé : true ; vehicle_history_report_status : visible ; spare_parts_availability : Non renseignée</t>
        </is>
      </c>
      <c r="AP22" s="19" t="inlineStr">
        <is>
          <t>Voir</t>
        </is>
      </c>
      <c r="AQ22" s="10" t="inlineStr">
        <is>
          <t>3270344321</t>
        </is>
      </c>
    </row>
    <row r="23">
      <c r="A23" s="10" t="inlineStr">
        <is>
          <t>BMW Z3 1.9i / 2.0i</t>
        </is>
      </c>
      <c r="B23" s="10" t="inlineStr">
        <is>
          <t>BMW Z3 2.0i A</t>
        </is>
      </c>
      <c r="C23" s="10" t="inlineStr">
        <is>
          <t>Z3 Roadster 1.9iA 150ch</t>
        </is>
      </c>
      <c r="D23" s="10" t="inlineStr">
        <is>
          <t>Base</t>
        </is>
      </c>
      <c r="E23" s="10" t="inlineStr">
        <is>
          <t>En vente</t>
        </is>
      </c>
      <c r="F23" s="18" t="n">
        <v>46281</v>
      </c>
      <c r="G23" s="18" t="n">
        <v>46281</v>
      </c>
      <c r="H23" s="18" t="n">
        <v>46310</v>
      </c>
      <c r="I23" s="18" t="n"/>
      <c r="J23" s="17">
        <f>IF(OR(ISNUMBER(F23),ISNUMBER(G23)),IF(ISNUMBER(I23),I23,H23)-IF(ISNUMBER(F23),F23,G23),"")</f>
        <v/>
      </c>
      <c r="K23" s="12" t="n">
        <v>12990</v>
      </c>
      <c r="L23" s="12" t="n">
        <v>12990</v>
      </c>
      <c r="M23" s="13">
        <f>IF(AND(ISNUMBER(K23),ISNUMBER(L23),K23&gt;0),1-L23/K23,"")</f>
        <v/>
      </c>
      <c r="N23" s="16" t="n">
        <v>0</v>
      </c>
      <c r="O23" s="12" t="n"/>
      <c r="P23" s="12" t="n"/>
      <c r="Q23" s="12" t="n"/>
      <c r="R23" s="14">
        <f>IF(AND(ISNUMBER(L23),ISNUMBER(P23),ISNUMBER(Q23)),L23/((P23+Q23)/2)-1,"")</f>
        <v/>
      </c>
      <c r="S23" s="10" t="n"/>
      <c r="T23" s="15" t="n">
        <v>133000</v>
      </c>
      <c r="U23" s="16" t="n">
        <v>1999</v>
      </c>
      <c r="V23" s="10" t="inlineStr">
        <is>
          <t>09/1999</t>
        </is>
      </c>
      <c r="W23" s="10" t="inlineStr">
        <is>
          <t>Essence</t>
        </is>
      </c>
      <c r="X23" s="10" t="inlineStr">
        <is>
          <t>Automatique</t>
        </is>
      </c>
      <c r="Y23" s="16" t="n">
        <v>150</v>
      </c>
      <c r="Z23" s="16" t="n">
        <v>10</v>
      </c>
      <c r="AA23" s="10" t="inlineStr">
        <is>
          <t>Noir</t>
        </is>
      </c>
      <c r="AB23" s="16" t="n">
        <v>2</v>
      </c>
      <c r="AC23" s="10" t="inlineStr">
        <is>
          <t>Cabriolet</t>
        </is>
      </c>
      <c r="AD23" s="10" t="n"/>
      <c r="AE23" s="10" t="n"/>
      <c r="AF23" s="10" t="inlineStr">
        <is>
          <t>Pro</t>
        </is>
      </c>
      <c r="AG23" s="10" t="inlineStr">
        <is>
          <t>La Roche-sur-Yon</t>
        </is>
      </c>
      <c r="AH23" s="10" t="inlineStr">
        <is>
          <t>85000</t>
        </is>
      </c>
      <c r="AI23" s="10" t="inlineStr">
        <is>
          <t>Vendée</t>
        </is>
      </c>
      <c r="AJ23" s="10" t="inlineStr">
        <is>
          <t>Pays de la Loire</t>
        </is>
      </c>
      <c r="AK23" s="16" t="n">
        <v>14</v>
      </c>
      <c r="AL23" s="10" t="inlineStr">
        <is>
          <t>Oui</t>
        </is>
      </c>
      <c r="AM23" s="10" t="inlineStr">
        <is>
          <t>Non</t>
        </is>
      </c>
      <c r="AN23" s="10" t="inlineStr">
        <is>
          <t>BMW Z3 2.0i A roadster, noir, 10 cv, 2 portes, couleur intérieure : noir, première mise en circulation le 01/09/1999. BackCar c'est une équipe dynamique et flexible, toujours à votre écoute et transparente pour répondre à vos besoins automobiles. Nous vous offrons un large choix de véhicules en stock, prêts à être découverts sur notre parc, ainsi qu'un service de recherche sur mesure pour des véhicules neufs ou d'occasion. Nos services : Entretien à jour et véhicules entièrement révisés Véhicule</t>
        </is>
      </c>
      <c r="AO23" s="10" t="inlineStr">
        <is>
          <t>Sellerie : Tout cuir ; Équipements intérieurs : Climatisation, Jantes en alliage, Sièges sport, Vitres électriques arrières ; Permis : Avec permis ; VO récent : false ; custom_ref : 24ok77d ; Importé : true ; vehicle_history_report_status : visible ; spare_parts_availability : Non renseignée</t>
        </is>
      </c>
      <c r="AP23" s="19" t="inlineStr">
        <is>
          <t>Voir</t>
        </is>
      </c>
      <c r="AQ23" s="10" t="inlineStr">
        <is>
          <t>3271024428</t>
        </is>
      </c>
    </row>
    <row r="24">
      <c r="A24" s="10" t="inlineStr">
        <is>
          <t>BMW Z3 1.9i / 2.0i</t>
        </is>
      </c>
      <c r="B24" s="10" t="inlineStr">
        <is>
          <t>BMW Z3 Roadster 1.8i ROADSTER E36 Roadster 1.8i - 1613-0000365</t>
        </is>
      </c>
      <c r="C24" s="10" t="inlineStr">
        <is>
          <t>Z3 Roadster 1.8i 115ch</t>
        </is>
      </c>
      <c r="D24" s="10" t="inlineStr">
        <is>
          <t>Base</t>
        </is>
      </c>
      <c r="E24" s="10" t="inlineStr">
        <is>
          <t>En vente</t>
        </is>
      </c>
      <c r="F24" s="18" t="n">
        <v>46281</v>
      </c>
      <c r="G24" s="18" t="n">
        <v>46281</v>
      </c>
      <c r="H24" s="18" t="n">
        <v>46310</v>
      </c>
      <c r="I24" s="18" t="n"/>
      <c r="J24" s="17">
        <f>IF(OR(ISNUMBER(F24),ISNUMBER(G24)),IF(ISNUMBER(I24),I24,H24)-IF(ISNUMBER(F24),F24,G24),"")</f>
        <v/>
      </c>
      <c r="K24" s="12" t="n">
        <v>13200</v>
      </c>
      <c r="L24" s="12" t="n">
        <v>13200</v>
      </c>
      <c r="M24" s="13">
        <f>IF(AND(ISNUMBER(K24),ISNUMBER(L24),K24&gt;0),1-L24/K24,"")</f>
        <v/>
      </c>
      <c r="N24" s="16" t="n">
        <v>0</v>
      </c>
      <c r="O24" s="12" t="n"/>
      <c r="P24" s="12" t="n"/>
      <c r="Q24" s="12" t="n"/>
      <c r="R24" s="14">
        <f>IF(AND(ISNUMBER(L24),ISNUMBER(P24),ISNUMBER(Q24)),L24/((P24+Q24)/2)-1,"")</f>
        <v/>
      </c>
      <c r="S24" s="10" t="n"/>
      <c r="T24" s="15" t="n">
        <v>85000</v>
      </c>
      <c r="U24" s="16" t="n">
        <v>1997</v>
      </c>
      <c r="V24" s="10" t="inlineStr">
        <is>
          <t>09/1997</t>
        </is>
      </c>
      <c r="W24" s="10" t="inlineStr">
        <is>
          <t>Essence</t>
        </is>
      </c>
      <c r="X24" s="10" t="inlineStr">
        <is>
          <t>Manuelle</t>
        </is>
      </c>
      <c r="Y24" s="16" t="n">
        <v>115</v>
      </c>
      <c r="Z24" s="16" t="n">
        <v>7</v>
      </c>
      <c r="AA24" s="10" t="inlineStr">
        <is>
          <t>Gris</t>
        </is>
      </c>
      <c r="AB24" s="16" t="n">
        <v>2</v>
      </c>
      <c r="AC24" s="10" t="inlineStr">
        <is>
          <t>Cabriolet</t>
        </is>
      </c>
      <c r="AD24" s="10" t="n"/>
      <c r="AE24" s="10" t="n"/>
      <c r="AF24" s="10" t="inlineStr">
        <is>
          <t>Pro</t>
        </is>
      </c>
      <c r="AG24" s="10" t="inlineStr">
        <is>
          <t>Bègles</t>
        </is>
      </c>
      <c r="AH24" s="10" t="inlineStr">
        <is>
          <t>33130</t>
        </is>
      </c>
      <c r="AI24" s="10" t="inlineStr">
        <is>
          <t>Gironde</t>
        </is>
      </c>
      <c r="AJ24" s="10" t="inlineStr">
        <is>
          <t>Aquitaine</t>
        </is>
      </c>
      <c r="AK24" s="16" t="n">
        <v>10</v>
      </c>
      <c r="AL24" s="10" t="inlineStr">
        <is>
          <t>Oui</t>
        </is>
      </c>
      <c r="AM24" s="10" t="inlineStr">
        <is>
          <t>Non</t>
        </is>
      </c>
      <c r="AN24" s="10" t="inlineStr">
        <is>
          <t xml:space="preserve">🚗 COACH MY CAR France 🚗 📅 Visite et essai : Uniquement sur rendez-vous. 🚚 Livraison : Vente à distance et livraison à domicile possibles (sur devis). 💰 Financement : Des solutions adaptées à votre budget sont disponibles. 🛡️ Garantie incluse : Tous nos véhicules sont garantis 6 mois / 10 000 km (valable pour les véhicules de moins de 25 ans et moins de 250 000 km). 🚀 Extension de garantie : En option jusqu'à 36 mois pour rouler l'esprit tranquille. 🔒 Sécurité : Complémentaire Automobile </t>
        </is>
      </c>
      <c r="AO24" s="10" t="inlineStr">
        <is>
          <t>Équipements intérieurs : Bluetooth, Climatisation, Jantes en alliage, Vitres électriques arrières ; VO récent : false ; custom_ref : 1613-0000365 ; Importé : true ; vehicle_history_report_status : visible ; spare_parts_availability : Non renseignée</t>
        </is>
      </c>
      <c r="AP24" s="19" t="inlineStr">
        <is>
          <t>Voir</t>
        </is>
      </c>
      <c r="AQ24" s="10" t="inlineStr">
        <is>
          <t>3271039169</t>
        </is>
      </c>
    </row>
    <row r="25">
      <c r="A25" s="10" t="inlineStr">
        <is>
          <t>BMW Z3 1.9i / 2.0i</t>
        </is>
      </c>
      <c r="B25" s="10" t="inlineStr">
        <is>
          <t>Bmw z3 roadster 1.8</t>
        </is>
      </c>
      <c r="C25" s="10" t="inlineStr">
        <is>
          <t>Z3 Roadster 1.8i 115ch</t>
        </is>
      </c>
      <c r="D25" s="10" t="inlineStr">
        <is>
          <t>Base</t>
        </is>
      </c>
      <c r="E25" s="10" t="inlineStr">
        <is>
          <t>En vente</t>
        </is>
      </c>
      <c r="F25" s="18" t="n">
        <v>46289</v>
      </c>
      <c r="G25" s="18" t="n">
        <v>46289</v>
      </c>
      <c r="H25" s="18" t="n">
        <v>46310</v>
      </c>
      <c r="I25" s="18" t="n"/>
      <c r="J25" s="17">
        <f>IF(OR(ISNUMBER(F25),ISNUMBER(G25)),IF(ISNUMBER(I25),I25,H25)-IF(ISNUMBER(F25),F25,G25),"")</f>
        <v/>
      </c>
      <c r="K25" s="12" t="n">
        <v>9990</v>
      </c>
      <c r="L25" s="12" t="n">
        <v>9990</v>
      </c>
      <c r="M25" s="13">
        <f>IF(AND(ISNUMBER(K25),ISNUMBER(L25),K25&gt;0),1-L25/K25,"")</f>
        <v/>
      </c>
      <c r="N25" s="16" t="n">
        <v>0</v>
      </c>
      <c r="O25" s="12" t="n"/>
      <c r="P25" s="12" t="n"/>
      <c r="Q25" s="12" t="n"/>
      <c r="R25" s="14">
        <f>IF(AND(ISNUMBER(L25),ISNUMBER(P25),ISNUMBER(Q25)),L25/((P25+Q25)/2)-1,"")</f>
        <v/>
      </c>
      <c r="S25" s="10" t="n"/>
      <c r="T25" s="15" t="n">
        <v>225000</v>
      </c>
      <c r="U25" s="16" t="n">
        <v>2000</v>
      </c>
      <c r="V25" s="10" t="inlineStr">
        <is>
          <t>10/2000</t>
        </is>
      </c>
      <c r="W25" s="10" t="inlineStr">
        <is>
          <t>Essence</t>
        </is>
      </c>
      <c r="X25" s="10" t="inlineStr">
        <is>
          <t>Manuelle</t>
        </is>
      </c>
      <c r="Y25" s="16" t="n">
        <v>116</v>
      </c>
      <c r="Z25" s="16" t="n">
        <v>7</v>
      </c>
      <c r="AA25" s="10" t="inlineStr">
        <is>
          <t>Noir</t>
        </is>
      </c>
      <c r="AB25" s="16" t="n">
        <v>2</v>
      </c>
      <c r="AC25" s="10" t="inlineStr">
        <is>
          <t>Cabriolet</t>
        </is>
      </c>
      <c r="AD25" s="10" t="n"/>
      <c r="AE25" s="10" t="n"/>
      <c r="AF25" s="10" t="inlineStr">
        <is>
          <t>Pro</t>
        </is>
      </c>
      <c r="AG25" s="10" t="inlineStr">
        <is>
          <t>Marquise</t>
        </is>
      </c>
      <c r="AH25" s="10" t="inlineStr">
        <is>
          <t>62250</t>
        </is>
      </c>
      <c r="AI25" s="10" t="inlineStr">
        <is>
          <t>Pas-de-Calais</t>
        </is>
      </c>
      <c r="AJ25" s="10" t="inlineStr">
        <is>
          <t>Nord-Pas-de-Calais</t>
        </is>
      </c>
      <c r="AK25" s="16" t="n">
        <v>6</v>
      </c>
      <c r="AL25" s="10" t="inlineStr">
        <is>
          <t>Oui</t>
        </is>
      </c>
      <c r="AM25" s="10" t="inlineStr">
        <is>
          <t>Non</t>
        </is>
      </c>
      <c r="AN25" s="10" t="inlineStr">
        <is>
          <t>BMW Z3 ROADSTER 1.8 cabriolet, noir, 7 cv, 2 portes, première mise en circulation le 16/10/2000. CLSPRESTIGEAUTO VOUS PROPOSE UNE BMW Z3 Année: 2000 kms:225000 ch:116 2 places OPTIONS ET ÉQUIPEMENTS : Autres équipements et informations : - Classe Crit'air : 3 - Puissance kilowatt : 85 kw - consommation extra urbaine : 6,00 litres - consommation mixte : 7,80 litres - consommation urbaine : 10,90 litres - kilométrage garanti - puissance réelle : 116 ch - émission CO2 : 187 g/km Référence annonce :</t>
        </is>
      </c>
      <c r="AO25" s="10" t="inlineStr">
        <is>
          <t>Permis : Avec permis ; VO récent : false ; custom_ref : 459 ; Importé : true ; vehicle_history_report_status : visible ; spare_parts_availability : Non renseignée</t>
        </is>
      </c>
      <c r="AP25" s="19" t="inlineStr">
        <is>
          <t>Voir</t>
        </is>
      </c>
      <c r="AQ25" s="10" t="inlineStr">
        <is>
          <t>3275857889</t>
        </is>
      </c>
    </row>
    <row r="26">
      <c r="A26" s="10" t="inlineStr">
        <is>
          <t>BMW Z3 1.9i / 2.0i</t>
        </is>
      </c>
      <c r="B26" s="10" t="inlineStr">
        <is>
          <t>BMW Z3 Roadster 1.9i - 118 ch - Origine France - Entretien Complet - Garantie 12 Mois</t>
        </is>
      </c>
      <c r="C26" s="10" t="inlineStr">
        <is>
          <t>Z3 Roadster 1.9i 118ch</t>
        </is>
      </c>
      <c r="D26" s="10" t="inlineStr">
        <is>
          <t>Base</t>
        </is>
      </c>
      <c r="E26" s="10" t="inlineStr">
        <is>
          <t>En vente</t>
        </is>
      </c>
      <c r="F26" s="18" t="n">
        <v>46293</v>
      </c>
      <c r="G26" s="18" t="n">
        <v>46293</v>
      </c>
      <c r="H26" s="18" t="n">
        <v>46310</v>
      </c>
      <c r="I26" s="18" t="n"/>
      <c r="J26" s="17">
        <f>IF(OR(ISNUMBER(F26),ISNUMBER(G26)),IF(ISNUMBER(I26),I26,H26)-IF(ISNUMBER(F26),F26,G26),"")</f>
        <v/>
      </c>
      <c r="K26" s="12" t="n">
        <v>11990</v>
      </c>
      <c r="L26" s="12" t="n">
        <v>11990</v>
      </c>
      <c r="M26" s="13">
        <f>IF(AND(ISNUMBER(K26),ISNUMBER(L26),K26&gt;0),1-L26/K26,"")</f>
        <v/>
      </c>
      <c r="N26" s="16" t="n">
        <v>0</v>
      </c>
      <c r="O26" s="12" t="n"/>
      <c r="P26" s="12" t="n"/>
      <c r="Q26" s="12" t="n"/>
      <c r="R26" s="14">
        <f>IF(AND(ISNUMBER(L26),ISNUMBER(P26),ISNUMBER(Q26)),L26/((P26+Q26)/2)-1,"")</f>
        <v/>
      </c>
      <c r="S26" s="10" t="n"/>
      <c r="T26" s="15" t="n">
        <v>90000</v>
      </c>
      <c r="U26" s="16" t="n">
        <v>2002</v>
      </c>
      <c r="V26" s="10" t="inlineStr">
        <is>
          <t>06/2002</t>
        </is>
      </c>
      <c r="W26" s="10" t="inlineStr">
        <is>
          <t>Essence</t>
        </is>
      </c>
      <c r="X26" s="10" t="inlineStr">
        <is>
          <t>Manuelle</t>
        </is>
      </c>
      <c r="Y26" s="16" t="n">
        <v>118</v>
      </c>
      <c r="Z26" s="16" t="n">
        <v>8</v>
      </c>
      <c r="AA26" s="10" t="inlineStr">
        <is>
          <t>Noir</t>
        </is>
      </c>
      <c r="AB26" s="16" t="n">
        <v>2</v>
      </c>
      <c r="AC26" s="10" t="inlineStr">
        <is>
          <t>Cabriolet</t>
        </is>
      </c>
      <c r="AD26" s="10" t="n"/>
      <c r="AE26" s="10" t="n"/>
      <c r="AF26" s="10" t="inlineStr">
        <is>
          <t>Pro</t>
        </is>
      </c>
      <c r="AG26" s="10" t="inlineStr">
        <is>
          <t>Illkirch-Graffenstaden</t>
        </is>
      </c>
      <c r="AH26" s="10" t="inlineStr">
        <is>
          <t>67400</t>
        </is>
      </c>
      <c r="AI26" s="10" t="inlineStr">
        <is>
          <t>Bas-Rhin</t>
        </is>
      </c>
      <c r="AJ26" s="10" t="inlineStr">
        <is>
          <t>Alsace</t>
        </is>
      </c>
      <c r="AK26" s="16" t="n">
        <v>26</v>
      </c>
      <c r="AL26" s="10" t="inlineStr">
        <is>
          <t>Oui</t>
        </is>
      </c>
      <c r="AM26" s="10" t="inlineStr">
        <is>
          <t>Non</t>
        </is>
      </c>
      <c r="AN26" s="10" t="inlineStr">
        <is>
          <t>L'agence TEVO a le plaisir de vous proposer ce véhicule : BMW Z3 Roadster 1.9i - 118 ch - Origine France - Entretien Complet - Garantie 12 Mois Première mise en circulation le 05-06-2002 Kilométrage : 90000 km Puissance fiscale : 8 cv, 118 ch Garantie 12 Mois OPTIONS ET EQUIPEMENTS : Antenne radio courte sur aile AR gauche Appuis-tête avant Capote renbourrée (meilleure isolation thermique et acoustique) Ceintures de sécurité avec rétracteurs Chrome-Line extérieur Compte-tours Couvre-capote Direc</t>
        </is>
      </c>
      <c r="AO26" s="10" t="inlineStr">
        <is>
          <t>Dommages : Bon état général ; Permis : Avec permis ; VO récent : false ; custom_ref : 1793-0000054 ; Importé : true ; vehicle_history_report_status : visible ; spare_parts_availability : Non renseignée</t>
        </is>
      </c>
      <c r="AP26" s="19" t="inlineStr">
        <is>
          <t>Voir</t>
        </is>
      </c>
      <c r="AQ26" s="10" t="inlineStr">
        <is>
          <t>3278275196</t>
        </is>
      </c>
    </row>
    <row r="27">
      <c r="A27" s="10" t="inlineStr">
        <is>
          <t>BMW Z3 1.9i / 2.0i</t>
        </is>
      </c>
      <c r="B27" s="10" t="inlineStr">
        <is>
          <t>BMW Z3 Roadster 1.8i ROADSTER E36 Roadster 1.8i Capote neuve Collector</t>
        </is>
      </c>
      <c r="C27" s="10" t="inlineStr">
        <is>
          <t>Z3 Roadster 1.8i 115ch</t>
        </is>
      </c>
      <c r="D27" s="10" t="inlineStr">
        <is>
          <t>Base</t>
        </is>
      </c>
      <c r="E27" s="10" t="inlineStr">
        <is>
          <t>En vente</t>
        </is>
      </c>
      <c r="F27" s="18" t="n">
        <v>46198</v>
      </c>
      <c r="G27" s="18" t="n">
        <v>46198</v>
      </c>
      <c r="H27" s="18" t="n">
        <v>46310</v>
      </c>
      <c r="I27" s="18" t="n"/>
      <c r="J27" s="17">
        <f>IF(OR(ISNUMBER(F27),ISNUMBER(G27)),IF(ISNUMBER(I27),I27,H27)-IF(ISNUMBER(F27),F27,G27),"")</f>
        <v/>
      </c>
      <c r="K27" s="12" t="n">
        <v>8990</v>
      </c>
      <c r="L27" s="12" t="n">
        <v>8990</v>
      </c>
      <c r="M27" s="13">
        <f>IF(AND(ISNUMBER(K27),ISNUMBER(L27),K27&gt;0),1-L27/K27,"")</f>
        <v/>
      </c>
      <c r="N27" s="16" t="n">
        <v>0</v>
      </c>
      <c r="O27" s="12" t="n"/>
      <c r="P27" s="12" t="n"/>
      <c r="Q27" s="12" t="n"/>
      <c r="R27" s="14">
        <f>IF(AND(ISNUMBER(L27),ISNUMBER(P27),ISNUMBER(Q27)),L27/((P27+Q27)/2)-1,"")</f>
        <v/>
      </c>
      <c r="S27" s="10" t="n"/>
      <c r="T27" s="15" t="n">
        <v>160000</v>
      </c>
      <c r="U27" s="16" t="n">
        <v>1996</v>
      </c>
      <c r="V27" s="10" t="inlineStr">
        <is>
          <t>08/1996</t>
        </is>
      </c>
      <c r="W27" s="10" t="inlineStr">
        <is>
          <t>Essence</t>
        </is>
      </c>
      <c r="X27" s="10" t="inlineStr">
        <is>
          <t>Manuelle</t>
        </is>
      </c>
      <c r="Y27" s="16" t="n">
        <v>115</v>
      </c>
      <c r="Z27" s="16" t="n">
        <v>9</v>
      </c>
      <c r="AA27" s="10" t="inlineStr">
        <is>
          <t>Noir</t>
        </is>
      </c>
      <c r="AB27" s="16" t="n">
        <v>2</v>
      </c>
      <c r="AC27" s="10" t="inlineStr">
        <is>
          <t>Cabriolet</t>
        </is>
      </c>
      <c r="AD27" s="10" t="n"/>
      <c r="AE27" s="10" t="n"/>
      <c r="AF27" s="10" t="inlineStr">
        <is>
          <t>Pro</t>
        </is>
      </c>
      <c r="AG27" s="10" t="inlineStr">
        <is>
          <t>Mérignac</t>
        </is>
      </c>
      <c r="AH27" s="10" t="inlineStr">
        <is>
          <t>33700</t>
        </is>
      </c>
      <c r="AI27" s="10" t="inlineStr">
        <is>
          <t>Gironde</t>
        </is>
      </c>
      <c r="AJ27" s="10" t="inlineStr">
        <is>
          <t>Aquitaine</t>
        </is>
      </c>
      <c r="AK27" s="16" t="n">
        <v>26</v>
      </c>
      <c r="AL27" s="10" t="inlineStr">
        <is>
          <t>Oui</t>
        </is>
      </c>
      <c r="AM27" s="10" t="inlineStr">
        <is>
          <t>Non</t>
        </is>
      </c>
      <c r="AN27" s="10" t="inlineStr">
        <is>
          <t>BMW Z3 Roadster 1.8 115 ch 1996 Future véhicule de collection Capote neuve Le plaisir du roadster à l’ancienne, cheveux au vent. Je mets en vente cette magnifique BMW Z3 Roadster de 1996, un cabriolet devenu iconique qui traverse les années sans prendre une ride. Avec ses lignes intemporelles, son long capot et sa propulsion, elle offre un véritable plaisir de conduite et attire les regards partout où elle passe. Cette Z3 totalise 160 000 km et sera éligible au statut de véhicule de collection d</t>
        </is>
      </c>
      <c r="AO27" s="10" t="inlineStr">
        <is>
          <t>Dommages : Bon état général ; Permis : Avec permis ; VO récent : false ; custom_ref : 1022-0001933 ; Importé : true ; vehicle_history_report_status : visible ; spare_parts_availability : Non renseignée</t>
        </is>
      </c>
      <c r="AP27" s="19" t="inlineStr">
        <is>
          <t>Voir</t>
        </is>
      </c>
      <c r="AQ27" s="10" t="inlineStr">
        <is>
          <t>3278297992</t>
        </is>
      </c>
    </row>
    <row r="28">
      <c r="A28" s="10" t="inlineStr">
        <is>
          <t>BMW Z3 1.9i / 2.0i</t>
        </is>
      </c>
      <c r="B28" s="10" t="inlineStr">
        <is>
          <t>BMW Z3 Roadster 1.8i ROADSTER E36 Roadster 1.8i</t>
        </is>
      </c>
      <c r="C28" s="10" t="inlineStr">
        <is>
          <t>Z3 Roadster 1.8i 115ch</t>
        </is>
      </c>
      <c r="D28" s="10" t="inlineStr">
        <is>
          <t>Base</t>
        </is>
      </c>
      <c r="E28" s="10" t="inlineStr">
        <is>
          <t>En vente</t>
        </is>
      </c>
      <c r="F28" s="18" t="n">
        <v>46287</v>
      </c>
      <c r="G28" s="18" t="n">
        <v>46287</v>
      </c>
      <c r="H28" s="18" t="n">
        <v>46310</v>
      </c>
      <c r="I28" s="18" t="n"/>
      <c r="J28" s="17">
        <f>IF(OR(ISNUMBER(F28),ISNUMBER(G28)),IF(ISNUMBER(I28),I28,H28)-IF(ISNUMBER(F28),F28,G28),"")</f>
        <v/>
      </c>
      <c r="K28" s="12" t="n">
        <v>9490</v>
      </c>
      <c r="L28" s="12" t="n">
        <v>9490</v>
      </c>
      <c r="M28" s="13">
        <f>IF(AND(ISNUMBER(K28),ISNUMBER(L28),K28&gt;0),1-L28/K28,"")</f>
        <v/>
      </c>
      <c r="N28" s="16" t="n">
        <v>0</v>
      </c>
      <c r="O28" s="12" t="n"/>
      <c r="P28" s="12" t="n"/>
      <c r="Q28" s="12" t="n"/>
      <c r="R28" s="14">
        <f>IF(AND(ISNUMBER(L28),ISNUMBER(P28),ISNUMBER(Q28)),L28/((P28+Q28)/2)-1,"")</f>
        <v/>
      </c>
      <c r="S28" s="10" t="n"/>
      <c r="T28" s="15" t="n">
        <v>126000</v>
      </c>
      <c r="U28" s="16" t="n">
        <v>1998</v>
      </c>
      <c r="V28" s="10" t="inlineStr">
        <is>
          <t>04/1998</t>
        </is>
      </c>
      <c r="W28" s="10" t="inlineStr">
        <is>
          <t>Essence</t>
        </is>
      </c>
      <c r="X28" s="10" t="inlineStr">
        <is>
          <t>Manuelle</t>
        </is>
      </c>
      <c r="Y28" s="16" t="n">
        <v>115</v>
      </c>
      <c r="Z28" s="16" t="n">
        <v>9</v>
      </c>
      <c r="AA28" s="10" t="inlineStr">
        <is>
          <t>Gris</t>
        </is>
      </c>
      <c r="AB28" s="16" t="n">
        <v>2</v>
      </c>
      <c r="AC28" s="10" t="inlineStr">
        <is>
          <t>Cabriolet</t>
        </is>
      </c>
      <c r="AD28" s="10" t="n"/>
      <c r="AE28" s="10" t="n"/>
      <c r="AF28" s="10" t="inlineStr">
        <is>
          <t>Pro</t>
        </is>
      </c>
      <c r="AG28" s="10" t="inlineStr">
        <is>
          <t>Saint-Rémy-de-Provence</t>
        </is>
      </c>
      <c r="AH28" s="10" t="inlineStr">
        <is>
          <t>13210</t>
        </is>
      </c>
      <c r="AI28" s="10" t="inlineStr">
        <is>
          <t>Bouches-du-Rhône</t>
        </is>
      </c>
      <c r="AJ28" s="10" t="inlineStr">
        <is>
          <t>Provence-Alpes-Côte d'Azur</t>
        </is>
      </c>
      <c r="AK28" s="16" t="n">
        <v>18</v>
      </c>
      <c r="AL28" s="10" t="inlineStr">
        <is>
          <t>Oui</t>
        </is>
      </c>
      <c r="AM28" s="10" t="inlineStr">
        <is>
          <t>Non</t>
        </is>
      </c>
      <c r="AN28" s="10" t="inlineStr">
        <is>
          <t>Alpilles Automobile vous propose cette magnifique BMW Z3 Roadster 1.8i ROADSTER E36 Roadster Z3 1.8i , un véhicule au design soigné offrant performance, confort et plaisir de conduite. Chaque voiture proposée par Alpilles Automobile fait l’objet d’une sélection rigoureuse avant la mise en vente. - Véhicule visible uniquement sur rendez-vous à l’agence Alpilles Automobile Contactez nous par téléphone pour une réponse plus rapide. -Garantie assimilée constructeur possible jusqu’à 24 mois -Financem</t>
        </is>
      </c>
      <c r="AO28" s="10" t="inlineStr">
        <is>
          <t>Dommages : Bon état général ; Équipements intérieurs : Climatisation, Jantes en alliage, Vitres électriques arrières ; Permis : Avec permis ; VO récent : false ; custom_ref : 1732-0000727 ; Importé : true ; vehicle_history_report_status : visible ; spare_parts_availability : Non renseignée</t>
        </is>
      </c>
      <c r="AP28" s="19" t="inlineStr">
        <is>
          <t>Voir</t>
        </is>
      </c>
      <c r="AQ28" s="10" t="inlineStr">
        <is>
          <t>3278388364</t>
        </is>
      </c>
    </row>
    <row r="29">
      <c r="A29" s="10" t="inlineStr">
        <is>
          <t>BMW Z3 1.9i / 2.0i</t>
        </is>
      </c>
      <c r="B29" s="10" t="inlineStr">
        <is>
          <t>BMW Z3 Roadster 1.9 i 115cv - Pack M</t>
        </is>
      </c>
      <c r="C29" s="10" t="inlineStr">
        <is>
          <t>Z3 Roadster 1.8i 115ch</t>
        </is>
      </c>
      <c r="D29" s="10" t="inlineStr">
        <is>
          <t>Base</t>
        </is>
      </c>
      <c r="E29" s="10" t="inlineStr">
        <is>
          <t>En vente</t>
        </is>
      </c>
      <c r="F29" s="18" t="n">
        <v>46293</v>
      </c>
      <c r="G29" s="18" t="n">
        <v>46293</v>
      </c>
      <c r="H29" s="18" t="n">
        <v>46310</v>
      </c>
      <c r="I29" s="18" t="n"/>
      <c r="J29" s="17">
        <f>IF(OR(ISNUMBER(F29),ISNUMBER(G29)),IF(ISNUMBER(I29),I29,H29)-IF(ISNUMBER(F29),F29,G29),"")</f>
        <v/>
      </c>
      <c r="K29" s="12" t="n">
        <v>9990</v>
      </c>
      <c r="L29" s="12" t="n">
        <v>9990</v>
      </c>
      <c r="M29" s="13">
        <f>IF(AND(ISNUMBER(K29),ISNUMBER(L29),K29&gt;0),1-L29/K29,"")</f>
        <v/>
      </c>
      <c r="N29" s="16" t="n">
        <v>0</v>
      </c>
      <c r="O29" s="12" t="n"/>
      <c r="P29" s="12" t="n"/>
      <c r="Q29" s="12" t="n"/>
      <c r="R29" s="14">
        <f>IF(AND(ISNUMBER(L29),ISNUMBER(P29),ISNUMBER(Q29)),L29/((P29+Q29)/2)-1,"")</f>
        <v/>
      </c>
      <c r="S29" s="10" t="n"/>
      <c r="T29" s="15" t="n">
        <v>135400</v>
      </c>
      <c r="U29" s="16" t="n">
        <v>2001</v>
      </c>
      <c r="V29" s="10" t="inlineStr">
        <is>
          <t>06/2001</t>
        </is>
      </c>
      <c r="W29" s="10" t="inlineStr">
        <is>
          <t>Essence</t>
        </is>
      </c>
      <c r="X29" s="10" t="inlineStr">
        <is>
          <t>Manuelle</t>
        </is>
      </c>
      <c r="Y29" s="16" t="n">
        <v>115</v>
      </c>
      <c r="Z29" s="16" t="n">
        <v>8</v>
      </c>
      <c r="AA29" s="10" t="inlineStr">
        <is>
          <t>Noir</t>
        </is>
      </c>
      <c r="AB29" s="16" t="n">
        <v>2</v>
      </c>
      <c r="AC29" s="10" t="inlineStr">
        <is>
          <t>Cabriolet</t>
        </is>
      </c>
      <c r="AD29" s="10" t="n"/>
      <c r="AE29" s="10" t="n"/>
      <c r="AF29" s="10" t="inlineStr">
        <is>
          <t>Pro</t>
        </is>
      </c>
      <c r="AG29" s="10" t="inlineStr">
        <is>
          <t>Nice</t>
        </is>
      </c>
      <c r="AH29" s="10" t="inlineStr">
        <is>
          <t>06200</t>
        </is>
      </c>
      <c r="AI29" s="10" t="inlineStr">
        <is>
          <t>Alpes-Maritimes</t>
        </is>
      </c>
      <c r="AJ29" s="10" t="inlineStr">
        <is>
          <t>Provence-Alpes-Côte d'Azur</t>
        </is>
      </c>
      <c r="AK29" s="16" t="n">
        <v>28</v>
      </c>
      <c r="AL29" s="10" t="inlineStr">
        <is>
          <t>Oui</t>
        </is>
      </c>
      <c r="AM29" s="10" t="inlineStr">
        <is>
          <t>Non</t>
        </is>
      </c>
      <c r="AN29" s="10" t="inlineStr">
        <is>
          <t>BMW Z3 ROADSTER 1.9i – PACK M – 2001 2ÈME MAIN • 135 000 KM • CABRIOLET • PROPULSION Il y a des voitures que l'on achète pour aller vite. Et d'autres simplement parce qu'elles donnent envie de prendre la route. Cette BMW Z3 Roadster 1.9i de 115 ch, mise en circulation en 2001, appartient clairement à la seconde catégorie. Une silhouette devenue iconique, un long capot, deux places, une capote que l'on ouvre dès que le soleil apparaît et surtout cette architecture devenue rare : moteur à l'avant,</t>
        </is>
      </c>
      <c r="AO29" s="10" t="inlineStr">
        <is>
          <t>Équipements intérieurs : Climatisation, Ordinateur de bord, Vitres électriques arrières ; VO récent : false ; custom_ref : 509335 ; Importé : true ; vehicle_history_report_status : visible ; spare_parts_availability : Non renseignée</t>
        </is>
      </c>
      <c r="AP29" s="19" t="inlineStr">
        <is>
          <t>Voir</t>
        </is>
      </c>
      <c r="AQ29" s="10" t="inlineStr">
        <is>
          <t>3278435582</t>
        </is>
      </c>
    </row>
    <row r="30">
      <c r="A30" s="10" t="inlineStr">
        <is>
          <t>BMW Z3 1.9i / 2.0i</t>
        </is>
      </c>
      <c r="B30" s="10" t="inlineStr">
        <is>
          <t>Bmw z3</t>
        </is>
      </c>
      <c r="C30" s="10" t="n"/>
      <c r="D30" s="10" t="n"/>
      <c r="E30" s="10" t="inlineStr">
        <is>
          <t>En vente</t>
        </is>
      </c>
      <c r="F30" s="18" t="n">
        <v>46301</v>
      </c>
      <c r="G30" s="18" t="n">
        <v>46301</v>
      </c>
      <c r="H30" s="18" t="n">
        <v>46310</v>
      </c>
      <c r="I30" s="18" t="n"/>
      <c r="J30" s="17">
        <f>IF(OR(ISNUMBER(F30),ISNUMBER(G30)),IF(ISNUMBER(I30),I30,H30)-IF(ISNUMBER(F30),F30,G30),"")</f>
        <v/>
      </c>
      <c r="K30" s="12" t="n">
        <v>10500</v>
      </c>
      <c r="L30" s="12" t="n">
        <v>10500</v>
      </c>
      <c r="M30" s="13">
        <f>IF(AND(ISNUMBER(K30),ISNUMBER(L30),K30&gt;0),1-L30/K30,"")</f>
        <v/>
      </c>
      <c r="N30" s="16" t="n">
        <v>0</v>
      </c>
      <c r="O30" s="12" t="n"/>
      <c r="P30" s="12" t="n"/>
      <c r="Q30" s="12" t="n"/>
      <c r="R30" s="14">
        <f>IF(AND(ISNUMBER(L30),ISNUMBER(P30),ISNUMBER(Q30)),L30/((P30+Q30)/2)-1,"")</f>
        <v/>
      </c>
      <c r="S30" s="10" t="n"/>
      <c r="T30" s="15" t="n">
        <v>119000</v>
      </c>
      <c r="U30" s="16" t="n">
        <v>2002</v>
      </c>
      <c r="V30" s="10" t="inlineStr">
        <is>
          <t>02/2002</t>
        </is>
      </c>
      <c r="W30" s="10" t="inlineStr">
        <is>
          <t>Essence</t>
        </is>
      </c>
      <c r="X30" s="10" t="inlineStr">
        <is>
          <t>Manuelle</t>
        </is>
      </c>
      <c r="Y30" s="16" t="n">
        <v>85</v>
      </c>
      <c r="Z30" s="16" t="n">
        <v>8</v>
      </c>
      <c r="AA30" s="10" t="inlineStr">
        <is>
          <t>Vert</t>
        </is>
      </c>
      <c r="AB30" s="16" t="n">
        <v>2</v>
      </c>
      <c r="AC30" s="10" t="inlineStr">
        <is>
          <t>Cabriolet</t>
        </is>
      </c>
      <c r="AD30" s="10" t="n"/>
      <c r="AE30" s="10" t="n"/>
      <c r="AF30" s="10" t="inlineStr">
        <is>
          <t>Particulier</t>
        </is>
      </c>
      <c r="AG30" s="10" t="inlineStr">
        <is>
          <t>Plounévez-Lochrist</t>
        </is>
      </c>
      <c r="AH30" s="10" t="inlineStr">
        <is>
          <t>29430</t>
        </is>
      </c>
      <c r="AI30" s="10" t="inlineStr">
        <is>
          <t>Finistère</t>
        </is>
      </c>
      <c r="AJ30" s="10" t="inlineStr">
        <is>
          <t>Bretagne</t>
        </is>
      </c>
      <c r="AK30" s="16" t="n">
        <v>3</v>
      </c>
      <c r="AL30" s="10" t="n"/>
      <c r="AM30" s="10" t="inlineStr">
        <is>
          <t>Non</t>
        </is>
      </c>
      <c r="AN30" s="10" t="inlineStr">
        <is>
          <t xml:space="preserve">Je vends ma BMW Z3 de 2002, un cabriolet sportif et élégant pour profiter de la route en toute liberté. - Marque : BMW - Modèle : Z3 - Année : 2002 - Kilométrage : 119 000 km - Motorisation : 1.9i 85 ch - Carburant : Essence - Boîte de vitesses : Manuelle - Couleur : Vert - Type de véhicule : Cabriolet - Nombre de sièges : 2 - Nombre de portes : 2 - Puissance fiscale : 8 Cv - Contrôle technique : Valide jusqu'en 02/2028 N'hésitez pas à me contacter pour plus d'informations ou pour convenir d'un </t>
        </is>
      </c>
      <c r="AO30" s="10" t="inlineStr">
        <is>
          <t>vehicle_technical_inspection_valid : Oui ; Contrôle technique : 2028 ; Dommages : Bon état général ; Sellerie : Tout cuir ; Permis : Avec permis ; Importé : false</t>
        </is>
      </c>
      <c r="AP30" s="19" t="inlineStr">
        <is>
          <t>Voir</t>
        </is>
      </c>
      <c r="AQ30" s="10" t="inlineStr">
        <is>
          <t>3283125826</t>
        </is>
      </c>
    </row>
    <row r="31">
      <c r="A31" s="10" t="inlineStr">
        <is>
          <t>BMW Z3 1.9i / 2.0i</t>
        </is>
      </c>
      <c r="B31" s="10" t="inlineStr">
        <is>
          <t>Bmw Z3</t>
        </is>
      </c>
      <c r="C31" s="10" t="n"/>
      <c r="D31" s="10" t="n"/>
      <c r="E31" s="10" t="inlineStr">
        <is>
          <t>En vente</t>
        </is>
      </c>
      <c r="F31" s="18" t="n">
        <v>46301</v>
      </c>
      <c r="G31" s="18" t="n">
        <v>46301</v>
      </c>
      <c r="H31" s="18" t="n">
        <v>46310</v>
      </c>
      <c r="I31" s="18" t="n"/>
      <c r="J31" s="17">
        <f>IF(OR(ISNUMBER(F31),ISNUMBER(G31)),IF(ISNUMBER(I31),I31,H31)-IF(ISNUMBER(F31),F31,G31),"")</f>
        <v/>
      </c>
      <c r="K31" s="12" t="n">
        <v>10500</v>
      </c>
      <c r="L31" s="12" t="n">
        <v>10500</v>
      </c>
      <c r="M31" s="13">
        <f>IF(AND(ISNUMBER(K31),ISNUMBER(L31),K31&gt;0),1-L31/K31,"")</f>
        <v/>
      </c>
      <c r="N31" s="16" t="n">
        <v>0</v>
      </c>
      <c r="O31" s="12" t="n"/>
      <c r="P31" s="12" t="n"/>
      <c r="Q31" s="12" t="n"/>
      <c r="R31" s="14">
        <f>IF(AND(ISNUMBER(L31),ISNUMBER(P31),ISNUMBER(Q31)),L31/((P31+Q31)/2)-1,"")</f>
        <v/>
      </c>
      <c r="S31" s="10" t="n"/>
      <c r="T31" s="15" t="n">
        <v>85000</v>
      </c>
      <c r="U31" s="16" t="n">
        <v>1998</v>
      </c>
      <c r="V31" s="10" t="inlineStr">
        <is>
          <t>08/1998</t>
        </is>
      </c>
      <c r="W31" s="10" t="inlineStr">
        <is>
          <t>Essence</t>
        </is>
      </c>
      <c r="X31" s="10" t="inlineStr">
        <is>
          <t>Manuelle</t>
        </is>
      </c>
      <c r="Y31" s="16" t="n">
        <v>115</v>
      </c>
      <c r="Z31" s="16" t="n">
        <v>7</v>
      </c>
      <c r="AA31" s="10" t="inlineStr">
        <is>
          <t>Noir</t>
        </is>
      </c>
      <c r="AB31" s="16" t="n">
        <v>2</v>
      </c>
      <c r="AC31" s="10" t="inlineStr">
        <is>
          <t>Cabriolet</t>
        </is>
      </c>
      <c r="AD31" s="10" t="n"/>
      <c r="AE31" s="10" t="n"/>
      <c r="AF31" s="10" t="inlineStr">
        <is>
          <t>Particulier</t>
        </is>
      </c>
      <c r="AG31" s="10" t="inlineStr">
        <is>
          <t>Dolmayrac</t>
        </is>
      </c>
      <c r="AH31" s="10" t="inlineStr">
        <is>
          <t>47110</t>
        </is>
      </c>
      <c r="AI31" s="10" t="inlineStr">
        <is>
          <t>Lot-et-Garonne</t>
        </is>
      </c>
      <c r="AJ31" s="10" t="inlineStr">
        <is>
          <t>Aquitaine</t>
        </is>
      </c>
      <c r="AK31" s="16" t="n">
        <v>3</v>
      </c>
      <c r="AL31" s="10" t="n"/>
      <c r="AM31" s="10" t="inlineStr">
        <is>
          <t>Non</t>
        </is>
      </c>
      <c r="AN31" s="10" t="inlineStr">
        <is>
          <t>BMW Z3 cabriolet 1998 85000 klm très bon état</t>
        </is>
      </c>
      <c r="AO31" s="10" t="inlineStr">
        <is>
          <t>vehicle_technical_inspection_valid : Non ; Dommages : Bon état général ; Sellerie : Tout cuir ; Permis : Avec permis ; Importé : false</t>
        </is>
      </c>
      <c r="AP31" s="19" t="inlineStr">
        <is>
          <t>Voir</t>
        </is>
      </c>
      <c r="AQ31" s="10" t="inlineStr">
        <is>
          <t>3283519181</t>
        </is>
      </c>
    </row>
    <row r="32">
      <c r="A32" s="10" t="inlineStr">
        <is>
          <t>BMW Z3 1.9i / 2.0i</t>
        </is>
      </c>
      <c r="B32" s="10" t="inlineStr">
        <is>
          <t>Bmw Z3 E36 Luxe 1.9 118ch Phase 2</t>
        </is>
      </c>
      <c r="C32" s="10" t="inlineStr">
        <is>
          <t>Z3 Roadster 1.9i 118ch</t>
        </is>
      </c>
      <c r="D32" s="10" t="inlineStr">
        <is>
          <t>Base</t>
        </is>
      </c>
      <c r="E32" s="10" t="inlineStr">
        <is>
          <t>En vente</t>
        </is>
      </c>
      <c r="F32" s="18" t="n">
        <v>46302</v>
      </c>
      <c r="G32" s="18" t="n">
        <v>46302</v>
      </c>
      <c r="H32" s="18" t="n">
        <v>46310</v>
      </c>
      <c r="I32" s="18" t="n"/>
      <c r="J32" s="17">
        <f>IF(OR(ISNUMBER(F32),ISNUMBER(G32)),IF(ISNUMBER(I32),I32,H32)-IF(ISNUMBER(F32),F32,G32),"")</f>
        <v/>
      </c>
      <c r="K32" s="12" t="n">
        <v>9990</v>
      </c>
      <c r="L32" s="12" t="n">
        <v>9990</v>
      </c>
      <c r="M32" s="13">
        <f>IF(AND(ISNUMBER(K32),ISNUMBER(L32),K32&gt;0),1-L32/K32,"")</f>
        <v/>
      </c>
      <c r="N32" s="16" t="n">
        <v>0</v>
      </c>
      <c r="O32" s="12" t="n"/>
      <c r="P32" s="12" t="n"/>
      <c r="Q32" s="12" t="n"/>
      <c r="R32" s="14">
        <f>IF(AND(ISNUMBER(L32),ISNUMBER(P32),ISNUMBER(Q32)),L32/((P32+Q32)/2)-1,"")</f>
        <v/>
      </c>
      <c r="S32" s="10" t="n"/>
      <c r="T32" s="15" t="n">
        <v>180000</v>
      </c>
      <c r="U32" s="16" t="n">
        <v>2001</v>
      </c>
      <c r="V32" s="10" t="inlineStr">
        <is>
          <t>06/2001</t>
        </is>
      </c>
      <c r="W32" s="10" t="inlineStr">
        <is>
          <t>Essence</t>
        </is>
      </c>
      <c r="X32" s="10" t="inlineStr">
        <is>
          <t>Manuelle</t>
        </is>
      </c>
      <c r="Y32" s="16" t="n">
        <v>118</v>
      </c>
      <c r="Z32" s="16" t="n">
        <v>8</v>
      </c>
      <c r="AA32" s="10" t="inlineStr">
        <is>
          <t>Gris</t>
        </is>
      </c>
      <c r="AB32" s="16" t="n">
        <v>2</v>
      </c>
      <c r="AC32" s="10" t="inlineStr">
        <is>
          <t>Cabriolet</t>
        </is>
      </c>
      <c r="AD32" s="10" t="n"/>
      <c r="AE32" s="10" t="n"/>
      <c r="AF32" s="10" t="inlineStr">
        <is>
          <t>Pro</t>
        </is>
      </c>
      <c r="AG32" s="10" t="inlineStr">
        <is>
          <t>Reims</t>
        </is>
      </c>
      <c r="AH32" s="10" t="inlineStr">
        <is>
          <t>51100</t>
        </is>
      </c>
      <c r="AI32" s="10" t="inlineStr">
        <is>
          <t>Marne</t>
        </is>
      </c>
      <c r="AJ32" s="10" t="inlineStr">
        <is>
          <t>Champagne-Ardenne</t>
        </is>
      </c>
      <c r="AK32" s="16" t="n">
        <v>40</v>
      </c>
      <c r="AL32" s="10" t="inlineStr">
        <is>
          <t>Oui</t>
        </is>
      </c>
      <c r="AM32" s="10" t="inlineStr">
        <is>
          <t>Non</t>
        </is>
      </c>
      <c r="AN32" s="10" t="inlineStr">
        <is>
          <t>L'Agence TransakAuto REIMS, société spécialisée en courtage automobile, 1er réseau d'intermédiation automobile auprès des particuliers avec + de 180 agences en France depuis 2011, vous propose ce véhicule Bmw, Z3, Gris, 8 chevaux fiscaux, 2 portes, 180 000 km. ⚠ 🔦 Véhicule visible uniquement sur rdv à l'agence TransakAuto REIMS, du mardi au samedi de 10h à 18h Véhicule en dépôt-vente [non stocké sur place]. Visible uniquement sur rendez-vous dans votre agence après avoir appelé le commercial po</t>
        </is>
      </c>
      <c r="AO32" s="10" t="inlineStr">
        <is>
          <t>Équipements intérieurs : Climatisation, Essuie-glaces automatiques, Sièges sport ; VO récent : false ; custom_ref : VO73669779 ; Importé : true ; vehicle_history_report_status : visible ; spare_parts_availability : Non renseignée</t>
        </is>
      </c>
      <c r="AP32" s="19" t="inlineStr">
        <is>
          <t>Voir</t>
        </is>
      </c>
      <c r="AQ32" s="10" t="inlineStr">
        <is>
          <t>3283890361</t>
        </is>
      </c>
    </row>
    <row r="33">
      <c r="A33" s="10" t="inlineStr">
        <is>
          <t>BMW Z3 1.9i / 2.0i</t>
        </is>
      </c>
      <c r="B33" s="10" t="inlineStr">
        <is>
          <t>Bmw z3</t>
        </is>
      </c>
      <c r="C33" s="10" t="n"/>
      <c r="D33" s="10" t="n"/>
      <c r="E33" s="10" t="inlineStr">
        <is>
          <t>En vente</t>
        </is>
      </c>
      <c r="F33" s="18" t="n">
        <v>46306</v>
      </c>
      <c r="G33" s="18" t="n">
        <v>46306</v>
      </c>
      <c r="H33" s="18" t="n">
        <v>46310</v>
      </c>
      <c r="I33" s="18" t="n"/>
      <c r="J33" s="17">
        <f>IF(OR(ISNUMBER(F33),ISNUMBER(G33)),IF(ISNUMBER(I33),I33,H33)-IF(ISNUMBER(F33),F33,G33),"")</f>
        <v/>
      </c>
      <c r="K33" s="12" t="n">
        <v>8900</v>
      </c>
      <c r="L33" s="12" t="n">
        <v>8900</v>
      </c>
      <c r="M33" s="13">
        <f>IF(AND(ISNUMBER(K33),ISNUMBER(L33),K33&gt;0),1-L33/K33,"")</f>
        <v/>
      </c>
      <c r="N33" s="16" t="n">
        <v>0</v>
      </c>
      <c r="O33" s="12" t="n"/>
      <c r="P33" s="12" t="n"/>
      <c r="Q33" s="12" t="n"/>
      <c r="R33" s="14">
        <f>IF(AND(ISNUMBER(L33),ISNUMBER(P33),ISNUMBER(Q33)),L33/((P33+Q33)/2)-1,"")</f>
        <v/>
      </c>
      <c r="S33" s="10" t="n"/>
      <c r="T33" s="15" t="n">
        <v>207000</v>
      </c>
      <c r="U33" s="16" t="n">
        <v>1996</v>
      </c>
      <c r="V33" s="10" t="inlineStr">
        <is>
          <t>08/1996</t>
        </is>
      </c>
      <c r="W33" s="10" t="inlineStr">
        <is>
          <t>Essence</t>
        </is>
      </c>
      <c r="X33" s="10" t="inlineStr">
        <is>
          <t>Manuelle</t>
        </is>
      </c>
      <c r="Y33" s="16" t="n">
        <v>140</v>
      </c>
      <c r="Z33" s="16" t="n">
        <v>9</v>
      </c>
      <c r="AA33" s="10" t="inlineStr">
        <is>
          <t>Autre</t>
        </is>
      </c>
      <c r="AB33" s="16" t="n">
        <v>2</v>
      </c>
      <c r="AC33" s="10" t="inlineStr">
        <is>
          <t>Cabriolet</t>
        </is>
      </c>
      <c r="AD33" s="10" t="n"/>
      <c r="AE33" s="10" t="n"/>
      <c r="AF33" s="10" t="inlineStr">
        <is>
          <t>Particulier</t>
        </is>
      </c>
      <c r="AG33" s="10" t="inlineStr">
        <is>
          <t>Flassans-sur-Issole</t>
        </is>
      </c>
      <c r="AH33" s="10" t="inlineStr">
        <is>
          <t>83340</t>
        </is>
      </c>
      <c r="AI33" s="10" t="inlineStr">
        <is>
          <t>Var</t>
        </is>
      </c>
      <c r="AJ33" s="10" t="inlineStr">
        <is>
          <t>Provence-Alpes-Côte d'Azur</t>
        </is>
      </c>
      <c r="AK33" s="16" t="n">
        <v>3</v>
      </c>
      <c r="AL33" s="10" t="n"/>
      <c r="AM33" s="10" t="inlineStr">
        <is>
          <t>Non</t>
        </is>
      </c>
      <c r="AN33" s="10" t="inlineStr">
        <is>
          <t>BMW Z3 Roadster 1.9 140 ch 1996 très bon état roule tous les jours quelques options comme vitre électrique, siège électrique, intérieur Cuir rouge rétroviseur électrique, la couleur est bleu et des reflets violets au soleil pas mal de frais ont été fait dessus : - capote en alpaga noir ( 2200 €) - 4 pneus 225/50zr16 neuf - soufflé de cardan - plaquette de frein arrière - demarreur - visco coupleur - thermostat d'eau - demi-ligne d'échappement inox cobra sport Elle a 207000 km le contrôle techniq</t>
        </is>
      </c>
      <c r="AO33" s="10" t="inlineStr">
        <is>
          <t>Permis : Avec permis ; Importé : false</t>
        </is>
      </c>
      <c r="AP33" s="19" t="inlineStr">
        <is>
          <t>Voir</t>
        </is>
      </c>
      <c r="AQ33" s="10" t="inlineStr">
        <is>
          <t>3286480975</t>
        </is>
      </c>
    </row>
    <row r="34">
      <c r="A34" s="10" t="inlineStr">
        <is>
          <t>BMW Z3 1.9i / 2.0i</t>
        </is>
      </c>
      <c r="B34" s="10" t="inlineStr">
        <is>
          <t>Bmw z3</t>
        </is>
      </c>
      <c r="C34" s="10" t="n"/>
      <c r="D34" s="10" t="n"/>
      <c r="E34" s="10" t="inlineStr">
        <is>
          <t>En vente</t>
        </is>
      </c>
      <c r="F34" s="18" t="n">
        <v>46306</v>
      </c>
      <c r="G34" s="18" t="n">
        <v>46306</v>
      </c>
      <c r="H34" s="18" t="n">
        <v>46310</v>
      </c>
      <c r="I34" s="18" t="n"/>
      <c r="J34" s="17">
        <f>IF(OR(ISNUMBER(F34),ISNUMBER(G34)),IF(ISNUMBER(I34),I34,H34)-IF(ISNUMBER(F34),F34,G34),"")</f>
        <v/>
      </c>
      <c r="K34" s="12" t="n">
        <v>15000</v>
      </c>
      <c r="L34" s="12" t="n">
        <v>15000</v>
      </c>
      <c r="M34" s="13">
        <f>IF(AND(ISNUMBER(K34),ISNUMBER(L34),K34&gt;0),1-L34/K34,"")</f>
        <v/>
      </c>
      <c r="N34" s="16" t="n">
        <v>0</v>
      </c>
      <c r="O34" s="12" t="n"/>
      <c r="P34" s="12" t="n"/>
      <c r="Q34" s="12" t="n"/>
      <c r="R34" s="14">
        <f>IF(AND(ISNUMBER(L34),ISNUMBER(P34),ISNUMBER(Q34)),L34/((P34+Q34)/2)-1,"")</f>
        <v/>
      </c>
      <c r="S34" s="10" t="n"/>
      <c r="T34" s="15" t="n">
        <v>187000</v>
      </c>
      <c r="U34" s="16" t="n">
        <v>1997</v>
      </c>
      <c r="V34" s="10" t="inlineStr">
        <is>
          <t>12/1997</t>
        </is>
      </c>
      <c r="W34" s="10" t="inlineStr">
        <is>
          <t>Essence</t>
        </is>
      </c>
      <c r="X34" s="10" t="inlineStr">
        <is>
          <t>Manuelle</t>
        </is>
      </c>
      <c r="Y34" s="16" t="n">
        <v>115</v>
      </c>
      <c r="Z34" s="16" t="n">
        <v>9</v>
      </c>
      <c r="AA34" s="10" t="inlineStr">
        <is>
          <t>Autre</t>
        </is>
      </c>
      <c r="AB34" s="16" t="n">
        <v>2</v>
      </c>
      <c r="AC34" s="10" t="inlineStr">
        <is>
          <t>Cabriolet</t>
        </is>
      </c>
      <c r="AD34" s="10" t="n"/>
      <c r="AE34" s="10" t="n"/>
      <c r="AF34" s="10" t="inlineStr">
        <is>
          <t>Particulier</t>
        </is>
      </c>
      <c r="AG34" s="10" t="inlineStr">
        <is>
          <t>Jard-sur-Mer</t>
        </is>
      </c>
      <c r="AH34" s="10" t="inlineStr">
        <is>
          <t>85520</t>
        </is>
      </c>
      <c r="AI34" s="10" t="inlineStr">
        <is>
          <t>Vendée</t>
        </is>
      </c>
      <c r="AJ34" s="10" t="inlineStr">
        <is>
          <t>Pays de la Loire</t>
        </is>
      </c>
      <c r="AK34" s="16" t="n">
        <v>3</v>
      </c>
      <c r="AL34" s="10" t="n"/>
      <c r="AM34" s="10" t="inlineStr">
        <is>
          <t>Non</t>
        </is>
      </c>
      <c r="AN34" s="10" t="inlineStr">
        <is>
          <t>BMW Z3 en bonne état controle technique ok effectuer le 17/06/2026 contacter moi pour plus d'information le véhicule est visible a Jard sur mer ou Luçon.</t>
        </is>
      </c>
      <c r="AO34" s="10" t="inlineStr">
        <is>
          <t>vehicle_technical_inspection_valid : Non ; Dommages : Bon état général ; Permis : Avec permis ; Importé : false</t>
        </is>
      </c>
      <c r="AP34" s="19" t="inlineStr">
        <is>
          <t>Voir</t>
        </is>
      </c>
      <c r="AQ34" s="10" t="inlineStr">
        <is>
          <t>3286625426</t>
        </is>
      </c>
    </row>
    <row r="35">
      <c r="A35" s="10" t="inlineStr">
        <is>
          <t>BMW Z3 1.9i / 2.0i</t>
        </is>
      </c>
      <c r="B35" s="10" t="inlineStr">
        <is>
          <t>BMW z3</t>
        </is>
      </c>
      <c r="C35" s="10" t="n"/>
      <c r="D35" s="10" t="n"/>
      <c r="E35" s="10" t="inlineStr">
        <is>
          <t>En vente</t>
        </is>
      </c>
      <c r="F35" s="18" t="n">
        <v>46307</v>
      </c>
      <c r="G35" s="18" t="n">
        <v>46307</v>
      </c>
      <c r="H35" s="18" t="n">
        <v>46310</v>
      </c>
      <c r="I35" s="18" t="n"/>
      <c r="J35" s="17">
        <f>IF(OR(ISNUMBER(F35),ISNUMBER(G35)),IF(ISNUMBER(I35),I35,H35)-IF(ISNUMBER(F35),F35,G35),"")</f>
        <v/>
      </c>
      <c r="K35" s="12" t="n">
        <v>7800</v>
      </c>
      <c r="L35" s="12" t="n">
        <v>7800</v>
      </c>
      <c r="M35" s="13">
        <f>IF(AND(ISNUMBER(K35),ISNUMBER(L35),K35&gt;0),1-L35/K35,"")</f>
        <v/>
      </c>
      <c r="N35" s="16" t="n">
        <v>0</v>
      </c>
      <c r="O35" s="12" t="n"/>
      <c r="P35" s="12" t="n"/>
      <c r="Q35" s="12" t="n"/>
      <c r="R35" s="14">
        <f>IF(AND(ISNUMBER(L35),ISNUMBER(P35),ISNUMBER(Q35)),L35/((P35+Q35)/2)-1,"")</f>
        <v/>
      </c>
      <c r="S35" s="10" t="n"/>
      <c r="T35" s="15" t="n">
        <v>148000</v>
      </c>
      <c r="U35" s="16" t="n">
        <v>1998</v>
      </c>
      <c r="V35" s="10" t="inlineStr">
        <is>
          <t>02/1998</t>
        </is>
      </c>
      <c r="W35" s="10" t="inlineStr">
        <is>
          <t>Essence</t>
        </is>
      </c>
      <c r="X35" s="10" t="inlineStr">
        <is>
          <t>Manuelle</t>
        </is>
      </c>
      <c r="Y35" s="16" t="n">
        <v>115</v>
      </c>
      <c r="Z35" s="16" t="n">
        <v>7</v>
      </c>
      <c r="AA35" s="10" t="inlineStr">
        <is>
          <t>Noir</t>
        </is>
      </c>
      <c r="AB35" s="16" t="n">
        <v>2</v>
      </c>
      <c r="AC35" s="10" t="inlineStr">
        <is>
          <t>Cabriolet</t>
        </is>
      </c>
      <c r="AD35" s="10" t="inlineStr">
        <is>
          <t>Véhicule non fumeur, Réparations utiles déjà faites, Factures disponibles</t>
        </is>
      </c>
      <c r="AE35" s="10" t="n"/>
      <c r="AF35" s="10" t="inlineStr">
        <is>
          <t>Particulier</t>
        </is>
      </c>
      <c r="AG35" s="10" t="inlineStr">
        <is>
          <t>Saint-Gingolph</t>
        </is>
      </c>
      <c r="AH35" s="10" t="inlineStr">
        <is>
          <t>74500</t>
        </is>
      </c>
      <c r="AI35" s="10" t="inlineStr">
        <is>
          <t>Haute-Savoie</t>
        </is>
      </c>
      <c r="AJ35" s="10" t="inlineStr">
        <is>
          <t>Rhône-Alpes</t>
        </is>
      </c>
      <c r="AK35" s="16" t="n">
        <v>3</v>
      </c>
      <c r="AL35" s="10" t="n"/>
      <c r="AM35" s="10" t="inlineStr">
        <is>
          <t>Non</t>
        </is>
      </c>
      <c r="AN35" s="10" t="inlineStr">
        <is>
          <t>Bonjour, Je mets en vente ma BMW Z3 que j’ai depuis plus d’un an. CT OK Option: - sièges électriques en cuire chauffant. - jantes m homologué pour la 1.8 (1560€) La voiture est en très bon état mécanique avec tout les entretiens fait dans les temps et plusieurs frais effectués comme: - radiateur haute performance installé (147500 km) - thermostat système de refroidissement neuf (147500km) - circuit de filtrage d’huile changé (141000km) - plaquettes de freins (141000km) - 4 pneu (140000km) - vida</t>
        </is>
      </c>
      <c r="AO35" s="10" t="inlineStr">
        <is>
          <t>Dommages : Bon état général ; Sellerie : Tout cuir ; Équipements intérieurs : Chargeurs USB, Jantes en alliage, Phares anti-brouillard, Sièges chauffants, Sièges en cuir, Sièges sport, Sièges électriques, Toit ouvrant / Toit panoramique ; Permis : Avec permis ; Importé : false</t>
        </is>
      </c>
      <c r="AP35" s="19" t="inlineStr">
        <is>
          <t>Voir</t>
        </is>
      </c>
      <c r="AQ35" s="10" t="inlineStr">
        <is>
          <t>3287385983</t>
        </is>
      </c>
    </row>
    <row r="36">
      <c r="A36" s="10" t="inlineStr">
        <is>
          <t>BMW Z3 1.9i / 2.0i</t>
        </is>
      </c>
      <c r="B36" s="10" t="inlineStr">
        <is>
          <t>BMW Z3 1.9i 140ch Pack M Sport tbé Cuir Clim</t>
        </is>
      </c>
      <c r="C36" s="10" t="n"/>
      <c r="D36" s="10" t="n"/>
      <c r="E36" s="10" t="inlineStr">
        <is>
          <t>En vente</t>
        </is>
      </c>
      <c r="F36" s="18" t="n">
        <v>46112</v>
      </c>
      <c r="G36" s="18" t="n">
        <v>46112</v>
      </c>
      <c r="H36" s="18" t="n">
        <v>46296</v>
      </c>
      <c r="I36" s="18" t="n"/>
      <c r="J36" s="17">
        <f>IF(OR(ISNUMBER(F36),ISNUMBER(G36)),IF(ISNUMBER(I36),I36,H36)-IF(ISNUMBER(F36),F36,G36),"")</f>
        <v/>
      </c>
      <c r="K36" s="12" t="n">
        <v>8990</v>
      </c>
      <c r="L36" s="12" t="n">
        <v>8990</v>
      </c>
      <c r="M36" s="13">
        <f>IF(AND(ISNUMBER(K36),ISNUMBER(L36),K36&gt;0),1-L36/K36,"")</f>
        <v/>
      </c>
      <c r="N36" s="16" t="n">
        <v>0</v>
      </c>
      <c r="O36" s="12" t="n"/>
      <c r="P36" s="12" t="n"/>
      <c r="Q36" s="12" t="n"/>
      <c r="R36" s="14">
        <f>IF(AND(ISNUMBER(L36),ISNUMBER(P36),ISNUMBER(Q36)),L36/((P36+Q36)/2)-1,"")</f>
        <v/>
      </c>
      <c r="S36" s="10" t="n"/>
      <c r="T36" s="15" t="n">
        <v>186000</v>
      </c>
      <c r="U36" s="16" t="n">
        <v>1998</v>
      </c>
      <c r="V36" s="10" t="n"/>
      <c r="W36" s="10" t="inlineStr">
        <is>
          <t>Essence</t>
        </is>
      </c>
      <c r="X36" s="10" t="inlineStr">
        <is>
          <t>Manuelle</t>
        </is>
      </c>
      <c r="Y36" s="16" t="n">
        <v>140</v>
      </c>
      <c r="Z36" s="16" t="n"/>
      <c r="AA36" s="10" t="inlineStr">
        <is>
          <t>Noir</t>
        </is>
      </c>
      <c r="AB36" s="16" t="n">
        <v>3</v>
      </c>
      <c r="AC36" s="10" t="inlineStr">
        <is>
          <t>Cabriolet</t>
        </is>
      </c>
      <c r="AD36" s="10" t="n"/>
      <c r="AE36" s="10" t="n"/>
      <c r="AF36" s="10" t="inlineStr">
        <is>
          <t>Pro</t>
        </is>
      </c>
      <c r="AG36" s="10" t="inlineStr">
        <is>
          <t>Jury</t>
        </is>
      </c>
      <c r="AH36" s="10" t="inlineStr">
        <is>
          <t>57245</t>
        </is>
      </c>
      <c r="AI36" s="10" t="inlineStr">
        <is>
          <t>Moselle</t>
        </is>
      </c>
      <c r="AJ36" s="10" t="inlineStr">
        <is>
          <t>Lorraine</t>
        </is>
      </c>
      <c r="AK36" s="16" t="n"/>
      <c r="AL36" s="10" t="inlineStr">
        <is>
          <t>Oui</t>
        </is>
      </c>
      <c r="AM36" s="10" t="n"/>
      <c r="AN36" s="10" t="n"/>
      <c r="AO36" s="10" t="n"/>
      <c r="AP36" s="19" t="inlineStr">
        <is>
          <t>Voir</t>
        </is>
      </c>
      <c r="AQ36" s="10" t="inlineStr">
        <is>
          <t>3171562700</t>
        </is>
      </c>
    </row>
    <row r="37">
      <c r="A37" s="10" t="inlineStr">
        <is>
          <t>BMW Z3 1.9i / 2.0i</t>
        </is>
      </c>
      <c r="B37" s="10" t="inlineStr">
        <is>
          <t>Bmw z3 1.8 roadster GARANTIE</t>
        </is>
      </c>
      <c r="C37" s="10" t="n"/>
      <c r="D37" s="10" t="n"/>
      <c r="E37" s="10" t="inlineStr">
        <is>
          <t>En vente</t>
        </is>
      </c>
      <c r="F37" s="18" t="n">
        <v>46281</v>
      </c>
      <c r="G37" s="18" t="n">
        <v>46281</v>
      </c>
      <c r="H37" s="18" t="n">
        <v>46296</v>
      </c>
      <c r="I37" s="18" t="n"/>
      <c r="J37" s="17">
        <f>IF(OR(ISNUMBER(F37),ISNUMBER(G37)),IF(ISNUMBER(I37),I37,H37)-IF(ISNUMBER(F37),F37,G37),"")</f>
        <v/>
      </c>
      <c r="K37" s="12" t="n">
        <v>11490</v>
      </c>
      <c r="L37" s="12" t="n">
        <v>11490</v>
      </c>
      <c r="M37" s="13">
        <f>IF(AND(ISNUMBER(K37),ISNUMBER(L37),K37&gt;0),1-L37/K37,"")</f>
        <v/>
      </c>
      <c r="N37" s="16" t="n">
        <v>0</v>
      </c>
      <c r="O37" s="12" t="n"/>
      <c r="P37" s="12" t="n"/>
      <c r="Q37" s="12" t="n"/>
      <c r="R37" s="14">
        <f>IF(AND(ISNUMBER(L37),ISNUMBER(P37),ISNUMBER(Q37)),L37/((P37+Q37)/2)-1,"")</f>
        <v/>
      </c>
      <c r="S37" s="10" t="n"/>
      <c r="T37" s="15" t="n">
        <v>119627</v>
      </c>
      <c r="U37" s="16" t="n">
        <v>1997</v>
      </c>
      <c r="V37" s="10" t="n"/>
      <c r="W37" s="10" t="inlineStr">
        <is>
          <t>Essence</t>
        </is>
      </c>
      <c r="X37" s="10" t="inlineStr">
        <is>
          <t>Manuelle</t>
        </is>
      </c>
      <c r="Y37" s="16" t="n">
        <v>115</v>
      </c>
      <c r="Z37" s="16" t="n">
        <v>7</v>
      </c>
      <c r="AA37" s="10" t="inlineStr">
        <is>
          <t>Gris</t>
        </is>
      </c>
      <c r="AB37" s="16" t="n">
        <v>2</v>
      </c>
      <c r="AC37" s="10" t="inlineStr">
        <is>
          <t>Cabriolet</t>
        </is>
      </c>
      <c r="AD37" s="10" t="n"/>
      <c r="AE37" s="10" t="n"/>
      <c r="AF37" s="10" t="inlineStr">
        <is>
          <t>Pro</t>
        </is>
      </c>
      <c r="AG37" s="10" t="inlineStr">
        <is>
          <t>Montélimar</t>
        </is>
      </c>
      <c r="AH37" s="10" t="inlineStr">
        <is>
          <t>26200</t>
        </is>
      </c>
      <c r="AI37" s="10" t="inlineStr">
        <is>
          <t>Drôme</t>
        </is>
      </c>
      <c r="AJ37" s="10" t="inlineStr">
        <is>
          <t>Rhône-Alpes</t>
        </is>
      </c>
      <c r="AK37" s="16" t="n"/>
      <c r="AL37" s="10" t="inlineStr">
        <is>
          <t>Oui</t>
        </is>
      </c>
      <c r="AM37" s="10" t="n"/>
      <c r="AN37" s="10" t="n"/>
      <c r="AO37" s="10" t="n"/>
      <c r="AP37" s="19" t="inlineStr">
        <is>
          <t>Voir</t>
        </is>
      </c>
      <c r="AQ37" s="10" t="inlineStr">
        <is>
          <t>3197947364</t>
        </is>
      </c>
    </row>
    <row r="38">
      <c r="A38" s="10" t="inlineStr">
        <is>
          <t>BMW Z3 1.9i / 2.0i</t>
        </is>
      </c>
      <c r="B38" s="10" t="inlineStr">
        <is>
          <t>BMW Z3 1.9 140cv</t>
        </is>
      </c>
      <c r="C38" s="10" t="n"/>
      <c r="D38" s="10" t="n"/>
      <c r="E38" s="10" t="inlineStr">
        <is>
          <t>En vente</t>
        </is>
      </c>
      <c r="F38" s="18" t="n">
        <v>46244</v>
      </c>
      <c r="G38" s="18" t="n">
        <v>46244</v>
      </c>
      <c r="H38" s="18" t="n">
        <v>46296</v>
      </c>
      <c r="I38" s="18" t="n"/>
      <c r="J38" s="17">
        <f>IF(OR(ISNUMBER(F38),ISNUMBER(G38)),IF(ISNUMBER(I38),I38,H38)-IF(ISNUMBER(F38),F38,G38),"")</f>
        <v/>
      </c>
      <c r="K38" s="12" t="n">
        <v>9990</v>
      </c>
      <c r="L38" s="12" t="n">
        <v>9990</v>
      </c>
      <c r="M38" s="13">
        <f>IF(AND(ISNUMBER(K38),ISNUMBER(L38),K38&gt;0),1-L38/K38,"")</f>
        <v/>
      </c>
      <c r="N38" s="16" t="n">
        <v>0</v>
      </c>
      <c r="O38" s="12" t="n"/>
      <c r="P38" s="12" t="n"/>
      <c r="Q38" s="12" t="n"/>
      <c r="R38" s="14">
        <f>IF(AND(ISNUMBER(L38),ISNUMBER(P38),ISNUMBER(Q38)),L38/((P38+Q38)/2)-1,"")</f>
        <v/>
      </c>
      <c r="S38" s="10" t="n"/>
      <c r="T38" s="15" t="n">
        <v>154000</v>
      </c>
      <c r="U38" s="16" t="n">
        <v>1997</v>
      </c>
      <c r="V38" s="10" t="n"/>
      <c r="W38" s="10" t="inlineStr">
        <is>
          <t>Essence</t>
        </is>
      </c>
      <c r="X38" s="10" t="inlineStr">
        <is>
          <t>Manuelle</t>
        </is>
      </c>
      <c r="Y38" s="16" t="n">
        <v>140</v>
      </c>
      <c r="Z38" s="16" t="n">
        <v>10</v>
      </c>
      <c r="AA38" s="10" t="inlineStr">
        <is>
          <t>Gris</t>
        </is>
      </c>
      <c r="AB38" s="16" t="n">
        <v>2</v>
      </c>
      <c r="AC38" s="10" t="inlineStr">
        <is>
          <t>Autre</t>
        </is>
      </c>
      <c r="AD38" s="10" t="n"/>
      <c r="AE38" s="10" t="n"/>
      <c r="AF38" s="10" t="inlineStr">
        <is>
          <t>Pro</t>
        </is>
      </c>
      <c r="AG38" s="10" t="inlineStr">
        <is>
          <t>La Roche-sur-Yon</t>
        </is>
      </c>
      <c r="AH38" s="10" t="inlineStr">
        <is>
          <t>85000</t>
        </is>
      </c>
      <c r="AI38" s="10" t="inlineStr">
        <is>
          <t>Vendée</t>
        </is>
      </c>
      <c r="AJ38" s="10" t="inlineStr">
        <is>
          <t>Pays de la Loire</t>
        </is>
      </c>
      <c r="AK38" s="16" t="n"/>
      <c r="AL38" s="10" t="inlineStr">
        <is>
          <t>Oui</t>
        </is>
      </c>
      <c r="AM38" s="10" t="n"/>
      <c r="AN38" s="10" t="n"/>
      <c r="AO38" s="10" t="n"/>
      <c r="AP38" s="19" t="inlineStr">
        <is>
          <t>Voir</t>
        </is>
      </c>
      <c r="AQ38" s="10" t="inlineStr">
        <is>
          <t>3217262918</t>
        </is>
      </c>
    </row>
    <row r="39">
      <c r="A39" s="10" t="inlineStr">
        <is>
          <t>BMW Z3 1.9i / 2.0i</t>
        </is>
      </c>
      <c r="B39" s="10" t="inlineStr">
        <is>
          <t>BMW Z3 cabriolet 2.2 170 ch 6 cylindres 84700 km</t>
        </is>
      </c>
      <c r="C39" s="10" t="n"/>
      <c r="D39" s="10" t="n"/>
      <c r="E39" s="10" t="inlineStr">
        <is>
          <t>En vente</t>
        </is>
      </c>
      <c r="F39" s="18" t="n">
        <v>46254</v>
      </c>
      <c r="G39" s="18" t="n">
        <v>46254</v>
      </c>
      <c r="H39" s="18" t="n">
        <v>46296</v>
      </c>
      <c r="I39" s="18" t="n"/>
      <c r="J39" s="17">
        <f>IF(OR(ISNUMBER(F39),ISNUMBER(G39)),IF(ISNUMBER(I39),I39,H39)-IF(ISNUMBER(F39),F39,G39),"")</f>
        <v/>
      </c>
      <c r="K39" s="12" t="n">
        <v>17900</v>
      </c>
      <c r="L39" s="12" t="n">
        <v>17900</v>
      </c>
      <c r="M39" s="13">
        <f>IF(AND(ISNUMBER(K39),ISNUMBER(L39),K39&gt;0),1-L39/K39,"")</f>
        <v/>
      </c>
      <c r="N39" s="16" t="n">
        <v>0</v>
      </c>
      <c r="O39" s="12" t="n"/>
      <c r="P39" s="12" t="n"/>
      <c r="Q39" s="12" t="n"/>
      <c r="R39" s="14">
        <f>IF(AND(ISNUMBER(L39),ISNUMBER(P39),ISNUMBER(Q39)),L39/((P39+Q39)/2)-1,"")</f>
        <v/>
      </c>
      <c r="S39" s="10" t="n"/>
      <c r="T39" s="15" t="n">
        <v>84700</v>
      </c>
      <c r="U39" s="16" t="n">
        <v>2002</v>
      </c>
      <c r="V39" s="10" t="n"/>
      <c r="W39" s="10" t="inlineStr">
        <is>
          <t>Essence</t>
        </is>
      </c>
      <c r="X39" s="10" t="inlineStr">
        <is>
          <t>Manuelle</t>
        </is>
      </c>
      <c r="Y39" s="16" t="n">
        <v>170</v>
      </c>
      <c r="Z39" s="16" t="n">
        <v>11</v>
      </c>
      <c r="AA39" s="10" t="inlineStr">
        <is>
          <t>Argent</t>
        </is>
      </c>
      <c r="AB39" s="16" t="n">
        <v>2</v>
      </c>
      <c r="AC39" s="10" t="inlineStr">
        <is>
          <t>Cabriolet</t>
        </is>
      </c>
      <c r="AD39" s="10" t="n"/>
      <c r="AE39" s="10" t="n"/>
      <c r="AF39" s="10" t="inlineStr">
        <is>
          <t>Particulier</t>
        </is>
      </c>
      <c r="AG39" s="10" t="inlineStr">
        <is>
          <t>Yerres</t>
        </is>
      </c>
      <c r="AH39" s="10" t="inlineStr">
        <is>
          <t>91330</t>
        </is>
      </c>
      <c r="AI39" s="10" t="inlineStr">
        <is>
          <t>Essonne</t>
        </is>
      </c>
      <c r="AJ39" s="10" t="inlineStr">
        <is>
          <t>Ile-de-France</t>
        </is>
      </c>
      <c r="AK39" s="16" t="n"/>
      <c r="AL39" s="10" t="inlineStr">
        <is>
          <t>Oui</t>
        </is>
      </c>
      <c r="AM39" s="10" t="n"/>
      <c r="AN39" s="10" t="n"/>
      <c r="AO39" s="10" t="n"/>
      <c r="AP39" s="19" t="inlineStr">
        <is>
          <t>Voir</t>
        </is>
      </c>
      <c r="AQ39" s="10" t="inlineStr">
        <is>
          <t>3220328214</t>
        </is>
      </c>
    </row>
    <row r="40">
      <c r="A40" s="10" t="inlineStr">
        <is>
          <t>BMW Z3 1.9i / 2.0i</t>
        </is>
      </c>
      <c r="B40" s="10" t="inlineStr">
        <is>
          <t>Bmw Z3 ROADSTER (E36) 2.0 150CH</t>
        </is>
      </c>
      <c r="C40" s="10" t="n"/>
      <c r="D40" s="10" t="n"/>
      <c r="E40" s="10" t="inlineStr">
        <is>
          <t>En vente</t>
        </is>
      </c>
      <c r="F40" s="18" t="n">
        <v>46270</v>
      </c>
      <c r="G40" s="18" t="n">
        <v>46270</v>
      </c>
      <c r="H40" s="18" t="n">
        <v>46296</v>
      </c>
      <c r="I40" s="18" t="n"/>
      <c r="J40" s="17">
        <f>IF(OR(ISNUMBER(F40),ISNUMBER(G40)),IF(ISNUMBER(I40),I40,H40)-IF(ISNUMBER(F40),F40,G40),"")</f>
        <v/>
      </c>
      <c r="K40" s="12" t="n">
        <v>15990</v>
      </c>
      <c r="L40" s="12" t="n">
        <v>15990</v>
      </c>
      <c r="M40" s="13">
        <f>IF(AND(ISNUMBER(K40),ISNUMBER(L40),K40&gt;0),1-L40/K40,"")</f>
        <v/>
      </c>
      <c r="N40" s="16" t="n">
        <v>0</v>
      </c>
      <c r="O40" s="12" t="n"/>
      <c r="P40" s="12" t="n"/>
      <c r="Q40" s="12" t="n"/>
      <c r="R40" s="14">
        <f>IF(AND(ISNUMBER(L40),ISNUMBER(P40),ISNUMBER(Q40)),L40/((P40+Q40)/2)-1,"")</f>
        <v/>
      </c>
      <c r="S40" s="10" t="n"/>
      <c r="T40" s="15" t="n">
        <v>122000</v>
      </c>
      <c r="U40" s="16" t="n">
        <v>2002</v>
      </c>
      <c r="V40" s="10" t="n"/>
      <c r="W40" s="10" t="inlineStr">
        <is>
          <t>Essence</t>
        </is>
      </c>
      <c r="X40" s="10" t="inlineStr">
        <is>
          <t>Manuelle</t>
        </is>
      </c>
      <c r="Y40" s="16" t="n">
        <v>150</v>
      </c>
      <c r="Z40" s="16" t="n">
        <v>10</v>
      </c>
      <c r="AA40" s="10" t="inlineStr">
        <is>
          <t>Bleu</t>
        </is>
      </c>
      <c r="AB40" s="16" t="n">
        <v>3</v>
      </c>
      <c r="AC40" s="10" t="inlineStr">
        <is>
          <t>Cabriolet</t>
        </is>
      </c>
      <c r="AD40" s="10" t="n"/>
      <c r="AE40" s="10" t="n"/>
      <c r="AF40" s="10" t="inlineStr">
        <is>
          <t>Pro</t>
        </is>
      </c>
      <c r="AG40" s="10" t="inlineStr">
        <is>
          <t>Melesse</t>
        </is>
      </c>
      <c r="AH40" s="10" t="inlineStr">
        <is>
          <t>35520</t>
        </is>
      </c>
      <c r="AI40" s="10" t="inlineStr">
        <is>
          <t>Ille-et-Vilaine</t>
        </is>
      </c>
      <c r="AJ40" s="10" t="inlineStr">
        <is>
          <t>Bretagne</t>
        </is>
      </c>
      <c r="AK40" s="16" t="n"/>
      <c r="AL40" s="10" t="inlineStr">
        <is>
          <t>Oui</t>
        </is>
      </c>
      <c r="AM40" s="10" t="n"/>
      <c r="AN40" s="10" t="n"/>
      <c r="AO40" s="10" t="n"/>
      <c r="AP40" s="19" t="inlineStr">
        <is>
          <t>Voir</t>
        </is>
      </c>
      <c r="AQ40" s="10" t="inlineStr">
        <is>
          <t>3230964764</t>
        </is>
      </c>
    </row>
    <row r="41">
      <c r="A41" s="10" t="inlineStr">
        <is>
          <t>BMW Z3 1.9i / 2.0i</t>
        </is>
      </c>
      <c r="B41" s="10" t="inlineStr">
        <is>
          <t>BMW Z3 Roadster 1.9i ROADSTER E36 Roadster BVM - GARANTIE 12 MOIS</t>
        </is>
      </c>
      <c r="C41" s="10" t="n"/>
      <c r="D41" s="10" t="n"/>
      <c r="E41" s="10" t="inlineStr">
        <is>
          <t>En vente</t>
        </is>
      </c>
      <c r="F41" s="18" t="n">
        <v>46240</v>
      </c>
      <c r="G41" s="18" t="n">
        <v>46240</v>
      </c>
      <c r="H41" s="18" t="n">
        <v>46296</v>
      </c>
      <c r="I41" s="18" t="n"/>
      <c r="J41" s="17">
        <f>IF(OR(ISNUMBER(F41),ISNUMBER(G41)),IF(ISNUMBER(I41),I41,H41)-IF(ISNUMBER(F41),F41,G41),"")</f>
        <v/>
      </c>
      <c r="K41" s="12" t="n">
        <v>10990</v>
      </c>
      <c r="L41" s="12" t="n">
        <v>10990</v>
      </c>
      <c r="M41" s="13">
        <f>IF(AND(ISNUMBER(K41),ISNUMBER(L41),K41&gt;0),1-L41/K41,"")</f>
        <v/>
      </c>
      <c r="N41" s="16" t="n">
        <v>0</v>
      </c>
      <c r="O41" s="12" t="n"/>
      <c r="P41" s="12" t="n"/>
      <c r="Q41" s="12" t="n"/>
      <c r="R41" s="14">
        <f>IF(AND(ISNUMBER(L41),ISNUMBER(P41),ISNUMBER(Q41)),L41/((P41+Q41)/2)-1,"")</f>
        <v/>
      </c>
      <c r="S41" s="10" t="n"/>
      <c r="T41" s="15" t="n">
        <v>171000</v>
      </c>
      <c r="U41" s="16" t="n">
        <v>2001</v>
      </c>
      <c r="V41" s="10" t="n"/>
      <c r="W41" s="10" t="inlineStr">
        <is>
          <t>Essence</t>
        </is>
      </c>
      <c r="X41" s="10" t="inlineStr">
        <is>
          <t>Manuelle</t>
        </is>
      </c>
      <c r="Y41" s="16" t="n">
        <v>116</v>
      </c>
      <c r="Z41" s="16" t="n"/>
      <c r="AA41" s="10" t="inlineStr">
        <is>
          <t>Argent</t>
        </is>
      </c>
      <c r="AB41" s="16" t="n">
        <v>3</v>
      </c>
      <c r="AC41" s="10" t="inlineStr">
        <is>
          <t>Cabriolet</t>
        </is>
      </c>
      <c r="AD41" s="10" t="n"/>
      <c r="AE41" s="10" t="n"/>
      <c r="AF41" s="10" t="inlineStr">
        <is>
          <t>Pro</t>
        </is>
      </c>
      <c r="AG41" s="10" t="inlineStr">
        <is>
          <t>Montussan</t>
        </is>
      </c>
      <c r="AH41" s="10" t="inlineStr">
        <is>
          <t>33450</t>
        </is>
      </c>
      <c r="AI41" s="10" t="inlineStr">
        <is>
          <t>Gironde</t>
        </is>
      </c>
      <c r="AJ41" s="10" t="inlineStr">
        <is>
          <t>Aquitaine</t>
        </is>
      </c>
      <c r="AK41" s="16" t="n"/>
      <c r="AL41" s="10" t="inlineStr">
        <is>
          <t>Oui</t>
        </is>
      </c>
      <c r="AM41" s="10" t="n"/>
      <c r="AN41" s="10" t="n"/>
      <c r="AO41" s="10" t="n"/>
      <c r="AP41" s="19" t="inlineStr">
        <is>
          <t>Voir</t>
        </is>
      </c>
      <c r="AQ41" s="10" t="inlineStr">
        <is>
          <t>3245635449</t>
        </is>
      </c>
    </row>
    <row r="42">
      <c r="A42" s="10" t="inlineStr">
        <is>
          <t>BMW Z3 1.9i / 2.0i</t>
        </is>
      </c>
      <c r="B42" s="10" t="inlineStr">
        <is>
          <t>BMW Z3 Roadster 1.9i 118ch Garantie 6 Mois</t>
        </is>
      </c>
      <c r="C42" s="10" t="n"/>
      <c r="D42" s="10" t="n"/>
      <c r="E42" s="10" t="inlineStr">
        <is>
          <t>En vente</t>
        </is>
      </c>
      <c r="F42" s="18" t="n">
        <v>46246</v>
      </c>
      <c r="G42" s="18" t="n">
        <v>46246</v>
      </c>
      <c r="H42" s="18" t="n">
        <v>46296</v>
      </c>
      <c r="I42" s="18" t="n"/>
      <c r="J42" s="17">
        <f>IF(OR(ISNUMBER(F42),ISNUMBER(G42)),IF(ISNUMBER(I42),I42,H42)-IF(ISNUMBER(F42),F42,G42),"")</f>
        <v/>
      </c>
      <c r="K42" s="12" t="n">
        <v>9990</v>
      </c>
      <c r="L42" s="12" t="n">
        <v>9990</v>
      </c>
      <c r="M42" s="13">
        <f>IF(AND(ISNUMBER(K42),ISNUMBER(L42),K42&gt;0),1-L42/K42,"")</f>
        <v/>
      </c>
      <c r="N42" s="16" t="n">
        <v>0</v>
      </c>
      <c r="O42" s="12" t="n"/>
      <c r="P42" s="12" t="n"/>
      <c r="Q42" s="12" t="n"/>
      <c r="R42" s="14">
        <f>IF(AND(ISNUMBER(L42),ISNUMBER(P42),ISNUMBER(Q42)),L42/((P42+Q42)/2)-1,"")</f>
        <v/>
      </c>
      <c r="S42" s="10" t="n"/>
      <c r="T42" s="15" t="n">
        <v>195944</v>
      </c>
      <c r="U42" s="16" t="n">
        <v>2000</v>
      </c>
      <c r="V42" s="10" t="n"/>
      <c r="W42" s="10" t="inlineStr">
        <is>
          <t>Essence</t>
        </is>
      </c>
      <c r="X42" s="10" t="inlineStr">
        <is>
          <t>Manuelle</t>
        </is>
      </c>
      <c r="Y42" s="16" t="n">
        <v>118</v>
      </c>
      <c r="Z42" s="16" t="n">
        <v>8</v>
      </c>
      <c r="AA42" s="10" t="inlineStr">
        <is>
          <t>Gris</t>
        </is>
      </c>
      <c r="AB42" s="16" t="n">
        <v>2</v>
      </c>
      <c r="AC42" s="10" t="inlineStr">
        <is>
          <t>Cabriolet</t>
        </is>
      </c>
      <c r="AD42" s="10" t="n"/>
      <c r="AE42" s="10" t="n"/>
      <c r="AF42" s="10" t="inlineStr">
        <is>
          <t>Pro</t>
        </is>
      </c>
      <c r="AG42" s="10" t="inlineStr">
        <is>
          <t>Herrlisheim-près-Colmar</t>
        </is>
      </c>
      <c r="AH42" s="10" t="inlineStr">
        <is>
          <t>68420</t>
        </is>
      </c>
      <c r="AI42" s="10" t="inlineStr">
        <is>
          <t>Haut-Rhin</t>
        </is>
      </c>
      <c r="AJ42" s="10" t="inlineStr">
        <is>
          <t>Alsace</t>
        </is>
      </c>
      <c r="AK42" s="16" t="n"/>
      <c r="AL42" s="10" t="inlineStr">
        <is>
          <t>Oui</t>
        </is>
      </c>
      <c r="AM42" s="10" t="n"/>
      <c r="AN42" s="10" t="n"/>
      <c r="AO42" s="10" t="n"/>
      <c r="AP42" s="19" t="inlineStr">
        <is>
          <t>Voir</t>
        </is>
      </c>
      <c r="AQ42" s="10" t="inlineStr">
        <is>
          <t>3249081293</t>
        </is>
      </c>
    </row>
    <row r="43">
      <c r="A43" s="10" t="inlineStr">
        <is>
          <t>BMW Z3 1.9i / 2.0i</t>
        </is>
      </c>
      <c r="B43" s="10" t="inlineStr">
        <is>
          <t>Bmw z3 1.9 i</t>
        </is>
      </c>
      <c r="C43" s="10" t="n"/>
      <c r="D43" s="10" t="n"/>
      <c r="E43" s="10" t="inlineStr">
        <is>
          <t>En vente</t>
        </is>
      </c>
      <c r="F43" s="18" t="n">
        <v>46247</v>
      </c>
      <c r="G43" s="18" t="n">
        <v>46247</v>
      </c>
      <c r="H43" s="18" t="n">
        <v>46296</v>
      </c>
      <c r="I43" s="18" t="n"/>
      <c r="J43" s="17">
        <f>IF(OR(ISNUMBER(F43),ISNUMBER(G43)),IF(ISNUMBER(I43),I43,H43)-IF(ISNUMBER(F43),F43,G43),"")</f>
        <v/>
      </c>
      <c r="K43" s="12" t="n">
        <v>9500</v>
      </c>
      <c r="L43" s="12" t="n">
        <v>9500</v>
      </c>
      <c r="M43" s="13">
        <f>IF(AND(ISNUMBER(K43),ISNUMBER(L43),K43&gt;0),1-L43/K43,"")</f>
        <v/>
      </c>
      <c r="N43" s="16" t="n">
        <v>0</v>
      </c>
      <c r="O43" s="12" t="n"/>
      <c r="P43" s="12" t="n"/>
      <c r="Q43" s="12" t="n"/>
      <c r="R43" s="14">
        <f>IF(AND(ISNUMBER(L43),ISNUMBER(P43),ISNUMBER(Q43)),L43/((P43+Q43)/2)-1,"")</f>
        <v/>
      </c>
      <c r="S43" s="10" t="n"/>
      <c r="T43" s="15" t="n">
        <v>128482</v>
      </c>
      <c r="U43" s="16" t="n">
        <v>1999</v>
      </c>
      <c r="V43" s="10" t="n"/>
      <c r="W43" s="10" t="inlineStr">
        <is>
          <t>Essence</t>
        </is>
      </c>
      <c r="X43" s="10" t="inlineStr">
        <is>
          <t>Manuelle</t>
        </is>
      </c>
      <c r="Y43" s="16" t="n"/>
      <c r="Z43" s="16" t="n"/>
      <c r="AA43" s="10" t="n"/>
      <c r="AB43" s="16" t="n"/>
      <c r="AC43" s="10" t="n"/>
      <c r="AD43" s="10" t="n"/>
      <c r="AE43" s="10" t="n"/>
      <c r="AF43" s="10" t="inlineStr">
        <is>
          <t>Pro</t>
        </is>
      </c>
      <c r="AG43" s="10" t="inlineStr">
        <is>
          <t>Andilly</t>
        </is>
      </c>
      <c r="AH43" s="10" t="inlineStr">
        <is>
          <t>17230</t>
        </is>
      </c>
      <c r="AI43" s="10" t="inlineStr">
        <is>
          <t>Charente-Maritime</t>
        </is>
      </c>
      <c r="AJ43" s="10" t="inlineStr">
        <is>
          <t>Poitou-Charentes</t>
        </is>
      </c>
      <c r="AK43" s="16" t="n"/>
      <c r="AL43" s="10" t="inlineStr">
        <is>
          <t>Oui</t>
        </is>
      </c>
      <c r="AM43" s="10" t="n"/>
      <c r="AN43" s="10" t="n"/>
      <c r="AO43" s="10" t="n"/>
      <c r="AP43" s="19" t="inlineStr">
        <is>
          <t>Voir</t>
        </is>
      </c>
      <c r="AQ43" s="10" t="inlineStr">
        <is>
          <t>3249519594</t>
        </is>
      </c>
    </row>
    <row r="44">
      <c r="A44" s="10" t="inlineStr">
        <is>
          <t>BMW Z3 1.9i / 2.0i</t>
        </is>
      </c>
      <c r="B44" s="10" t="inlineStr">
        <is>
          <t>Bmw z3 roadster 1.9 118 cv - 85 500 km - 13 900.00</t>
        </is>
      </c>
      <c r="C44" s="10" t="n"/>
      <c r="D44" s="10" t="n"/>
      <c r="E44" s="10" t="inlineStr">
        <is>
          <t>En vente</t>
        </is>
      </c>
      <c r="F44" s="18" t="n">
        <v>46259</v>
      </c>
      <c r="G44" s="18" t="n">
        <v>46259</v>
      </c>
      <c r="H44" s="18" t="n">
        <v>46296</v>
      </c>
      <c r="I44" s="18" t="n"/>
      <c r="J44" s="17">
        <f>IF(OR(ISNUMBER(F44),ISNUMBER(G44)),IF(ISNUMBER(I44),I44,H44)-IF(ISNUMBER(F44),F44,G44),"")</f>
        <v/>
      </c>
      <c r="K44" s="12" t="n">
        <v>13900</v>
      </c>
      <c r="L44" s="12" t="n">
        <v>13900</v>
      </c>
      <c r="M44" s="13">
        <f>IF(AND(ISNUMBER(K44),ISNUMBER(L44),K44&gt;0),1-L44/K44,"")</f>
        <v/>
      </c>
      <c r="N44" s="16" t="n">
        <v>0</v>
      </c>
      <c r="O44" s="12" t="n"/>
      <c r="P44" s="12" t="n"/>
      <c r="Q44" s="12" t="n"/>
      <c r="R44" s="14">
        <f>IF(AND(ISNUMBER(L44),ISNUMBER(P44),ISNUMBER(Q44)),L44/((P44+Q44)/2)-1,"")</f>
        <v/>
      </c>
      <c r="S44" s="10" t="n"/>
      <c r="T44" s="15" t="n">
        <v>85500</v>
      </c>
      <c r="U44" s="16" t="n">
        <v>2002</v>
      </c>
      <c r="V44" s="10" t="n"/>
      <c r="W44" s="10" t="inlineStr">
        <is>
          <t>Essence</t>
        </is>
      </c>
      <c r="X44" s="10" t="inlineStr">
        <is>
          <t>Manuelle</t>
        </is>
      </c>
      <c r="Y44" s="16" t="n">
        <v>118</v>
      </c>
      <c r="Z44" s="16" t="n">
        <v>8</v>
      </c>
      <c r="AA44" s="10" t="inlineStr">
        <is>
          <t>Bleu</t>
        </is>
      </c>
      <c r="AB44" s="16" t="n">
        <v>2</v>
      </c>
      <c r="AC44" s="10" t="inlineStr">
        <is>
          <t>Cabriolet</t>
        </is>
      </c>
      <c r="AD44" s="10" t="n"/>
      <c r="AE44" s="10" t="n"/>
      <c r="AF44" s="10" t="inlineStr">
        <is>
          <t>Pro</t>
        </is>
      </c>
      <c r="AG44" s="10" t="inlineStr">
        <is>
          <t>Chambray-lès-Tours</t>
        </is>
      </c>
      <c r="AH44" s="10" t="inlineStr">
        <is>
          <t>37170</t>
        </is>
      </c>
      <c r="AI44" s="10" t="inlineStr">
        <is>
          <t>Indre-et-Loire</t>
        </is>
      </c>
      <c r="AJ44" s="10" t="inlineStr">
        <is>
          <t>Centre</t>
        </is>
      </c>
      <c r="AK44" s="16" t="n"/>
      <c r="AL44" s="10" t="inlineStr">
        <is>
          <t>Oui</t>
        </is>
      </c>
      <c r="AM44" s="10" t="n"/>
      <c r="AN44" s="10" t="n"/>
      <c r="AO44" s="10" t="n"/>
      <c r="AP44" s="19" t="inlineStr">
        <is>
          <t>Voir</t>
        </is>
      </c>
      <c r="AQ44" s="10" t="inlineStr">
        <is>
          <t>3256683007</t>
        </is>
      </c>
    </row>
    <row r="45">
      <c r="A45" s="10" t="inlineStr">
        <is>
          <t>BMW Z3 1.9i / 2.0i</t>
        </is>
      </c>
      <c r="B45" s="10" t="inlineStr">
        <is>
          <t>BMW Z3 Z3 1.9i ORIGINE FRANCE</t>
        </is>
      </c>
      <c r="C45" s="10" t="n"/>
      <c r="D45" s="10" t="n"/>
      <c r="E45" s="10" t="inlineStr">
        <is>
          <t>En vente</t>
        </is>
      </c>
      <c r="F45" s="18" t="n">
        <v>46262</v>
      </c>
      <c r="G45" s="18" t="n">
        <v>46262</v>
      </c>
      <c r="H45" s="18" t="n">
        <v>46296</v>
      </c>
      <c r="I45" s="18" t="n"/>
      <c r="J45" s="17">
        <f>IF(OR(ISNUMBER(F45),ISNUMBER(G45)),IF(ISNUMBER(I45),I45,H45)-IF(ISNUMBER(F45),F45,G45),"")</f>
        <v/>
      </c>
      <c r="K45" s="12" t="n">
        <v>10990</v>
      </c>
      <c r="L45" s="12" t="n">
        <v>10990</v>
      </c>
      <c r="M45" s="13">
        <f>IF(AND(ISNUMBER(K45),ISNUMBER(L45),K45&gt;0),1-L45/K45,"")</f>
        <v/>
      </c>
      <c r="N45" s="16" t="n">
        <v>0</v>
      </c>
      <c r="O45" s="12" t="n"/>
      <c r="P45" s="12" t="n"/>
      <c r="Q45" s="12" t="n"/>
      <c r="R45" s="14">
        <f>IF(AND(ISNUMBER(L45),ISNUMBER(P45),ISNUMBER(Q45)),L45/((P45+Q45)/2)-1,"")</f>
        <v/>
      </c>
      <c r="S45" s="10" t="n"/>
      <c r="T45" s="15" t="n">
        <v>114150</v>
      </c>
      <c r="U45" s="16" t="n">
        <v>2001</v>
      </c>
      <c r="V45" s="10" t="n"/>
      <c r="W45" s="10" t="inlineStr">
        <is>
          <t>Essence</t>
        </is>
      </c>
      <c r="X45" s="10" t="inlineStr">
        <is>
          <t>Manuelle</t>
        </is>
      </c>
      <c r="Y45" s="16" t="n">
        <v>116</v>
      </c>
      <c r="Z45" s="16" t="n">
        <v>8</v>
      </c>
      <c r="AA45" s="10" t="inlineStr">
        <is>
          <t>Gris</t>
        </is>
      </c>
      <c r="AB45" s="16" t="n">
        <v>2</v>
      </c>
      <c r="AC45" s="10" t="n"/>
      <c r="AD45" s="10" t="n"/>
      <c r="AE45" s="10" t="n"/>
      <c r="AF45" s="10" t="inlineStr">
        <is>
          <t>Pro</t>
        </is>
      </c>
      <c r="AG45" s="10" t="inlineStr">
        <is>
          <t>Distré</t>
        </is>
      </c>
      <c r="AH45" s="10" t="inlineStr">
        <is>
          <t>49400</t>
        </is>
      </c>
      <c r="AI45" s="10" t="inlineStr">
        <is>
          <t>Maine-et-Loire</t>
        </is>
      </c>
      <c r="AJ45" s="10" t="inlineStr">
        <is>
          <t>Pays de la Loire</t>
        </is>
      </c>
      <c r="AK45" s="16" t="n"/>
      <c r="AL45" s="10" t="inlineStr">
        <is>
          <t>Oui</t>
        </is>
      </c>
      <c r="AM45" s="10" t="n"/>
      <c r="AN45" s="10" t="n"/>
      <c r="AO45" s="10" t="n"/>
      <c r="AP45" s="19" t="inlineStr">
        <is>
          <t>Voir</t>
        </is>
      </c>
      <c r="AQ45" s="10" t="inlineStr">
        <is>
          <t>3258200097</t>
        </is>
      </c>
    </row>
    <row r="46">
      <c r="A46" s="10" t="inlineStr">
        <is>
          <t>BMW Z3 1.9i / 2.0i</t>
        </is>
      </c>
      <c r="B46" s="10" t="inlineStr">
        <is>
          <t>Bmw Z3 1,8 L 115 CV PACK M + 2 EME MAIN</t>
        </is>
      </c>
      <c r="C46" s="10" t="n"/>
      <c r="D46" s="10" t="n"/>
      <c r="E46" s="10" t="inlineStr">
        <is>
          <t>En vente</t>
        </is>
      </c>
      <c r="F46" s="18" t="n">
        <v>46262</v>
      </c>
      <c r="G46" s="18" t="n">
        <v>46262</v>
      </c>
      <c r="H46" s="18" t="n">
        <v>46296</v>
      </c>
      <c r="I46" s="18" t="n"/>
      <c r="J46" s="17">
        <f>IF(OR(ISNUMBER(F46),ISNUMBER(G46)),IF(ISNUMBER(I46),I46,H46)-IF(ISNUMBER(F46),F46,G46),"")</f>
        <v/>
      </c>
      <c r="K46" s="12" t="n">
        <v>11990</v>
      </c>
      <c r="L46" s="12" t="n">
        <v>11990</v>
      </c>
      <c r="M46" s="13">
        <f>IF(AND(ISNUMBER(K46),ISNUMBER(L46),K46&gt;0),1-L46/K46,"")</f>
        <v/>
      </c>
      <c r="N46" s="16" t="n">
        <v>0</v>
      </c>
      <c r="O46" s="12" t="n"/>
      <c r="P46" s="12" t="n"/>
      <c r="Q46" s="12" t="n"/>
      <c r="R46" s="14">
        <f>IF(AND(ISNUMBER(L46),ISNUMBER(P46),ISNUMBER(Q46)),L46/((P46+Q46)/2)-1,"")</f>
        <v/>
      </c>
      <c r="S46" s="10" t="n"/>
      <c r="T46" s="15" t="n">
        <v>47300</v>
      </c>
      <c r="U46" s="16" t="n">
        <v>1999</v>
      </c>
      <c r="V46" s="10" t="n"/>
      <c r="W46" s="10" t="inlineStr">
        <is>
          <t>Essence</t>
        </is>
      </c>
      <c r="X46" s="10" t="inlineStr">
        <is>
          <t>Manuelle</t>
        </is>
      </c>
      <c r="Y46" s="16" t="n">
        <v>116</v>
      </c>
      <c r="Z46" s="16" t="n">
        <v>7</v>
      </c>
      <c r="AA46" s="10" t="inlineStr">
        <is>
          <t>Bleu</t>
        </is>
      </c>
      <c r="AB46" s="16" t="n">
        <v>3</v>
      </c>
      <c r="AC46" s="10" t="inlineStr">
        <is>
          <t>Cabriolet</t>
        </is>
      </c>
      <c r="AD46" s="10" t="n"/>
      <c r="AE46" s="10" t="n"/>
      <c r="AF46" s="10" t="inlineStr">
        <is>
          <t>Pro</t>
        </is>
      </c>
      <c r="AG46" s="10" t="inlineStr">
        <is>
          <t>Pibrac</t>
        </is>
      </c>
      <c r="AH46" s="10" t="inlineStr">
        <is>
          <t>31820</t>
        </is>
      </c>
      <c r="AI46" s="10" t="inlineStr">
        <is>
          <t>Haute-Garonne</t>
        </is>
      </c>
      <c r="AJ46" s="10" t="inlineStr">
        <is>
          <t>Midi-Pyrénées</t>
        </is>
      </c>
      <c r="AK46" s="16" t="n"/>
      <c r="AL46" s="10" t="inlineStr">
        <is>
          <t>Oui</t>
        </is>
      </c>
      <c r="AM46" s="10" t="n"/>
      <c r="AN46" s="10" t="n"/>
      <c r="AO46" s="10" t="n"/>
      <c r="AP46" s="19" t="inlineStr">
        <is>
          <t>Voir</t>
        </is>
      </c>
      <c r="AQ46" s="10" t="inlineStr">
        <is>
          <t>3258446503</t>
        </is>
      </c>
    </row>
    <row r="47">
      <c r="A47" s="10" t="inlineStr">
        <is>
          <t>BMW Z3 1.9i / 2.0i</t>
        </is>
      </c>
      <c r="B47" s="10" t="inlineStr">
        <is>
          <t>Bmw Z3 2.0 150 ch 6 cylindres cabriolet</t>
        </is>
      </c>
      <c r="C47" s="10" t="n"/>
      <c r="D47" s="10" t="n"/>
      <c r="E47" s="10" t="inlineStr">
        <is>
          <t>En vente</t>
        </is>
      </c>
      <c r="F47" s="18" t="n">
        <v>46265</v>
      </c>
      <c r="G47" s="18" t="n">
        <v>46265</v>
      </c>
      <c r="H47" s="18" t="n">
        <v>46296</v>
      </c>
      <c r="I47" s="18" t="n"/>
      <c r="J47" s="17">
        <f>IF(OR(ISNUMBER(F47),ISNUMBER(G47)),IF(ISNUMBER(I47),I47,H47)-IF(ISNUMBER(F47),F47,G47),"")</f>
        <v/>
      </c>
      <c r="K47" s="12" t="n">
        <v>7490</v>
      </c>
      <c r="L47" s="12" t="n">
        <v>7490</v>
      </c>
      <c r="M47" s="13">
        <f>IF(AND(ISNUMBER(K47),ISNUMBER(L47),K47&gt;0),1-L47/K47,"")</f>
        <v/>
      </c>
      <c r="N47" s="16" t="n">
        <v>0</v>
      </c>
      <c r="O47" s="12" t="n"/>
      <c r="P47" s="12" t="n"/>
      <c r="Q47" s="12" t="n"/>
      <c r="R47" s="14">
        <f>IF(AND(ISNUMBER(L47),ISNUMBER(P47),ISNUMBER(Q47)),L47/((P47+Q47)/2)-1,"")</f>
        <v/>
      </c>
      <c r="S47" s="10" t="n"/>
      <c r="T47" s="15" t="n">
        <v>231500</v>
      </c>
      <c r="U47" s="16" t="n">
        <v>2000</v>
      </c>
      <c r="V47" s="10" t="n"/>
      <c r="W47" s="10" t="inlineStr">
        <is>
          <t>Essence</t>
        </is>
      </c>
      <c r="X47" s="10" t="inlineStr">
        <is>
          <t>Manuelle</t>
        </is>
      </c>
      <c r="Y47" s="16" t="n">
        <v>150</v>
      </c>
      <c r="Z47" s="16" t="n">
        <v>10</v>
      </c>
      <c r="AA47" s="10" t="inlineStr">
        <is>
          <t>Noir</t>
        </is>
      </c>
      <c r="AB47" s="16" t="n">
        <v>2</v>
      </c>
      <c r="AC47" s="10" t="inlineStr">
        <is>
          <t>Cabriolet</t>
        </is>
      </c>
      <c r="AD47" s="10" t="n"/>
      <c r="AE47" s="10" t="n"/>
      <c r="AF47" s="10" t="inlineStr">
        <is>
          <t>Particulier</t>
        </is>
      </c>
      <c r="AG47" s="10" t="inlineStr">
        <is>
          <t>Saint-Étienne</t>
        </is>
      </c>
      <c r="AH47" s="10" t="inlineStr">
        <is>
          <t>42100</t>
        </is>
      </c>
      <c r="AI47" s="10" t="inlineStr">
        <is>
          <t>Loire</t>
        </is>
      </c>
      <c r="AJ47" s="10" t="inlineStr">
        <is>
          <t>Rhône-Alpes</t>
        </is>
      </c>
      <c r="AK47" s="16" t="n"/>
      <c r="AL47" s="10" t="inlineStr">
        <is>
          <t>Oui</t>
        </is>
      </c>
      <c r="AM47" s="10" t="n"/>
      <c r="AN47" s="10" t="n"/>
      <c r="AO47" s="10" t="n"/>
      <c r="AP47" s="19" t="inlineStr">
        <is>
          <t>Voir</t>
        </is>
      </c>
      <c r="AQ47" s="10" t="inlineStr">
        <is>
          <t>3258548235</t>
        </is>
      </c>
    </row>
    <row r="48">
      <c r="A48" s="10" t="inlineStr">
        <is>
          <t>BMW Z3 1.9i / 2.0i</t>
        </is>
      </c>
      <c r="B48" s="10" t="inlineStr">
        <is>
          <t>Bmw z3 roadster 1.9 i 140</t>
        </is>
      </c>
      <c r="C48" s="10" t="n"/>
      <c r="D48" s="10" t="n"/>
      <c r="E48" s="10" t="inlineStr">
        <is>
          <t>En vente</t>
        </is>
      </c>
      <c r="F48" s="18" t="n">
        <v>46281</v>
      </c>
      <c r="G48" s="18" t="n">
        <v>46281</v>
      </c>
      <c r="H48" s="18" t="n">
        <v>46296</v>
      </c>
      <c r="I48" s="18" t="n"/>
      <c r="J48" s="17">
        <f>IF(OR(ISNUMBER(F48),ISNUMBER(G48)),IF(ISNUMBER(I48),I48,H48)-IF(ISNUMBER(F48),F48,G48),"")</f>
        <v/>
      </c>
      <c r="K48" s="12" t="n">
        <v>12990</v>
      </c>
      <c r="L48" s="12" t="n">
        <v>12990</v>
      </c>
      <c r="M48" s="13">
        <f>IF(AND(ISNUMBER(K48),ISNUMBER(L48),K48&gt;0),1-L48/K48,"")</f>
        <v/>
      </c>
      <c r="N48" s="16" t="n">
        <v>0</v>
      </c>
      <c r="O48" s="12" t="n"/>
      <c r="P48" s="12" t="n"/>
      <c r="Q48" s="12" t="n"/>
      <c r="R48" s="14">
        <f>IF(AND(ISNUMBER(L48),ISNUMBER(P48),ISNUMBER(Q48)),L48/((P48+Q48)/2)-1,"")</f>
        <v/>
      </c>
      <c r="S48" s="10" t="n"/>
      <c r="T48" s="15" t="n">
        <v>90000</v>
      </c>
      <c r="U48" s="16" t="n">
        <v>1998</v>
      </c>
      <c r="V48" s="10" t="n"/>
      <c r="W48" s="10" t="inlineStr">
        <is>
          <t>Essence</t>
        </is>
      </c>
      <c r="X48" s="10" t="inlineStr">
        <is>
          <t>Manuelle</t>
        </is>
      </c>
      <c r="Y48" s="16" t="n">
        <v>140</v>
      </c>
      <c r="Z48" s="16" t="n">
        <v>10</v>
      </c>
      <c r="AA48" s="10" t="inlineStr">
        <is>
          <t>Gris</t>
        </is>
      </c>
      <c r="AB48" s="16" t="n">
        <v>2</v>
      </c>
      <c r="AC48" s="10" t="inlineStr">
        <is>
          <t>Cabriolet</t>
        </is>
      </c>
      <c r="AD48" s="10" t="n"/>
      <c r="AE48" s="10" t="n"/>
      <c r="AF48" s="10" t="inlineStr">
        <is>
          <t>Pro</t>
        </is>
      </c>
      <c r="AG48" s="10" t="inlineStr">
        <is>
          <t>Compiègne</t>
        </is>
      </c>
      <c r="AH48" s="10" t="inlineStr">
        <is>
          <t>60200</t>
        </is>
      </c>
      <c r="AI48" s="10" t="inlineStr">
        <is>
          <t>Oise</t>
        </is>
      </c>
      <c r="AJ48" s="10" t="inlineStr">
        <is>
          <t>Picardie</t>
        </is>
      </c>
      <c r="AK48" s="16" t="n"/>
      <c r="AL48" s="10" t="inlineStr">
        <is>
          <t>Oui</t>
        </is>
      </c>
      <c r="AM48" s="10" t="n"/>
      <c r="AN48" s="10" t="n"/>
      <c r="AO48" s="10" t="n"/>
      <c r="AP48" s="19" t="inlineStr">
        <is>
          <t>Voir</t>
        </is>
      </c>
      <c r="AQ48" s="10" t="inlineStr">
        <is>
          <t>3271074708</t>
        </is>
      </c>
    </row>
    <row r="49">
      <c r="A49" s="10" t="inlineStr">
        <is>
          <t>BMW Z3 1.9i / 2.0i</t>
        </is>
      </c>
      <c r="B49" s="10" t="inlineStr">
        <is>
          <t>Bmw Z3 1.8 116cv *Moteur 175000Km + factures BMW</t>
        </is>
      </c>
      <c r="C49" s="10" t="n"/>
      <c r="D49" s="10" t="n"/>
      <c r="E49" s="10" t="inlineStr">
        <is>
          <t>En vente</t>
        </is>
      </c>
      <c r="F49" s="18" t="n">
        <v>46284</v>
      </c>
      <c r="G49" s="18" t="n">
        <v>46284</v>
      </c>
      <c r="H49" s="18" t="n">
        <v>46296</v>
      </c>
      <c r="I49" s="18" t="n"/>
      <c r="J49" s="17">
        <f>IF(OR(ISNUMBER(F49),ISNUMBER(G49)),IF(ISNUMBER(I49),I49,H49)-IF(ISNUMBER(F49),F49,G49),"")</f>
        <v/>
      </c>
      <c r="K49" s="12" t="n">
        <v>11490</v>
      </c>
      <c r="L49" s="12" t="n">
        <v>11490</v>
      </c>
      <c r="M49" s="13">
        <f>IF(AND(ISNUMBER(K49),ISNUMBER(L49),K49&gt;0),1-L49/K49,"")</f>
        <v/>
      </c>
      <c r="N49" s="16" t="n">
        <v>0</v>
      </c>
      <c r="O49" s="12" t="n"/>
      <c r="P49" s="12" t="n"/>
      <c r="Q49" s="12" t="n"/>
      <c r="R49" s="14">
        <f>IF(AND(ISNUMBER(L49),ISNUMBER(P49),ISNUMBER(Q49)),L49/((P49+Q49)/2)-1,"")</f>
        <v/>
      </c>
      <c r="S49" s="10" t="n"/>
      <c r="T49" s="15" t="n">
        <v>295000</v>
      </c>
      <c r="U49" s="16" t="n">
        <v>1996</v>
      </c>
      <c r="V49" s="10" t="n"/>
      <c r="W49" s="10" t="inlineStr">
        <is>
          <t>Essence</t>
        </is>
      </c>
      <c r="X49" s="10" t="inlineStr">
        <is>
          <t>Manuelle</t>
        </is>
      </c>
      <c r="Y49" s="16" t="n">
        <v>116</v>
      </c>
      <c r="Z49" s="16" t="n">
        <v>9</v>
      </c>
      <c r="AA49" s="10" t="inlineStr">
        <is>
          <t>Rouge</t>
        </is>
      </c>
      <c r="AB49" s="16" t="n">
        <v>2</v>
      </c>
      <c r="AC49" s="10" t="n"/>
      <c r="AD49" s="10" t="n"/>
      <c r="AE49" s="10" t="n"/>
      <c r="AF49" s="10" t="inlineStr">
        <is>
          <t>Pro</t>
        </is>
      </c>
      <c r="AG49" s="10" t="inlineStr">
        <is>
          <t>Loupiac-de-la-Réole</t>
        </is>
      </c>
      <c r="AH49" s="10" t="inlineStr">
        <is>
          <t>33190</t>
        </is>
      </c>
      <c r="AI49" s="10" t="inlineStr">
        <is>
          <t>Gironde</t>
        </is>
      </c>
      <c r="AJ49" s="10" t="inlineStr">
        <is>
          <t>Aquitaine</t>
        </is>
      </c>
      <c r="AK49" s="16" t="n"/>
      <c r="AL49" s="10" t="inlineStr">
        <is>
          <t>Oui</t>
        </is>
      </c>
      <c r="AM49" s="10" t="n"/>
      <c r="AN49" s="10" t="n"/>
      <c r="AO49" s="10" t="n"/>
      <c r="AP49" s="19" t="inlineStr">
        <is>
          <t>Voir</t>
        </is>
      </c>
      <c r="AQ49" s="10" t="inlineStr">
        <is>
          <t>3272577206</t>
        </is>
      </c>
    </row>
    <row r="50">
      <c r="A50" s="10" t="inlineStr">
        <is>
          <t>Citroën Saxo VTS 16V</t>
        </is>
      </c>
      <c r="B50" s="10" t="inlineStr">
        <is>
          <t>Citroen saxo vts</t>
        </is>
      </c>
      <c r="C50" s="10" t="n"/>
      <c r="D50" s="10" t="n"/>
      <c r="E50" s="10" t="inlineStr">
        <is>
          <t>En vente</t>
        </is>
      </c>
      <c r="F50" s="18" t="n">
        <v>46284</v>
      </c>
      <c r="G50" s="18" t="n">
        <v>46284</v>
      </c>
      <c r="H50" s="18" t="n">
        <v>46310</v>
      </c>
      <c r="I50" s="18" t="n"/>
      <c r="J50" s="17">
        <f>IF(OR(ISNUMBER(F50),ISNUMBER(G50)),IF(ISNUMBER(I50),I50,H50)-IF(ISNUMBER(F50),F50,G50),"")</f>
        <v/>
      </c>
      <c r="K50" s="12" t="n">
        <v>5500</v>
      </c>
      <c r="L50" s="12" t="n">
        <v>5500</v>
      </c>
      <c r="M50" s="13">
        <f>IF(AND(ISNUMBER(K50),ISNUMBER(L50),K50&gt;0),1-L50/K50,"")</f>
        <v/>
      </c>
      <c r="N50" s="16" t="n">
        <v>0</v>
      </c>
      <c r="O50" s="12" t="n"/>
      <c r="P50" s="12" t="n"/>
      <c r="Q50" s="12" t="n"/>
      <c r="R50" s="14">
        <f>IF(AND(ISNUMBER(L50),ISNUMBER(P50),ISNUMBER(Q50)),L50/((P50+Q50)/2)-1,"")</f>
        <v/>
      </c>
      <c r="S50" s="10" t="n"/>
      <c r="T50" s="15" t="n">
        <v>261273</v>
      </c>
      <c r="U50" s="16" t="n">
        <v>1998</v>
      </c>
      <c r="V50" s="10" t="inlineStr">
        <is>
          <t>08/1998</t>
        </is>
      </c>
      <c r="W50" s="10" t="inlineStr">
        <is>
          <t>Essence</t>
        </is>
      </c>
      <c r="X50" s="10" t="inlineStr">
        <is>
          <t>Manuelle</t>
        </is>
      </c>
      <c r="Y50" s="16" t="n">
        <v>90</v>
      </c>
      <c r="Z50" s="16" t="n">
        <v>6</v>
      </c>
      <c r="AA50" s="10" t="inlineStr">
        <is>
          <t>Noir</t>
        </is>
      </c>
      <c r="AB50" s="16" t="n">
        <v>3</v>
      </c>
      <c r="AC50" s="10" t="inlineStr">
        <is>
          <t>Citadine</t>
        </is>
      </c>
      <c r="AD50" s="10" t="n"/>
      <c r="AE50" s="10" t="n"/>
      <c r="AF50" s="10" t="inlineStr">
        <is>
          <t>Particulier</t>
        </is>
      </c>
      <c r="AG50" s="10" t="inlineStr">
        <is>
          <t>Sully-sur-Loire</t>
        </is>
      </c>
      <c r="AH50" s="10" t="inlineStr">
        <is>
          <t>45600</t>
        </is>
      </c>
      <c r="AI50" s="10" t="inlineStr">
        <is>
          <t>Loiret</t>
        </is>
      </c>
      <c r="AJ50" s="10" t="inlineStr">
        <is>
          <t>Centre</t>
        </is>
      </c>
      <c r="AK50" s="16" t="n">
        <v>3</v>
      </c>
      <c r="AL50" s="10" t="n"/>
      <c r="AM50" s="10" t="inlineStr">
        <is>
          <t>Non</t>
        </is>
      </c>
      <c r="AN50" s="10" t="inlineStr">
        <is>
          <t>Bonjour, je vends ma petite Saxo, entièrement restaurée et repeinte il y a 8 mois, avec des éléments de peinture personnalisée. De nombreuses pièces ont été remplacées : kit de distribution, courroie d'accessoires, radiateur d'eau, 4 disques Brembo Sport Max neufs avec plaquettes neuves, câbles et flexibles de frein à main neufs, 245 000 km pont arrière, avec roulements neufs et rabaissement d'environ 30 mm, catalyseur et silencieux neufs, ressorts rouges et amortisseurs KYB neufs. Alternateur r</t>
        </is>
      </c>
      <c r="AO50" s="10" t="inlineStr">
        <is>
          <t>Dommages : Bon état général ; Sellerie : Tissu ; vehicle_euro_emissions_standard : Euro 2 ; Permis : Avec permis ; Importé : false</t>
        </is>
      </c>
      <c r="AP50" s="19" t="inlineStr">
        <is>
          <t>Voir</t>
        </is>
      </c>
      <c r="AQ50" s="10" t="inlineStr">
        <is>
          <t>3122468671</t>
        </is>
      </c>
    </row>
    <row r="51">
      <c r="A51" s="10" t="inlineStr">
        <is>
          <t>Citroën Saxo VTS 16V</t>
        </is>
      </c>
      <c r="B51" s="10" t="inlineStr">
        <is>
          <t>Saxo vts / 85000 km / a restaurer</t>
        </is>
      </c>
      <c r="C51" s="10" t="inlineStr">
        <is>
          <t>Saxo 1.4 VTS 3p</t>
        </is>
      </c>
      <c r="D51" s="10" t="inlineStr">
        <is>
          <t>VTS</t>
        </is>
      </c>
      <c r="E51" s="10" t="inlineStr">
        <is>
          <t>En vente</t>
        </is>
      </c>
      <c r="F51" s="18" t="n">
        <v>46302</v>
      </c>
      <c r="G51" s="18" t="n">
        <v>46302</v>
      </c>
      <c r="H51" s="18" t="n">
        <v>46310</v>
      </c>
      <c r="I51" s="18" t="n"/>
      <c r="J51" s="17">
        <f>IF(OR(ISNUMBER(F51),ISNUMBER(G51)),IF(ISNUMBER(I51),I51,H51)-IF(ISNUMBER(F51),F51,G51),"")</f>
        <v/>
      </c>
      <c r="K51" s="12" t="n">
        <v>4500</v>
      </c>
      <c r="L51" s="12" t="n">
        <v>4500</v>
      </c>
      <c r="M51" s="13">
        <f>IF(AND(ISNUMBER(K51),ISNUMBER(L51),K51&gt;0),1-L51/K51,"")</f>
        <v/>
      </c>
      <c r="N51" s="16" t="n">
        <v>0</v>
      </c>
      <c r="O51" s="12" t="n">
        <v>5000</v>
      </c>
      <c r="P51" s="12" t="n"/>
      <c r="Q51" s="12" t="n"/>
      <c r="R51" s="14">
        <f>IF(AND(ISNUMBER(L51),ISNUMBER(P51),ISNUMBER(Q51)),L51/((P51+Q51)/2)-1,"")</f>
        <v/>
      </c>
      <c r="S51" s="10" t="n"/>
      <c r="T51" s="15" t="n">
        <v>85000</v>
      </c>
      <c r="U51" s="16" t="n">
        <v>1999</v>
      </c>
      <c r="V51" s="10" t="inlineStr">
        <is>
          <t>07/1999</t>
        </is>
      </c>
      <c r="W51" s="10" t="inlineStr">
        <is>
          <t>Essence</t>
        </is>
      </c>
      <c r="X51" s="10" t="inlineStr">
        <is>
          <t>Manuelle</t>
        </is>
      </c>
      <c r="Y51" s="16" t="n">
        <v>75</v>
      </c>
      <c r="Z51" s="16" t="n">
        <v>5</v>
      </c>
      <c r="AA51" s="10" t="inlineStr">
        <is>
          <t>Noir</t>
        </is>
      </c>
      <c r="AB51" s="16" t="n">
        <v>3</v>
      </c>
      <c r="AC51" s="10" t="inlineStr">
        <is>
          <t>Berline</t>
        </is>
      </c>
      <c r="AD51" s="10" t="n"/>
      <c r="AE51" s="10" t="n"/>
      <c r="AF51" s="10" t="inlineStr">
        <is>
          <t>Pro</t>
        </is>
      </c>
      <c r="AG51" s="10" t="inlineStr">
        <is>
          <t>Taissy</t>
        </is>
      </c>
      <c r="AH51" s="10" t="inlineStr">
        <is>
          <t>51500</t>
        </is>
      </c>
      <c r="AI51" s="10" t="inlineStr">
        <is>
          <t>Marne</t>
        </is>
      </c>
      <c r="AJ51" s="10" t="inlineStr">
        <is>
          <t>Champagne-Ardenne</t>
        </is>
      </c>
      <c r="AK51" s="16" t="n">
        <v>5</v>
      </c>
      <c r="AL51" s="10" t="n"/>
      <c r="AM51" s="10" t="inlineStr">
        <is>
          <t>Non</t>
        </is>
      </c>
      <c r="AN51" s="10" t="inlineStr">
        <is>
          <t>Saxo VTS 1l4 essence 75 (55 kw / 5 cv) 2eme main 13/07/1999 Vendu chez nous avec 76000 km en 2023 en 1ere main Kit distribution, vidange filtre à huile et kit frein arrière effectués A restaurer : bas de caisse, corrosion perforante VENDU DANS L'ETAT, AVEC CONTRE VISITE CT ATTENTION UNIQUEMENT SUR RDV PAR TELEPHONE Tous nos véhicules sont visibles sur la boutique en haut en droite interieur velours silencieux inox direction assistée air bag vitres electriques centralisation à distance TRES PROPR</t>
        </is>
      </c>
      <c r="AO51" s="10" t="inlineStr">
        <is>
          <t>vehicle_technical_inspection_valid : Non ; Sellerie : Velours ; Permis : Avec permis ; Vente en LOA/LLD : Non ; VO récent : false ; vehicle_commercial_warranty : Non ; vehicle_manufacturer_warranty : Non ; Importé : false ; vehicle_history_report_status : visible ; spare_parts_availability : Non renseignée</t>
        </is>
      </c>
      <c r="AP51" s="19" t="inlineStr">
        <is>
          <t>Voir</t>
        </is>
      </c>
      <c r="AQ51" s="10" t="inlineStr">
        <is>
          <t>3177027931</t>
        </is>
      </c>
    </row>
    <row r="52">
      <c r="A52" s="10" t="inlineStr">
        <is>
          <t>Citroën Saxo VTS 16V</t>
        </is>
      </c>
      <c r="B52" s="10" t="inlineStr">
        <is>
          <t>Citroen Saxo VTS 16v</t>
        </is>
      </c>
      <c r="C52" s="10" t="inlineStr">
        <is>
          <t>Saxo 1.6 16V 120ch VTS 3p</t>
        </is>
      </c>
      <c r="D52" s="10" t="inlineStr">
        <is>
          <t>VTS</t>
        </is>
      </c>
      <c r="E52" s="10" t="inlineStr">
        <is>
          <t>En vente</t>
        </is>
      </c>
      <c r="F52" s="18" t="n">
        <v>46306</v>
      </c>
      <c r="G52" s="18" t="n">
        <v>46245</v>
      </c>
      <c r="H52" s="18" t="n">
        <v>46310</v>
      </c>
      <c r="I52" s="18" t="n"/>
      <c r="J52" s="17">
        <f>IF(OR(ISNUMBER(F52),ISNUMBER(G52)),IF(ISNUMBER(I52),I52,H52)-IF(ISNUMBER(F52),F52,G52),"")</f>
        <v/>
      </c>
      <c r="K52" s="12" t="n">
        <v>7500</v>
      </c>
      <c r="L52" s="12" t="n">
        <v>7000</v>
      </c>
      <c r="M52" s="13">
        <f>IF(AND(ISNUMBER(K52),ISNUMBER(L52),K52&gt;0),1-L52/K52,"")</f>
        <v/>
      </c>
      <c r="N52" s="16" t="n">
        <v>1</v>
      </c>
      <c r="O52" s="12" t="n">
        <v>9500</v>
      </c>
      <c r="P52" s="12" t="n"/>
      <c r="Q52" s="12" t="n"/>
      <c r="R52" s="14">
        <f>IF(AND(ISNUMBER(L52),ISNUMBER(P52),ISNUMBER(Q52)),L52/((P52+Q52)/2)-1,"")</f>
        <v/>
      </c>
      <c r="S52" s="10" t="n"/>
      <c r="T52" s="15" t="n">
        <v>200000</v>
      </c>
      <c r="U52" s="16" t="n">
        <v>2000</v>
      </c>
      <c r="V52" s="10" t="inlineStr">
        <is>
          <t>04/2000</t>
        </is>
      </c>
      <c r="W52" s="10" t="inlineStr">
        <is>
          <t>Essence</t>
        </is>
      </c>
      <c r="X52" s="10" t="inlineStr">
        <is>
          <t>Manuelle</t>
        </is>
      </c>
      <c r="Y52" s="16" t="n">
        <v>118</v>
      </c>
      <c r="Z52" s="16" t="n">
        <v>8</v>
      </c>
      <c r="AA52" s="10" t="inlineStr">
        <is>
          <t>Gris</t>
        </is>
      </c>
      <c r="AB52" s="16" t="n">
        <v>3</v>
      </c>
      <c r="AC52" s="10" t="inlineStr">
        <is>
          <t>Berline</t>
        </is>
      </c>
      <c r="AD52" s="10" t="n"/>
      <c r="AE52" s="10" t="n"/>
      <c r="AF52" s="10" t="inlineStr">
        <is>
          <t>Particulier</t>
        </is>
      </c>
      <c r="AG52" s="10" t="inlineStr">
        <is>
          <t>Sisteron</t>
        </is>
      </c>
      <c r="AH52" s="10" t="inlineStr">
        <is>
          <t>04200</t>
        </is>
      </c>
      <c r="AI52" s="10" t="inlineStr">
        <is>
          <t>Alpes-de-Haute-Provence</t>
        </is>
      </c>
      <c r="AJ52" s="10" t="inlineStr">
        <is>
          <t>Provence-Alpes-Côte d'Azur</t>
        </is>
      </c>
      <c r="AK52" s="16" t="n">
        <v>7</v>
      </c>
      <c r="AL52" s="10" t="n"/>
      <c r="AM52" s="10" t="inlineStr">
        <is>
          <t>Non</t>
        </is>
      </c>
      <c r="AN52" s="10" t="inlineStr">
        <is>
          <t>Bonjour, Je vends ma Citroën Saxo VTS 16v 120ch, phase 2 de 2000 avec 200 000 km au compteur, tres peu evolutif. En ma possession depuis 2015. Toute d’origine, sauf : 4 jantes OZ Racing blanches en 15 pouces. Interieur full cuir noir, siege conducteur décousu (voir photo). Collecteur 4/2/1 momifié (origine dispo) Elle vient de sortir du garage d’une renovation mécanique complète, entre autres : - Distribution - Entretien complet (filtre a air, essence, huile, bougies etc…) - Disques et plaquette</t>
        </is>
      </c>
      <c r="AO52" s="10" t="inlineStr">
        <is>
          <t>Dommages : Bon état général ; Sellerie : Tout cuir ; Permis : Avec permis ; Importé : false</t>
        </is>
      </c>
      <c r="AP52" s="19" t="inlineStr">
        <is>
          <t>Voir</t>
        </is>
      </c>
      <c r="AQ52" s="10" t="inlineStr">
        <is>
          <t>3179205726</t>
        </is>
      </c>
    </row>
    <row r="53">
      <c r="A53" s="10" t="inlineStr">
        <is>
          <t>Citroën Saxo VTS 16V</t>
        </is>
      </c>
      <c r="B53" s="10" t="inlineStr">
        <is>
          <t>Saxo vts 1.6 90cv</t>
        </is>
      </c>
      <c r="C53" s="10" t="n"/>
      <c r="D53" s="10" t="n"/>
      <c r="E53" s="10" t="inlineStr">
        <is>
          <t>En vente</t>
        </is>
      </c>
      <c r="F53" s="18" t="n">
        <v>46274</v>
      </c>
      <c r="G53" s="18" t="n">
        <v>46274</v>
      </c>
      <c r="H53" s="18" t="n">
        <v>46310</v>
      </c>
      <c r="I53" s="18" t="n"/>
      <c r="J53" s="17">
        <f>IF(OR(ISNUMBER(F53),ISNUMBER(G53)),IF(ISNUMBER(I53),I53,H53)-IF(ISNUMBER(F53),F53,G53),"")</f>
        <v/>
      </c>
      <c r="K53" s="12" t="n">
        <v>5500</v>
      </c>
      <c r="L53" s="12" t="n">
        <v>4800</v>
      </c>
      <c r="M53" s="13">
        <f>IF(AND(ISNUMBER(K53),ISNUMBER(L53),K53&gt;0),1-L53/K53,"")</f>
        <v/>
      </c>
      <c r="N53" s="16" t="n">
        <v>1</v>
      </c>
      <c r="O53" s="12" t="n">
        <v>6500</v>
      </c>
      <c r="P53" s="12" t="n"/>
      <c r="Q53" s="12" t="n"/>
      <c r="R53" s="14">
        <f>IF(AND(ISNUMBER(L53),ISNUMBER(P53),ISNUMBER(Q53)),L53/((P53+Q53)/2)-1,"")</f>
        <v/>
      </c>
      <c r="S53" s="10" t="n"/>
      <c r="T53" s="15" t="n">
        <v>190000</v>
      </c>
      <c r="U53" s="16" t="n">
        <v>2000</v>
      </c>
      <c r="V53" s="10" t="inlineStr">
        <is>
          <t>07/2000</t>
        </is>
      </c>
      <c r="W53" s="10" t="inlineStr">
        <is>
          <t>Essence</t>
        </is>
      </c>
      <c r="X53" s="10" t="inlineStr">
        <is>
          <t>Manuelle</t>
        </is>
      </c>
      <c r="Y53" s="16" t="n">
        <v>88</v>
      </c>
      <c r="Z53" s="16" t="n">
        <v>6</v>
      </c>
      <c r="AA53" s="10" t="inlineStr">
        <is>
          <t>Rouge</t>
        </is>
      </c>
      <c r="AB53" s="16" t="n">
        <v>3</v>
      </c>
      <c r="AC53" s="10" t="inlineStr">
        <is>
          <t>Berline</t>
        </is>
      </c>
      <c r="AD53" s="10" t="n"/>
      <c r="AE53" s="10" t="n"/>
      <c r="AF53" s="10" t="inlineStr">
        <is>
          <t>Particulier</t>
        </is>
      </c>
      <c r="AG53" s="10" t="inlineStr">
        <is>
          <t>Creutzwald</t>
        </is>
      </c>
      <c r="AH53" s="10" t="inlineStr">
        <is>
          <t>57150</t>
        </is>
      </c>
      <c r="AI53" s="10" t="inlineStr">
        <is>
          <t>Moselle</t>
        </is>
      </c>
      <c r="AJ53" s="10" t="inlineStr">
        <is>
          <t>Lorraine</t>
        </is>
      </c>
      <c r="AK53" s="16" t="n">
        <v>3</v>
      </c>
      <c r="AL53" s="10" t="inlineStr">
        <is>
          <t>Oui</t>
        </is>
      </c>
      <c r="AM53" s="10" t="inlineStr">
        <is>
          <t>Non</t>
        </is>
      </c>
      <c r="AN53" s="10" t="inlineStr">
        <is>
          <t xml:space="preserve">Je vends ma saxo vts, 3ème main, sans clim, le c.t sera passé pour la vente. Admission dynamique, decata, la vidange vient d'être effectuée, bougies + bobine neuve, batterie neuve, donne admission d'origine, catalyseur, volant tulipé alcantara, silencieux inox + 5ème roue jante toulouse. Traitement anti corrosion. Visible = disponible. Plus de renseignements, uniquement par téléphone ou sms (appel de préférence). Pas d'échanges, sauf golf 4 ou 5 tdi en bonne état + rajout de votre part. 4800€ à </t>
        </is>
      </c>
      <c r="AO53" s="10" t="inlineStr">
        <is>
          <t>Dommages : Bon état général ; Sellerie : Velours ; Permis : Avec permis ; Importé : false</t>
        </is>
      </c>
      <c r="AP53" s="19" t="inlineStr">
        <is>
          <t>Voir</t>
        </is>
      </c>
      <c r="AQ53" s="10" t="inlineStr">
        <is>
          <t>3179893341</t>
        </is>
      </c>
    </row>
    <row r="54">
      <c r="A54" s="10" t="inlineStr">
        <is>
          <t>Citroën Saxo VTS 16V</t>
        </is>
      </c>
      <c r="B54" s="10" t="inlineStr">
        <is>
          <t>Saxo vts 1.6l 16s</t>
        </is>
      </c>
      <c r="C54" s="10" t="inlineStr">
        <is>
          <t>VTS_Saxo 1.6 16v VTS 3p</t>
        </is>
      </c>
      <c r="D54" s="10" t="inlineStr">
        <is>
          <t>VTS</t>
        </is>
      </c>
      <c r="E54" s="10" t="inlineStr">
        <is>
          <t>En vente</t>
        </is>
      </c>
      <c r="F54" s="18" t="n">
        <v>46271</v>
      </c>
      <c r="G54" s="18" t="n">
        <v>46271</v>
      </c>
      <c r="H54" s="18" t="n">
        <v>46310</v>
      </c>
      <c r="I54" s="18" t="n"/>
      <c r="J54" s="17">
        <f>IF(OR(ISNUMBER(F54),ISNUMBER(G54)),IF(ISNUMBER(I54),I54,H54)-IF(ISNUMBER(F54),F54,G54),"")</f>
        <v/>
      </c>
      <c r="K54" s="12" t="n">
        <v>5000</v>
      </c>
      <c r="L54" s="12" t="n">
        <v>5000</v>
      </c>
      <c r="M54" s="13">
        <f>IF(AND(ISNUMBER(K54),ISNUMBER(L54),K54&gt;0),1-L54/K54,"")</f>
        <v/>
      </c>
      <c r="N54" s="16" t="n">
        <v>0</v>
      </c>
      <c r="O54" s="12" t="n"/>
      <c r="P54" s="12" t="n"/>
      <c r="Q54" s="12" t="n"/>
      <c r="R54" s="14">
        <f>IF(AND(ISNUMBER(L54),ISNUMBER(P54),ISNUMBER(Q54)),L54/((P54+Q54)/2)-1,"")</f>
        <v/>
      </c>
      <c r="S54" s="10" t="n"/>
      <c r="T54" s="15" t="n">
        <v>95000</v>
      </c>
      <c r="U54" s="16" t="n">
        <v>2003</v>
      </c>
      <c r="V54" s="10" t="inlineStr">
        <is>
          <t>02/2003</t>
        </is>
      </c>
      <c r="W54" s="10" t="inlineStr">
        <is>
          <t>Essence</t>
        </is>
      </c>
      <c r="X54" s="10" t="inlineStr">
        <is>
          <t>Manuelle</t>
        </is>
      </c>
      <c r="Y54" s="16" t="n">
        <v>120</v>
      </c>
      <c r="Z54" s="16" t="n">
        <v>8</v>
      </c>
      <c r="AA54" s="10" t="inlineStr">
        <is>
          <t>Autre</t>
        </is>
      </c>
      <c r="AB54" s="16" t="n">
        <v>3</v>
      </c>
      <c r="AC54" s="10" t="inlineStr">
        <is>
          <t>Berline</t>
        </is>
      </c>
      <c r="AD54" s="10" t="n"/>
      <c r="AE54" s="10" t="n"/>
      <c r="AF54" s="10" t="inlineStr">
        <is>
          <t>Particulier</t>
        </is>
      </c>
      <c r="AG54" s="10" t="inlineStr">
        <is>
          <t>Longwy</t>
        </is>
      </c>
      <c r="AH54" s="10" t="inlineStr">
        <is>
          <t>54400</t>
        </is>
      </c>
      <c r="AI54" s="10" t="inlineStr">
        <is>
          <t>Meurthe-et-Moselle</t>
        </is>
      </c>
      <c r="AJ54" s="10" t="inlineStr">
        <is>
          <t>Lorraine</t>
        </is>
      </c>
      <c r="AK54" s="16" t="n">
        <v>3</v>
      </c>
      <c r="AL54" s="10" t="n"/>
      <c r="AM54" s="10" t="inlineStr">
        <is>
          <t>Non</t>
        </is>
      </c>
      <c r="AN54" s="10" t="inlineStr">
        <is>
          <t>Saxo piste 1.6l 16v 120cv Usages circuit uniquement 95000klm Livraison possible Carte grise à mon nom Avec de nombreuses pièces Stoker depuis plusieurs années au garage ,pas pressé de la vendre , les photos dates de plusieurs années Clim et abs supprimés Quasiment vidée Amortisseur Bisteim B6 Motorsport Barre anti rapprochement supérieur Silent bloc power flex sur barre stab et triangle Étriers avant 4 piston brembo de 406v6 avec disque de c5 hdi et plaquette carbone Maître cylindres de 406v6 Du</t>
        </is>
      </c>
      <c r="AO54" s="10" t="inlineStr">
        <is>
          <t>Permis : Avec permis ; Importé : false</t>
        </is>
      </c>
      <c r="AP54" s="19" t="inlineStr">
        <is>
          <t>Voir</t>
        </is>
      </c>
      <c r="AQ54" s="10" t="inlineStr">
        <is>
          <t>3229777091</t>
        </is>
      </c>
    </row>
    <row r="55">
      <c r="A55" s="10" t="inlineStr">
        <is>
          <t>Citroën Saxo VTS 16V</t>
        </is>
      </c>
      <c r="B55" s="10" t="inlineStr">
        <is>
          <t>Saxo vts 1l4 echange possible</t>
        </is>
      </c>
      <c r="C55" s="10" t="inlineStr">
        <is>
          <t>VTS_Saxo 1.4 VTS 3p</t>
        </is>
      </c>
      <c r="D55" s="10" t="inlineStr">
        <is>
          <t>VTS</t>
        </is>
      </c>
      <c r="E55" s="10" t="inlineStr">
        <is>
          <t>En vente</t>
        </is>
      </c>
      <c r="F55" s="18" t="n">
        <v>46278</v>
      </c>
      <c r="G55" s="18" t="n">
        <v>46278</v>
      </c>
      <c r="H55" s="18" t="n">
        <v>46310</v>
      </c>
      <c r="I55" s="18" t="n"/>
      <c r="J55" s="17">
        <f>IF(OR(ISNUMBER(F55),ISNUMBER(G55)),IF(ISNUMBER(I55),I55,H55)-IF(ISNUMBER(F55),F55,G55),"")</f>
        <v/>
      </c>
      <c r="K55" s="12" t="n">
        <v>4500</v>
      </c>
      <c r="L55" s="12" t="n">
        <v>4500</v>
      </c>
      <c r="M55" s="13">
        <f>IF(AND(ISNUMBER(K55),ISNUMBER(L55),K55&gt;0),1-L55/K55,"")</f>
        <v/>
      </c>
      <c r="N55" s="16" t="n">
        <v>0</v>
      </c>
      <c r="O55" s="12" t="n">
        <v>5000</v>
      </c>
      <c r="P55" s="12" t="n"/>
      <c r="Q55" s="12" t="n"/>
      <c r="R55" s="14">
        <f>IF(AND(ISNUMBER(L55),ISNUMBER(P55),ISNUMBER(Q55)),L55/((P55+Q55)/2)-1,"")</f>
        <v/>
      </c>
      <c r="S55" s="10" t="n"/>
      <c r="T55" s="15" t="n">
        <v>181000</v>
      </c>
      <c r="U55" s="16" t="n">
        <v>2000</v>
      </c>
      <c r="V55" s="10" t="inlineStr">
        <is>
          <t>05/2000</t>
        </is>
      </c>
      <c r="W55" s="10" t="inlineStr">
        <is>
          <t>Essence</t>
        </is>
      </c>
      <c r="X55" s="10" t="inlineStr">
        <is>
          <t>Manuelle</t>
        </is>
      </c>
      <c r="Y55" s="16" t="n">
        <v>75</v>
      </c>
      <c r="Z55" s="16" t="n">
        <v>5</v>
      </c>
      <c r="AA55" s="10" t="inlineStr">
        <is>
          <t>Autre</t>
        </is>
      </c>
      <c r="AB55" s="16" t="n">
        <v>3</v>
      </c>
      <c r="AC55" s="10" t="inlineStr">
        <is>
          <t>Berline</t>
        </is>
      </c>
      <c r="AD55" s="10" t="n"/>
      <c r="AE55" s="10" t="n"/>
      <c r="AF55" s="10" t="inlineStr">
        <is>
          <t>Particulier</t>
        </is>
      </c>
      <c r="AG55" s="10" t="inlineStr">
        <is>
          <t>La Bastide</t>
        </is>
      </c>
      <c r="AH55" s="10" t="inlineStr">
        <is>
          <t>83840</t>
        </is>
      </c>
      <c r="AI55" s="10" t="inlineStr">
        <is>
          <t>Var</t>
        </is>
      </c>
      <c r="AJ55" s="10" t="inlineStr">
        <is>
          <t>Provence-Alpes-Côte d'Azur</t>
        </is>
      </c>
      <c r="AK55" s="16" t="n">
        <v>3</v>
      </c>
      <c r="AL55" s="10" t="n"/>
      <c r="AM55" s="10" t="inlineStr">
        <is>
          <t>Non</t>
        </is>
      </c>
      <c r="AN55" s="10" t="inlineStr">
        <is>
          <t>Saxo vts 1l4 echange possible, Beaucoup de piece neuve prête a rouler pour plus d'informations contacté moi</t>
        </is>
      </c>
      <c r="AO55" s="10" t="inlineStr">
        <is>
          <t>Permis : Avec permis ; Importé : false</t>
        </is>
      </c>
      <c r="AP55" s="19" t="inlineStr">
        <is>
          <t>Voir</t>
        </is>
      </c>
      <c r="AQ55" s="10" t="inlineStr">
        <is>
          <t>3233589487</t>
        </is>
      </c>
    </row>
    <row r="56">
      <c r="A56" s="10" t="inlineStr">
        <is>
          <t>Citroën Saxo VTS 16V</t>
        </is>
      </c>
      <c r="B56" s="10" t="inlineStr">
        <is>
          <t>Saxo vts 1l6 16s</t>
        </is>
      </c>
      <c r="C56" s="10" t="n"/>
      <c r="D56" s="10" t="n"/>
      <c r="E56" s="10" t="inlineStr">
        <is>
          <t>En vente</t>
        </is>
      </c>
      <c r="F56" s="18" t="n">
        <v>46303</v>
      </c>
      <c r="G56" s="18" t="n">
        <v>46303</v>
      </c>
      <c r="H56" s="18" t="n">
        <v>46310</v>
      </c>
      <c r="I56" s="18" t="n"/>
      <c r="J56" s="17">
        <f>IF(OR(ISNUMBER(F56),ISNUMBER(G56)),IF(ISNUMBER(I56),I56,H56)-IF(ISNUMBER(F56),F56,G56),"")</f>
        <v/>
      </c>
      <c r="K56" s="12" t="n">
        <v>5900</v>
      </c>
      <c r="L56" s="12" t="n">
        <v>5900</v>
      </c>
      <c r="M56" s="13">
        <f>IF(AND(ISNUMBER(K56),ISNUMBER(L56),K56&gt;0),1-L56/K56,"")</f>
        <v/>
      </c>
      <c r="N56" s="16" t="n">
        <v>0</v>
      </c>
      <c r="O56" s="12" t="n"/>
      <c r="P56" s="12" t="n"/>
      <c r="Q56" s="12" t="n"/>
      <c r="R56" s="14">
        <f>IF(AND(ISNUMBER(L56),ISNUMBER(P56),ISNUMBER(Q56)),L56/((P56+Q56)/2)-1,"")</f>
        <v/>
      </c>
      <c r="S56" s="10" t="n"/>
      <c r="T56" s="15" t="n">
        <v>197000</v>
      </c>
      <c r="U56" s="16" t="n">
        <v>2002</v>
      </c>
      <c r="V56" s="10" t="inlineStr">
        <is>
          <t>06/2002</t>
        </is>
      </c>
      <c r="W56" s="10" t="inlineStr">
        <is>
          <t>Essence</t>
        </is>
      </c>
      <c r="X56" s="10" t="inlineStr">
        <is>
          <t>Manuelle</t>
        </is>
      </c>
      <c r="Y56" s="16" t="n">
        <v>120</v>
      </c>
      <c r="Z56" s="16" t="n">
        <v>8</v>
      </c>
      <c r="AA56" s="10" t="inlineStr">
        <is>
          <t>Noir</t>
        </is>
      </c>
      <c r="AB56" s="16" t="n">
        <v>3</v>
      </c>
      <c r="AC56" s="10" t="inlineStr">
        <is>
          <t>Berline</t>
        </is>
      </c>
      <c r="AD56" s="10" t="n"/>
      <c r="AE56" s="10" t="n"/>
      <c r="AF56" s="10" t="inlineStr">
        <is>
          <t>Particulier</t>
        </is>
      </c>
      <c r="AG56" s="10" t="inlineStr">
        <is>
          <t>Héricourt</t>
        </is>
      </c>
      <c r="AH56" s="10" t="inlineStr">
        <is>
          <t>70400</t>
        </is>
      </c>
      <c r="AI56" s="10" t="inlineStr">
        <is>
          <t>Haute-Saône</t>
        </is>
      </c>
      <c r="AJ56" s="10" t="inlineStr">
        <is>
          <t>Franche-Comté</t>
        </is>
      </c>
      <c r="AK56" s="16" t="n">
        <v>3</v>
      </c>
      <c r="AL56" s="10" t="n"/>
      <c r="AM56" s="10" t="inlineStr">
        <is>
          <t>Non</t>
        </is>
      </c>
      <c r="AN56" s="10" t="inlineStr">
        <is>
          <t>Saxo vts démarre roule nombreux frais réalisés : Batterie Distri pompe à eau Bobine bougie Pompe à essence Pneus neuf etc… c’est une sortie de grange j’ai fait le nécessaire pour qu’elle passe le ct je préviens c’est pour un gars qui s’y connaît y’a encore du travail pour qu’elle soit super mais roule bien contrôle technique à jour carte grise à jour Oui elle a connu la rouille , oui cela a été traité et blaxonné oui c’est pas parfait. C’est pour ça que le prix est divisé par deux par rapport au</t>
        </is>
      </c>
      <c r="AO56" s="10" t="inlineStr">
        <is>
          <t>Permis : Avec permis ; Importé : false</t>
        </is>
      </c>
      <c r="AP56" s="19" t="inlineStr">
        <is>
          <t>Voir</t>
        </is>
      </c>
      <c r="AQ56" s="10" t="inlineStr">
        <is>
          <t>3247144718</t>
        </is>
      </c>
    </row>
    <row r="57">
      <c r="A57" s="10" t="inlineStr">
        <is>
          <t>Citroën Saxo VTS 16V</t>
        </is>
      </c>
      <c r="B57" s="10" t="inlineStr">
        <is>
          <t>Saxo VTS 16S</t>
        </is>
      </c>
      <c r="C57" s="10" t="inlineStr">
        <is>
          <t>VTS_Saxo 1.6 16V 120ch VTS 3p</t>
        </is>
      </c>
      <c r="D57" s="10" t="inlineStr">
        <is>
          <t>VTS</t>
        </is>
      </c>
      <c r="E57" s="10" t="inlineStr">
        <is>
          <t>En vente</t>
        </is>
      </c>
      <c r="F57" s="18" t="n">
        <v>46263</v>
      </c>
      <c r="G57" s="18" t="n">
        <v>46263</v>
      </c>
      <c r="H57" s="18" t="n">
        <v>46310</v>
      </c>
      <c r="I57" s="18" t="n"/>
      <c r="J57" s="17">
        <f>IF(OR(ISNUMBER(F57),ISNUMBER(G57)),IF(ISNUMBER(I57),I57,H57)-IF(ISNUMBER(F57),F57,G57),"")</f>
        <v/>
      </c>
      <c r="K57" s="12" t="n">
        <v>5000</v>
      </c>
      <c r="L57" s="12" t="n">
        <v>5000</v>
      </c>
      <c r="M57" s="13">
        <f>IF(AND(ISNUMBER(K57),ISNUMBER(L57),K57&gt;0),1-L57/K57,"")</f>
        <v/>
      </c>
      <c r="N57" s="16" t="n">
        <v>0</v>
      </c>
      <c r="O57" s="12" t="n"/>
      <c r="P57" s="12" t="n"/>
      <c r="Q57" s="12" t="n"/>
      <c r="R57" s="14">
        <f>IF(AND(ISNUMBER(L57),ISNUMBER(P57),ISNUMBER(Q57)),L57/((P57+Q57)/2)-1,"")</f>
        <v/>
      </c>
      <c r="S57" s="10" t="n"/>
      <c r="T57" s="15" t="n">
        <v>159000</v>
      </c>
      <c r="U57" s="16" t="n">
        <v>1999</v>
      </c>
      <c r="V57" s="10" t="inlineStr">
        <is>
          <t>12/1999</t>
        </is>
      </c>
      <c r="W57" s="10" t="inlineStr">
        <is>
          <t>Essence</t>
        </is>
      </c>
      <c r="X57" s="10" t="inlineStr">
        <is>
          <t>Manuelle</t>
        </is>
      </c>
      <c r="Y57" s="16" t="n">
        <v>118</v>
      </c>
      <c r="Z57" s="16" t="n">
        <v>8</v>
      </c>
      <c r="AA57" s="10" t="inlineStr">
        <is>
          <t>Rouge</t>
        </is>
      </c>
      <c r="AB57" s="16" t="n">
        <v>3</v>
      </c>
      <c r="AC57" s="10" t="inlineStr">
        <is>
          <t>Berline</t>
        </is>
      </c>
      <c r="AD57" s="10" t="n"/>
      <c r="AE57" s="10" t="n"/>
      <c r="AF57" s="10" t="inlineStr">
        <is>
          <t>Particulier</t>
        </is>
      </c>
      <c r="AG57" s="10" t="inlineStr">
        <is>
          <t>Château-Thierry</t>
        </is>
      </c>
      <c r="AH57" s="10" t="inlineStr">
        <is>
          <t>02400</t>
        </is>
      </c>
      <c r="AI57" s="10" t="inlineStr">
        <is>
          <t>Aisne</t>
        </is>
      </c>
      <c r="AJ57" s="10" t="inlineStr">
        <is>
          <t>Picardie</t>
        </is>
      </c>
      <c r="AK57" s="16" t="n">
        <v>3</v>
      </c>
      <c r="AL57" s="10" t="n"/>
      <c r="AM57" s="10" t="inlineStr">
        <is>
          <t>Non</t>
        </is>
      </c>
      <c r="AN57" s="10" t="inlineStr">
        <is>
          <t>Bonjour, Je vends ma Citroën Saxo VTS 16V de 1999. Carte grise ok. La voiture a été vidée par moi même, je ne possède plus les pièces. La voiture est en ma possession depuis plus de 10 ans. Immobiliser plusieurs années en box. Actuellement dans ma cour en extérieur depuis environ 6 mois. La voiture roule bien et le moteur démarre bien lors de la sortie de box (roulage de environ 150km). Frais à prévoir : - Révision complète + distribution (une vidange moteur a été faite pour la sortie de box). -</t>
        </is>
      </c>
      <c r="AO57" s="10" t="inlineStr">
        <is>
          <t>vehicle_technical_inspection_valid : Oui ; Contrôle technique : 2027 ; Permis : Avec permis ; Importé : false</t>
        </is>
      </c>
      <c r="AP57" s="19" t="inlineStr">
        <is>
          <t>Voir</t>
        </is>
      </c>
      <c r="AQ57" s="10" t="inlineStr">
        <is>
          <t>3259234628</t>
        </is>
      </c>
    </row>
    <row r="58">
      <c r="A58" s="10" t="inlineStr">
        <is>
          <t>Citroën Saxo VTS 16V</t>
        </is>
      </c>
      <c r="B58" s="10" t="inlineStr">
        <is>
          <t>Saxo Vts 1.6 8s</t>
        </is>
      </c>
      <c r="C58" s="10" t="n"/>
      <c r="D58" s="10" t="n"/>
      <c r="E58" s="10" t="inlineStr">
        <is>
          <t>En vente</t>
        </is>
      </c>
      <c r="F58" s="18" t="n">
        <v>46265</v>
      </c>
      <c r="G58" s="18" t="n">
        <v>46265</v>
      </c>
      <c r="H58" s="18" t="n">
        <v>46310</v>
      </c>
      <c r="I58" s="18" t="n"/>
      <c r="J58" s="17">
        <f>IF(OR(ISNUMBER(F58),ISNUMBER(G58)),IF(ISNUMBER(I58),I58,H58)-IF(ISNUMBER(F58),F58,G58),"")</f>
        <v/>
      </c>
      <c r="K58" s="12" t="n">
        <v>6000</v>
      </c>
      <c r="L58" s="12" t="n">
        <v>6000</v>
      </c>
      <c r="M58" s="13">
        <f>IF(AND(ISNUMBER(K58),ISNUMBER(L58),K58&gt;0),1-L58/K58,"")</f>
        <v/>
      </c>
      <c r="N58" s="16" t="n">
        <v>0</v>
      </c>
      <c r="O58" s="12" t="n"/>
      <c r="P58" s="12" t="n"/>
      <c r="Q58" s="12" t="n"/>
      <c r="R58" s="14">
        <f>IF(AND(ISNUMBER(L58),ISNUMBER(P58),ISNUMBER(Q58)),L58/((P58+Q58)/2)-1,"")</f>
        <v/>
      </c>
      <c r="S58" s="10" t="n"/>
      <c r="T58" s="15" t="n">
        <v>229523</v>
      </c>
      <c r="U58" s="16" t="n">
        <v>2002</v>
      </c>
      <c r="V58" s="10" t="inlineStr">
        <is>
          <t>06/2002</t>
        </is>
      </c>
      <c r="W58" s="10" t="inlineStr">
        <is>
          <t>Essence</t>
        </is>
      </c>
      <c r="X58" s="10" t="inlineStr">
        <is>
          <t>Manuelle</t>
        </is>
      </c>
      <c r="Y58" s="16" t="n">
        <v>100</v>
      </c>
      <c r="Z58" s="16" t="n">
        <v>6</v>
      </c>
      <c r="AA58" s="10" t="inlineStr">
        <is>
          <t>Autre</t>
        </is>
      </c>
      <c r="AB58" s="16" t="n">
        <v>3</v>
      </c>
      <c r="AC58" s="10" t="inlineStr">
        <is>
          <t>Berline</t>
        </is>
      </c>
      <c r="AD58" s="10" t="n"/>
      <c r="AE58" s="10" t="n"/>
      <c r="AF58" s="10" t="inlineStr">
        <is>
          <t>Particulier</t>
        </is>
      </c>
      <c r="AG58" s="10" t="inlineStr">
        <is>
          <t>Privas</t>
        </is>
      </c>
      <c r="AH58" s="10" t="inlineStr">
        <is>
          <t>07000</t>
        </is>
      </c>
      <c r="AI58" s="10" t="inlineStr">
        <is>
          <t>Ardèche</t>
        </is>
      </c>
      <c r="AJ58" s="10" t="inlineStr">
        <is>
          <t>Rhône-Alpes</t>
        </is>
      </c>
      <c r="AK58" s="16" t="n">
        <v>3</v>
      </c>
      <c r="AL58" s="10" t="n"/>
      <c r="AM58" s="10" t="inlineStr">
        <is>
          <t>Non</t>
        </is>
      </c>
      <c r="AN58" s="10" t="inlineStr">
        <is>
          <t>Je vends ma Citroën Saxo VTS 1.6 8V de 2002, une citadine dynamique et fiable. - Marque : Citroën - Modèle : Saxo - Année : 2002 - Kilométrage : 229 523 km - Motorisation : 1.6 8V 100 ch - Carburant : Essence - Boîte de vitesses : Manuelle - Type : Berline - Nombre de portes : 3 - Puissance fiscale : 6 Cv - Couleur : Gris N'hésitez pas à me contacter pour plus d'informations ou pour organiser un essai.</t>
        </is>
      </c>
      <c r="AO58" s="10" t="inlineStr">
        <is>
          <t>Permis : Avec permis ; Importé : false</t>
        </is>
      </c>
      <c r="AP58" s="19" t="inlineStr">
        <is>
          <t>Voir</t>
        </is>
      </c>
      <c r="AQ58" s="10" t="inlineStr">
        <is>
          <t>3260316059</t>
        </is>
      </c>
    </row>
    <row r="59">
      <c r="A59" s="10" t="inlineStr">
        <is>
          <t>Citroën Saxo VTS 16V</t>
        </is>
      </c>
      <c r="B59" s="10" t="inlineStr">
        <is>
          <t>Saxo vts 120ch</t>
        </is>
      </c>
      <c r="C59" s="10" t="n"/>
      <c r="D59" s="10" t="n"/>
      <c r="E59" s="10" t="inlineStr">
        <is>
          <t>En vente</t>
        </is>
      </c>
      <c r="F59" s="18" t="n">
        <v>46265</v>
      </c>
      <c r="G59" s="18" t="n">
        <v>46265</v>
      </c>
      <c r="H59" s="18" t="n">
        <v>46310</v>
      </c>
      <c r="I59" s="18" t="n"/>
      <c r="J59" s="17">
        <f>IF(OR(ISNUMBER(F59),ISNUMBER(G59)),IF(ISNUMBER(I59),I59,H59)-IF(ISNUMBER(F59),F59,G59),"")</f>
        <v/>
      </c>
      <c r="K59" s="12" t="n">
        <v>9990</v>
      </c>
      <c r="L59" s="12" t="n">
        <v>9990</v>
      </c>
      <c r="M59" s="13">
        <f>IF(AND(ISNUMBER(K59),ISNUMBER(L59),K59&gt;0),1-L59/K59,"")</f>
        <v/>
      </c>
      <c r="N59" s="16" t="n">
        <v>0</v>
      </c>
      <c r="O59" s="12" t="n"/>
      <c r="P59" s="12" t="n"/>
      <c r="Q59" s="12" t="n"/>
      <c r="R59" s="14">
        <f>IF(AND(ISNUMBER(L59),ISNUMBER(P59),ISNUMBER(Q59)),L59/((P59+Q59)/2)-1,"")</f>
        <v/>
      </c>
      <c r="S59" s="10" t="n"/>
      <c r="T59" s="15" t="n">
        <v>79000</v>
      </c>
      <c r="U59" s="16" t="n">
        <v>2003</v>
      </c>
      <c r="V59" s="10" t="inlineStr">
        <is>
          <t>02/2003</t>
        </is>
      </c>
      <c r="W59" s="10" t="inlineStr">
        <is>
          <t>Essence</t>
        </is>
      </c>
      <c r="X59" s="10" t="inlineStr">
        <is>
          <t>Manuelle</t>
        </is>
      </c>
      <c r="Y59" s="16" t="n">
        <v>120</v>
      </c>
      <c r="Z59" s="16" t="n">
        <v>8</v>
      </c>
      <c r="AA59" s="10" t="inlineStr">
        <is>
          <t>Autre</t>
        </is>
      </c>
      <c r="AB59" s="16" t="n">
        <v>3</v>
      </c>
      <c r="AC59" s="10" t="inlineStr">
        <is>
          <t>Berline</t>
        </is>
      </c>
      <c r="AD59" s="10" t="n"/>
      <c r="AE59" s="10" t="n"/>
      <c r="AF59" s="10" t="inlineStr">
        <is>
          <t>Particulier</t>
        </is>
      </c>
      <c r="AG59" s="10" t="inlineStr">
        <is>
          <t>Richwiller</t>
        </is>
      </c>
      <c r="AH59" s="10" t="inlineStr">
        <is>
          <t>68120</t>
        </is>
      </c>
      <c r="AI59" s="10" t="inlineStr">
        <is>
          <t>Haut-Rhin</t>
        </is>
      </c>
      <c r="AJ59" s="10" t="inlineStr">
        <is>
          <t>Alsace</t>
        </is>
      </c>
      <c r="AK59" s="16" t="n">
        <v>3</v>
      </c>
      <c r="AL59" s="10" t="n"/>
      <c r="AM59" s="10" t="inlineStr">
        <is>
          <t>Non</t>
        </is>
      </c>
      <c r="AN59" s="10" t="inlineStr">
        <is>
          <t>Vend saxo 1L6 vts 16V Voiture entretenue Révision faite ; Vidange moteur , boîte de vitesse, bougies, liquide de frein , distribution, frein , pneus et amortisseurs neuf , etc Me contacter uniquement par téléphone.</t>
        </is>
      </c>
      <c r="AO59" s="10" t="inlineStr">
        <is>
          <t>Permis : Avec permis ; Importé : false</t>
        </is>
      </c>
      <c r="AP59" s="19" t="inlineStr">
        <is>
          <t>Voir</t>
        </is>
      </c>
      <c r="AQ59" s="10" t="inlineStr">
        <is>
          <t>3260650856</t>
        </is>
      </c>
    </row>
    <row r="60">
      <c r="A60" s="10" t="inlineStr">
        <is>
          <t>Citroën Saxo VTS 16V</t>
        </is>
      </c>
      <c r="B60" s="10" t="inlineStr">
        <is>
          <t>Saxo Vts 1.6 8s 100ch</t>
        </is>
      </c>
      <c r="C60" s="10" t="n"/>
      <c r="D60" s="10" t="n"/>
      <c r="E60" s="10" t="inlineStr">
        <is>
          <t>En vente</t>
        </is>
      </c>
      <c r="F60" s="18" t="n">
        <v>46266</v>
      </c>
      <c r="G60" s="18" t="n">
        <v>46266</v>
      </c>
      <c r="H60" s="18" t="n">
        <v>46310</v>
      </c>
      <c r="I60" s="18" t="n"/>
      <c r="J60" s="17">
        <f>IF(OR(ISNUMBER(F60),ISNUMBER(G60)),IF(ISNUMBER(I60),I60,H60)-IF(ISNUMBER(F60),F60,G60),"")</f>
        <v/>
      </c>
      <c r="K60" s="12" t="n">
        <v>6700</v>
      </c>
      <c r="L60" s="12" t="n">
        <v>6700</v>
      </c>
      <c r="M60" s="13">
        <f>IF(AND(ISNUMBER(K60),ISNUMBER(L60),K60&gt;0),1-L60/K60,"")</f>
        <v/>
      </c>
      <c r="N60" s="16" t="n">
        <v>0</v>
      </c>
      <c r="O60" s="12" t="n"/>
      <c r="P60" s="12" t="n"/>
      <c r="Q60" s="12" t="n"/>
      <c r="R60" s="14">
        <f>IF(AND(ISNUMBER(L60),ISNUMBER(P60),ISNUMBER(Q60)),L60/((P60+Q60)/2)-1,"")</f>
        <v/>
      </c>
      <c r="S60" s="10" t="n"/>
      <c r="T60" s="15" t="n">
        <v>242000</v>
      </c>
      <c r="U60" s="16" t="n">
        <v>2002</v>
      </c>
      <c r="V60" s="10" t="inlineStr">
        <is>
          <t>04/2002</t>
        </is>
      </c>
      <c r="W60" s="10" t="inlineStr">
        <is>
          <t>Essence</t>
        </is>
      </c>
      <c r="X60" s="10" t="inlineStr">
        <is>
          <t>Manuelle</t>
        </is>
      </c>
      <c r="Y60" s="16" t="n">
        <v>100</v>
      </c>
      <c r="Z60" s="16" t="n">
        <v>6</v>
      </c>
      <c r="AA60" s="10" t="inlineStr">
        <is>
          <t>Rouge</t>
        </is>
      </c>
      <c r="AB60" s="16" t="n">
        <v>3</v>
      </c>
      <c r="AC60" s="10" t="inlineStr">
        <is>
          <t>Berline</t>
        </is>
      </c>
      <c r="AD60" s="10" t="n"/>
      <c r="AE60" s="10" t="n"/>
      <c r="AF60" s="10" t="inlineStr">
        <is>
          <t>Particulier</t>
        </is>
      </c>
      <c r="AG60" s="10" t="inlineStr">
        <is>
          <t>Gétigné</t>
        </is>
      </c>
      <c r="AH60" s="10" t="inlineStr">
        <is>
          <t>44190</t>
        </is>
      </c>
      <c r="AI60" s="10" t="inlineStr">
        <is>
          <t>Loire-Atlantique</t>
        </is>
      </c>
      <c r="AJ60" s="10" t="inlineStr">
        <is>
          <t>Pays de la Loire</t>
        </is>
      </c>
      <c r="AK60" s="16" t="n">
        <v>3</v>
      </c>
      <c r="AL60" s="10" t="n"/>
      <c r="AM60" s="10" t="inlineStr">
        <is>
          <t>Non</t>
        </is>
      </c>
      <c r="AN60" s="10" t="inlineStr">
        <is>
          <t>Bonjour, Je met en vente ma Citroën Saxo VTS 1.6 8S de 2002 - Marque : Citroën - Modèle : Saxo VTS - Année : 2002 - Kilométrage : 242 000 km - Motorisation : 1.6 8S 100 ch - Carburant : Essence - Boîte de vitesses : Manuelle - Couleur : Rouge - Type de véhicule : Berline - Nombre de portes : 3 - Nombre de sièges : 5 - Puissance fiscale : 6 Cv Frais effectuée depuis février 2025 - Alternateur - Batterie - Souffler de cardans - Pompe de lave glace - Soufflet de direction - Roture de suspension - C</t>
        </is>
      </c>
      <c r="AO60" s="10" t="inlineStr">
        <is>
          <t>Dommages : Bon état général ; Sellerie : Tissu ; Permis : Avec permis ; Importé : false</t>
        </is>
      </c>
      <c r="AP60" s="19" t="inlineStr">
        <is>
          <t>Voir</t>
        </is>
      </c>
      <c r="AQ60" s="10" t="inlineStr">
        <is>
          <t>3260831234</t>
        </is>
      </c>
    </row>
    <row r="61">
      <c r="A61" s="10" t="inlineStr">
        <is>
          <t>Citroën Saxo VTS 16V</t>
        </is>
      </c>
      <c r="B61" s="10" t="inlineStr">
        <is>
          <t>Saxo vts 16v/16s route/piste</t>
        </is>
      </c>
      <c r="C61" s="10" t="n"/>
      <c r="D61" s="10" t="n"/>
      <c r="E61" s="10" t="inlineStr">
        <is>
          <t>En vente</t>
        </is>
      </c>
      <c r="F61" s="18" t="n">
        <v>46267</v>
      </c>
      <c r="G61" s="18" t="n">
        <v>46267</v>
      </c>
      <c r="H61" s="18" t="n">
        <v>46310</v>
      </c>
      <c r="I61" s="18" t="n"/>
      <c r="J61" s="17">
        <f>IF(OR(ISNUMBER(F61),ISNUMBER(G61)),IF(ISNUMBER(I61),I61,H61)-IF(ISNUMBER(F61),F61,G61),"")</f>
        <v/>
      </c>
      <c r="K61" s="12" t="n">
        <v>6800</v>
      </c>
      <c r="L61" s="12" t="n">
        <v>6800</v>
      </c>
      <c r="M61" s="13">
        <f>IF(AND(ISNUMBER(K61),ISNUMBER(L61),K61&gt;0),1-L61/K61,"")</f>
        <v/>
      </c>
      <c r="N61" s="16" t="n">
        <v>0</v>
      </c>
      <c r="O61" s="12" t="n"/>
      <c r="P61" s="12" t="n"/>
      <c r="Q61" s="12" t="n"/>
      <c r="R61" s="14">
        <f>IF(AND(ISNUMBER(L61),ISNUMBER(P61),ISNUMBER(Q61)),L61/((P61+Q61)/2)-1,"")</f>
        <v/>
      </c>
      <c r="S61" s="10" t="n"/>
      <c r="T61" s="15" t="n">
        <v>135000</v>
      </c>
      <c r="U61" s="16" t="n">
        <v>2000</v>
      </c>
      <c r="V61" s="10" t="inlineStr">
        <is>
          <t>09/2000</t>
        </is>
      </c>
      <c r="W61" s="10" t="inlineStr">
        <is>
          <t>Essence</t>
        </is>
      </c>
      <c r="X61" s="10" t="inlineStr">
        <is>
          <t>Manuelle</t>
        </is>
      </c>
      <c r="Y61" s="16" t="n">
        <v>118</v>
      </c>
      <c r="Z61" s="16" t="n">
        <v>8</v>
      </c>
      <c r="AA61" s="10" t="inlineStr">
        <is>
          <t>Blanc</t>
        </is>
      </c>
      <c r="AB61" s="16" t="n">
        <v>3</v>
      </c>
      <c r="AC61" s="10" t="inlineStr">
        <is>
          <t>Berline</t>
        </is>
      </c>
      <c r="AD61" s="10" t="n"/>
      <c r="AE61" s="10" t="n"/>
      <c r="AF61" s="10" t="inlineStr">
        <is>
          <t>Particulier</t>
        </is>
      </c>
      <c r="AG61" s="10" t="inlineStr">
        <is>
          <t>Messein</t>
        </is>
      </c>
      <c r="AH61" s="10" t="inlineStr">
        <is>
          <t>54850</t>
        </is>
      </c>
      <c r="AI61" s="10" t="inlineStr">
        <is>
          <t>Meurthe-et-Moselle</t>
        </is>
      </c>
      <c r="AJ61" s="10" t="inlineStr">
        <is>
          <t>Lorraine</t>
        </is>
      </c>
      <c r="AK61" s="16" t="n">
        <v>3</v>
      </c>
      <c r="AL61" s="10" t="n"/>
      <c r="AM61" s="10" t="inlineStr">
        <is>
          <t>Non</t>
        </is>
      </c>
      <c r="AN61" s="10" t="inlineStr">
        <is>
          <t>Bonjour, suite à de nouveaux projet de vie j’envisage de me séparer de ma voiture de piste. La voiture est roulante, mais ct plus de 6 mois et est restée à l’arrêt plus d’un an. Un entretiens est à prévoir, la voiture est équipée pour la piste et est vendu en tant que telle. -ct + 6 mois CG à mon nom -135k km -un peu de frais de carrosserie bosse aile/coffre, rouille de surface sous le coffre -caisse complètement vidée mais intérieur présent et/ou panneau de porte Carbon à posé -baquet et harnai</t>
        </is>
      </c>
      <c r="AO61" s="10" t="inlineStr">
        <is>
          <t>vehicle_technical_inspection_valid : Oui ; Contrôle technique : 2027 ; Permis : Avec permis ; Importé : false</t>
        </is>
      </c>
      <c r="AP61" s="19" t="inlineStr">
        <is>
          <t>Voir</t>
        </is>
      </c>
      <c r="AQ61" s="10" t="inlineStr">
        <is>
          <t>3261627755</t>
        </is>
      </c>
    </row>
    <row r="62">
      <c r="A62" s="10" t="inlineStr">
        <is>
          <t>Citroën Saxo VTS 16V</t>
        </is>
      </c>
      <c r="B62" s="10" t="inlineStr">
        <is>
          <t>Saxo vts 16s 120ch</t>
        </is>
      </c>
      <c r="C62" s="10" t="inlineStr">
        <is>
          <t>Saxo 1.6 16v VTS 3p</t>
        </is>
      </c>
      <c r="D62" s="10" t="inlineStr">
        <is>
          <t>VTS</t>
        </is>
      </c>
      <c r="E62" s="10" t="inlineStr">
        <is>
          <t>En vente</t>
        </is>
      </c>
      <c r="F62" s="18" t="n">
        <v>46269</v>
      </c>
      <c r="G62" s="18" t="n">
        <v>46269</v>
      </c>
      <c r="H62" s="18" t="n">
        <v>46310</v>
      </c>
      <c r="I62" s="18" t="n"/>
      <c r="J62" s="17">
        <f>IF(OR(ISNUMBER(F62),ISNUMBER(G62)),IF(ISNUMBER(I62),I62,H62)-IF(ISNUMBER(F62),F62,G62),"")</f>
        <v/>
      </c>
      <c r="K62" s="12" t="n">
        <v>7600</v>
      </c>
      <c r="L62" s="12" t="n">
        <v>7600</v>
      </c>
      <c r="M62" s="13">
        <f>IF(AND(ISNUMBER(K62),ISNUMBER(L62),K62&gt;0),1-L62/K62,"")</f>
        <v/>
      </c>
      <c r="N62" s="16" t="n">
        <v>0</v>
      </c>
      <c r="O62" s="12" t="n"/>
      <c r="P62" s="12" t="n"/>
      <c r="Q62" s="12" t="n"/>
      <c r="R62" s="14">
        <f>IF(AND(ISNUMBER(L62),ISNUMBER(P62),ISNUMBER(Q62)),L62/((P62+Q62)/2)-1,"")</f>
        <v/>
      </c>
      <c r="S62" s="10" t="n"/>
      <c r="T62" s="15" t="n">
        <v>209000</v>
      </c>
      <c r="U62" s="16" t="n">
        <v>2002</v>
      </c>
      <c r="V62" s="10" t="inlineStr">
        <is>
          <t>11/2002</t>
        </is>
      </c>
      <c r="W62" s="10" t="inlineStr">
        <is>
          <t>Essence</t>
        </is>
      </c>
      <c r="X62" s="10" t="inlineStr">
        <is>
          <t>Manuelle</t>
        </is>
      </c>
      <c r="Y62" s="16" t="n">
        <v>120</v>
      </c>
      <c r="Z62" s="16" t="n">
        <v>8</v>
      </c>
      <c r="AA62" s="10" t="inlineStr">
        <is>
          <t>Gris</t>
        </is>
      </c>
      <c r="AB62" s="16" t="n">
        <v>3</v>
      </c>
      <c r="AC62" s="10" t="inlineStr">
        <is>
          <t>Berline</t>
        </is>
      </c>
      <c r="AD62" s="10" t="n"/>
      <c r="AE62" s="10" t="n"/>
      <c r="AF62" s="10" t="inlineStr">
        <is>
          <t>Particulier</t>
        </is>
      </c>
      <c r="AG62" s="10" t="inlineStr">
        <is>
          <t>Bennwihr</t>
        </is>
      </c>
      <c r="AH62" s="10" t="inlineStr">
        <is>
          <t>68630</t>
        </is>
      </c>
      <c r="AI62" s="10" t="inlineStr">
        <is>
          <t>Haut-Rhin</t>
        </is>
      </c>
      <c r="AJ62" s="10" t="inlineStr">
        <is>
          <t>Alsace</t>
        </is>
      </c>
      <c r="AK62" s="16" t="n">
        <v>3</v>
      </c>
      <c r="AL62" s="10" t="n"/>
      <c r="AM62" s="10" t="inlineStr">
        <is>
          <t>Non</t>
        </is>
      </c>
      <c r="AN62" s="10" t="inlineStr">
        <is>
          <t>À vendre – Saxo VTS 16V 120 ch de 2002, gris EZR Merci de bien vouloir lire l’annonce avant de me contacter : je ne répondrai pas aux questions dont la réponse figure déjà dans l’annonce. Bon état général. Beaucoup de frais effectués, en voici une liste non exhaustive : Transmission refaite à neuf (10 000 km) : cardans AVG/AVD, embrayage, boîte de vitesses et roulements AVG/ARG/ARD Bobine d’allumage et démarreur (5 000 km) Supports moteur (10 000 km) Amortisseurs arrière ARG/ARD (5 000 km) Distr</t>
        </is>
      </c>
      <c r="AO62" s="10" t="inlineStr">
        <is>
          <t>Permis : Avec permis ; Importé : false</t>
        </is>
      </c>
      <c r="AP62" s="19" t="inlineStr">
        <is>
          <t>Voir</t>
        </is>
      </c>
      <c r="AQ62" s="10" t="inlineStr">
        <is>
          <t>3262635276</t>
        </is>
      </c>
    </row>
    <row r="63">
      <c r="A63" s="10" t="inlineStr">
        <is>
          <t>Citroën Saxo VTS 16V</t>
        </is>
      </c>
      <c r="B63" s="10" t="inlineStr">
        <is>
          <t>Saxo vts 16v</t>
        </is>
      </c>
      <c r="C63" s="10" t="inlineStr">
        <is>
          <t>VTS_Saxo 1.6 16V 120ch VTS 3p</t>
        </is>
      </c>
      <c r="D63" s="10" t="inlineStr">
        <is>
          <t>VTS</t>
        </is>
      </c>
      <c r="E63" s="10" t="inlineStr">
        <is>
          <t>En vente</t>
        </is>
      </c>
      <c r="F63" s="18" t="n">
        <v>46271</v>
      </c>
      <c r="G63" s="18" t="n">
        <v>46271</v>
      </c>
      <c r="H63" s="18" t="n">
        <v>46310</v>
      </c>
      <c r="I63" s="18" t="n"/>
      <c r="J63" s="17">
        <f>IF(OR(ISNUMBER(F63),ISNUMBER(G63)),IF(ISNUMBER(I63),I63,H63)-IF(ISNUMBER(F63),F63,G63),"")</f>
        <v/>
      </c>
      <c r="K63" s="12" t="n">
        <v>10900</v>
      </c>
      <c r="L63" s="12" t="n">
        <v>10900</v>
      </c>
      <c r="M63" s="13">
        <f>IF(AND(ISNUMBER(K63),ISNUMBER(L63),K63&gt;0),1-L63/K63,"")</f>
        <v/>
      </c>
      <c r="N63" s="16" t="n">
        <v>0</v>
      </c>
      <c r="O63" s="12" t="n"/>
      <c r="P63" s="12" t="n"/>
      <c r="Q63" s="12" t="n"/>
      <c r="R63" s="14">
        <f>IF(AND(ISNUMBER(L63),ISNUMBER(P63),ISNUMBER(Q63)),L63/((P63+Q63)/2)-1,"")</f>
        <v/>
      </c>
      <c r="S63" s="10" t="n"/>
      <c r="T63" s="15" t="n">
        <v>144000</v>
      </c>
      <c r="U63" s="16" t="n">
        <v>1997</v>
      </c>
      <c r="V63" s="10" t="inlineStr">
        <is>
          <t>02/1997</t>
        </is>
      </c>
      <c r="W63" s="10" t="inlineStr">
        <is>
          <t>Essence</t>
        </is>
      </c>
      <c r="X63" s="10" t="inlineStr">
        <is>
          <t>Manuelle</t>
        </is>
      </c>
      <c r="Y63" s="16" t="n">
        <v>120</v>
      </c>
      <c r="Z63" s="16" t="n">
        <v>8</v>
      </c>
      <c r="AA63" s="10" t="inlineStr">
        <is>
          <t>Bleu</t>
        </is>
      </c>
      <c r="AB63" s="16" t="n">
        <v>3</v>
      </c>
      <c r="AC63" s="10" t="inlineStr">
        <is>
          <t>Berline</t>
        </is>
      </c>
      <c r="AD63" s="10" t="inlineStr">
        <is>
          <t>Factures disponibles, Véhicule non fumeur, Réparations utiles déjà faites</t>
        </is>
      </c>
      <c r="AE63" s="10" t="n"/>
      <c r="AF63" s="10" t="inlineStr">
        <is>
          <t>Particulier</t>
        </is>
      </c>
      <c r="AG63" s="10" t="inlineStr">
        <is>
          <t>Festubert</t>
        </is>
      </c>
      <c r="AH63" s="10" t="inlineStr">
        <is>
          <t>62149</t>
        </is>
      </c>
      <c r="AI63" s="10" t="inlineStr">
        <is>
          <t>Pas-de-Calais</t>
        </is>
      </c>
      <c r="AJ63" s="10" t="inlineStr">
        <is>
          <t>Nord-Pas-de-Calais</t>
        </is>
      </c>
      <c r="AK63" s="16" t="n">
        <v>3</v>
      </c>
      <c r="AL63" s="10" t="n"/>
      <c r="AM63" s="10" t="inlineStr">
        <is>
          <t>Non</t>
        </is>
      </c>
      <c r="AN63" s="10" t="inlineStr">
        <is>
          <t>Saxo vts 16v 144000kms Nombreuses factures d entretien Train arrière changer il y a 1 an. En février 2027 , elle peu etre passé en véhicule de collection. Face avant mise en phase 2. Je possède le volant d origine Caisse très saine. Pas de corrosion Carrosserie extérieur présente bien mais pas neuve ! Pas de collection de photo! Intéressé vous venez l avoir si vous avez le budget! Annonce en ligne= dispo</t>
        </is>
      </c>
      <c r="AO63" s="10" t="inlineStr">
        <is>
          <t>vehicle_technical_inspection_valid : Oui ; Contrôle technique : 2028 ; Dommages : Bon état général ; Sellerie : Velours ; Équipements intérieurs : Jantes en alliage, Sièges sport ; Permis : Avec permis ; Importé : false</t>
        </is>
      </c>
      <c r="AP63" s="19" t="inlineStr">
        <is>
          <t>Voir</t>
        </is>
      </c>
      <c r="AQ63" s="10" t="inlineStr">
        <is>
          <t>3264107945</t>
        </is>
      </c>
    </row>
    <row r="64">
      <c r="A64" s="10" t="inlineStr">
        <is>
          <t>Citroën Saxo VTS 16V</t>
        </is>
      </c>
      <c r="B64" s="10" t="inlineStr">
        <is>
          <t>Saxo vts 16v 2000</t>
        </is>
      </c>
      <c r="C64" s="10" t="n"/>
      <c r="D64" s="10" t="n"/>
      <c r="E64" s="10" t="inlineStr">
        <is>
          <t>En vente</t>
        </is>
      </c>
      <c r="F64" s="18" t="n">
        <v>46273</v>
      </c>
      <c r="G64" s="18" t="n">
        <v>46273</v>
      </c>
      <c r="H64" s="18" t="n">
        <v>46310</v>
      </c>
      <c r="I64" s="18" t="n"/>
      <c r="J64" s="17">
        <f>IF(OR(ISNUMBER(F64),ISNUMBER(G64)),IF(ISNUMBER(I64),I64,H64)-IF(ISNUMBER(F64),F64,G64),"")</f>
        <v/>
      </c>
      <c r="K64" s="12" t="n">
        <v>7500</v>
      </c>
      <c r="L64" s="12" t="n">
        <v>7500</v>
      </c>
      <c r="M64" s="13">
        <f>IF(AND(ISNUMBER(K64),ISNUMBER(L64),K64&gt;0),1-L64/K64,"")</f>
        <v/>
      </c>
      <c r="N64" s="16" t="n">
        <v>0</v>
      </c>
      <c r="O64" s="12" t="n"/>
      <c r="P64" s="12" t="n"/>
      <c r="Q64" s="12" t="n"/>
      <c r="R64" s="14">
        <f>IF(AND(ISNUMBER(L64),ISNUMBER(P64),ISNUMBER(Q64)),L64/((P64+Q64)/2)-1,"")</f>
        <v/>
      </c>
      <c r="S64" s="10" t="n"/>
      <c r="T64" s="15" t="n">
        <v>216500</v>
      </c>
      <c r="U64" s="16" t="n">
        <v>2000</v>
      </c>
      <c r="V64" s="10" t="inlineStr">
        <is>
          <t>07/2000</t>
        </is>
      </c>
      <c r="W64" s="10" t="inlineStr">
        <is>
          <t>Essence</t>
        </is>
      </c>
      <c r="X64" s="10" t="inlineStr">
        <is>
          <t>Manuelle</t>
        </is>
      </c>
      <c r="Y64" s="16" t="n">
        <v>118</v>
      </c>
      <c r="Z64" s="16" t="n">
        <v>8</v>
      </c>
      <c r="AA64" s="10" t="inlineStr">
        <is>
          <t>Autre</t>
        </is>
      </c>
      <c r="AB64" s="16" t="n">
        <v>3</v>
      </c>
      <c r="AC64" s="10" t="inlineStr">
        <is>
          <t>Berline</t>
        </is>
      </c>
      <c r="AD64" s="10" t="n"/>
      <c r="AE64" s="10" t="n"/>
      <c r="AF64" s="10" t="inlineStr">
        <is>
          <t>Particulier</t>
        </is>
      </c>
      <c r="AG64" s="10" t="inlineStr">
        <is>
          <t>Ménétreux-le-Pitois</t>
        </is>
      </c>
      <c r="AH64" s="10" t="inlineStr">
        <is>
          <t>21150</t>
        </is>
      </c>
      <c r="AI64" s="10" t="inlineStr">
        <is>
          <t>Côte-d'Or</t>
        </is>
      </c>
      <c r="AJ64" s="10" t="inlineStr">
        <is>
          <t>Bourgogne</t>
        </is>
      </c>
      <c r="AK64" s="16" t="n">
        <v>3</v>
      </c>
      <c r="AL64" s="10" t="n"/>
      <c r="AM64" s="10" t="inlineStr">
        <is>
          <t>Non</t>
        </is>
      </c>
      <c r="AN64" s="10" t="inlineStr">
        <is>
          <t>Bonjour, A vendre Saxo vts 16v de 2000. Refaite complète, quelques bricoles à revoir malgré tout. -centralisation ne fonctionne pas -retros électrique ne fonctionne pas -capot voilé ( je fourni un capot d’occas à reprendre -pare choc avant et arrière à repeindre ( mal préparé et la peinture s’écaille) Peinture neuve (teinte biton mais pas une vrai) 216500 kms au compteur. Moteur neuf (4 pistons, coussinets, culasse contrôlée) Boîte de vitesse neuve 6000€ de factures Carte grise à jour et CT ok d</t>
        </is>
      </c>
      <c r="AO64" s="10" t="inlineStr">
        <is>
          <t>vehicle_technical_inspection_valid : Oui ; Contrôle technique : 2028 ; Permis : Avec permis ; Importé : false</t>
        </is>
      </c>
      <c r="AP64" s="19" t="inlineStr">
        <is>
          <t>Voir</t>
        </is>
      </c>
      <c r="AQ64" s="10" t="inlineStr">
        <is>
          <t>3266045304</t>
        </is>
      </c>
    </row>
    <row r="65">
      <c r="A65" s="10" t="inlineStr">
        <is>
          <t>Citroën Saxo VTS 16V</t>
        </is>
      </c>
      <c r="B65" s="10" t="inlineStr">
        <is>
          <t>Citroën saxo vts</t>
        </is>
      </c>
      <c r="C65" s="10" t="n"/>
      <c r="D65" s="10" t="n"/>
      <c r="E65" s="10" t="inlineStr">
        <is>
          <t>En vente</t>
        </is>
      </c>
      <c r="F65" s="18" t="n">
        <v>46279</v>
      </c>
      <c r="G65" s="18" t="n">
        <v>46279</v>
      </c>
      <c r="H65" s="18" t="n">
        <v>46310</v>
      </c>
      <c r="I65" s="18" t="n"/>
      <c r="J65" s="17">
        <f>IF(OR(ISNUMBER(F65),ISNUMBER(G65)),IF(ISNUMBER(I65),I65,H65)-IF(ISNUMBER(F65),F65,G65),"")</f>
        <v/>
      </c>
      <c r="K65" s="12" t="n">
        <v>2500</v>
      </c>
      <c r="L65" s="12" t="n">
        <v>2500</v>
      </c>
      <c r="M65" s="13">
        <f>IF(AND(ISNUMBER(K65),ISNUMBER(L65),K65&gt;0),1-L65/K65,"")</f>
        <v/>
      </c>
      <c r="N65" s="16" t="n">
        <v>0</v>
      </c>
      <c r="O65" s="12" t="n"/>
      <c r="P65" s="12" t="n"/>
      <c r="Q65" s="12" t="n"/>
      <c r="R65" s="14">
        <f>IF(AND(ISNUMBER(L65),ISNUMBER(P65),ISNUMBER(Q65)),L65/((P65+Q65)/2)-1,"")</f>
        <v/>
      </c>
      <c r="S65" s="10" t="n"/>
      <c r="T65" s="15" t="n">
        <v>150000</v>
      </c>
      <c r="U65" s="16" t="n">
        <v>2000</v>
      </c>
      <c r="V65" s="10" t="inlineStr">
        <is>
          <t>04/2000</t>
        </is>
      </c>
      <c r="W65" s="10" t="inlineStr">
        <is>
          <t>Essence</t>
        </is>
      </c>
      <c r="X65" s="10" t="inlineStr">
        <is>
          <t>Manuelle</t>
        </is>
      </c>
      <c r="Y65" s="16" t="n">
        <v>75</v>
      </c>
      <c r="Z65" s="16" t="n">
        <v>5</v>
      </c>
      <c r="AA65" s="10" t="inlineStr">
        <is>
          <t>Autre</t>
        </is>
      </c>
      <c r="AB65" s="16" t="n">
        <v>3</v>
      </c>
      <c r="AC65" s="10" t="inlineStr">
        <is>
          <t>Berline</t>
        </is>
      </c>
      <c r="AD65" s="10" t="n"/>
      <c r="AE65" s="10" t="n"/>
      <c r="AF65" s="10" t="inlineStr">
        <is>
          <t>Particulier</t>
        </is>
      </c>
      <c r="AG65" s="10" t="inlineStr">
        <is>
          <t>Naintré</t>
        </is>
      </c>
      <c r="AH65" s="10" t="inlineStr">
        <is>
          <t>86530</t>
        </is>
      </c>
      <c r="AI65" s="10" t="inlineStr">
        <is>
          <t>Vienne</t>
        </is>
      </c>
      <c r="AJ65" s="10" t="inlineStr">
        <is>
          <t>Poitou-Charentes</t>
        </is>
      </c>
      <c r="AK65" s="16" t="n">
        <v>1</v>
      </c>
      <c r="AL65" s="10" t="n"/>
      <c r="AM65" s="10" t="inlineStr">
        <is>
          <t>Non</t>
        </is>
      </c>
      <c r="AN65" s="10" t="inlineStr">
        <is>
          <t>Saxo vts entière pour la pièce ou bien à Remonter swap 2l16 toutes les pièce d origine sont présente et fournie avec !!! plus d info par message</t>
        </is>
      </c>
      <c r="AO65" s="10" t="inlineStr">
        <is>
          <t>Permis : Avec permis ; Importé : false</t>
        </is>
      </c>
      <c r="AP65" s="19" t="inlineStr">
        <is>
          <t>Voir</t>
        </is>
      </c>
      <c r="AQ65" s="10" t="inlineStr">
        <is>
          <t>3269890983</t>
        </is>
      </c>
    </row>
    <row r="66">
      <c r="A66" s="10" t="inlineStr">
        <is>
          <t>Citroën Saxo VTS 16V</t>
        </is>
      </c>
      <c r="B66" s="10" t="inlineStr">
        <is>
          <t>Saxo Vts 1.6 8s</t>
        </is>
      </c>
      <c r="C66" s="10" t="n"/>
      <c r="D66" s="10" t="n"/>
      <c r="E66" s="10" t="inlineStr">
        <is>
          <t>En vente</t>
        </is>
      </c>
      <c r="F66" s="18" t="n">
        <v>46280</v>
      </c>
      <c r="G66" s="18" t="n">
        <v>46280</v>
      </c>
      <c r="H66" s="18" t="n">
        <v>46310</v>
      </c>
      <c r="I66" s="18" t="n"/>
      <c r="J66" s="17">
        <f>IF(OR(ISNUMBER(F66),ISNUMBER(G66)),IF(ISNUMBER(I66),I66,H66)-IF(ISNUMBER(F66),F66,G66),"")</f>
        <v/>
      </c>
      <c r="K66" s="12" t="n">
        <v>4500</v>
      </c>
      <c r="L66" s="12" t="n">
        <v>4500</v>
      </c>
      <c r="M66" s="13">
        <f>IF(AND(ISNUMBER(K66),ISNUMBER(L66),K66&gt;0),1-L66/K66,"")</f>
        <v/>
      </c>
      <c r="N66" s="16" t="n">
        <v>0</v>
      </c>
      <c r="O66" s="12" t="n"/>
      <c r="P66" s="12" t="n"/>
      <c r="Q66" s="12" t="n"/>
      <c r="R66" s="14">
        <f>IF(AND(ISNUMBER(L66),ISNUMBER(P66),ISNUMBER(Q66)),L66/((P66+Q66)/2)-1,"")</f>
        <v/>
      </c>
      <c r="S66" s="10" t="n"/>
      <c r="T66" s="15" t="n">
        <v>250000</v>
      </c>
      <c r="U66" s="16" t="n">
        <v>2001</v>
      </c>
      <c r="V66" s="10" t="inlineStr">
        <is>
          <t>11/2001</t>
        </is>
      </c>
      <c r="W66" s="10" t="inlineStr">
        <is>
          <t>Essence</t>
        </is>
      </c>
      <c r="X66" s="10" t="inlineStr">
        <is>
          <t>Manuelle</t>
        </is>
      </c>
      <c r="Y66" s="16" t="n">
        <v>90</v>
      </c>
      <c r="Z66" s="16" t="n">
        <v>5</v>
      </c>
      <c r="AA66" s="10" t="inlineStr">
        <is>
          <t>Argent</t>
        </is>
      </c>
      <c r="AB66" s="16" t="n">
        <v>3</v>
      </c>
      <c r="AC66" s="10" t="inlineStr">
        <is>
          <t>Berline</t>
        </is>
      </c>
      <c r="AD66" s="10" t="inlineStr">
        <is>
          <t>Factures disponibles, Réparations utiles déjà faites, Véhicule non fumeur</t>
        </is>
      </c>
      <c r="AE66" s="10" t="n"/>
      <c r="AF66" s="10" t="inlineStr">
        <is>
          <t>Particulier</t>
        </is>
      </c>
      <c r="AG66" s="10" t="inlineStr">
        <is>
          <t>Saint-Pierre</t>
        </is>
      </c>
      <c r="AH66" s="10" t="inlineStr">
        <is>
          <t>97410</t>
        </is>
      </c>
      <c r="AI66" s="10" t="n"/>
      <c r="AJ66" s="10" t="inlineStr">
        <is>
          <t>Réunion</t>
        </is>
      </c>
      <c r="AK66" s="16" t="n">
        <v>3</v>
      </c>
      <c r="AL66" s="10" t="n"/>
      <c r="AM66" s="10" t="inlineStr">
        <is>
          <t>Non</t>
        </is>
      </c>
      <c r="AN66" s="10" t="inlineStr">
        <is>
          <t>Vend Saxo Vts 1.6 8s. Distribution, embrayage et train avant viens d'être fais. Modification : swap 1.6 8s, gros injecteur, poulie réglable, frein s16, boîte s16 14.60, train avant s16. Vend avec kit en fibre complet pour le véhicule. Plus d'informations en privé.</t>
        </is>
      </c>
      <c r="AO66" s="10" t="inlineStr">
        <is>
          <t>Dommages : Bon état général ; Sellerie : Tissu ; Permis : Avec permis ; Importé : false</t>
        </is>
      </c>
      <c r="AP66" s="19" t="inlineStr">
        <is>
          <t>Voir</t>
        </is>
      </c>
      <c r="AQ66" s="10" t="inlineStr">
        <is>
          <t>3270100305</t>
        </is>
      </c>
    </row>
    <row r="67">
      <c r="A67" s="10" t="inlineStr">
        <is>
          <t>Citroën Saxo VTS 16V</t>
        </is>
      </c>
      <c r="B67" s="10" t="inlineStr">
        <is>
          <t>Saxo vts 1.6 8s</t>
        </is>
      </c>
      <c r="C67" s="10" t="n"/>
      <c r="D67" s="10" t="n"/>
      <c r="E67" s="10" t="inlineStr">
        <is>
          <t>En vente</t>
        </is>
      </c>
      <c r="F67" s="18" t="n">
        <v>46281</v>
      </c>
      <c r="G67" s="18" t="n">
        <v>46281</v>
      </c>
      <c r="H67" s="18" t="n">
        <v>46310</v>
      </c>
      <c r="I67" s="18" t="n"/>
      <c r="J67" s="17">
        <f>IF(OR(ISNUMBER(F67),ISNUMBER(G67)),IF(ISNUMBER(I67),I67,H67)-IF(ISNUMBER(F67),F67,G67),"")</f>
        <v/>
      </c>
      <c r="K67" s="12" t="n">
        <v>1600</v>
      </c>
      <c r="L67" s="12" t="n">
        <v>1600</v>
      </c>
      <c r="M67" s="13">
        <f>IF(AND(ISNUMBER(K67),ISNUMBER(L67),K67&gt;0),1-L67/K67,"")</f>
        <v/>
      </c>
      <c r="N67" s="16" t="n">
        <v>0</v>
      </c>
      <c r="O67" s="12" t="n"/>
      <c r="P67" s="12" t="n"/>
      <c r="Q67" s="12" t="n"/>
      <c r="R67" s="14">
        <f>IF(AND(ISNUMBER(L67),ISNUMBER(P67),ISNUMBER(Q67)),L67/((P67+Q67)/2)-1,"")</f>
        <v/>
      </c>
      <c r="S67" s="10" t="n"/>
      <c r="T67" s="15" t="n">
        <v>281740</v>
      </c>
      <c r="U67" s="16" t="n">
        <v>2003</v>
      </c>
      <c r="V67" s="10" t="inlineStr">
        <is>
          <t>01/2003</t>
        </is>
      </c>
      <c r="W67" s="10" t="inlineStr">
        <is>
          <t>Essence</t>
        </is>
      </c>
      <c r="X67" s="10" t="inlineStr">
        <is>
          <t>Manuelle</t>
        </is>
      </c>
      <c r="Y67" s="16" t="n">
        <v>100</v>
      </c>
      <c r="Z67" s="16" t="n">
        <v>6</v>
      </c>
      <c r="AA67" s="10" t="inlineStr">
        <is>
          <t>Autre</t>
        </is>
      </c>
      <c r="AB67" s="16" t="n">
        <v>3</v>
      </c>
      <c r="AC67" s="10" t="inlineStr">
        <is>
          <t>Berline</t>
        </is>
      </c>
      <c r="AD67" s="10" t="n"/>
      <c r="AE67" s="10" t="n"/>
      <c r="AF67" s="10" t="inlineStr">
        <is>
          <t>Particulier</t>
        </is>
      </c>
      <c r="AG67" s="10" t="inlineStr">
        <is>
          <t>Le Robert</t>
        </is>
      </c>
      <c r="AH67" s="10" t="inlineStr">
        <is>
          <t>97231</t>
        </is>
      </c>
      <c r="AI67" s="10" t="n"/>
      <c r="AJ67" s="10" t="inlineStr">
        <is>
          <t>Martinique</t>
        </is>
      </c>
      <c r="AK67" s="16" t="n">
        <v>1</v>
      </c>
      <c r="AL67" s="10" t="n"/>
      <c r="AM67" s="10" t="inlineStr">
        <is>
          <t>Non</t>
        </is>
      </c>
      <c r="AN67" s="10" t="inlineStr">
        <is>
          <t>Saxo vts 1.6 8s d’origine Carte grise OK Pas de CT , en état Voyant abs allumé Quelques défauts carrosserie, point de rouille portière gauche, fixation siège chauffeur</t>
        </is>
      </c>
      <c r="AO67" s="10" t="inlineStr">
        <is>
          <t>vehicle_technical_inspection_valid : Non ; Permis : Avec permis ; Importé : false</t>
        </is>
      </c>
      <c r="AP67" s="19" t="inlineStr">
        <is>
          <t>Voir</t>
        </is>
      </c>
      <c r="AQ67" s="10" t="inlineStr">
        <is>
          <t>3271080732</t>
        </is>
      </c>
    </row>
    <row r="68">
      <c r="A68" s="10" t="inlineStr">
        <is>
          <t>Citroën Saxo VTS 16V</t>
        </is>
      </c>
      <c r="B68" s="10" t="inlineStr">
        <is>
          <t>Saxo vts</t>
        </is>
      </c>
      <c r="C68" s="10" t="n"/>
      <c r="D68" s="10" t="n"/>
      <c r="E68" s="10" t="inlineStr">
        <is>
          <t>En vente</t>
        </is>
      </c>
      <c r="F68" s="18" t="n">
        <v>46287</v>
      </c>
      <c r="G68" s="18" t="n">
        <v>46287</v>
      </c>
      <c r="H68" s="18" t="n">
        <v>46310</v>
      </c>
      <c r="I68" s="18" t="n"/>
      <c r="J68" s="17">
        <f>IF(OR(ISNUMBER(F68),ISNUMBER(G68)),IF(ISNUMBER(I68),I68,H68)-IF(ISNUMBER(F68),F68,G68),"")</f>
        <v/>
      </c>
      <c r="K68" s="12" t="n">
        <v>9000</v>
      </c>
      <c r="L68" s="12" t="n">
        <v>9000</v>
      </c>
      <c r="M68" s="13">
        <f>IF(AND(ISNUMBER(K68),ISNUMBER(L68),K68&gt;0),1-L68/K68,"")</f>
        <v/>
      </c>
      <c r="N68" s="16" t="n">
        <v>0</v>
      </c>
      <c r="O68" s="12" t="n"/>
      <c r="P68" s="12" t="n"/>
      <c r="Q68" s="12" t="n"/>
      <c r="R68" s="14">
        <f>IF(AND(ISNUMBER(L68),ISNUMBER(P68),ISNUMBER(Q68)),L68/((P68+Q68)/2)-1,"")</f>
        <v/>
      </c>
      <c r="S68" s="10" t="n"/>
      <c r="T68" s="15" t="n">
        <v>230000</v>
      </c>
      <c r="U68" s="16" t="n">
        <v>1999</v>
      </c>
      <c r="V68" s="10" t="inlineStr">
        <is>
          <t>10/1999</t>
        </is>
      </c>
      <c r="W68" s="10" t="inlineStr">
        <is>
          <t>Essence</t>
        </is>
      </c>
      <c r="X68" s="10" t="inlineStr">
        <is>
          <t>Manuelle</t>
        </is>
      </c>
      <c r="Y68" s="16" t="n">
        <v>118</v>
      </c>
      <c r="Z68" s="16" t="n">
        <v>8</v>
      </c>
      <c r="AA68" s="10" t="inlineStr">
        <is>
          <t>Autre</t>
        </is>
      </c>
      <c r="AB68" s="16" t="n">
        <v>3</v>
      </c>
      <c r="AC68" s="10" t="inlineStr">
        <is>
          <t>Berline</t>
        </is>
      </c>
      <c r="AD68" s="10" t="n"/>
      <c r="AE68" s="10" t="n"/>
      <c r="AF68" s="10" t="inlineStr">
        <is>
          <t>Particulier</t>
        </is>
      </c>
      <c r="AG68" s="10" t="inlineStr">
        <is>
          <t>Morteau</t>
        </is>
      </c>
      <c r="AH68" s="10" t="inlineStr">
        <is>
          <t>25500</t>
        </is>
      </c>
      <c r="AI68" s="10" t="inlineStr">
        <is>
          <t>Doubs</t>
        </is>
      </c>
      <c r="AJ68" s="10" t="inlineStr">
        <is>
          <t>Franche-Comté</t>
        </is>
      </c>
      <c r="AK68" s="16" t="n">
        <v>3</v>
      </c>
      <c r="AL68" s="10" t="n"/>
      <c r="AM68" s="10" t="inlineStr">
        <is>
          <t>Non</t>
        </is>
      </c>
      <c r="AN68" s="10" t="inlineStr">
        <is>
          <t>Citroën Saxo VTS 1.6 16V – 1999 Je mets en vente ma Citroën Saxo VTS 1.6 16V de 1999. Je m’en sépare à contrecœur car j’ai un autre projet automobile qui me prend du temps et du budget. Informations : Citroën Saxo VTS 1.6 16 soupapes Année : 1999 Boîte manuelle Carte grise à mon nom Amortisseur BC racing Commande boîte satchell Jante pts Nankang AR 1 Durite avia Liquide frein RBF 660 Collecteur 4-2-1 Ligne groupe N oreca DEMI Arceau AST À POSER Siège Sparco Évo QRT Plaquettes avant ferodo DS 250</t>
        </is>
      </c>
      <c r="AO68" s="10" t="inlineStr">
        <is>
          <t>Permis : Avec permis ; Importé : false</t>
        </is>
      </c>
      <c r="AP68" s="19" t="inlineStr">
        <is>
          <t>Voir</t>
        </is>
      </c>
      <c r="AQ68" s="10" t="inlineStr">
        <is>
          <t>3274386766</t>
        </is>
      </c>
    </row>
    <row r="69">
      <c r="A69" s="10" t="inlineStr">
        <is>
          <t>Citroën Saxo VTS 16V</t>
        </is>
      </c>
      <c r="B69" s="10" t="inlineStr">
        <is>
          <t>Saxo VTS 16V restaurée</t>
        </is>
      </c>
      <c r="C69" s="10" t="n"/>
      <c r="D69" s="10" t="n"/>
      <c r="E69" s="10" t="inlineStr">
        <is>
          <t>En vente</t>
        </is>
      </c>
      <c r="F69" s="18" t="n">
        <v>46289</v>
      </c>
      <c r="G69" s="18" t="n">
        <v>46289</v>
      </c>
      <c r="H69" s="18" t="n">
        <v>46310</v>
      </c>
      <c r="I69" s="18" t="n"/>
      <c r="J69" s="17">
        <f>IF(OR(ISNUMBER(F69),ISNUMBER(G69)),IF(ISNUMBER(I69),I69,H69)-IF(ISNUMBER(F69),F69,G69),"")</f>
        <v/>
      </c>
      <c r="K69" s="12" t="n">
        <v>10000</v>
      </c>
      <c r="L69" s="12" t="n">
        <v>10000</v>
      </c>
      <c r="M69" s="13">
        <f>IF(AND(ISNUMBER(K69),ISNUMBER(L69),K69&gt;0),1-L69/K69,"")</f>
        <v/>
      </c>
      <c r="N69" s="16" t="n">
        <v>0</v>
      </c>
      <c r="O69" s="12" t="n"/>
      <c r="P69" s="12" t="n"/>
      <c r="Q69" s="12" t="n"/>
      <c r="R69" s="14">
        <f>IF(AND(ISNUMBER(L69),ISNUMBER(P69),ISNUMBER(Q69)),L69/((P69+Q69)/2)-1,"")</f>
        <v/>
      </c>
      <c r="S69" s="10" t="n"/>
      <c r="T69" s="15" t="n">
        <v>195184</v>
      </c>
      <c r="U69" s="16" t="n">
        <v>2000</v>
      </c>
      <c r="V69" s="10" t="inlineStr">
        <is>
          <t>08/2000</t>
        </is>
      </c>
      <c r="W69" s="10" t="inlineStr">
        <is>
          <t>Essence</t>
        </is>
      </c>
      <c r="X69" s="10" t="inlineStr">
        <is>
          <t>Manuelle</t>
        </is>
      </c>
      <c r="Y69" s="16" t="n">
        <v>118</v>
      </c>
      <c r="Z69" s="16" t="n">
        <v>8</v>
      </c>
      <c r="AA69" s="10" t="inlineStr">
        <is>
          <t>Jaune</t>
        </is>
      </c>
      <c r="AB69" s="16" t="n">
        <v>3</v>
      </c>
      <c r="AC69" s="10" t="inlineStr">
        <is>
          <t>Berline</t>
        </is>
      </c>
      <c r="AD69" s="10" t="inlineStr">
        <is>
          <t>Factures disponibles, Réparations utiles déjà faites</t>
        </is>
      </c>
      <c r="AE69" s="10" t="n"/>
      <c r="AF69" s="10" t="inlineStr">
        <is>
          <t>Particulier</t>
        </is>
      </c>
      <c r="AG69" s="10" t="inlineStr">
        <is>
          <t>Soissons</t>
        </is>
      </c>
      <c r="AH69" s="10" t="inlineStr">
        <is>
          <t>02200</t>
        </is>
      </c>
      <c r="AI69" s="10" t="inlineStr">
        <is>
          <t>Aisne</t>
        </is>
      </c>
      <c r="AJ69" s="10" t="inlineStr">
        <is>
          <t>Picardie</t>
        </is>
      </c>
      <c r="AK69" s="16" t="n">
        <v>3</v>
      </c>
      <c r="AL69" s="10" t="n"/>
      <c r="AM69" s="10" t="inlineStr">
        <is>
          <t>Non</t>
        </is>
      </c>
      <c r="AN69" s="10" t="inlineStr">
        <is>
          <t>Bonjour, je met en vente ma saxo après deux ans en ma possession (400kms…) Je l’ai acheté dans un garage de restauration de véhicules ( vintage car à maroilles 59 ) La carosserie et le châssis ont intégralement été traité contre la rouille et refait Peinture complète orange mango ( bic ) Baie moteur également Pour ce qui est de la meca que j’ai réalisé sur ces deux années Distribution + PAE Sonde de température LR Intermédiaire + silencieux neufs Vidange + filtre Joints spy boîte de vitesse Biel</t>
        </is>
      </c>
      <c r="AO69" s="10" t="inlineStr">
        <is>
          <t>vehicle_technical_inspection_valid : Non ; Dommages : Excellent état (proche du neuf) ; Sellerie : Tissu ; Équipements intérieurs : Bluetooth, Jantes en alliage, Phares anti-brouillard, Radio numérique DAB, Roue de secours, Siège arrière rabattable, Suspension sport / adaptative ; Permis : Avec permis ; Importé : false ; vehicle_history_teaser_critair : 3 ; vehicle_history_teaser_owners : 3 ; vehicle_history_teaser_expertises : true ; vehicle_history_teaser_special_uses : false ; vehicle_history_teaser_atypical_operations : true ; vehicle_history_teaser_importations : false</t>
        </is>
      </c>
      <c r="AP69" s="19" t="inlineStr">
        <is>
          <t>Voir</t>
        </is>
      </c>
      <c r="AQ69" s="10" t="inlineStr">
        <is>
          <t>3275636332</t>
        </is>
      </c>
    </row>
    <row r="70">
      <c r="A70" s="10" t="inlineStr">
        <is>
          <t>Citroën Saxo VTS 16V</t>
        </is>
      </c>
      <c r="B70" s="10" t="inlineStr">
        <is>
          <t>Citroën saxo vts</t>
        </is>
      </c>
      <c r="C70" s="10" t="n"/>
      <c r="D70" s="10" t="n"/>
      <c r="E70" s="10" t="inlineStr">
        <is>
          <t>En vente</t>
        </is>
      </c>
      <c r="F70" s="18" t="n">
        <v>46289</v>
      </c>
      <c r="G70" s="18" t="n">
        <v>46289</v>
      </c>
      <c r="H70" s="18" t="n">
        <v>46310</v>
      </c>
      <c r="I70" s="18" t="n"/>
      <c r="J70" s="17">
        <f>IF(OR(ISNUMBER(F70),ISNUMBER(G70)),IF(ISNUMBER(I70),I70,H70)-IF(ISNUMBER(F70),F70,G70),"")</f>
        <v/>
      </c>
      <c r="K70" s="12" t="n">
        <v>6000</v>
      </c>
      <c r="L70" s="12" t="n">
        <v>6000</v>
      </c>
      <c r="M70" s="13">
        <f>IF(AND(ISNUMBER(K70),ISNUMBER(L70),K70&gt;0),1-L70/K70,"")</f>
        <v/>
      </c>
      <c r="N70" s="16" t="n">
        <v>0</v>
      </c>
      <c r="O70" s="12" t="n"/>
      <c r="P70" s="12" t="n"/>
      <c r="Q70" s="12" t="n"/>
      <c r="R70" s="14">
        <f>IF(AND(ISNUMBER(L70),ISNUMBER(P70),ISNUMBER(Q70)),L70/((P70+Q70)/2)-1,"")</f>
        <v/>
      </c>
      <c r="S70" s="10" t="n"/>
      <c r="T70" s="15" t="n">
        <v>111111</v>
      </c>
      <c r="U70" s="16" t="n">
        <v>1998</v>
      </c>
      <c r="V70" s="10" t="inlineStr">
        <is>
          <t>02/1998</t>
        </is>
      </c>
      <c r="W70" s="10" t="inlineStr">
        <is>
          <t>Essence</t>
        </is>
      </c>
      <c r="X70" s="10" t="inlineStr">
        <is>
          <t>Manuelle</t>
        </is>
      </c>
      <c r="Y70" s="16" t="n">
        <v>75</v>
      </c>
      <c r="Z70" s="16" t="n">
        <v>6</v>
      </c>
      <c r="AA70" s="10" t="inlineStr">
        <is>
          <t>Gris</t>
        </is>
      </c>
      <c r="AB70" s="16" t="n">
        <v>3</v>
      </c>
      <c r="AC70" s="10" t="inlineStr">
        <is>
          <t>Berline</t>
        </is>
      </c>
      <c r="AD70" s="10" t="n"/>
      <c r="AE70" s="10" t="n"/>
      <c r="AF70" s="10" t="inlineStr">
        <is>
          <t>Particulier</t>
        </is>
      </c>
      <c r="AG70" s="10" t="inlineStr">
        <is>
          <t>Saint-Agnan</t>
        </is>
      </c>
      <c r="AH70" s="10" t="inlineStr">
        <is>
          <t>89340</t>
        </is>
      </c>
      <c r="AI70" s="10" t="inlineStr">
        <is>
          <t>Yonne</t>
        </is>
      </c>
      <c r="AJ70" s="10" t="inlineStr">
        <is>
          <t>Bourgogne</t>
        </is>
      </c>
      <c r="AK70" s="16" t="n">
        <v>3</v>
      </c>
      <c r="AL70" s="10" t="n"/>
      <c r="AM70" s="10" t="inlineStr">
        <is>
          <t>Non</t>
        </is>
      </c>
      <c r="AN70" s="10" t="inlineStr">
        <is>
          <t>Bonjour, Je vends ma Citroën Saxo vts de 98 qui est en ma possession depuis un peux plus de 20ans. Elle n'est plus d'origine. La caisse a été complète vidé et souder. Il y a un arceau qui est soudé. La voiture a eu une peinture complète intérieure/extérieur et la pose d'un kit carrosserie de saxo kit car. Le capot est en fibre. Elle a un train arrière à disque qui avait été révisé. Suspension blisten B6 Frein avant de 206S16 Maître cylindre en 23.8 Triangle avant renforcé. Je dois en oublier sûr</t>
        </is>
      </c>
      <c r="AO70" s="10" t="inlineStr">
        <is>
          <t>Permis : Avec permis ; Importé : false</t>
        </is>
      </c>
      <c r="AP70" s="19" t="inlineStr">
        <is>
          <t>Voir</t>
        </is>
      </c>
      <c r="AQ70" s="10" t="inlineStr">
        <is>
          <t>3275939150</t>
        </is>
      </c>
    </row>
    <row r="71">
      <c r="A71" s="10" t="inlineStr">
        <is>
          <t>Citroën Saxo VTS 16V</t>
        </is>
      </c>
      <c r="B71" s="10" t="inlineStr">
        <is>
          <t>Vend saxo vts 100ch</t>
        </is>
      </c>
      <c r="C71" s="10" t="n"/>
      <c r="D71" s="10" t="n"/>
      <c r="E71" s="10" t="inlineStr">
        <is>
          <t>En vente</t>
        </is>
      </c>
      <c r="F71" s="18" t="n">
        <v>46289</v>
      </c>
      <c r="G71" s="18" t="n">
        <v>46289</v>
      </c>
      <c r="H71" s="18" t="n">
        <v>46310</v>
      </c>
      <c r="I71" s="18" t="n"/>
      <c r="J71" s="17">
        <f>IF(OR(ISNUMBER(F71),ISNUMBER(G71)),IF(ISNUMBER(I71),I71,H71)-IF(ISNUMBER(F71),F71,G71),"")</f>
        <v/>
      </c>
      <c r="K71" s="12" t="n">
        <v>5500</v>
      </c>
      <c r="L71" s="12" t="n">
        <v>5500</v>
      </c>
      <c r="M71" s="13">
        <f>IF(AND(ISNUMBER(K71),ISNUMBER(L71),K71&gt;0),1-L71/K71,"")</f>
        <v/>
      </c>
      <c r="N71" s="16" t="n">
        <v>0</v>
      </c>
      <c r="O71" s="12" t="n"/>
      <c r="P71" s="12" t="n"/>
      <c r="Q71" s="12" t="n"/>
      <c r="R71" s="14">
        <f>IF(AND(ISNUMBER(L71),ISNUMBER(P71),ISNUMBER(Q71)),L71/((P71+Q71)/2)-1,"")</f>
        <v/>
      </c>
      <c r="S71" s="10" t="n"/>
      <c r="T71" s="15" t="n">
        <v>207000</v>
      </c>
      <c r="U71" s="16" t="n">
        <v>2002</v>
      </c>
      <c r="V71" s="10" t="inlineStr">
        <is>
          <t>01/2002</t>
        </is>
      </c>
      <c r="W71" s="10" t="inlineStr">
        <is>
          <t>Essence</t>
        </is>
      </c>
      <c r="X71" s="10" t="inlineStr">
        <is>
          <t>Manuelle</t>
        </is>
      </c>
      <c r="Y71" s="16" t="n">
        <v>100</v>
      </c>
      <c r="Z71" s="16" t="n">
        <v>6</v>
      </c>
      <c r="AA71" s="10" t="inlineStr">
        <is>
          <t>Jaune</t>
        </is>
      </c>
      <c r="AB71" s="16" t="n">
        <v>3</v>
      </c>
      <c r="AC71" s="10" t="inlineStr">
        <is>
          <t>Citadine</t>
        </is>
      </c>
      <c r="AD71" s="10" t="n"/>
      <c r="AE71" s="10" t="n"/>
      <c r="AF71" s="10" t="inlineStr">
        <is>
          <t>Particulier</t>
        </is>
      </c>
      <c r="AG71" s="10" t="inlineStr">
        <is>
          <t>Villemolaque</t>
        </is>
      </c>
      <c r="AH71" s="10" t="inlineStr">
        <is>
          <t>66300</t>
        </is>
      </c>
      <c r="AI71" s="10" t="inlineStr">
        <is>
          <t>Pyrénées-Orientales</t>
        </is>
      </c>
      <c r="AJ71" s="10" t="inlineStr">
        <is>
          <t>Languedoc-Roussillon</t>
        </is>
      </c>
      <c r="AK71" s="16" t="n">
        <v>3</v>
      </c>
      <c r="AL71" s="10" t="n"/>
      <c r="AM71" s="10" t="inlineStr">
        <is>
          <t>Non</t>
        </is>
      </c>
      <c r="AN71" s="10" t="inlineStr">
        <is>
          <t>🚗 Citroën Saxo vts 100ch– bon état – À vendre Citroën Saxo 3 portes – couleur dorée Je mets en vente ma Citroën Saxo, une petite voiture agréable et pratique, idéale comme première voiture ou pour les trajets quotidiens. 🔹 Marque : Citroën 🔹 Modèle : Saxo 🔹 Année : 2002 🔹 Kilométrage : 207000 🔹 Motorisation : [essence] 🔹 Boîte : manuelle 🔹 Couleur : doré 🔹 Nombre de portes : 3 🔹 Prix : 5500 La voiture est roulante et en bon état général. Elle présente quelques marques normales compte t</t>
        </is>
      </c>
      <c r="AO71" s="10" t="inlineStr">
        <is>
          <t>Permis : Avec permis ; Importé : false</t>
        </is>
      </c>
      <c r="AP71" s="19" t="inlineStr">
        <is>
          <t>Voir</t>
        </is>
      </c>
      <c r="AQ71" s="10" t="inlineStr">
        <is>
          <t>3276019569</t>
        </is>
      </c>
    </row>
    <row r="72">
      <c r="A72" s="10" t="inlineStr">
        <is>
          <t>Citroën Saxo VTS 16V</t>
        </is>
      </c>
      <c r="B72" s="10" t="inlineStr">
        <is>
          <t>Saxo VTS 16v</t>
        </is>
      </c>
      <c r="C72" s="10" t="n"/>
      <c r="D72" s="10" t="n"/>
      <c r="E72" s="10" t="inlineStr">
        <is>
          <t>En vente</t>
        </is>
      </c>
      <c r="F72" s="18" t="n">
        <v>46289</v>
      </c>
      <c r="G72" s="18" t="n">
        <v>46289</v>
      </c>
      <c r="H72" s="18" t="n">
        <v>46310</v>
      </c>
      <c r="I72" s="18" t="n"/>
      <c r="J72" s="17">
        <f>IF(OR(ISNUMBER(F72),ISNUMBER(G72)),IF(ISNUMBER(I72),I72,H72)-IF(ISNUMBER(F72),F72,G72),"")</f>
        <v/>
      </c>
      <c r="K72" s="12" t="n">
        <v>8800</v>
      </c>
      <c r="L72" s="12" t="n">
        <v>8800</v>
      </c>
      <c r="M72" s="13">
        <f>IF(AND(ISNUMBER(K72),ISNUMBER(L72),K72&gt;0),1-L72/K72,"")</f>
        <v/>
      </c>
      <c r="N72" s="16" t="n">
        <v>0</v>
      </c>
      <c r="O72" s="12" t="n"/>
      <c r="P72" s="12" t="n"/>
      <c r="Q72" s="12" t="n"/>
      <c r="R72" s="14">
        <f>IF(AND(ISNUMBER(L72),ISNUMBER(P72),ISNUMBER(Q72)),L72/((P72+Q72)/2)-1,"")</f>
        <v/>
      </c>
      <c r="S72" s="10" t="n"/>
      <c r="T72" s="15" t="n">
        <v>181200</v>
      </c>
      <c r="U72" s="16" t="n">
        <v>2000</v>
      </c>
      <c r="V72" s="10" t="inlineStr">
        <is>
          <t>08/2000</t>
        </is>
      </c>
      <c r="W72" s="10" t="inlineStr">
        <is>
          <t>Essence</t>
        </is>
      </c>
      <c r="X72" s="10" t="inlineStr">
        <is>
          <t>Manuelle</t>
        </is>
      </c>
      <c r="Y72" s="16" t="n">
        <v>118</v>
      </c>
      <c r="Z72" s="16" t="n">
        <v>8</v>
      </c>
      <c r="AA72" s="10" t="inlineStr">
        <is>
          <t>Noir</t>
        </is>
      </c>
      <c r="AB72" s="16" t="n">
        <v>3</v>
      </c>
      <c r="AC72" s="10" t="inlineStr">
        <is>
          <t>Berline</t>
        </is>
      </c>
      <c r="AD72" s="10" t="n"/>
      <c r="AE72" s="10" t="n"/>
      <c r="AF72" s="10" t="inlineStr">
        <is>
          <t>Particulier</t>
        </is>
      </c>
      <c r="AG72" s="10" t="inlineStr">
        <is>
          <t>Bar-le-Duc</t>
        </is>
      </c>
      <c r="AH72" s="10" t="inlineStr">
        <is>
          <t>55000</t>
        </is>
      </c>
      <c r="AI72" s="10" t="inlineStr">
        <is>
          <t>Meuse</t>
        </is>
      </c>
      <c r="AJ72" s="10" t="inlineStr">
        <is>
          <t>Lorraine</t>
        </is>
      </c>
      <c r="AK72" s="16" t="n">
        <v>10</v>
      </c>
      <c r="AL72" s="10" t="n"/>
      <c r="AM72" s="10" t="inlineStr">
        <is>
          <t>Non</t>
        </is>
      </c>
      <c r="AN72" s="10" t="inlineStr">
        <is>
          <t>Bonjour, Je vends ma Saxo VTS à contre-cœur car j’ai d’autres projets. * 1.6 16V 120 ch * Noir Onyx * Phase 2 d’août 2000 * Vitres électriques * Rétroviseurs électriques * Climatisation * 181 200 km (légèrement évolutifs) Travaux effectués et pièces montées par l’ancien propriétaire : * Restauration complète de la caisse avec peinture complète (photos disponibles) * Train arrière neuf + décranté * Durites aviation * Ressorts courts + amortisseurs Bilstein * Cône d’admission * Collecteur inox * C</t>
        </is>
      </c>
      <c r="AO72" s="10" t="inlineStr">
        <is>
          <t>vehicle_technical_inspection_valid : Oui ; Contrôle technique : 2028 ; Permis : Avec permis ; Importé : false</t>
        </is>
      </c>
      <c r="AP72" s="19" t="inlineStr">
        <is>
          <t>Voir</t>
        </is>
      </c>
      <c r="AQ72" s="10" t="inlineStr">
        <is>
          <t>3276045076</t>
        </is>
      </c>
    </row>
    <row r="73">
      <c r="A73" s="10" t="inlineStr">
        <is>
          <t>Citroën Saxo VTS 16V</t>
        </is>
      </c>
      <c r="B73" s="10" t="inlineStr">
        <is>
          <t>Saxo Vts 16v</t>
        </is>
      </c>
      <c r="C73" s="10" t="inlineStr">
        <is>
          <t>Saxo 1.6 16V 120ch VTS 3p</t>
        </is>
      </c>
      <c r="D73" s="10" t="inlineStr">
        <is>
          <t>VTS</t>
        </is>
      </c>
      <c r="E73" s="10" t="inlineStr">
        <is>
          <t>En vente</t>
        </is>
      </c>
      <c r="F73" s="18" t="n">
        <v>46291</v>
      </c>
      <c r="G73" s="18" t="n">
        <v>46291</v>
      </c>
      <c r="H73" s="18" t="n">
        <v>46310</v>
      </c>
      <c r="I73" s="18" t="n"/>
      <c r="J73" s="17">
        <f>IF(OR(ISNUMBER(F73),ISNUMBER(G73)),IF(ISNUMBER(I73),I73,H73)-IF(ISNUMBER(F73),F73,G73),"")</f>
        <v/>
      </c>
      <c r="K73" s="12" t="n">
        <v>7500</v>
      </c>
      <c r="L73" s="12" t="n">
        <v>7500</v>
      </c>
      <c r="M73" s="13">
        <f>IF(AND(ISNUMBER(K73),ISNUMBER(L73),K73&gt;0),1-L73/K73,"")</f>
        <v/>
      </c>
      <c r="N73" s="16" t="n">
        <v>0</v>
      </c>
      <c r="O73" s="12" t="n"/>
      <c r="P73" s="12" t="n"/>
      <c r="Q73" s="12" t="n"/>
      <c r="R73" s="14">
        <f>IF(AND(ISNUMBER(L73),ISNUMBER(P73),ISNUMBER(Q73)),L73/((P73+Q73)/2)-1,"")</f>
        <v/>
      </c>
      <c r="S73" s="10" t="n"/>
      <c r="T73" s="15" t="n">
        <v>185000</v>
      </c>
      <c r="U73" s="16" t="n">
        <v>2000</v>
      </c>
      <c r="V73" s="10" t="inlineStr">
        <is>
          <t>09/2000</t>
        </is>
      </c>
      <c r="W73" s="10" t="inlineStr">
        <is>
          <t>Essence</t>
        </is>
      </c>
      <c r="X73" s="10" t="inlineStr">
        <is>
          <t>Manuelle</t>
        </is>
      </c>
      <c r="Y73" s="16" t="n">
        <v>120</v>
      </c>
      <c r="Z73" s="16" t="n">
        <v>8</v>
      </c>
      <c r="AA73" s="10" t="inlineStr">
        <is>
          <t>Autre</t>
        </is>
      </c>
      <c r="AB73" s="16" t="n">
        <v>3</v>
      </c>
      <c r="AC73" s="10" t="inlineStr">
        <is>
          <t>Berline</t>
        </is>
      </c>
      <c r="AD73" s="10" t="n"/>
      <c r="AE73" s="10" t="n"/>
      <c r="AF73" s="10" t="inlineStr">
        <is>
          <t>Particulier</t>
        </is>
      </c>
      <c r="AG73" s="10" t="inlineStr">
        <is>
          <t>Solliès-Pont</t>
        </is>
      </c>
      <c r="AH73" s="10" t="inlineStr">
        <is>
          <t>83210</t>
        </is>
      </c>
      <c r="AI73" s="10" t="inlineStr">
        <is>
          <t>Var</t>
        </is>
      </c>
      <c r="AJ73" s="10" t="inlineStr">
        <is>
          <t>Provence-Alpes-Côte d'Azur</t>
        </is>
      </c>
      <c r="AK73" s="16" t="n">
        <v>3</v>
      </c>
      <c r="AL73" s="10" t="n"/>
      <c r="AM73" s="10" t="inlineStr">
        <is>
          <t>Non</t>
        </is>
      </c>
      <c r="AN73" s="10" t="inlineStr">
        <is>
          <t>Vend saxo Vts 16v Dans l état contrôle technique a faire Tourne nikel distri a prévoir et quelques defaults carrosserie</t>
        </is>
      </c>
      <c r="AO73" s="10" t="inlineStr">
        <is>
          <t>Permis : Avec permis ; Importé : false</t>
        </is>
      </c>
      <c r="AP73" s="19" t="inlineStr">
        <is>
          <t>Voir</t>
        </is>
      </c>
      <c r="AQ73" s="10" t="inlineStr">
        <is>
          <t>3276707355</t>
        </is>
      </c>
    </row>
    <row r="74">
      <c r="A74" s="10" t="inlineStr">
        <is>
          <t>Citroën Saxo VTS 16V</t>
        </is>
      </c>
      <c r="B74" s="10" t="inlineStr">
        <is>
          <t>Saxo VTS</t>
        </is>
      </c>
      <c r="C74" s="10" t="n"/>
      <c r="D74" s="10" t="n"/>
      <c r="E74" s="10" t="inlineStr">
        <is>
          <t>En vente</t>
        </is>
      </c>
      <c r="F74" s="18" t="n">
        <v>46294</v>
      </c>
      <c r="G74" s="18" t="n">
        <v>46294</v>
      </c>
      <c r="H74" s="18" t="n">
        <v>46310</v>
      </c>
      <c r="I74" s="18" t="n"/>
      <c r="J74" s="17">
        <f>IF(OR(ISNUMBER(F74),ISNUMBER(G74)),IF(ISNUMBER(I74),I74,H74)-IF(ISNUMBER(F74),F74,G74),"")</f>
        <v/>
      </c>
      <c r="K74" s="12" t="n">
        <v>6000</v>
      </c>
      <c r="L74" s="12" t="n">
        <v>6000</v>
      </c>
      <c r="M74" s="13">
        <f>IF(AND(ISNUMBER(K74),ISNUMBER(L74),K74&gt;0),1-L74/K74,"")</f>
        <v/>
      </c>
      <c r="N74" s="16" t="n">
        <v>0</v>
      </c>
      <c r="O74" s="12" t="n"/>
      <c r="P74" s="12" t="n"/>
      <c r="Q74" s="12" t="n"/>
      <c r="R74" s="14">
        <f>IF(AND(ISNUMBER(L74),ISNUMBER(P74),ISNUMBER(Q74)),L74/((P74+Q74)/2)-1,"")</f>
        <v/>
      </c>
      <c r="S74" s="10" t="n"/>
      <c r="T74" s="15" t="n">
        <v>170600</v>
      </c>
      <c r="U74" s="16" t="n">
        <v>2002</v>
      </c>
      <c r="V74" s="10" t="inlineStr">
        <is>
          <t>04/2002</t>
        </is>
      </c>
      <c r="W74" s="10" t="inlineStr">
        <is>
          <t>Essence</t>
        </is>
      </c>
      <c r="X74" s="10" t="inlineStr">
        <is>
          <t>Manuelle</t>
        </is>
      </c>
      <c r="Y74" s="16" t="n">
        <v>75</v>
      </c>
      <c r="Z74" s="16" t="n">
        <v>5</v>
      </c>
      <c r="AA74" s="10" t="inlineStr">
        <is>
          <t>Bleu</t>
        </is>
      </c>
      <c r="AB74" s="16" t="n">
        <v>3</v>
      </c>
      <c r="AC74" s="10" t="inlineStr">
        <is>
          <t>Berline</t>
        </is>
      </c>
      <c r="AD74" s="10" t="inlineStr">
        <is>
          <t>Véhicule non fumeur, Réparations utiles déjà faites</t>
        </is>
      </c>
      <c r="AE74" s="10" t="n"/>
      <c r="AF74" s="10" t="inlineStr">
        <is>
          <t>Particulier</t>
        </is>
      </c>
      <c r="AG74" s="10" t="inlineStr">
        <is>
          <t>Faulquemont</t>
        </is>
      </c>
      <c r="AH74" s="10" t="inlineStr">
        <is>
          <t>57380</t>
        </is>
      </c>
      <c r="AI74" s="10" t="inlineStr">
        <is>
          <t>Moselle</t>
        </is>
      </c>
      <c r="AJ74" s="10" t="inlineStr">
        <is>
          <t>Lorraine</t>
        </is>
      </c>
      <c r="AK74" s="16" t="n">
        <v>3</v>
      </c>
      <c r="AL74" s="10" t="n"/>
      <c r="AM74" s="10" t="inlineStr">
        <is>
          <t>Non</t>
        </is>
      </c>
      <c r="AN74" s="10" t="inlineStr">
        <is>
          <t>Bonjour, Je vend ma saxo VTS 1.4 75 avec clim et 170600km. Le moteur tourne comme une horloge démarre au quart de tour. Tout fonctionne Elle est complètement d'origine et ne sera pas vendu avec les jantes tôles. Niveau entretien. La distribution et embrayage neuf. Le freins avant et arriere neuf Les triangles et toute les rotules sont neuf Le catalyseur est neuf La ligne d'échappement est neuf La vidange a ete faite il y a moins de 2000km Le train arriere est en excellent état La climatisation f</t>
        </is>
      </c>
      <c r="AO74" s="10" t="inlineStr">
        <is>
          <t>Dommages : Excellent état (proche du neuf) ; Sellerie : Tissu ; Équipements intérieurs : Bluetooth, Climatisation, Jantes en alliage, Roue de secours, Siège arrière rabattable, Sièges sport ; Permis : Avec permis ; Importé : false</t>
        </is>
      </c>
      <c r="AP74" s="19" t="inlineStr">
        <is>
          <t>Voir</t>
        </is>
      </c>
      <c r="AQ74" s="10" t="inlineStr">
        <is>
          <t>3278923547</t>
        </is>
      </c>
    </row>
    <row r="75">
      <c r="A75" s="10" t="inlineStr">
        <is>
          <t>Citroën Saxo VTS 16V</t>
        </is>
      </c>
      <c r="B75" s="10" t="inlineStr">
        <is>
          <t>Saxo vts 16v</t>
        </is>
      </c>
      <c r="C75" s="10" t="n"/>
      <c r="D75" s="10" t="n"/>
      <c r="E75" s="10" t="inlineStr">
        <is>
          <t>En vente</t>
        </is>
      </c>
      <c r="F75" s="18" t="n">
        <v>46297</v>
      </c>
      <c r="G75" s="18" t="n">
        <v>46297</v>
      </c>
      <c r="H75" s="18" t="n">
        <v>46310</v>
      </c>
      <c r="I75" s="18" t="n"/>
      <c r="J75" s="17">
        <f>IF(OR(ISNUMBER(F75),ISNUMBER(G75)),IF(ISNUMBER(I75),I75,H75)-IF(ISNUMBER(F75),F75,G75),"")</f>
        <v/>
      </c>
      <c r="K75" s="12" t="n">
        <v>10000</v>
      </c>
      <c r="L75" s="12" t="n">
        <v>10000</v>
      </c>
      <c r="M75" s="13">
        <f>IF(AND(ISNUMBER(K75),ISNUMBER(L75),K75&gt;0),1-L75/K75,"")</f>
        <v/>
      </c>
      <c r="N75" s="16" t="n">
        <v>0</v>
      </c>
      <c r="O75" s="12" t="n"/>
      <c r="P75" s="12" t="n"/>
      <c r="Q75" s="12" t="n"/>
      <c r="R75" s="14">
        <f>IF(AND(ISNUMBER(L75),ISNUMBER(P75),ISNUMBER(Q75)),L75/((P75+Q75)/2)-1,"")</f>
        <v/>
      </c>
      <c r="S75" s="10" t="n"/>
      <c r="T75" s="15" t="n">
        <v>230000</v>
      </c>
      <c r="U75" s="16" t="n">
        <v>1999</v>
      </c>
      <c r="V75" s="10" t="inlineStr">
        <is>
          <t>10/1999</t>
        </is>
      </c>
      <c r="W75" s="10" t="inlineStr">
        <is>
          <t>Essence</t>
        </is>
      </c>
      <c r="X75" s="10" t="inlineStr">
        <is>
          <t>Manuelle</t>
        </is>
      </c>
      <c r="Y75" s="16" t="n">
        <v>118</v>
      </c>
      <c r="Z75" s="16" t="n">
        <v>8</v>
      </c>
      <c r="AA75" s="10" t="inlineStr">
        <is>
          <t>Blanc</t>
        </is>
      </c>
      <c r="AB75" s="16" t="n">
        <v>3</v>
      </c>
      <c r="AC75" s="10" t="inlineStr">
        <is>
          <t>Berline</t>
        </is>
      </c>
      <c r="AD75" s="10" t="n"/>
      <c r="AE75" s="10" t="n"/>
      <c r="AF75" s="10" t="inlineStr">
        <is>
          <t>Particulier</t>
        </is>
      </c>
      <c r="AG75" s="10" t="inlineStr">
        <is>
          <t>Croix</t>
        </is>
      </c>
      <c r="AH75" s="10" t="inlineStr">
        <is>
          <t>90100</t>
        </is>
      </c>
      <c r="AI75" s="10" t="inlineStr">
        <is>
          <t>Territoire de Belfort</t>
        </is>
      </c>
      <c r="AJ75" s="10" t="inlineStr">
        <is>
          <t>Franche-Comté</t>
        </is>
      </c>
      <c r="AK75" s="16" t="n">
        <v>1</v>
      </c>
      <c r="AL75" s="10" t="n"/>
      <c r="AM75" s="10" t="inlineStr">
        <is>
          <t>Non</t>
        </is>
      </c>
      <c r="AN75" s="10" t="inlineStr">
        <is>
          <t>Saxo vts 16v, cg en règle à mon nom depuis 16 ans, la caisse a 230000km environ En équipement : Train avant - amortisseur viarouge sur mesure, coupelle sup réglable, étrier brembo de 406, circuit full durit avia, combiné fileté CS min GrA Barre anti rapprochement sup et inf Pedal box pour les freins, avec plein de Maître cylindre différents pour tout essayer Compartiment moteur souder, renfort de coupelle, triangle Train arrière : Poutre renforcer, étrier de visa double piston (+ 4 autres en sto</t>
        </is>
      </c>
      <c r="AO75" s="10" t="inlineStr">
        <is>
          <t>vehicle_technical_inspection_valid : Oui ; Permis : Avec permis ; Importé : false</t>
        </is>
      </c>
      <c r="AP75" s="19" t="inlineStr">
        <is>
          <t>Voir</t>
        </is>
      </c>
      <c r="AQ75" s="10" t="inlineStr">
        <is>
          <t>3280590101</t>
        </is>
      </c>
    </row>
    <row r="76">
      <c r="A76" s="10" t="inlineStr">
        <is>
          <t>Citroën Saxo VTS 16V</t>
        </is>
      </c>
      <c r="B76" s="10" t="inlineStr">
        <is>
          <t>Citroen SAXO VTS 1,6L 16V</t>
        </is>
      </c>
      <c r="C76" s="10" t="n"/>
      <c r="D76" s="10" t="n"/>
      <c r="E76" s="10" t="inlineStr">
        <is>
          <t>En vente</t>
        </is>
      </c>
      <c r="F76" s="18" t="n">
        <v>46298</v>
      </c>
      <c r="G76" s="18" t="n">
        <v>46298</v>
      </c>
      <c r="H76" s="18" t="n">
        <v>46310</v>
      </c>
      <c r="I76" s="18" t="n"/>
      <c r="J76" s="17">
        <f>IF(OR(ISNUMBER(F76),ISNUMBER(G76)),IF(ISNUMBER(I76),I76,H76)-IF(ISNUMBER(F76),F76,G76),"")</f>
        <v/>
      </c>
      <c r="K76" s="12" t="n">
        <v>8800</v>
      </c>
      <c r="L76" s="12" t="n">
        <v>8800</v>
      </c>
      <c r="M76" s="13">
        <f>IF(AND(ISNUMBER(K76),ISNUMBER(L76),K76&gt;0),1-L76/K76,"")</f>
        <v/>
      </c>
      <c r="N76" s="16" t="n">
        <v>0</v>
      </c>
      <c r="O76" s="12" t="n"/>
      <c r="P76" s="12" t="n"/>
      <c r="Q76" s="12" t="n"/>
      <c r="R76" s="14">
        <f>IF(AND(ISNUMBER(L76),ISNUMBER(P76),ISNUMBER(Q76)),L76/((P76+Q76)/2)-1,"")</f>
        <v/>
      </c>
      <c r="S76" s="10" t="n"/>
      <c r="T76" s="15" t="n">
        <v>150500</v>
      </c>
      <c r="U76" s="16" t="n">
        <v>2000</v>
      </c>
      <c r="V76" s="10" t="inlineStr">
        <is>
          <t>04/2000</t>
        </is>
      </c>
      <c r="W76" s="10" t="inlineStr">
        <is>
          <t>Essence</t>
        </is>
      </c>
      <c r="X76" s="10" t="inlineStr">
        <is>
          <t>Manuelle</t>
        </is>
      </c>
      <c r="Y76" s="16" t="n">
        <v>118</v>
      </c>
      <c r="Z76" s="16" t="n">
        <v>8</v>
      </c>
      <c r="AA76" s="10" t="inlineStr">
        <is>
          <t>Autre</t>
        </is>
      </c>
      <c r="AB76" s="16" t="n">
        <v>3</v>
      </c>
      <c r="AC76" s="10" t="inlineStr">
        <is>
          <t>Berline</t>
        </is>
      </c>
      <c r="AD76" s="10" t="n"/>
      <c r="AE76" s="10" t="n"/>
      <c r="AF76" s="10" t="inlineStr">
        <is>
          <t>Particulier</t>
        </is>
      </c>
      <c r="AG76" s="10" t="inlineStr">
        <is>
          <t>Chassiers</t>
        </is>
      </c>
      <c r="AH76" s="10" t="inlineStr">
        <is>
          <t>07110</t>
        </is>
      </c>
      <c r="AI76" s="10" t="inlineStr">
        <is>
          <t>Ardèche</t>
        </is>
      </c>
      <c r="AJ76" s="10" t="inlineStr">
        <is>
          <t>Rhône-Alpes</t>
        </is>
      </c>
      <c r="AK76" s="16" t="n">
        <v>3</v>
      </c>
      <c r="AL76" s="10" t="n"/>
      <c r="AM76" s="10" t="inlineStr">
        <is>
          <t>Non</t>
        </is>
      </c>
      <c r="AN76" s="10" t="inlineStr">
        <is>
          <t xml:space="preserve">SAXO VTS 1,6L 16V Loisirs / Circuit (Pas de passeport) Année 2000 Carte Grise à mon nom sans CT 150.500km Moteur: collecteur 4.2.1 Inox ligne d'échappement complète inox de saxo cup silent-bloc moteur inférieur rigide boite à Citroën sport avec filtre green arbre à cames shrick mini Groupe A (montage poussoirs hydro) bougies Bosch iridium coussinets de bielle tri-métal calculateur d'origine reprogrammer (chez mf power) vidange (Motul 300V) filtre à huile, essence, filtre à air nettoyer batterie </t>
        </is>
      </c>
      <c r="AO76" s="10" t="inlineStr">
        <is>
          <t>Dommages : Bon état général ; Permis : Avec permis ; Importé : false</t>
        </is>
      </c>
      <c r="AP76" s="19" t="inlineStr">
        <is>
          <t>Voir</t>
        </is>
      </c>
      <c r="AQ76" s="10" t="inlineStr">
        <is>
          <t>3281202476</t>
        </is>
      </c>
    </row>
    <row r="77">
      <c r="A77" s="10" t="inlineStr">
        <is>
          <t>Citroën Saxo VTS 16V</t>
        </is>
      </c>
      <c r="B77" s="10" t="inlineStr">
        <is>
          <t>Saxo VTS 1l4 75cv</t>
        </is>
      </c>
      <c r="C77" s="10" t="n"/>
      <c r="D77" s="10" t="n"/>
      <c r="E77" s="10" t="inlineStr">
        <is>
          <t>En vente</t>
        </is>
      </c>
      <c r="F77" s="18" t="n">
        <v>46298</v>
      </c>
      <c r="G77" s="18" t="n">
        <v>46298</v>
      </c>
      <c r="H77" s="18" t="n">
        <v>46310</v>
      </c>
      <c r="I77" s="18" t="n"/>
      <c r="J77" s="17">
        <f>IF(OR(ISNUMBER(F77),ISNUMBER(G77)),IF(ISNUMBER(I77),I77,H77)-IF(ISNUMBER(F77),F77,G77),"")</f>
        <v/>
      </c>
      <c r="K77" s="12" t="n">
        <v>5000</v>
      </c>
      <c r="L77" s="12" t="n">
        <v>5000</v>
      </c>
      <c r="M77" s="13">
        <f>IF(AND(ISNUMBER(K77),ISNUMBER(L77),K77&gt;0),1-L77/K77,"")</f>
        <v/>
      </c>
      <c r="N77" s="16" t="n">
        <v>0</v>
      </c>
      <c r="O77" s="12" t="n"/>
      <c r="P77" s="12" t="n"/>
      <c r="Q77" s="12" t="n"/>
      <c r="R77" s="14">
        <f>IF(AND(ISNUMBER(L77),ISNUMBER(P77),ISNUMBER(Q77)),L77/((P77+Q77)/2)-1,"")</f>
        <v/>
      </c>
      <c r="S77" s="10" t="n"/>
      <c r="T77" s="15" t="n">
        <v>210000</v>
      </c>
      <c r="U77" s="16" t="n">
        <v>1999</v>
      </c>
      <c r="V77" s="10" t="inlineStr">
        <is>
          <t>10/1999</t>
        </is>
      </c>
      <c r="W77" s="10" t="inlineStr">
        <is>
          <t>Essence</t>
        </is>
      </c>
      <c r="X77" s="10" t="inlineStr">
        <is>
          <t>Manuelle</t>
        </is>
      </c>
      <c r="Y77" s="16" t="n">
        <v>75</v>
      </c>
      <c r="Z77" s="16" t="n">
        <v>5</v>
      </c>
      <c r="AA77" s="10" t="inlineStr">
        <is>
          <t>Jaune</t>
        </is>
      </c>
      <c r="AB77" s="16" t="n">
        <v>3</v>
      </c>
      <c r="AC77" s="10" t="inlineStr">
        <is>
          <t>Berline</t>
        </is>
      </c>
      <c r="AD77" s="10" t="inlineStr">
        <is>
          <t>Carnet d'entretien disponible, Factures disponibles, Véhicule non fumeur, Réparations utiles déjà faites</t>
        </is>
      </c>
      <c r="AE77" s="10" t="n"/>
      <c r="AF77" s="10" t="inlineStr">
        <is>
          <t>Particulier</t>
        </is>
      </c>
      <c r="AG77" s="10" t="inlineStr">
        <is>
          <t>Champdray</t>
        </is>
      </c>
      <c r="AH77" s="10" t="inlineStr">
        <is>
          <t>88640</t>
        </is>
      </c>
      <c r="AI77" s="10" t="inlineStr">
        <is>
          <t>Vosges</t>
        </is>
      </c>
      <c r="AJ77" s="10" t="inlineStr">
        <is>
          <t>Lorraine</t>
        </is>
      </c>
      <c r="AK77" s="16" t="n">
        <v>3</v>
      </c>
      <c r="AL77" s="10" t="n"/>
      <c r="AM77" s="10" t="inlineStr">
        <is>
          <t>Non</t>
        </is>
      </c>
      <c r="AN77" s="10" t="inlineStr">
        <is>
          <t>Je vends ma Citroën Saxo VTS de 1999, une citadine robuste et économique avec 210 000 km au compteur. - Marque : Citroën - Modèle : Saxo - Année : 1999 - Kilométrage : 210 000 km - Motorisation : 1.4 75 ch - Carburant : Essence - Boîte de vitesses : Manuelle - Couleur : Jaune - Type de véhicule : Berline - Nombre de portes : 3 - Puissance fiscale : 5 Cv - Crit'air : 3 - Contrôle technique : Valide jusqu'à février 2028. Sera refait pour la vente . Auto très économique et très bien entretenue (vid</t>
        </is>
      </c>
      <c r="AO77" s="10" t="inlineStr">
        <is>
          <t>vehicle_technical_inspection_valid : Oui ; Dommages : Bon état général ; Sellerie : Velours ; Équipements intérieurs : Climatisation, Phares anti-brouillard, Roue de secours, Rétroviseurs dégivrants ; Permis : Avec permis ; Importé : false</t>
        </is>
      </c>
      <c r="AP77" s="19" t="inlineStr">
        <is>
          <t>Voir</t>
        </is>
      </c>
      <c r="AQ77" s="10" t="inlineStr">
        <is>
          <t>3281577931</t>
        </is>
      </c>
    </row>
    <row r="78">
      <c r="A78" s="10" t="inlineStr">
        <is>
          <t>Citroën Saxo VTS 16V</t>
        </is>
      </c>
      <c r="B78" s="10" t="inlineStr">
        <is>
          <t>Saxo vts</t>
        </is>
      </c>
      <c r="C78" s="10" t="n"/>
      <c r="D78" s="10" t="n"/>
      <c r="E78" s="10" t="inlineStr">
        <is>
          <t>En vente</t>
        </is>
      </c>
      <c r="F78" s="18" t="n">
        <v>46299</v>
      </c>
      <c r="G78" s="18" t="n">
        <v>46299</v>
      </c>
      <c r="H78" s="18" t="n">
        <v>46310</v>
      </c>
      <c r="I78" s="18" t="n"/>
      <c r="J78" s="17">
        <f>IF(OR(ISNUMBER(F78),ISNUMBER(G78)),IF(ISNUMBER(I78),I78,H78)-IF(ISNUMBER(F78),F78,G78),"")</f>
        <v/>
      </c>
      <c r="K78" s="12" t="n">
        <v>7600</v>
      </c>
      <c r="L78" s="12" t="n">
        <v>7600</v>
      </c>
      <c r="M78" s="13">
        <f>IF(AND(ISNUMBER(K78),ISNUMBER(L78),K78&gt;0),1-L78/K78,"")</f>
        <v/>
      </c>
      <c r="N78" s="16" t="n">
        <v>0</v>
      </c>
      <c r="O78" s="12" t="n"/>
      <c r="P78" s="12" t="n"/>
      <c r="Q78" s="12" t="n"/>
      <c r="R78" s="14">
        <f>IF(AND(ISNUMBER(L78),ISNUMBER(P78),ISNUMBER(Q78)),L78/((P78+Q78)/2)-1,"")</f>
        <v/>
      </c>
      <c r="S78" s="10" t="n"/>
      <c r="T78" s="15" t="n">
        <v>179999</v>
      </c>
      <c r="U78" s="16" t="n">
        <v>2001</v>
      </c>
      <c r="V78" s="10" t="inlineStr">
        <is>
          <t>08/2001</t>
        </is>
      </c>
      <c r="W78" s="10" t="inlineStr">
        <is>
          <t>Essence</t>
        </is>
      </c>
      <c r="X78" s="10" t="inlineStr">
        <is>
          <t>Manuelle</t>
        </is>
      </c>
      <c r="Y78" s="16" t="n">
        <v>120</v>
      </c>
      <c r="Z78" s="16" t="n">
        <v>8</v>
      </c>
      <c r="AA78" s="10" t="inlineStr">
        <is>
          <t>Autre</t>
        </is>
      </c>
      <c r="AB78" s="16" t="n">
        <v>3</v>
      </c>
      <c r="AC78" s="10" t="inlineStr">
        <is>
          <t>Berline</t>
        </is>
      </c>
      <c r="AD78" s="10" t="n"/>
      <c r="AE78" s="10" t="n"/>
      <c r="AF78" s="10" t="inlineStr">
        <is>
          <t>Particulier</t>
        </is>
      </c>
      <c r="AG78" s="10" t="inlineStr">
        <is>
          <t>Angers</t>
        </is>
      </c>
      <c r="AH78" s="10" t="inlineStr">
        <is>
          <t>49100</t>
        </is>
      </c>
      <c r="AI78" s="10" t="inlineStr">
        <is>
          <t>Maine-et-Loire</t>
        </is>
      </c>
      <c r="AJ78" s="10" t="inlineStr">
        <is>
          <t>Pays de la Loire</t>
        </is>
      </c>
      <c r="AK78" s="16" t="n">
        <v>3</v>
      </c>
      <c r="AL78" s="10" t="n"/>
      <c r="AM78" s="10" t="inlineStr">
        <is>
          <t>Non</t>
        </is>
      </c>
      <c r="AN78" s="10" t="inlineStr">
        <is>
          <t>Saxo vts 1.6L 120ch 16V Toit ouvrant Clim Vitres électriques Son focal Roue de secours En très bon état général, carrosserie 9,5/10 179600km Boite 5 vitesses Distribution à faire fin d'année Consommables ✅️ Vidange ✅️ Elle possède 40% de suivi garage ou entretien.</t>
        </is>
      </c>
      <c r="AO78" s="10" t="inlineStr">
        <is>
          <t>Permis : Avec permis ; Importé : false</t>
        </is>
      </c>
      <c r="AP78" s="19" t="inlineStr">
        <is>
          <t>Voir</t>
        </is>
      </c>
      <c r="AQ78" s="10" t="inlineStr">
        <is>
          <t>3282361681</t>
        </is>
      </c>
    </row>
    <row r="79">
      <c r="A79" s="10" t="inlineStr">
        <is>
          <t>Citroën Saxo VTS 16V</t>
        </is>
      </c>
      <c r="B79" s="10" t="inlineStr">
        <is>
          <t>Saxo vts</t>
        </is>
      </c>
      <c r="C79" s="10" t="inlineStr">
        <is>
          <t>Saxo 1.4 VTS 3p</t>
        </is>
      </c>
      <c r="D79" s="10" t="inlineStr">
        <is>
          <t>VTS</t>
        </is>
      </c>
      <c r="E79" s="10" t="inlineStr">
        <is>
          <t>En vente</t>
        </is>
      </c>
      <c r="F79" s="18" t="n">
        <v>46299</v>
      </c>
      <c r="G79" s="18" t="n">
        <v>46299</v>
      </c>
      <c r="H79" s="18" t="n">
        <v>46310</v>
      </c>
      <c r="I79" s="18" t="n"/>
      <c r="J79" s="17">
        <f>IF(OR(ISNUMBER(F79),ISNUMBER(G79)),IF(ISNUMBER(I79),I79,H79)-IF(ISNUMBER(F79),F79,G79),"")</f>
        <v/>
      </c>
      <c r="K79" s="12" t="n">
        <v>5500</v>
      </c>
      <c r="L79" s="12" t="n">
        <v>5500</v>
      </c>
      <c r="M79" s="13">
        <f>IF(AND(ISNUMBER(K79),ISNUMBER(L79),K79&gt;0),1-L79/K79,"")</f>
        <v/>
      </c>
      <c r="N79" s="16" t="n">
        <v>0</v>
      </c>
      <c r="O79" s="12" t="n"/>
      <c r="P79" s="12" t="n"/>
      <c r="Q79" s="12" t="n"/>
      <c r="R79" s="14">
        <f>IF(AND(ISNUMBER(L79),ISNUMBER(P79),ISNUMBER(Q79)),L79/((P79+Q79)/2)-1,"")</f>
        <v/>
      </c>
      <c r="S79" s="10" t="n"/>
      <c r="T79" s="15" t="n">
        <v>250000</v>
      </c>
      <c r="U79" s="16" t="n">
        <v>1999</v>
      </c>
      <c r="V79" s="10" t="inlineStr">
        <is>
          <t>10/1999</t>
        </is>
      </c>
      <c r="W79" s="10" t="inlineStr">
        <is>
          <t>Essence</t>
        </is>
      </c>
      <c r="X79" s="10" t="inlineStr">
        <is>
          <t>Manuelle</t>
        </is>
      </c>
      <c r="Y79" s="16" t="n">
        <v>75</v>
      </c>
      <c r="Z79" s="16" t="n">
        <v>5</v>
      </c>
      <c r="AA79" s="10" t="inlineStr">
        <is>
          <t>Jaune</t>
        </is>
      </c>
      <c r="AB79" s="16" t="n">
        <v>3</v>
      </c>
      <c r="AC79" s="10" t="inlineStr">
        <is>
          <t>Berline</t>
        </is>
      </c>
      <c r="AD79" s="10" t="inlineStr">
        <is>
          <t>Carnet d'entretien disponible, Factures disponibles, Véhicule non fumeur, Réparations utiles déjà faites</t>
        </is>
      </c>
      <c r="AE79" s="10" t="n"/>
      <c r="AF79" s="10" t="inlineStr">
        <is>
          <t>Particulier</t>
        </is>
      </c>
      <c r="AG79" s="10" t="inlineStr">
        <is>
          <t>Saint-Germain-du-Plain</t>
        </is>
      </c>
      <c r="AH79" s="10" t="inlineStr">
        <is>
          <t>71370</t>
        </is>
      </c>
      <c r="AI79" s="10" t="inlineStr">
        <is>
          <t>Saône-et-Loire</t>
        </is>
      </c>
      <c r="AJ79" s="10" t="inlineStr">
        <is>
          <t>Bourgogne</t>
        </is>
      </c>
      <c r="AK79" s="16" t="n">
        <v>3</v>
      </c>
      <c r="AL79" s="10" t="n"/>
      <c r="AM79" s="10" t="inlineStr">
        <is>
          <t>Non</t>
        </is>
      </c>
      <c r="AN79" s="10" t="inlineStr">
        <is>
          <t>Citroën Saxo VTS 1.4 75 ch – Caisse très saine – Factures – CT OK Je vends ma Citroën Saxo VTS 1.4 de 1999. Voiture qui roule parfaitement, très saine pour son âge et de plus en plus rare dans cet état. Caractéristiques : - Année : 1999 - Moteur : 1.4 75 ch - Kilométrage : 250 000 Km - Contrôle technique valide - Joint de culasse refait à 242 012 km (factures à l’appui) - Toutes les factures d’entretien disponibles État : - Caisse très saine, aucun point de rouille - Plancher propre (photos disp</t>
        </is>
      </c>
      <c r="AO79" s="10" t="inlineStr">
        <is>
          <t>vehicle_technical_inspection_valid : Oui ; Contrôle technique : 2027 ; Dommages : Bon état général ; Permis : Avec permis ; Importé : false</t>
        </is>
      </c>
      <c r="AP79" s="19" t="inlineStr">
        <is>
          <t>Voir</t>
        </is>
      </c>
      <c r="AQ79" s="10" t="inlineStr">
        <is>
          <t>3282370613</t>
        </is>
      </c>
    </row>
    <row r="80">
      <c r="A80" s="10" t="inlineStr">
        <is>
          <t>Citroën Saxo VTS 16V</t>
        </is>
      </c>
      <c r="B80" s="10" t="inlineStr">
        <is>
          <t>Saxo vts DIESEL</t>
        </is>
      </c>
      <c r="C80" s="10" t="n"/>
      <c r="D80" s="10" t="n"/>
      <c r="E80" s="10" t="inlineStr">
        <is>
          <t>En vente</t>
        </is>
      </c>
      <c r="F80" s="18" t="n">
        <v>46303</v>
      </c>
      <c r="G80" s="18" t="n">
        <v>46303</v>
      </c>
      <c r="H80" s="18" t="n">
        <v>46310</v>
      </c>
      <c r="I80" s="18" t="n"/>
      <c r="J80" s="17">
        <f>IF(OR(ISNUMBER(F80),ISNUMBER(G80)),IF(ISNUMBER(I80),I80,H80)-IF(ISNUMBER(F80),F80,G80),"")</f>
        <v/>
      </c>
      <c r="K80" s="12" t="n">
        <v>3000</v>
      </c>
      <c r="L80" s="12" t="n">
        <v>3000</v>
      </c>
      <c r="M80" s="13">
        <f>IF(AND(ISNUMBER(K80),ISNUMBER(L80),K80&gt;0),1-L80/K80,"")</f>
        <v/>
      </c>
      <c r="N80" s="16" t="n">
        <v>0</v>
      </c>
      <c r="O80" s="12" t="n"/>
      <c r="P80" s="12" t="n"/>
      <c r="Q80" s="12" t="n"/>
      <c r="R80" s="14">
        <f>IF(AND(ISNUMBER(L80),ISNUMBER(P80),ISNUMBER(Q80)),L80/((P80+Q80)/2)-1,"")</f>
        <v/>
      </c>
      <c r="S80" s="10" t="n"/>
      <c r="T80" s="15" t="n">
        <v>220000</v>
      </c>
      <c r="U80" s="16" t="n">
        <v>2002</v>
      </c>
      <c r="V80" s="10" t="inlineStr">
        <is>
          <t>03/2002</t>
        </is>
      </c>
      <c r="W80" s="10" t="inlineStr">
        <is>
          <t>Diesel</t>
        </is>
      </c>
      <c r="X80" s="10" t="inlineStr">
        <is>
          <t>Manuelle</t>
        </is>
      </c>
      <c r="Y80" s="16" t="n">
        <v>58</v>
      </c>
      <c r="Z80" s="16" t="n">
        <v>4</v>
      </c>
      <c r="AA80" s="10" t="inlineStr">
        <is>
          <t>Gris</t>
        </is>
      </c>
      <c r="AB80" s="16" t="n">
        <v>3</v>
      </c>
      <c r="AC80" s="10" t="inlineStr">
        <is>
          <t>Berline</t>
        </is>
      </c>
      <c r="AD80" s="10" t="n"/>
      <c r="AE80" s="10" t="n"/>
      <c r="AF80" s="10" t="inlineStr">
        <is>
          <t>Particulier</t>
        </is>
      </c>
      <c r="AG80" s="10" t="inlineStr">
        <is>
          <t>Thun-Saint-Amand</t>
        </is>
      </c>
      <c r="AH80" s="10" t="inlineStr">
        <is>
          <t>59158</t>
        </is>
      </c>
      <c r="AI80" s="10" t="inlineStr">
        <is>
          <t>Nord</t>
        </is>
      </c>
      <c r="AJ80" s="10" t="inlineStr">
        <is>
          <t>Nord-Pas-de-Calais</t>
        </is>
      </c>
      <c r="AK80" s="16" t="n">
        <v>3</v>
      </c>
      <c r="AL80" s="10" t="n"/>
      <c r="AM80" s="10" t="inlineStr">
        <is>
          <t>Non</t>
        </is>
      </c>
      <c r="AN80" s="10" t="inlineStr">
        <is>
          <t>Bonjour Je vends ma saxo vts New norming diesel Travaux effectués : - distribution - embrayage - entretien complet - 4 pneus neuf N'hésitez pas pour tout renseignement Cordialement</t>
        </is>
      </c>
      <c r="AO80" s="10" t="inlineStr">
        <is>
          <t>Sellerie : Tissu ; Permis : Avec permis ; Importé : false</t>
        </is>
      </c>
      <c r="AP80" s="19" t="inlineStr">
        <is>
          <t>Voir</t>
        </is>
      </c>
      <c r="AQ80" s="10" t="inlineStr">
        <is>
          <t>3284453819</t>
        </is>
      </c>
    </row>
    <row r="81">
      <c r="A81" s="10" t="inlineStr">
        <is>
          <t>Citroën Saxo VTS 16V</t>
        </is>
      </c>
      <c r="B81" s="10" t="inlineStr">
        <is>
          <t>Saxo vts 16v</t>
        </is>
      </c>
      <c r="C81" s="10" t="n"/>
      <c r="D81" s="10" t="n"/>
      <c r="E81" s="10" t="inlineStr">
        <is>
          <t>En vente</t>
        </is>
      </c>
      <c r="F81" s="18" t="n">
        <v>46304</v>
      </c>
      <c r="G81" s="18" t="n">
        <v>46304</v>
      </c>
      <c r="H81" s="18" t="n">
        <v>46310</v>
      </c>
      <c r="I81" s="18" t="n"/>
      <c r="J81" s="17">
        <f>IF(OR(ISNUMBER(F81),ISNUMBER(G81)),IF(ISNUMBER(I81),I81,H81)-IF(ISNUMBER(F81),F81,G81),"")</f>
        <v/>
      </c>
      <c r="K81" s="12" t="n">
        <v>13000</v>
      </c>
      <c r="L81" s="12" t="n">
        <v>13000</v>
      </c>
      <c r="M81" s="13">
        <f>IF(AND(ISNUMBER(K81),ISNUMBER(L81),K81&gt;0),1-L81/K81,"")</f>
        <v/>
      </c>
      <c r="N81" s="16" t="n">
        <v>0</v>
      </c>
      <c r="O81" s="12" t="n"/>
      <c r="P81" s="12" t="n"/>
      <c r="Q81" s="12" t="n"/>
      <c r="R81" s="14">
        <f>IF(AND(ISNUMBER(L81),ISNUMBER(P81),ISNUMBER(Q81)),L81/((P81+Q81)/2)-1,"")</f>
        <v/>
      </c>
      <c r="S81" s="10" t="n"/>
      <c r="T81" s="15" t="n">
        <v>183800</v>
      </c>
      <c r="U81" s="16" t="n">
        <v>2001</v>
      </c>
      <c r="V81" s="10" t="inlineStr">
        <is>
          <t>05/2001</t>
        </is>
      </c>
      <c r="W81" s="10" t="inlineStr">
        <is>
          <t>Essence</t>
        </is>
      </c>
      <c r="X81" s="10" t="inlineStr">
        <is>
          <t>Manuelle</t>
        </is>
      </c>
      <c r="Y81" s="16" t="n">
        <v>120</v>
      </c>
      <c r="Z81" s="16" t="n">
        <v>8</v>
      </c>
      <c r="AA81" s="10" t="inlineStr">
        <is>
          <t>Autre</t>
        </is>
      </c>
      <c r="AB81" s="16" t="n">
        <v>3</v>
      </c>
      <c r="AC81" s="10" t="inlineStr">
        <is>
          <t>Berline</t>
        </is>
      </c>
      <c r="AD81" s="10" t="inlineStr">
        <is>
          <t>Factures disponibles</t>
        </is>
      </c>
      <c r="AE81" s="10" t="inlineStr">
        <is>
          <t>Première main</t>
        </is>
      </c>
      <c r="AF81" s="10" t="inlineStr">
        <is>
          <t>Particulier</t>
        </is>
      </c>
      <c r="AG81" s="10" t="inlineStr">
        <is>
          <t>Yvetot</t>
        </is>
      </c>
      <c r="AH81" s="10" t="inlineStr">
        <is>
          <t>76190</t>
        </is>
      </c>
      <c r="AI81" s="10" t="inlineStr">
        <is>
          <t>Seine-Maritime</t>
        </is>
      </c>
      <c r="AJ81" s="10" t="inlineStr">
        <is>
          <t>Haute-Normandie</t>
        </is>
      </c>
      <c r="AK81" s="16" t="n">
        <v>10</v>
      </c>
      <c r="AL81" s="10" t="n"/>
      <c r="AM81" s="10" t="inlineStr">
        <is>
          <t>Non</t>
        </is>
      </c>
      <c r="AN81" s="10" t="inlineStr">
        <is>
          <t>Vend SAXO VTS 16V ce n'est pas une première main mais connaissais très bien son propriétaire, bon de commande du véhicule neuf, double des clés, factures d'entretien depuis sa mise en circulation, CT de 2024 RAS, sera refait pour la vente. Voiture restauré dans les règles de l'art, intérieur comme extérieur, jusqu'au jantes. Vente car suite à sa restauration, ne roule pas 330 kms en 2 ans. État vraiment très proche du neuf.</t>
        </is>
      </c>
      <c r="AO81" s="10" t="inlineStr">
        <is>
          <t>vehicle_technical_inspection_valid : Oui ; Dommages : Excellent état (proche du neuf) ; Sellerie : Velours ; Permis : Avec permis ; Importé : false ; vehicle_history_report_status : hidden</t>
        </is>
      </c>
      <c r="AP81" s="19" t="inlineStr">
        <is>
          <t>Voir</t>
        </is>
      </c>
      <c r="AQ81" s="10" t="inlineStr">
        <is>
          <t>3285059925</t>
        </is>
      </c>
    </row>
    <row r="82">
      <c r="A82" s="10" t="inlineStr">
        <is>
          <t>Citroën Saxo VTS 16V</t>
        </is>
      </c>
      <c r="B82" s="10" t="inlineStr">
        <is>
          <t>Citroën Saxo VTS 16V</t>
        </is>
      </c>
      <c r="C82" s="10" t="n"/>
      <c r="D82" s="10" t="n"/>
      <c r="E82" s="10" t="inlineStr">
        <is>
          <t>En vente</t>
        </is>
      </c>
      <c r="F82" s="18" t="n">
        <v>46305</v>
      </c>
      <c r="G82" s="18" t="n">
        <v>46305</v>
      </c>
      <c r="H82" s="18" t="n">
        <v>46310</v>
      </c>
      <c r="I82" s="18" t="n"/>
      <c r="J82" s="17">
        <f>IF(OR(ISNUMBER(F82),ISNUMBER(G82)),IF(ISNUMBER(I82),I82,H82)-IF(ISNUMBER(F82),F82,G82),"")</f>
        <v/>
      </c>
      <c r="K82" s="12" t="n">
        <v>12000</v>
      </c>
      <c r="L82" s="12" t="n">
        <v>12000</v>
      </c>
      <c r="M82" s="13">
        <f>IF(AND(ISNUMBER(K82),ISNUMBER(L82),K82&gt;0),1-L82/K82,"")</f>
        <v/>
      </c>
      <c r="N82" s="16" t="n">
        <v>0</v>
      </c>
      <c r="O82" s="12" t="n"/>
      <c r="P82" s="12" t="n"/>
      <c r="Q82" s="12" t="n"/>
      <c r="R82" s="14">
        <f>IF(AND(ISNUMBER(L82),ISNUMBER(P82),ISNUMBER(Q82)),L82/((P82+Q82)/2)-1,"")</f>
        <v/>
      </c>
      <c r="S82" s="10" t="n"/>
      <c r="T82" s="15" t="n">
        <v>199800</v>
      </c>
      <c r="U82" s="16" t="n">
        <v>2002</v>
      </c>
      <c r="V82" s="10" t="inlineStr">
        <is>
          <t>01/2002</t>
        </is>
      </c>
      <c r="W82" s="10" t="inlineStr">
        <is>
          <t>Essence</t>
        </is>
      </c>
      <c r="X82" s="10" t="inlineStr">
        <is>
          <t>Manuelle</t>
        </is>
      </c>
      <c r="Y82" s="16" t="n">
        <v>120</v>
      </c>
      <c r="Z82" s="16" t="n">
        <v>8</v>
      </c>
      <c r="AA82" s="10" t="inlineStr">
        <is>
          <t>Blanc</t>
        </is>
      </c>
      <c r="AB82" s="16" t="n">
        <v>3</v>
      </c>
      <c r="AC82" s="10" t="inlineStr">
        <is>
          <t>Citadine</t>
        </is>
      </c>
      <c r="AD82" s="10" t="inlineStr">
        <is>
          <t>Carnet d'entretien disponible, Factures disponibles, Véhicule non fumeur, Réparations utiles déjà faites</t>
        </is>
      </c>
      <c r="AE82" s="10" t="n"/>
      <c r="AF82" s="10" t="inlineStr">
        <is>
          <t>Particulier</t>
        </is>
      </c>
      <c r="AG82" s="10" t="inlineStr">
        <is>
          <t>Tours</t>
        </is>
      </c>
      <c r="AH82" s="10" t="inlineStr">
        <is>
          <t>37100</t>
        </is>
      </c>
      <c r="AI82" s="10" t="inlineStr">
        <is>
          <t>Indre-et-Loire</t>
        </is>
      </c>
      <c r="AJ82" s="10" t="inlineStr">
        <is>
          <t>Centre</t>
        </is>
      </c>
      <c r="AK82" s="16" t="n">
        <v>3</v>
      </c>
      <c r="AL82" s="10" t="n"/>
      <c r="AM82" s="10" t="inlineStr">
        <is>
          <t>Non</t>
        </is>
      </c>
      <c r="AN82" s="10" t="inlineStr">
        <is>
          <t>Bonjour, Citroën Saxo VTS 16V de 2002 avec 199800 km peu évolutif en excellent état de présentation. Voiture passion en ma possession depuis plus de 8 ans. Usage loisirs uniquement pour les week-ends. Look rallye certain mais ce n'est pas une pistarde. Toujours stocker en garage sous bâche. Nettoyage minutieux après chaque sortie. Contrôle technique OK du 02/10/2026. Carnet d'entretien présent ainsi qu'un historique complet de factures depuis l'achat du véhicule de l'ensemble des propriétaires p</t>
        </is>
      </c>
      <c r="AO82" s="10" t="inlineStr">
        <is>
          <t>Dommages : Excellent état (proche du neuf) ; Sellerie : Tissu ; Équipements intérieurs : Bluetooth, Phares anti-brouillard, Roue de secours, Sièges sport, Système audio haut de gamme ; Permis : Avec permis ; Importé : false</t>
        </is>
      </c>
      <c r="AP82" s="19" t="inlineStr">
        <is>
          <t>Voir</t>
        </is>
      </c>
      <c r="AQ82" s="10" t="inlineStr">
        <is>
          <t>3285502703</t>
        </is>
      </c>
    </row>
    <row r="83">
      <c r="A83" s="10" t="inlineStr">
        <is>
          <t>Citroën Saxo VTS 16V</t>
        </is>
      </c>
      <c r="B83" s="10" t="inlineStr">
        <is>
          <t>Citroën saxo vts 16v</t>
        </is>
      </c>
      <c r="C83" s="10" t="n"/>
      <c r="D83" s="10" t="n"/>
      <c r="E83" s="10" t="inlineStr">
        <is>
          <t>En vente</t>
        </is>
      </c>
      <c r="F83" s="18" t="n">
        <v>46305</v>
      </c>
      <c r="G83" s="18" t="n">
        <v>46305</v>
      </c>
      <c r="H83" s="18" t="n">
        <v>46310</v>
      </c>
      <c r="I83" s="18" t="n"/>
      <c r="J83" s="17">
        <f>IF(OR(ISNUMBER(F83),ISNUMBER(G83)),IF(ISNUMBER(I83),I83,H83)-IF(ISNUMBER(F83),F83,G83),"")</f>
        <v/>
      </c>
      <c r="K83" s="12" t="n">
        <v>11000</v>
      </c>
      <c r="L83" s="12" t="n">
        <v>11000</v>
      </c>
      <c r="M83" s="13">
        <f>IF(AND(ISNUMBER(K83),ISNUMBER(L83),K83&gt;0),1-L83/K83,"")</f>
        <v/>
      </c>
      <c r="N83" s="16" t="n">
        <v>0</v>
      </c>
      <c r="O83" s="12" t="n"/>
      <c r="P83" s="12" t="n"/>
      <c r="Q83" s="12" t="n"/>
      <c r="R83" s="14">
        <f>IF(AND(ISNUMBER(L83),ISNUMBER(P83),ISNUMBER(Q83)),L83/((P83+Q83)/2)-1,"")</f>
        <v/>
      </c>
      <c r="S83" s="10" t="n"/>
      <c r="T83" s="15" t="n">
        <v>157000</v>
      </c>
      <c r="U83" s="16" t="n">
        <v>2002</v>
      </c>
      <c r="V83" s="10" t="inlineStr">
        <is>
          <t>08/2002</t>
        </is>
      </c>
      <c r="W83" s="10" t="inlineStr">
        <is>
          <t>Essence</t>
        </is>
      </c>
      <c r="X83" s="10" t="inlineStr">
        <is>
          <t>Manuelle</t>
        </is>
      </c>
      <c r="Y83" s="16" t="n">
        <v>120</v>
      </c>
      <c r="Z83" s="16" t="n">
        <v>8</v>
      </c>
      <c r="AA83" s="10" t="inlineStr">
        <is>
          <t>Noir</t>
        </is>
      </c>
      <c r="AB83" s="16" t="n">
        <v>3</v>
      </c>
      <c r="AC83" s="10" t="inlineStr">
        <is>
          <t>Berline</t>
        </is>
      </c>
      <c r="AD83" s="10" t="inlineStr">
        <is>
          <t>Factures disponibles, Véhicule non fumeur, Réparations utiles déjà faites</t>
        </is>
      </c>
      <c r="AE83" s="10" t="n"/>
      <c r="AF83" s="10" t="inlineStr">
        <is>
          <t>Particulier</t>
        </is>
      </c>
      <c r="AG83" s="10" t="inlineStr">
        <is>
          <t>Dieppe</t>
        </is>
      </c>
      <c r="AH83" s="10" t="inlineStr">
        <is>
          <t>76200</t>
        </is>
      </c>
      <c r="AI83" s="10" t="inlineStr">
        <is>
          <t>Seine-Maritime</t>
        </is>
      </c>
      <c r="AJ83" s="10" t="inlineStr">
        <is>
          <t>Haute-Normandie</t>
        </is>
      </c>
      <c r="AK83" s="16" t="n">
        <v>6</v>
      </c>
      <c r="AL83" s="10" t="n"/>
      <c r="AM83" s="10" t="inlineStr">
        <is>
          <t>Non</t>
        </is>
      </c>
      <c r="AN83" s="10" t="inlineStr">
        <is>
          <t>Véhicule très entretenu ,aucun frais à prévoir ct ok,nombreuses factures.negociation dans la limite du raisonnable !</t>
        </is>
      </c>
      <c r="AO83" s="10" t="inlineStr">
        <is>
          <t>Dommages : Excellent état (proche du neuf) ; Sellerie : Velours ; Permis : Avec permis ; Importé : false ; vehicle_history_teaser_critair : 3 ; vehicle_history_teaser_owners : 4 ; vehicle_history_teaser_expertises : false ; vehicle_history_teaser_special_uses : false ; vehicle_history_teaser_atypical_operations : false ; vehicle_history_teaser_importations : false</t>
        </is>
      </c>
      <c r="AP83" s="19" t="inlineStr">
        <is>
          <t>Voir</t>
        </is>
      </c>
      <c r="AQ83" s="10" t="inlineStr">
        <is>
          <t>3285503812</t>
        </is>
      </c>
    </row>
    <row r="84">
      <c r="A84" s="10" t="inlineStr">
        <is>
          <t>Citroën Saxo VTS 16V</t>
        </is>
      </c>
      <c r="B84" s="10" t="inlineStr">
        <is>
          <t>Saxo Vts</t>
        </is>
      </c>
      <c r="C84" s="10" t="n"/>
      <c r="D84" s="10" t="n"/>
      <c r="E84" s="10" t="inlineStr">
        <is>
          <t>En vente</t>
        </is>
      </c>
      <c r="F84" s="18" t="n">
        <v>46305</v>
      </c>
      <c r="G84" s="18" t="n">
        <v>46305</v>
      </c>
      <c r="H84" s="18" t="n">
        <v>46310</v>
      </c>
      <c r="I84" s="18" t="n"/>
      <c r="J84" s="17">
        <f>IF(OR(ISNUMBER(F84),ISNUMBER(G84)),IF(ISNUMBER(I84),I84,H84)-IF(ISNUMBER(F84),F84,G84),"")</f>
        <v/>
      </c>
      <c r="K84" s="12" t="n">
        <v>16000</v>
      </c>
      <c r="L84" s="12" t="n">
        <v>16000</v>
      </c>
      <c r="M84" s="13">
        <f>IF(AND(ISNUMBER(K84),ISNUMBER(L84),K84&gt;0),1-L84/K84,"")</f>
        <v/>
      </c>
      <c r="N84" s="16" t="n">
        <v>0</v>
      </c>
      <c r="O84" s="12" t="n"/>
      <c r="P84" s="12" t="n"/>
      <c r="Q84" s="12" t="n"/>
      <c r="R84" s="14">
        <f>IF(AND(ISNUMBER(L84),ISNUMBER(P84),ISNUMBER(Q84)),L84/((P84+Q84)/2)-1,"")</f>
        <v/>
      </c>
      <c r="S84" s="10" t="n"/>
      <c r="T84" s="15" t="n">
        <v>62000</v>
      </c>
      <c r="U84" s="16" t="n">
        <v>2001</v>
      </c>
      <c r="V84" s="10" t="inlineStr">
        <is>
          <t>07/2001</t>
        </is>
      </c>
      <c r="W84" s="10" t="inlineStr">
        <is>
          <t>Essence</t>
        </is>
      </c>
      <c r="X84" s="10" t="inlineStr">
        <is>
          <t>Manuelle</t>
        </is>
      </c>
      <c r="Y84" s="16" t="n">
        <v>120</v>
      </c>
      <c r="Z84" s="16" t="n">
        <v>8</v>
      </c>
      <c r="AA84" s="10" t="inlineStr">
        <is>
          <t>Gris</t>
        </is>
      </c>
      <c r="AB84" s="16" t="n">
        <v>3</v>
      </c>
      <c r="AC84" s="10" t="inlineStr">
        <is>
          <t>Berline</t>
        </is>
      </c>
      <c r="AD84" s="10" t="inlineStr">
        <is>
          <t>Carnet d'entretien disponible, Factures disponibles, Véhicule non fumeur, Réparations utiles déjà faites</t>
        </is>
      </c>
      <c r="AE84" s="10" t="n"/>
      <c r="AF84" s="10" t="inlineStr">
        <is>
          <t>Particulier</t>
        </is>
      </c>
      <c r="AG84" s="10" t="inlineStr">
        <is>
          <t>Forges-les-Bains</t>
        </is>
      </c>
      <c r="AH84" s="10" t="inlineStr">
        <is>
          <t>91470</t>
        </is>
      </c>
      <c r="AI84" s="10" t="inlineStr">
        <is>
          <t>Essonne</t>
        </is>
      </c>
      <c r="AJ84" s="10" t="inlineStr">
        <is>
          <t>Ile-de-France</t>
        </is>
      </c>
      <c r="AK84" s="16" t="n">
        <v>2</v>
      </c>
      <c r="AL84" s="10" t="n"/>
      <c r="AM84" s="10" t="inlineStr">
        <is>
          <t>Non</t>
        </is>
      </c>
      <c r="AN84" s="10" t="inlineStr">
        <is>
          <t>Bonjour, Je souhaite vendre ma Saxo Vts. Entièrement d'origine hors poste audio. Véhicule 3 ème main mais sont histoire -&gt; 1 er propriétaire, ancien chef d'atelier l'avait et l'entreposer dans un garage sans rouler pratiquement en faisant l'entretien (voiture de collection), 2 ème propriétaire sont apprentis qui lui achète la voiture avec 33000 km, et la utiliser jusqu'à moi 3 ème propriétaire acheter avec 52000 km. Voiture entretenue avec facture (sauf dernière vidange faites par moi, vu le nom</t>
        </is>
      </c>
      <c r="AO84" s="10" t="inlineStr">
        <is>
          <t>vehicle_technical_inspection_valid : Oui ; Contrôle technique : 2027 ; Dommages : Excellent état (proche du neuf) ; Sellerie : Tissu ; Permis : Avec permis ; Importé : false ; vehicle_history_report_status : visible</t>
        </is>
      </c>
      <c r="AP84" s="19" t="inlineStr">
        <is>
          <t>Voir</t>
        </is>
      </c>
      <c r="AQ84" s="10" t="inlineStr">
        <is>
          <t>3286019685</t>
        </is>
      </c>
    </row>
    <row r="85">
      <c r="A85" s="10" t="inlineStr">
        <is>
          <t>Citroën Saxo VTS 16V</t>
        </is>
      </c>
      <c r="B85" s="10" t="inlineStr">
        <is>
          <t>Saxo vts 1.6 16v</t>
        </is>
      </c>
      <c r="C85" s="10" t="inlineStr">
        <is>
          <t>Saxo 1.6 16v VTS 3p</t>
        </is>
      </c>
      <c r="D85" s="10" t="inlineStr">
        <is>
          <t>VTS</t>
        </is>
      </c>
      <c r="E85" s="10" t="inlineStr">
        <is>
          <t>En vente</t>
        </is>
      </c>
      <c r="F85" s="18" t="n">
        <v>46306</v>
      </c>
      <c r="G85" s="18" t="n">
        <v>46306</v>
      </c>
      <c r="H85" s="18" t="n">
        <v>46310</v>
      </c>
      <c r="I85" s="18" t="n"/>
      <c r="J85" s="17">
        <f>IF(OR(ISNUMBER(F85),ISNUMBER(G85)),IF(ISNUMBER(I85),I85,H85)-IF(ISNUMBER(F85),F85,G85),"")</f>
        <v/>
      </c>
      <c r="K85" s="12" t="n">
        <v>8500</v>
      </c>
      <c r="L85" s="12" t="n">
        <v>8500</v>
      </c>
      <c r="M85" s="13">
        <f>IF(AND(ISNUMBER(K85),ISNUMBER(L85),K85&gt;0),1-L85/K85,"")</f>
        <v/>
      </c>
      <c r="N85" s="16" t="n">
        <v>0</v>
      </c>
      <c r="O85" s="12" t="n"/>
      <c r="P85" s="12" t="n"/>
      <c r="Q85" s="12" t="n"/>
      <c r="R85" s="14">
        <f>IF(AND(ISNUMBER(L85),ISNUMBER(P85),ISNUMBER(Q85)),L85/((P85+Q85)/2)-1,"")</f>
        <v/>
      </c>
      <c r="S85" s="10" t="n"/>
      <c r="T85" s="15" t="n">
        <v>194500</v>
      </c>
      <c r="U85" s="16" t="n">
        <v>2001</v>
      </c>
      <c r="V85" s="10" t="inlineStr">
        <is>
          <t>06/2001</t>
        </is>
      </c>
      <c r="W85" s="10" t="inlineStr">
        <is>
          <t>Essence</t>
        </is>
      </c>
      <c r="X85" s="10" t="inlineStr">
        <is>
          <t>Manuelle</t>
        </is>
      </c>
      <c r="Y85" s="16" t="n">
        <v>120</v>
      </c>
      <c r="Z85" s="16" t="n">
        <v>8</v>
      </c>
      <c r="AA85" s="10" t="inlineStr">
        <is>
          <t>Bleu</t>
        </is>
      </c>
      <c r="AB85" s="16" t="n">
        <v>3</v>
      </c>
      <c r="AC85" s="10" t="inlineStr">
        <is>
          <t>Berline</t>
        </is>
      </c>
      <c r="AD85" s="10" t="n"/>
      <c r="AE85" s="10" t="n"/>
      <c r="AF85" s="10" t="inlineStr">
        <is>
          <t>Particulier</t>
        </is>
      </c>
      <c r="AG85" s="10" t="inlineStr">
        <is>
          <t>Saint-Laurent-les-Tours</t>
        </is>
      </c>
      <c r="AH85" s="10" t="inlineStr">
        <is>
          <t>46400</t>
        </is>
      </c>
      <c r="AI85" s="10" t="inlineStr">
        <is>
          <t>Lot</t>
        </is>
      </c>
      <c r="AJ85" s="10" t="inlineStr">
        <is>
          <t>Midi-Pyrénées</t>
        </is>
      </c>
      <c r="AK85" s="16" t="n">
        <v>3</v>
      </c>
      <c r="AL85" s="10" t="n"/>
      <c r="AM85" s="10" t="inlineStr">
        <is>
          <t>Non</t>
        </is>
      </c>
      <c r="AN85" s="10" t="inlineStr">
        <is>
          <t>Citroën Saxo VTS 1.6 16V – 2001 Je mets en vente ma Citroën Saxo VTS 1.6 16V de 2001 Informations : Citroën Saxo VTS 1.6 16 soupapes Année : 06/ 2001 Boîte manuelle Carte grise à mon nom Amortisseur blistein b4 Jante Toulouse origine Collecteur 4-1 daluz développement Ligne groupe À daluz Plaquettes avant et disque avant neuf zéro km Bobine changer récemment Bougies 1 ans Pneus av neuf 100km Vidange sera faite pour la vente Mais fait tous les 5000km max Prix : 8800 N’hésitez pas à me contacter p</t>
        </is>
      </c>
      <c r="AO85" s="10" t="inlineStr">
        <is>
          <t>Dommages : Bon état général ; Sellerie : Tissu ; Permis : Avec permis ; Importé : false ; vehicle_history_teaser_critair : 3 ; vehicle_history_teaser_owners : 8 ; vehicle_history_teaser_expertises : true ; vehicle_history_teaser_special_uses : false ; vehicle_history_teaser_atypical_operations : false ; vehicle_history_teaser_importations : false</t>
        </is>
      </c>
      <c r="AP85" s="19" t="inlineStr">
        <is>
          <t>Voir</t>
        </is>
      </c>
      <c r="AQ85" s="10" t="inlineStr">
        <is>
          <t>3286165040</t>
        </is>
      </c>
    </row>
    <row r="86">
      <c r="A86" s="10" t="inlineStr">
        <is>
          <t>Citroën Saxo VTS 16V</t>
        </is>
      </c>
      <c r="B86" s="10" t="inlineStr">
        <is>
          <t>Saxo vts</t>
        </is>
      </c>
      <c r="C86" s="10" t="n"/>
      <c r="D86" s="10" t="n"/>
      <c r="E86" s="10" t="inlineStr">
        <is>
          <t>En vente</t>
        </is>
      </c>
      <c r="F86" s="18" t="n">
        <v>46307</v>
      </c>
      <c r="G86" s="18" t="n">
        <v>46307</v>
      </c>
      <c r="H86" s="18" t="n">
        <v>46310</v>
      </c>
      <c r="I86" s="18" t="n"/>
      <c r="J86" s="17">
        <f>IF(OR(ISNUMBER(F86),ISNUMBER(G86)),IF(ISNUMBER(I86),I86,H86)-IF(ISNUMBER(F86),F86,G86),"")</f>
        <v/>
      </c>
      <c r="K86" s="12" t="n">
        <v>800</v>
      </c>
      <c r="L86" s="12" t="n">
        <v>800</v>
      </c>
      <c r="M86" s="13">
        <f>IF(AND(ISNUMBER(K86),ISNUMBER(L86),K86&gt;0),1-L86/K86,"")</f>
        <v/>
      </c>
      <c r="N86" s="16" t="n">
        <v>0</v>
      </c>
      <c r="O86" s="12" t="n"/>
      <c r="P86" s="12" t="n"/>
      <c r="Q86" s="12" t="n"/>
      <c r="R86" s="14">
        <f>IF(AND(ISNUMBER(L86),ISNUMBER(P86),ISNUMBER(Q86)),L86/((P86+Q86)/2)-1,"")</f>
        <v/>
      </c>
      <c r="S86" s="10" t="n"/>
      <c r="T86" s="15" t="n">
        <v>100000</v>
      </c>
      <c r="U86" s="16" t="n">
        <v>2001</v>
      </c>
      <c r="V86" s="10" t="inlineStr">
        <is>
          <t>04/2001</t>
        </is>
      </c>
      <c r="W86" s="10" t="inlineStr">
        <is>
          <t>Essence</t>
        </is>
      </c>
      <c r="X86" s="10" t="inlineStr">
        <is>
          <t>Manuelle</t>
        </is>
      </c>
      <c r="Y86" s="16" t="n">
        <v>70</v>
      </c>
      <c r="Z86" s="16" t="n">
        <v>4</v>
      </c>
      <c r="AA86" s="10" t="inlineStr">
        <is>
          <t>Bleu</t>
        </is>
      </c>
      <c r="AB86" s="16" t="n">
        <v>5</v>
      </c>
      <c r="AC86" s="10" t="inlineStr">
        <is>
          <t>Berline</t>
        </is>
      </c>
      <c r="AD86" s="10" t="n"/>
      <c r="AE86" s="10" t="n"/>
      <c r="AF86" s="10" t="inlineStr">
        <is>
          <t>Particulier</t>
        </is>
      </c>
      <c r="AG86" s="10" t="inlineStr">
        <is>
          <t>Chasseneuil</t>
        </is>
      </c>
      <c r="AH86" s="10" t="inlineStr">
        <is>
          <t>36800</t>
        </is>
      </c>
      <c r="AI86" s="10" t="inlineStr">
        <is>
          <t>Indre</t>
        </is>
      </c>
      <c r="AJ86" s="10" t="inlineStr">
        <is>
          <t>Centre</t>
        </is>
      </c>
      <c r="AK86" s="16" t="n">
        <v>1</v>
      </c>
      <c r="AL86" s="10" t="n"/>
      <c r="AM86" s="10" t="inlineStr">
        <is>
          <t>Non</t>
        </is>
      </c>
      <c r="AN86" s="10" t="inlineStr">
        <is>
          <t>Caisse saxo phase 2, vidé pour projet course mais abandon de projet Kit vts complet, 3 portes droite, 1 porte gauche, extension arrière droit et gauche Me contacter pour plus de renseignements Fol car, rallycross , rally , poursuite sur terre, autocross</t>
        </is>
      </c>
      <c r="AO86" s="10" t="inlineStr">
        <is>
          <t>Permis : Avec permis ; Importé : false</t>
        </is>
      </c>
      <c r="AP86" s="19" t="inlineStr">
        <is>
          <t>Voir</t>
        </is>
      </c>
      <c r="AQ86" s="10" t="inlineStr">
        <is>
          <t>3287369967</t>
        </is>
      </c>
    </row>
    <row r="87">
      <c r="A87" s="10" t="inlineStr">
        <is>
          <t>Citroën Saxo VTS 16V</t>
        </is>
      </c>
      <c r="B87" s="10" t="inlineStr">
        <is>
          <t>Saxo vts 1.1</t>
        </is>
      </c>
      <c r="C87" s="10" t="inlineStr">
        <is>
          <t>Saxo 1.1 4cv Bic 3p</t>
        </is>
      </c>
      <c r="D87" s="10" t="inlineStr">
        <is>
          <t>Bic</t>
        </is>
      </c>
      <c r="E87" s="10" t="inlineStr">
        <is>
          <t>En vente</t>
        </is>
      </c>
      <c r="F87" s="18" t="n">
        <v>46308</v>
      </c>
      <c r="G87" s="18" t="n">
        <v>46308</v>
      </c>
      <c r="H87" s="18" t="n">
        <v>46310</v>
      </c>
      <c r="I87" s="18" t="n"/>
      <c r="J87" s="17">
        <f>IF(OR(ISNUMBER(F87),ISNUMBER(G87)),IF(ISNUMBER(I87),I87,H87)-IF(ISNUMBER(F87),F87,G87),"")</f>
        <v/>
      </c>
      <c r="K87" s="12" t="n">
        <v>4500</v>
      </c>
      <c r="L87" s="12" t="n">
        <v>4500</v>
      </c>
      <c r="M87" s="13">
        <f>IF(AND(ISNUMBER(K87),ISNUMBER(L87),K87&gt;0),1-L87/K87,"")</f>
        <v/>
      </c>
      <c r="N87" s="16" t="n">
        <v>0</v>
      </c>
      <c r="O87" s="12" t="n"/>
      <c r="P87" s="12" t="n"/>
      <c r="Q87" s="12" t="n"/>
      <c r="R87" s="14">
        <f>IF(AND(ISNUMBER(L87),ISNUMBER(P87),ISNUMBER(Q87)),L87/((P87+Q87)/2)-1,"")</f>
        <v/>
      </c>
      <c r="S87" s="10" t="n"/>
      <c r="T87" s="15" t="n">
        <v>129000</v>
      </c>
      <c r="U87" s="16" t="n">
        <v>2001</v>
      </c>
      <c r="V87" s="10" t="inlineStr">
        <is>
          <t>11/2001</t>
        </is>
      </c>
      <c r="W87" s="10" t="inlineStr">
        <is>
          <t>Essence</t>
        </is>
      </c>
      <c r="X87" s="10" t="inlineStr">
        <is>
          <t>Manuelle</t>
        </is>
      </c>
      <c r="Y87" s="16" t="n">
        <v>60</v>
      </c>
      <c r="Z87" s="16" t="n">
        <v>4</v>
      </c>
      <c r="AA87" s="10" t="inlineStr">
        <is>
          <t>Violet</t>
        </is>
      </c>
      <c r="AB87" s="16" t="n">
        <v>3</v>
      </c>
      <c r="AC87" s="10" t="inlineStr">
        <is>
          <t>Berline</t>
        </is>
      </c>
      <c r="AD87" s="10" t="inlineStr">
        <is>
          <t>Réparations utiles déjà faites, Véhicule non fumeur</t>
        </is>
      </c>
      <c r="AE87" s="10" t="n"/>
      <c r="AF87" s="10" t="inlineStr">
        <is>
          <t>Particulier</t>
        </is>
      </c>
      <c r="AG87" s="10" t="inlineStr">
        <is>
          <t>Millau</t>
        </is>
      </c>
      <c r="AH87" s="10" t="inlineStr">
        <is>
          <t>12100</t>
        </is>
      </c>
      <c r="AI87" s="10" t="inlineStr">
        <is>
          <t>Aveyron</t>
        </is>
      </c>
      <c r="AJ87" s="10" t="inlineStr">
        <is>
          <t>Midi-Pyrénées</t>
        </is>
      </c>
      <c r="AK87" s="16" t="n">
        <v>3</v>
      </c>
      <c r="AL87" s="10" t="n"/>
      <c r="AM87" s="10" t="inlineStr">
        <is>
          <t>Non</t>
        </is>
      </c>
      <c r="AN87" s="10" t="inlineStr">
        <is>
          <t xml:space="preserve">n lire l’annonce complète Je vend ma saxo1.1 60ch pour changement de project Tout les papier son à jour Entièrement monter par mes soin en 2024 La caisse a 226000km et le moteur a 129000km Changement de moteur car j’ai acheter cette caisse avec le moteur cassé Tout a étais repeint de la baie moteur a l’intérieur Train avant neuf triangle /suspension ( biltein b8) 4 jante de saxo challenge (Speedline) Baquet rrs futura 3 Harnais driftshop Volant driftshop avec bande voilette Quik release Ciel de </t>
        </is>
      </c>
      <c r="AO87" s="10" t="inlineStr">
        <is>
          <t>Dommages : Bon état général ; Sellerie : Tissu ; Permis : Avec permis ; Importé : false</t>
        </is>
      </c>
      <c r="AP87" s="19" t="inlineStr">
        <is>
          <t>Voir</t>
        </is>
      </c>
      <c r="AQ87" s="10" t="inlineStr">
        <is>
          <t>3287966186</t>
        </is>
      </c>
    </row>
    <row r="88">
      <c r="A88" s="10" t="inlineStr">
        <is>
          <t>Citroën Saxo VTS 16V</t>
        </is>
      </c>
      <c r="B88" s="10" t="inlineStr">
        <is>
          <t>Saxo vts 16s phase 1</t>
        </is>
      </c>
      <c r="C88" s="10" t="n"/>
      <c r="D88" s="10" t="n"/>
      <c r="E88" s="10" t="inlineStr">
        <is>
          <t>En vente</t>
        </is>
      </c>
      <c r="F88" s="18" t="n">
        <v>46309</v>
      </c>
      <c r="G88" s="18" t="n">
        <v>46309</v>
      </c>
      <c r="H88" s="18" t="n">
        <v>46310</v>
      </c>
      <c r="I88" s="18" t="n"/>
      <c r="J88" s="17">
        <f>IF(OR(ISNUMBER(F88),ISNUMBER(G88)),IF(ISNUMBER(I88),I88,H88)-IF(ISNUMBER(F88),F88,G88),"")</f>
        <v/>
      </c>
      <c r="K88" s="12" t="n">
        <v>11000</v>
      </c>
      <c r="L88" s="12" t="n">
        <v>11000</v>
      </c>
      <c r="M88" s="13">
        <f>IF(AND(ISNUMBER(K88),ISNUMBER(L88),K88&gt;0),1-L88/K88,"")</f>
        <v/>
      </c>
      <c r="N88" s="16" t="n">
        <v>0</v>
      </c>
      <c r="O88" s="12" t="n"/>
      <c r="P88" s="12" t="n"/>
      <c r="Q88" s="12" t="n"/>
      <c r="R88" s="14">
        <f>IF(AND(ISNUMBER(L88),ISNUMBER(P88),ISNUMBER(Q88)),L88/((P88+Q88)/2)-1,"")</f>
        <v/>
      </c>
      <c r="S88" s="10" t="n"/>
      <c r="T88" s="15" t="n">
        <v>126850</v>
      </c>
      <c r="U88" s="16" t="n">
        <v>1999</v>
      </c>
      <c r="V88" s="10" t="inlineStr">
        <is>
          <t>04/1999</t>
        </is>
      </c>
      <c r="W88" s="10" t="inlineStr">
        <is>
          <t>Essence</t>
        </is>
      </c>
      <c r="X88" s="10" t="inlineStr">
        <is>
          <t>Manuelle</t>
        </is>
      </c>
      <c r="Y88" s="16" t="n">
        <v>118</v>
      </c>
      <c r="Z88" s="16" t="n">
        <v>8</v>
      </c>
      <c r="AA88" s="10" t="inlineStr">
        <is>
          <t>Bleu</t>
        </is>
      </c>
      <c r="AB88" s="16" t="n">
        <v>3</v>
      </c>
      <c r="AC88" s="10" t="inlineStr">
        <is>
          <t>Berline</t>
        </is>
      </c>
      <c r="AD88" s="10" t="inlineStr">
        <is>
          <t>Carnet d'entretien disponible, Factures disponibles</t>
        </is>
      </c>
      <c r="AE88" s="10" t="n"/>
      <c r="AF88" s="10" t="inlineStr">
        <is>
          <t>Particulier</t>
        </is>
      </c>
      <c r="AG88" s="10" t="inlineStr">
        <is>
          <t>Badonviller</t>
        </is>
      </c>
      <c r="AH88" s="10" t="inlineStr">
        <is>
          <t>54540</t>
        </is>
      </c>
      <c r="AI88" s="10" t="inlineStr">
        <is>
          <t>Meurthe-et-Moselle</t>
        </is>
      </c>
      <c r="AJ88" s="10" t="inlineStr">
        <is>
          <t>Lorraine</t>
        </is>
      </c>
      <c r="AK88" s="16" t="n">
        <v>3</v>
      </c>
      <c r="AL88" s="10" t="n"/>
      <c r="AM88" s="10" t="inlineStr">
        <is>
          <t>Non</t>
        </is>
      </c>
      <c r="AN88" s="10" t="inlineStr">
        <is>
          <t>Je vends ma Citroën Saxo VTS 16S de 1999, une citadine sportive et attachante avec 126 890 km au compteur. - Marque : Citroën - Modèle : Saxo VTS 16S - Année : 1999 - Kilométrage : 126 890 km - Motorisation : 118 Ch - Puissance fiscale : 8 Cv - Carburant : Essence - Boîte de vitesses : Manuelle - Couleur : Bleu - Type de véhicule : Berline - Nombre de portes : 3 - Nombre de sièges : 4 N'hésitez pas à me contacter pour plus d'informations, véhicule sort très peu et très bien entretenu. Prix négoc</t>
        </is>
      </c>
      <c r="AO88" s="10" t="inlineStr">
        <is>
          <t>Dommages : Excellent état (proche du neuf) ; Sellerie : Tissu ; Permis : Avec permis ; Importé : false</t>
        </is>
      </c>
      <c r="AP88" s="19" t="inlineStr">
        <is>
          <t>Voir</t>
        </is>
      </c>
      <c r="AQ88" s="10" t="inlineStr">
        <is>
          <t>3288262834</t>
        </is>
      </c>
    </row>
    <row r="89">
      <c r="A89" s="10" t="inlineStr">
        <is>
          <t>Citroën Saxo VTS 16V</t>
        </is>
      </c>
      <c r="B89" s="10" t="inlineStr">
        <is>
          <t>Saxo vts trackday</t>
        </is>
      </c>
      <c r="C89" s="10" t="n"/>
      <c r="D89" s="10" t="n"/>
      <c r="E89" s="10" t="inlineStr">
        <is>
          <t>En vente</t>
        </is>
      </c>
      <c r="F89" s="18" t="n">
        <v>46310</v>
      </c>
      <c r="G89" s="18" t="n">
        <v>46310</v>
      </c>
      <c r="H89" s="18" t="n">
        <v>46310</v>
      </c>
      <c r="I89" s="18" t="n"/>
      <c r="J89" s="17">
        <f>IF(OR(ISNUMBER(F89),ISNUMBER(G89)),IF(ISNUMBER(I89),I89,H89)-IF(ISNUMBER(F89),F89,G89),"")</f>
        <v/>
      </c>
      <c r="K89" s="12" t="n">
        <v>7000</v>
      </c>
      <c r="L89" s="12" t="n">
        <v>7000</v>
      </c>
      <c r="M89" s="13">
        <f>IF(AND(ISNUMBER(K89),ISNUMBER(L89),K89&gt;0),1-L89/K89,"")</f>
        <v/>
      </c>
      <c r="N89" s="16" t="n">
        <v>0</v>
      </c>
      <c r="O89" s="12" t="n"/>
      <c r="P89" s="12" t="n"/>
      <c r="Q89" s="12" t="n"/>
      <c r="R89" s="14">
        <f>IF(AND(ISNUMBER(L89),ISNUMBER(P89),ISNUMBER(Q89)),L89/((P89+Q89)/2)-1,"")</f>
        <v/>
      </c>
      <c r="S89" s="10" t="n"/>
      <c r="T89" s="15" t="n">
        <v>240000</v>
      </c>
      <c r="U89" s="16" t="n">
        <v>1999</v>
      </c>
      <c r="V89" s="10" t="inlineStr">
        <is>
          <t>11/1999</t>
        </is>
      </c>
      <c r="W89" s="10" t="inlineStr">
        <is>
          <t>Essence</t>
        </is>
      </c>
      <c r="X89" s="10" t="inlineStr">
        <is>
          <t>Manuelle</t>
        </is>
      </c>
      <c r="Y89" s="16" t="n">
        <v>118</v>
      </c>
      <c r="Z89" s="16" t="n">
        <v>8</v>
      </c>
      <c r="AA89" s="10" t="inlineStr">
        <is>
          <t>Autre</t>
        </is>
      </c>
      <c r="AB89" s="16" t="n">
        <v>3</v>
      </c>
      <c r="AC89" s="10" t="inlineStr">
        <is>
          <t>Berline</t>
        </is>
      </c>
      <c r="AD89" s="10" t="n"/>
      <c r="AE89" s="10" t="n"/>
      <c r="AF89" s="10" t="inlineStr">
        <is>
          <t>Particulier</t>
        </is>
      </c>
      <c r="AG89" s="10" t="inlineStr">
        <is>
          <t>Arzacq-Arraziguet</t>
        </is>
      </c>
      <c r="AH89" s="10" t="inlineStr">
        <is>
          <t>64410</t>
        </is>
      </c>
      <c r="AI89" s="10" t="inlineStr">
        <is>
          <t>Pyrénées-Atlantiques</t>
        </is>
      </c>
      <c r="AJ89" s="10" t="inlineStr">
        <is>
          <t>Aquitaine</t>
        </is>
      </c>
      <c r="AK89" s="16" t="n">
        <v>2</v>
      </c>
      <c r="AL89" s="10" t="n"/>
      <c r="AM89" s="10" t="inlineStr">
        <is>
          <t>Non</t>
        </is>
      </c>
      <c r="AN89" s="10" t="inlineStr">
        <is>
          <t>Bonjour, Je vend cette saxo vts 16v (vrais pas de swap) Culasse c2 vts Papillon clio 2 rs Collecteur c2 vts Bilstein b8 avant ar Train arrière sur sylimbloc renforcer Admission saxo challenge Collecteur 4 2 1 Ligne groupe n Frein à main hydraulique Short shift Arceaux 6 point boulonner 2 baquet Barre anti rapprochement avant inf et supp Boitier omex Ct + de 6 mois mais peut être repassé pour la vente (en contre visite) Cg a mon nom</t>
        </is>
      </c>
      <c r="AO89" s="10" t="inlineStr">
        <is>
          <t>Permis : Avec permis ; Importé : false</t>
        </is>
      </c>
      <c r="AP89" s="19" t="inlineStr">
        <is>
          <t>Voir</t>
        </is>
      </c>
      <c r="AQ89" s="10" t="inlineStr">
        <is>
          <t>3288655322</t>
        </is>
      </c>
    </row>
    <row r="90">
      <c r="A90" s="10" t="inlineStr">
        <is>
          <t>Citroën Saxo VTS 16V</t>
        </is>
      </c>
      <c r="B90" s="10" t="inlineStr">
        <is>
          <t>Saxo VTS 1.6l 16s</t>
        </is>
      </c>
      <c r="C90" s="10" t="n"/>
      <c r="D90" s="10" t="n"/>
      <c r="E90" s="10" t="inlineStr">
        <is>
          <t>En vente</t>
        </is>
      </c>
      <c r="F90" s="18" t="n">
        <v>46281</v>
      </c>
      <c r="G90" s="18" t="n">
        <v>46281</v>
      </c>
      <c r="H90" s="18" t="n">
        <v>46296</v>
      </c>
      <c r="I90" s="18" t="n"/>
      <c r="J90" s="17">
        <f>IF(OR(ISNUMBER(F90),ISNUMBER(G90)),IF(ISNUMBER(I90),I90,H90)-IF(ISNUMBER(F90),F90,G90),"")</f>
        <v/>
      </c>
      <c r="K90" s="12" t="n">
        <v>10500</v>
      </c>
      <c r="L90" s="12" t="n">
        <v>10500</v>
      </c>
      <c r="M90" s="13">
        <f>IF(AND(ISNUMBER(K90),ISNUMBER(L90),K90&gt;0),1-L90/K90,"")</f>
        <v/>
      </c>
      <c r="N90" s="16" t="n">
        <v>0</v>
      </c>
      <c r="O90" s="12" t="n"/>
      <c r="P90" s="12" t="n"/>
      <c r="Q90" s="12" t="n"/>
      <c r="R90" s="14">
        <f>IF(AND(ISNUMBER(L90),ISNUMBER(P90),ISNUMBER(Q90)),L90/((P90+Q90)/2)-1,"")</f>
        <v/>
      </c>
      <c r="S90" s="10" t="n"/>
      <c r="T90" s="15" t="n">
        <v>150500</v>
      </c>
      <c r="U90" s="16" t="n">
        <v>2000</v>
      </c>
      <c r="V90" s="10" t="n"/>
      <c r="W90" s="10" t="inlineStr">
        <is>
          <t>Essence</t>
        </is>
      </c>
      <c r="X90" s="10" t="inlineStr">
        <is>
          <t>Manuelle</t>
        </is>
      </c>
      <c r="Y90" s="16" t="n">
        <v>118</v>
      </c>
      <c r="Z90" s="16" t="n">
        <v>8</v>
      </c>
      <c r="AA90" s="10" t="inlineStr">
        <is>
          <t>Autre</t>
        </is>
      </c>
      <c r="AB90" s="16" t="n">
        <v>3</v>
      </c>
      <c r="AC90" s="10" t="inlineStr">
        <is>
          <t>Berline</t>
        </is>
      </c>
      <c r="AD90" s="10" t="n"/>
      <c r="AE90" s="10" t="n"/>
      <c r="AF90" s="10" t="inlineStr">
        <is>
          <t>Particulier</t>
        </is>
      </c>
      <c r="AG90" s="10" t="inlineStr">
        <is>
          <t>Chassiers</t>
        </is>
      </c>
      <c r="AH90" s="10" t="inlineStr">
        <is>
          <t>07110</t>
        </is>
      </c>
      <c r="AI90" s="10" t="inlineStr">
        <is>
          <t>Ardèche</t>
        </is>
      </c>
      <c r="AJ90" s="10" t="inlineStr">
        <is>
          <t>Rhône-Alpes</t>
        </is>
      </c>
      <c r="AK90" s="16" t="n"/>
      <c r="AL90" s="10" t="n"/>
      <c r="AM90" s="10" t="n"/>
      <c r="AN90" s="10" t="n"/>
      <c r="AO90" s="10" t="n"/>
      <c r="AP90" s="19" t="inlineStr">
        <is>
          <t>Voir</t>
        </is>
      </c>
      <c r="AQ90" s="10" t="inlineStr">
        <is>
          <t>3198012563</t>
        </is>
      </c>
    </row>
    <row r="91">
      <c r="A91" s="10" t="inlineStr">
        <is>
          <t>Citroën Saxo VTS 16V</t>
        </is>
      </c>
      <c r="B91" s="10" t="inlineStr">
        <is>
          <t>Citroen saxo vts 16v</t>
        </is>
      </c>
      <c r="C91" s="10" t="n"/>
      <c r="D91" s="10" t="n"/>
      <c r="E91" s="10" t="inlineStr">
        <is>
          <t>En vente</t>
        </is>
      </c>
      <c r="F91" s="18" t="n">
        <v>46249</v>
      </c>
      <c r="G91" s="18" t="n">
        <v>46249</v>
      </c>
      <c r="H91" s="18" t="n">
        <v>46296</v>
      </c>
      <c r="I91" s="18" t="n"/>
      <c r="J91" s="17">
        <f>IF(OR(ISNUMBER(F91),ISNUMBER(G91)),IF(ISNUMBER(I91),I91,H91)-IF(ISNUMBER(F91),F91,G91),"")</f>
        <v/>
      </c>
      <c r="K91" s="12" t="n">
        <v>6700</v>
      </c>
      <c r="L91" s="12" t="n">
        <v>6700</v>
      </c>
      <c r="M91" s="13">
        <f>IF(AND(ISNUMBER(K91),ISNUMBER(L91),K91&gt;0),1-L91/K91,"")</f>
        <v/>
      </c>
      <c r="N91" s="16" t="n">
        <v>0</v>
      </c>
      <c r="O91" s="12" t="n"/>
      <c r="P91" s="12" t="n"/>
      <c r="Q91" s="12" t="n"/>
      <c r="R91" s="14">
        <f>IF(AND(ISNUMBER(L91),ISNUMBER(P91),ISNUMBER(Q91)),L91/((P91+Q91)/2)-1,"")</f>
        <v/>
      </c>
      <c r="S91" s="10" t="n"/>
      <c r="T91" s="15" t="n">
        <v>232000</v>
      </c>
      <c r="U91" s="16" t="n">
        <v>2001</v>
      </c>
      <c r="V91" s="10" t="n"/>
      <c r="W91" s="10" t="inlineStr">
        <is>
          <t>Essence</t>
        </is>
      </c>
      <c r="X91" s="10" t="inlineStr">
        <is>
          <t>Manuelle</t>
        </is>
      </c>
      <c r="Y91" s="16" t="n">
        <v>120</v>
      </c>
      <c r="Z91" s="16" t="n">
        <v>8</v>
      </c>
      <c r="AA91" s="10" t="inlineStr">
        <is>
          <t>Noir</t>
        </is>
      </c>
      <c r="AB91" s="16" t="n">
        <v>3</v>
      </c>
      <c r="AC91" s="10" t="inlineStr">
        <is>
          <t>Berline</t>
        </is>
      </c>
      <c r="AD91" s="10" t="n"/>
      <c r="AE91" s="10" t="n"/>
      <c r="AF91" s="10" t="inlineStr">
        <is>
          <t>Particulier</t>
        </is>
      </c>
      <c r="AG91" s="10" t="inlineStr">
        <is>
          <t>Méry-ès-Bois</t>
        </is>
      </c>
      <c r="AH91" s="10" t="inlineStr">
        <is>
          <t>18380</t>
        </is>
      </c>
      <c r="AI91" s="10" t="inlineStr">
        <is>
          <t>Cher</t>
        </is>
      </c>
      <c r="AJ91" s="10" t="inlineStr">
        <is>
          <t>Centre</t>
        </is>
      </c>
      <c r="AK91" s="16" t="n"/>
      <c r="AL91" s="10" t="n"/>
      <c r="AM91" s="10" t="n"/>
      <c r="AN91" s="10" t="n"/>
      <c r="AO91" s="10" t="n"/>
      <c r="AP91" s="19" t="inlineStr">
        <is>
          <t>Voir</t>
        </is>
      </c>
      <c r="AQ91" s="10" t="inlineStr">
        <is>
          <t>3217942758</t>
        </is>
      </c>
    </row>
    <row r="92">
      <c r="A92" s="10" t="inlineStr">
        <is>
          <t>Citroën Saxo VTS 16V</t>
        </is>
      </c>
      <c r="B92" s="10" t="inlineStr">
        <is>
          <t>Saxo vts 1l6</t>
        </is>
      </c>
      <c r="C92" s="10" t="n"/>
      <c r="D92" s="10" t="n"/>
      <c r="E92" s="10" t="inlineStr">
        <is>
          <t>En vente</t>
        </is>
      </c>
      <c r="F92" s="18" t="n">
        <v>46248</v>
      </c>
      <c r="G92" s="18" t="n">
        <v>46248</v>
      </c>
      <c r="H92" s="18" t="n">
        <v>46296</v>
      </c>
      <c r="I92" s="18" t="n"/>
      <c r="J92" s="17">
        <f>IF(OR(ISNUMBER(F92),ISNUMBER(G92)),IF(ISNUMBER(I92),I92,H92)-IF(ISNUMBER(F92),F92,G92),"")</f>
        <v/>
      </c>
      <c r="K92" s="12" t="n">
        <v>3000</v>
      </c>
      <c r="L92" s="12" t="n">
        <v>3000</v>
      </c>
      <c r="M92" s="13">
        <f>IF(AND(ISNUMBER(K92),ISNUMBER(L92),K92&gt;0),1-L92/K92,"")</f>
        <v/>
      </c>
      <c r="N92" s="16" t="n">
        <v>0</v>
      </c>
      <c r="O92" s="12" t="n"/>
      <c r="P92" s="12" t="n"/>
      <c r="Q92" s="12" t="n"/>
      <c r="R92" s="14">
        <f>IF(AND(ISNUMBER(L92),ISNUMBER(P92),ISNUMBER(Q92)),L92/((P92+Q92)/2)-1,"")</f>
        <v/>
      </c>
      <c r="S92" s="10" t="n"/>
      <c r="T92" s="15" t="n">
        <v>213500</v>
      </c>
      <c r="U92" s="16" t="n">
        <v>1999</v>
      </c>
      <c r="V92" s="10" t="n"/>
      <c r="W92" s="10" t="inlineStr">
        <is>
          <t>Essence</t>
        </is>
      </c>
      <c r="X92" s="10" t="inlineStr">
        <is>
          <t>Manuelle</t>
        </is>
      </c>
      <c r="Y92" s="16" t="n">
        <v>90</v>
      </c>
      <c r="Z92" s="16" t="n">
        <v>6</v>
      </c>
      <c r="AA92" s="10" t="inlineStr">
        <is>
          <t>Noir</t>
        </is>
      </c>
      <c r="AB92" s="16" t="n">
        <v>3</v>
      </c>
      <c r="AC92" s="10" t="inlineStr">
        <is>
          <t>Coupe</t>
        </is>
      </c>
      <c r="AD92" s="10" t="n"/>
      <c r="AE92" s="10" t="n"/>
      <c r="AF92" s="10" t="inlineStr">
        <is>
          <t>Particulier</t>
        </is>
      </c>
      <c r="AG92" s="10" t="inlineStr">
        <is>
          <t>Forges-les-Eaux</t>
        </is>
      </c>
      <c r="AH92" s="10" t="inlineStr">
        <is>
          <t>76440</t>
        </is>
      </c>
      <c r="AI92" s="10" t="inlineStr">
        <is>
          <t>Seine-Maritime</t>
        </is>
      </c>
      <c r="AJ92" s="10" t="inlineStr">
        <is>
          <t>Haute-Normandie</t>
        </is>
      </c>
      <c r="AK92" s="16" t="n"/>
      <c r="AL92" s="10" t="n"/>
      <c r="AM92" s="10" t="n"/>
      <c r="AN92" s="10" t="n"/>
      <c r="AO92" s="10" t="n"/>
      <c r="AP92" s="19" t="inlineStr">
        <is>
          <t>Voir</t>
        </is>
      </c>
      <c r="AQ92" s="10" t="inlineStr">
        <is>
          <t>3249782225</t>
        </is>
      </c>
    </row>
    <row r="93">
      <c r="A93" s="10" t="inlineStr">
        <is>
          <t>Citroën Saxo VTS 16V</t>
        </is>
      </c>
      <c r="B93" s="10" t="inlineStr">
        <is>
          <t>Saxo VTS</t>
        </is>
      </c>
      <c r="C93" s="10" t="n"/>
      <c r="D93" s="10" t="n"/>
      <c r="E93" s="10" t="inlineStr">
        <is>
          <t>En vente</t>
        </is>
      </c>
      <c r="F93" s="18" t="n">
        <v>46250</v>
      </c>
      <c r="G93" s="18" t="n">
        <v>46250</v>
      </c>
      <c r="H93" s="18" t="n">
        <v>46296</v>
      </c>
      <c r="I93" s="18" t="n"/>
      <c r="J93" s="17">
        <f>IF(OR(ISNUMBER(F93),ISNUMBER(G93)),IF(ISNUMBER(I93),I93,H93)-IF(ISNUMBER(F93),F93,G93),"")</f>
        <v/>
      </c>
      <c r="K93" s="12" t="n">
        <v>8000</v>
      </c>
      <c r="L93" s="12" t="n">
        <v>8000</v>
      </c>
      <c r="M93" s="13">
        <f>IF(AND(ISNUMBER(K93),ISNUMBER(L93),K93&gt;0),1-L93/K93,"")</f>
        <v/>
      </c>
      <c r="N93" s="16" t="n">
        <v>0</v>
      </c>
      <c r="O93" s="12" t="n"/>
      <c r="P93" s="12" t="n"/>
      <c r="Q93" s="12" t="n"/>
      <c r="R93" s="14">
        <f>IF(AND(ISNUMBER(L93),ISNUMBER(P93),ISNUMBER(Q93)),L93/((P93+Q93)/2)-1,"")</f>
        <v/>
      </c>
      <c r="S93" s="10" t="n"/>
      <c r="T93" s="15" t="n">
        <v>200000</v>
      </c>
      <c r="U93" s="16" t="n">
        <v>1999</v>
      </c>
      <c r="V93" s="10" t="n"/>
      <c r="W93" s="10" t="inlineStr">
        <is>
          <t>Essence</t>
        </is>
      </c>
      <c r="X93" s="10" t="inlineStr">
        <is>
          <t>Manuelle</t>
        </is>
      </c>
      <c r="Y93" s="16" t="n">
        <v>75</v>
      </c>
      <c r="Z93" s="16" t="n">
        <v>5</v>
      </c>
      <c r="AA93" s="10" t="inlineStr">
        <is>
          <t>Jaune</t>
        </is>
      </c>
      <c r="AB93" s="16" t="n">
        <v>3</v>
      </c>
      <c r="AC93" s="10" t="inlineStr">
        <is>
          <t>Berline</t>
        </is>
      </c>
      <c r="AD93" s="10" t="n"/>
      <c r="AE93" s="10" t="n"/>
      <c r="AF93" s="10" t="inlineStr">
        <is>
          <t>Particulier</t>
        </is>
      </c>
      <c r="AG93" s="10" t="inlineStr">
        <is>
          <t>Cholet</t>
        </is>
      </c>
      <c r="AH93" s="10" t="inlineStr">
        <is>
          <t>49300</t>
        </is>
      </c>
      <c r="AI93" s="10" t="inlineStr">
        <is>
          <t>Maine-et-Loire</t>
        </is>
      </c>
      <c r="AJ93" s="10" t="inlineStr">
        <is>
          <t>Pays de la Loire</t>
        </is>
      </c>
      <c r="AK93" s="16" t="n"/>
      <c r="AL93" s="10" t="n"/>
      <c r="AM93" s="10" t="n"/>
      <c r="AN93" s="10" t="n"/>
      <c r="AO93" s="10" t="n"/>
      <c r="AP93" s="19" t="inlineStr">
        <is>
          <t>Voir</t>
        </is>
      </c>
      <c r="AQ93" s="10" t="inlineStr">
        <is>
          <t>3250813636</t>
        </is>
      </c>
    </row>
    <row r="94">
      <c r="A94" s="10" t="inlineStr">
        <is>
          <t>Citroën Saxo VTS 16V</t>
        </is>
      </c>
      <c r="B94" s="10" t="inlineStr">
        <is>
          <t>Saxo VTS 1.4 75cv</t>
        </is>
      </c>
      <c r="C94" s="10" t="n"/>
      <c r="D94" s="10" t="n"/>
      <c r="E94" s="10" t="inlineStr">
        <is>
          <t>En vente</t>
        </is>
      </c>
      <c r="F94" s="18" t="n">
        <v>46252</v>
      </c>
      <c r="G94" s="18" t="n">
        <v>46252</v>
      </c>
      <c r="H94" s="18" t="n">
        <v>46296</v>
      </c>
      <c r="I94" s="18" t="n"/>
      <c r="J94" s="17">
        <f>IF(OR(ISNUMBER(F94),ISNUMBER(G94)),IF(ISNUMBER(I94),I94,H94)-IF(ISNUMBER(F94),F94,G94),"")</f>
        <v/>
      </c>
      <c r="K94" s="12" t="n">
        <v>3000</v>
      </c>
      <c r="L94" s="12" t="n">
        <v>3000</v>
      </c>
      <c r="M94" s="13">
        <f>IF(AND(ISNUMBER(K94),ISNUMBER(L94),K94&gt;0),1-L94/K94,"")</f>
        <v/>
      </c>
      <c r="N94" s="16" t="n">
        <v>0</v>
      </c>
      <c r="O94" s="12" t="n"/>
      <c r="P94" s="12" t="n"/>
      <c r="Q94" s="12" t="n"/>
      <c r="R94" s="14">
        <f>IF(AND(ISNUMBER(L94),ISNUMBER(P94),ISNUMBER(Q94)),L94/((P94+Q94)/2)-1,"")</f>
        <v/>
      </c>
      <c r="S94" s="10" t="n"/>
      <c r="T94" s="15" t="n">
        <v>263848</v>
      </c>
      <c r="U94" s="16" t="n">
        <v>1998</v>
      </c>
      <c r="V94" s="10" t="n"/>
      <c r="W94" s="10" t="inlineStr">
        <is>
          <t>Essence</t>
        </is>
      </c>
      <c r="X94" s="10" t="inlineStr">
        <is>
          <t>Manuelle</t>
        </is>
      </c>
      <c r="Y94" s="16" t="n">
        <v>75</v>
      </c>
      <c r="Z94" s="16" t="n">
        <v>5</v>
      </c>
      <c r="AA94" s="10" t="inlineStr">
        <is>
          <t>Rouge</t>
        </is>
      </c>
      <c r="AB94" s="16" t="n">
        <v>3</v>
      </c>
      <c r="AC94" s="10" t="inlineStr">
        <is>
          <t>Berline</t>
        </is>
      </c>
      <c r="AD94" s="10" t="n"/>
      <c r="AE94" s="10" t="n"/>
      <c r="AF94" s="10" t="inlineStr">
        <is>
          <t>Particulier</t>
        </is>
      </c>
      <c r="AG94" s="10" t="inlineStr">
        <is>
          <t>Condé-sur-l'Escaut</t>
        </is>
      </c>
      <c r="AH94" s="10" t="inlineStr">
        <is>
          <t>59163</t>
        </is>
      </c>
      <c r="AI94" s="10" t="inlineStr">
        <is>
          <t>Nord</t>
        </is>
      </c>
      <c r="AJ94" s="10" t="inlineStr">
        <is>
          <t>Nord-Pas-de-Calais</t>
        </is>
      </c>
      <c r="AK94" s="16" t="n"/>
      <c r="AL94" s="10" t="n"/>
      <c r="AM94" s="10" t="n"/>
      <c r="AN94" s="10" t="n"/>
      <c r="AO94" s="10" t="n"/>
      <c r="AP94" s="19" t="inlineStr">
        <is>
          <t>Voir</t>
        </is>
      </c>
      <c r="AQ94" s="10" t="inlineStr">
        <is>
          <t>3252260409</t>
        </is>
      </c>
    </row>
    <row r="95">
      <c r="A95" s="10" t="inlineStr">
        <is>
          <t>Citroën Saxo VTS 16V</t>
        </is>
      </c>
      <c r="B95" s="10" t="inlineStr">
        <is>
          <t>Citröen Saxo VTS 16v</t>
        </is>
      </c>
      <c r="C95" s="10" t="n"/>
      <c r="D95" s="10" t="n"/>
      <c r="E95" s="10" t="inlineStr">
        <is>
          <t>En vente</t>
        </is>
      </c>
      <c r="F95" s="18" t="n">
        <v>46254</v>
      </c>
      <c r="G95" s="18" t="n">
        <v>46254</v>
      </c>
      <c r="H95" s="18" t="n">
        <v>46296</v>
      </c>
      <c r="I95" s="18" t="n"/>
      <c r="J95" s="17">
        <f>IF(OR(ISNUMBER(F95),ISNUMBER(G95)),IF(ISNUMBER(I95),I95,H95)-IF(ISNUMBER(F95),F95,G95),"")</f>
        <v/>
      </c>
      <c r="K95" s="12" t="n">
        <v>12900</v>
      </c>
      <c r="L95" s="12" t="n">
        <v>12900</v>
      </c>
      <c r="M95" s="13">
        <f>IF(AND(ISNUMBER(K95),ISNUMBER(L95),K95&gt;0),1-L95/K95,"")</f>
        <v/>
      </c>
      <c r="N95" s="16" t="n">
        <v>0</v>
      </c>
      <c r="O95" s="12" t="n"/>
      <c r="P95" s="12" t="n"/>
      <c r="Q95" s="12" t="n"/>
      <c r="R95" s="14">
        <f>IF(AND(ISNUMBER(L95),ISNUMBER(P95),ISNUMBER(Q95)),L95/((P95+Q95)/2)-1,"")</f>
        <v/>
      </c>
      <c r="S95" s="10" t="n"/>
      <c r="T95" s="15" t="n">
        <v>166000</v>
      </c>
      <c r="U95" s="16" t="n">
        <v>1999</v>
      </c>
      <c r="V95" s="10" t="n"/>
      <c r="W95" s="10" t="inlineStr">
        <is>
          <t>Essence</t>
        </is>
      </c>
      <c r="X95" s="10" t="inlineStr">
        <is>
          <t>Manuelle</t>
        </is>
      </c>
      <c r="Y95" s="16" t="n">
        <v>118</v>
      </c>
      <c r="Z95" s="16" t="n">
        <v>8</v>
      </c>
      <c r="AA95" s="10" t="inlineStr">
        <is>
          <t>Autre</t>
        </is>
      </c>
      <c r="AB95" s="16" t="n">
        <v>3</v>
      </c>
      <c r="AC95" s="10" t="inlineStr">
        <is>
          <t>Berline</t>
        </is>
      </c>
      <c r="AD95" s="10" t="n"/>
      <c r="AE95" s="10" t="n"/>
      <c r="AF95" s="10" t="inlineStr">
        <is>
          <t>Particulier</t>
        </is>
      </c>
      <c r="AG95" s="10" t="inlineStr">
        <is>
          <t>Sallanches</t>
        </is>
      </c>
      <c r="AH95" s="10" t="inlineStr">
        <is>
          <t>74700</t>
        </is>
      </c>
      <c r="AI95" s="10" t="inlineStr">
        <is>
          <t>Haute-Savoie</t>
        </is>
      </c>
      <c r="AJ95" s="10" t="inlineStr">
        <is>
          <t>Rhône-Alpes</t>
        </is>
      </c>
      <c r="AK95" s="16" t="n"/>
      <c r="AL95" s="10" t="n"/>
      <c r="AM95" s="10" t="n"/>
      <c r="AN95" s="10" t="n"/>
      <c r="AO95" s="10" t="n"/>
      <c r="AP95" s="19" t="inlineStr">
        <is>
          <t>Voir</t>
        </is>
      </c>
      <c r="AQ95" s="10" t="inlineStr">
        <is>
          <t>3253410252</t>
        </is>
      </c>
    </row>
    <row r="96">
      <c r="A96" s="10" t="inlineStr">
        <is>
          <t>Citroën Saxo VTS 16V</t>
        </is>
      </c>
      <c r="B96" s="10" t="inlineStr">
        <is>
          <t>Saxo vts</t>
        </is>
      </c>
      <c r="C96" s="10" t="n"/>
      <c r="D96" s="10" t="n"/>
      <c r="E96" s="10" t="inlineStr">
        <is>
          <t>En vente</t>
        </is>
      </c>
      <c r="F96" s="18" t="n">
        <v>46255</v>
      </c>
      <c r="G96" s="18" t="n">
        <v>46255</v>
      </c>
      <c r="H96" s="18" t="n">
        <v>46296</v>
      </c>
      <c r="I96" s="18" t="n"/>
      <c r="J96" s="17">
        <f>IF(OR(ISNUMBER(F96),ISNUMBER(G96)),IF(ISNUMBER(I96),I96,H96)-IF(ISNUMBER(F96),F96,G96),"")</f>
        <v/>
      </c>
      <c r="K96" s="12" t="n">
        <v>3000</v>
      </c>
      <c r="L96" s="12" t="n">
        <v>3000</v>
      </c>
      <c r="M96" s="13">
        <f>IF(AND(ISNUMBER(K96),ISNUMBER(L96),K96&gt;0),1-L96/K96,"")</f>
        <v/>
      </c>
      <c r="N96" s="16" t="n">
        <v>0</v>
      </c>
      <c r="O96" s="12" t="n"/>
      <c r="P96" s="12" t="n"/>
      <c r="Q96" s="12" t="n"/>
      <c r="R96" s="14">
        <f>IF(AND(ISNUMBER(L96),ISNUMBER(P96),ISNUMBER(Q96)),L96/((P96+Q96)/2)-1,"")</f>
        <v/>
      </c>
      <c r="S96" s="10" t="n"/>
      <c r="T96" s="15" t="n">
        <v>170000</v>
      </c>
      <c r="U96" s="16" t="n">
        <v>1999</v>
      </c>
      <c r="V96" s="10" t="n"/>
      <c r="W96" s="10" t="inlineStr">
        <is>
          <t>Essence</t>
        </is>
      </c>
      <c r="X96" s="10" t="inlineStr">
        <is>
          <t>Manuelle</t>
        </is>
      </c>
      <c r="Y96" s="16" t="n">
        <v>75</v>
      </c>
      <c r="Z96" s="16" t="n">
        <v>5</v>
      </c>
      <c r="AA96" s="10" t="inlineStr">
        <is>
          <t>Blanc</t>
        </is>
      </c>
      <c r="AB96" s="16" t="n">
        <v>3</v>
      </c>
      <c r="AC96" s="10" t="inlineStr">
        <is>
          <t>Berline</t>
        </is>
      </c>
      <c r="AD96" s="10" t="n"/>
      <c r="AE96" s="10" t="n"/>
      <c r="AF96" s="10" t="inlineStr">
        <is>
          <t>Particulier</t>
        </is>
      </c>
      <c r="AG96" s="10" t="inlineStr">
        <is>
          <t>Delme</t>
        </is>
      </c>
      <c r="AH96" s="10" t="inlineStr">
        <is>
          <t>57590</t>
        </is>
      </c>
      <c r="AI96" s="10" t="inlineStr">
        <is>
          <t>Moselle</t>
        </is>
      </c>
      <c r="AJ96" s="10" t="inlineStr">
        <is>
          <t>Lorraine</t>
        </is>
      </c>
      <c r="AK96" s="16" t="n"/>
      <c r="AL96" s="10" t="n"/>
      <c r="AM96" s="10" t="n"/>
      <c r="AN96" s="10" t="n"/>
      <c r="AO96" s="10" t="n"/>
      <c r="AP96" s="19" t="inlineStr">
        <is>
          <t>Voir</t>
        </is>
      </c>
      <c r="AQ96" s="10" t="inlineStr">
        <is>
          <t>3253798936</t>
        </is>
      </c>
    </row>
    <row r="97">
      <c r="A97" s="10" t="inlineStr">
        <is>
          <t>Citroën Saxo VTS 16V</t>
        </is>
      </c>
      <c r="B97" s="10" t="inlineStr">
        <is>
          <t>Citroën Saxo Vts 1.6 8s</t>
        </is>
      </c>
      <c r="C97" s="10" t="n"/>
      <c r="D97" s="10" t="n"/>
      <c r="E97" s="10" t="inlineStr">
        <is>
          <t>En vente</t>
        </is>
      </c>
      <c r="F97" s="18" t="n">
        <v>46264</v>
      </c>
      <c r="G97" s="18" t="n">
        <v>46264</v>
      </c>
      <c r="H97" s="18" t="n">
        <v>46296</v>
      </c>
      <c r="I97" s="18" t="n"/>
      <c r="J97" s="17">
        <f>IF(OR(ISNUMBER(F97),ISNUMBER(G97)),IF(ISNUMBER(I97),I97,H97)-IF(ISNUMBER(F97),F97,G97),"")</f>
        <v/>
      </c>
      <c r="K97" s="12" t="n">
        <v>5990</v>
      </c>
      <c r="L97" s="12" t="n">
        <v>5990</v>
      </c>
      <c r="M97" s="13">
        <f>IF(AND(ISNUMBER(K97),ISNUMBER(L97),K97&gt;0),1-L97/K97,"")</f>
        <v/>
      </c>
      <c r="N97" s="16" t="n">
        <v>0</v>
      </c>
      <c r="O97" s="12" t="n"/>
      <c r="P97" s="12" t="n"/>
      <c r="Q97" s="12" t="n"/>
      <c r="R97" s="14">
        <f>IF(AND(ISNUMBER(L97),ISNUMBER(P97),ISNUMBER(Q97)),L97/((P97+Q97)/2)-1,"")</f>
        <v/>
      </c>
      <c r="S97" s="10" t="n"/>
      <c r="T97" s="15" t="n">
        <v>183500</v>
      </c>
      <c r="U97" s="16" t="n">
        <v>1997</v>
      </c>
      <c r="V97" s="10" t="n"/>
      <c r="W97" s="10" t="inlineStr">
        <is>
          <t>Essence</t>
        </is>
      </c>
      <c r="X97" s="10" t="inlineStr">
        <is>
          <t>Manuelle</t>
        </is>
      </c>
      <c r="Y97" s="16" t="n">
        <v>88</v>
      </c>
      <c r="Z97" s="16" t="n">
        <v>7</v>
      </c>
      <c r="AA97" s="10" t="inlineStr">
        <is>
          <t>Bleu</t>
        </is>
      </c>
      <c r="AB97" s="16" t="n">
        <v>3</v>
      </c>
      <c r="AC97" s="10" t="inlineStr">
        <is>
          <t>Berline</t>
        </is>
      </c>
      <c r="AD97" s="10" t="n"/>
      <c r="AE97" s="10" t="n"/>
      <c r="AF97" s="10" t="inlineStr">
        <is>
          <t>Particulier</t>
        </is>
      </c>
      <c r="AG97" s="10" t="inlineStr">
        <is>
          <t>Toulouse</t>
        </is>
      </c>
      <c r="AH97" s="10" t="inlineStr">
        <is>
          <t>31000</t>
        </is>
      </c>
      <c r="AI97" s="10" t="inlineStr">
        <is>
          <t>Haute-Garonne</t>
        </is>
      </c>
      <c r="AJ97" s="10" t="inlineStr">
        <is>
          <t>Midi-Pyrénées</t>
        </is>
      </c>
      <c r="AK97" s="16" t="n"/>
      <c r="AL97" s="10" t="n"/>
      <c r="AM97" s="10" t="n"/>
      <c r="AN97" s="10" t="n"/>
      <c r="AO97" s="10" t="n"/>
      <c r="AP97" s="19" t="inlineStr">
        <is>
          <t>Voir</t>
        </is>
      </c>
      <c r="AQ97" s="10" t="inlineStr">
        <is>
          <t>3259437359</t>
        </is>
      </c>
    </row>
    <row r="98">
      <c r="A98" s="10" t="inlineStr">
        <is>
          <t>Citroën Saxo VTS 16V</t>
        </is>
      </c>
      <c r="B98" s="10" t="inlineStr">
        <is>
          <t>Saxo vts</t>
        </is>
      </c>
      <c r="C98" s="10" t="n"/>
      <c r="D98" s="10" t="n"/>
      <c r="E98" s="10" t="inlineStr">
        <is>
          <t>En vente</t>
        </is>
      </c>
      <c r="F98" s="18" t="n">
        <v>46287</v>
      </c>
      <c r="G98" s="18" t="n">
        <v>46287</v>
      </c>
      <c r="H98" s="18" t="n">
        <v>46296</v>
      </c>
      <c r="I98" s="18" t="n"/>
      <c r="J98" s="17">
        <f>IF(OR(ISNUMBER(F98),ISNUMBER(G98)),IF(ISNUMBER(I98),I98,H98)-IF(ISNUMBER(F98),F98,G98),"")</f>
        <v/>
      </c>
      <c r="K98" s="12" t="n">
        <v>8000</v>
      </c>
      <c r="L98" s="12" t="n">
        <v>8000</v>
      </c>
      <c r="M98" s="13">
        <f>IF(AND(ISNUMBER(K98),ISNUMBER(L98),K98&gt;0),1-L98/K98,"")</f>
        <v/>
      </c>
      <c r="N98" s="16" t="n">
        <v>0</v>
      </c>
      <c r="O98" s="12" t="n"/>
      <c r="P98" s="12" t="n"/>
      <c r="Q98" s="12" t="n"/>
      <c r="R98" s="14">
        <f>IF(AND(ISNUMBER(L98),ISNUMBER(P98),ISNUMBER(Q98)),L98/((P98+Q98)/2)-1,"")</f>
        <v/>
      </c>
      <c r="S98" s="10" t="n"/>
      <c r="T98" s="15" t="n">
        <v>188000</v>
      </c>
      <c r="U98" s="16" t="n">
        <v>1997</v>
      </c>
      <c r="V98" s="10" t="n"/>
      <c r="W98" s="10" t="inlineStr">
        <is>
          <t>Essence</t>
        </is>
      </c>
      <c r="X98" s="10" t="inlineStr">
        <is>
          <t>Manuelle</t>
        </is>
      </c>
      <c r="Y98" s="16" t="n">
        <v>120</v>
      </c>
      <c r="Z98" s="16" t="n">
        <v>8</v>
      </c>
      <c r="AA98" s="10" t="inlineStr">
        <is>
          <t>Noir</t>
        </is>
      </c>
      <c r="AB98" s="16" t="n">
        <v>3</v>
      </c>
      <c r="AC98" s="10" t="inlineStr">
        <is>
          <t>Berline</t>
        </is>
      </c>
      <c r="AD98" s="10" t="n"/>
      <c r="AE98" s="10" t="n"/>
      <c r="AF98" s="10" t="inlineStr">
        <is>
          <t>Particulier</t>
        </is>
      </c>
      <c r="AG98" s="10" t="inlineStr">
        <is>
          <t>Pouilly-sur-Serre</t>
        </is>
      </c>
      <c r="AH98" s="10" t="inlineStr">
        <is>
          <t>02270</t>
        </is>
      </c>
      <c r="AI98" s="10" t="inlineStr">
        <is>
          <t>Aisne</t>
        </is>
      </c>
      <c r="AJ98" s="10" t="inlineStr">
        <is>
          <t>Picardie</t>
        </is>
      </c>
      <c r="AK98" s="16" t="n"/>
      <c r="AL98" s="10" t="n"/>
      <c r="AM98" s="10" t="n"/>
      <c r="AN98" s="10" t="n"/>
      <c r="AO98" s="10" t="n"/>
      <c r="AP98" s="19" t="inlineStr">
        <is>
          <t>Voir</t>
        </is>
      </c>
      <c r="AQ98" s="10" t="inlineStr">
        <is>
          <t>3274786995</t>
        </is>
      </c>
    </row>
    <row r="99">
      <c r="A99" s="10" t="inlineStr">
        <is>
          <t>Citroën Saxo VTS 16V</t>
        </is>
      </c>
      <c r="B99" s="10" t="inlineStr">
        <is>
          <t>Saxo vts</t>
        </is>
      </c>
      <c r="C99" s="10" t="n"/>
      <c r="D99" s="10" t="n"/>
      <c r="E99" s="10" t="inlineStr">
        <is>
          <t>En vente</t>
        </is>
      </c>
      <c r="F99" s="18" t="n">
        <v>46289</v>
      </c>
      <c r="G99" s="18" t="n">
        <v>46289</v>
      </c>
      <c r="H99" s="18" t="n">
        <v>46296</v>
      </c>
      <c r="I99" s="18" t="n"/>
      <c r="J99" s="17">
        <f>IF(OR(ISNUMBER(F99),ISNUMBER(G99)),IF(ISNUMBER(I99),I99,H99)-IF(ISNUMBER(F99),F99,G99),"")</f>
        <v/>
      </c>
      <c r="K99" s="12" t="n">
        <v>5250</v>
      </c>
      <c r="L99" s="12" t="n">
        <v>5250</v>
      </c>
      <c r="M99" s="13">
        <f>IF(AND(ISNUMBER(K99),ISNUMBER(L99),K99&gt;0),1-L99/K99,"")</f>
        <v/>
      </c>
      <c r="N99" s="16" t="n">
        <v>0</v>
      </c>
      <c r="O99" s="12" t="n"/>
      <c r="P99" s="12" t="n"/>
      <c r="Q99" s="12" t="n"/>
      <c r="R99" s="14">
        <f>IF(AND(ISNUMBER(L99),ISNUMBER(P99),ISNUMBER(Q99)),L99/((P99+Q99)/2)-1,"")</f>
        <v/>
      </c>
      <c r="S99" s="10" t="n"/>
      <c r="T99" s="15" t="n">
        <v>224000</v>
      </c>
      <c r="U99" s="16" t="n">
        <v>2001</v>
      </c>
      <c r="V99" s="10" t="n"/>
      <c r="W99" s="10" t="inlineStr">
        <is>
          <t>Essence</t>
        </is>
      </c>
      <c r="X99" s="10" t="inlineStr">
        <is>
          <t>Manuelle</t>
        </is>
      </c>
      <c r="Y99" s="16" t="n">
        <v>100</v>
      </c>
      <c r="Z99" s="16" t="n">
        <v>6</v>
      </c>
      <c r="AA99" s="10" t="inlineStr">
        <is>
          <t>Autre</t>
        </is>
      </c>
      <c r="AB99" s="16" t="n">
        <v>3</v>
      </c>
      <c r="AC99" s="10" t="inlineStr">
        <is>
          <t>Berline</t>
        </is>
      </c>
      <c r="AD99" s="10" t="n"/>
      <c r="AE99" s="10" t="n"/>
      <c r="AF99" s="10" t="inlineStr">
        <is>
          <t>Particulier</t>
        </is>
      </c>
      <c r="AG99" s="10" t="inlineStr">
        <is>
          <t>Renage</t>
        </is>
      </c>
      <c r="AH99" s="10" t="inlineStr">
        <is>
          <t>38140</t>
        </is>
      </c>
      <c r="AI99" s="10" t="inlineStr">
        <is>
          <t>Isère</t>
        </is>
      </c>
      <c r="AJ99" s="10" t="inlineStr">
        <is>
          <t>Rhône-Alpes</t>
        </is>
      </c>
      <c r="AK99" s="16" t="n"/>
      <c r="AL99" s="10" t="n"/>
      <c r="AM99" s="10" t="n"/>
      <c r="AN99" s="10" t="n"/>
      <c r="AO99" s="10" t="n"/>
      <c r="AP99" s="19" t="inlineStr">
        <is>
          <t>Voir</t>
        </is>
      </c>
      <c r="AQ99" s="10" t="inlineStr">
        <is>
          <t>3275584509</t>
        </is>
      </c>
    </row>
    <row r="100">
      <c r="A100" s="10" t="inlineStr">
        <is>
          <t>Citroën Saxo VTS 16V</t>
        </is>
      </c>
      <c r="B100" s="10" t="inlineStr">
        <is>
          <t>Saxo vts</t>
        </is>
      </c>
      <c r="C100" s="10" t="n"/>
      <c r="D100" s="10" t="n"/>
      <c r="E100" s="10" t="inlineStr">
        <is>
          <t>En vente</t>
        </is>
      </c>
      <c r="F100" s="18" t="n">
        <v>46292</v>
      </c>
      <c r="G100" s="18" t="n">
        <v>46292</v>
      </c>
      <c r="H100" s="18" t="n">
        <v>46296</v>
      </c>
      <c r="I100" s="18" t="n"/>
      <c r="J100" s="17">
        <f>IF(OR(ISNUMBER(F100),ISNUMBER(G100)),IF(ISNUMBER(I100),I100,H100)-IF(ISNUMBER(F100),F100,G100),"")</f>
        <v/>
      </c>
      <c r="K100" s="12" t="n">
        <v>4000</v>
      </c>
      <c r="L100" s="12" t="n">
        <v>4000</v>
      </c>
      <c r="M100" s="13">
        <f>IF(AND(ISNUMBER(K100),ISNUMBER(L100),K100&gt;0),1-L100/K100,"")</f>
        <v/>
      </c>
      <c r="N100" s="16" t="n">
        <v>0</v>
      </c>
      <c r="O100" s="12" t="n"/>
      <c r="P100" s="12" t="n"/>
      <c r="Q100" s="12" t="n"/>
      <c r="R100" s="14">
        <f>IF(AND(ISNUMBER(L100),ISNUMBER(P100),ISNUMBER(Q100)),L100/((P100+Q100)/2)-1,"")</f>
        <v/>
      </c>
      <c r="S100" s="10" t="n"/>
      <c r="T100" s="15" t="n">
        <v>266000</v>
      </c>
      <c r="U100" s="16" t="n">
        <v>2001</v>
      </c>
      <c r="V100" s="10" t="n"/>
      <c r="W100" s="10" t="inlineStr">
        <is>
          <t>Essence</t>
        </is>
      </c>
      <c r="X100" s="10" t="inlineStr">
        <is>
          <t>Manuelle</t>
        </is>
      </c>
      <c r="Y100" s="16" t="n">
        <v>75</v>
      </c>
      <c r="Z100" s="16" t="n">
        <v>5</v>
      </c>
      <c r="AA100" s="10" t="inlineStr">
        <is>
          <t>Gris</t>
        </is>
      </c>
      <c r="AB100" s="16" t="n">
        <v>3</v>
      </c>
      <c r="AC100" s="10" t="inlineStr">
        <is>
          <t>Berline</t>
        </is>
      </c>
      <c r="AD100" s="10" t="n"/>
      <c r="AE100" s="10" t="n"/>
      <c r="AF100" s="10" t="inlineStr">
        <is>
          <t>Particulier</t>
        </is>
      </c>
      <c r="AG100" s="10" t="inlineStr">
        <is>
          <t>Le Cellier</t>
        </is>
      </c>
      <c r="AH100" s="10" t="inlineStr">
        <is>
          <t>44850</t>
        </is>
      </c>
      <c r="AI100" s="10" t="inlineStr">
        <is>
          <t>Loire-Atlantique</t>
        </is>
      </c>
      <c r="AJ100" s="10" t="inlineStr">
        <is>
          <t>Pays de la Loire</t>
        </is>
      </c>
      <c r="AK100" s="16" t="n"/>
      <c r="AL100" s="10" t="n"/>
      <c r="AM100" s="10" t="n"/>
      <c r="AN100" s="10" t="n"/>
      <c r="AO100" s="10" t="n"/>
      <c r="AP100" s="19" t="inlineStr">
        <is>
          <t>Voir</t>
        </is>
      </c>
      <c r="AQ100" s="10" t="inlineStr">
        <is>
          <t>3277544949</t>
        </is>
      </c>
    </row>
    <row r="101">
      <c r="A101" s="10" t="inlineStr">
        <is>
          <t>Citroën Saxo VTS 16V</t>
        </is>
      </c>
      <c r="B101" s="10" t="inlineStr">
        <is>
          <t>CITROEN SAXO VTS Phase 2 - 1.6 8s 100ch - Noir Onyx - 19.200 kms</t>
        </is>
      </c>
      <c r="C101" s="10" t="n"/>
      <c r="D101" s="10" t="n"/>
      <c r="E101" s="10" t="inlineStr">
        <is>
          <t>En vente</t>
        </is>
      </c>
      <c r="F101" s="18" t="n">
        <v>46288</v>
      </c>
      <c r="G101" s="18" t="n">
        <v>46288</v>
      </c>
      <c r="H101" s="18" t="n">
        <v>46296</v>
      </c>
      <c r="I101" s="18" t="n"/>
      <c r="J101" s="17">
        <f>IF(OR(ISNUMBER(F101),ISNUMBER(G101)),IF(ISNUMBER(I101),I101,H101)-IF(ISNUMBER(F101),F101,G101),"")</f>
        <v/>
      </c>
      <c r="K101" s="12" t="n">
        <v>12980</v>
      </c>
      <c r="L101" s="12" t="n">
        <v>12980</v>
      </c>
      <c r="M101" s="13">
        <f>IF(AND(ISNUMBER(K101),ISNUMBER(L101),K101&gt;0),1-L101/K101,"")</f>
        <v/>
      </c>
      <c r="N101" s="16" t="n">
        <v>0</v>
      </c>
      <c r="O101" s="12" t="n"/>
      <c r="P101" s="12" t="n"/>
      <c r="Q101" s="12" t="n"/>
      <c r="R101" s="14">
        <f>IF(AND(ISNUMBER(L101),ISNUMBER(P101),ISNUMBER(Q101)),L101/((P101+Q101)/2)-1,"")</f>
        <v/>
      </c>
      <c r="S101" s="10" t="n"/>
      <c r="T101" s="15" t="n">
        <v>19200</v>
      </c>
      <c r="U101" s="16" t="n">
        <v>2001</v>
      </c>
      <c r="V101" s="10" t="n"/>
      <c r="W101" s="10" t="inlineStr">
        <is>
          <t>Essence</t>
        </is>
      </c>
      <c r="X101" s="10" t="inlineStr">
        <is>
          <t>Manuelle</t>
        </is>
      </c>
      <c r="Y101" s="16" t="n">
        <v>100</v>
      </c>
      <c r="Z101" s="16" t="n">
        <v>6</v>
      </c>
      <c r="AA101" s="10" t="inlineStr">
        <is>
          <t>Noir</t>
        </is>
      </c>
      <c r="AB101" s="16" t="n">
        <v>3</v>
      </c>
      <c r="AC101" s="10" t="inlineStr">
        <is>
          <t>Berline</t>
        </is>
      </c>
      <c r="AD101" s="10" t="n"/>
      <c r="AE101" s="10" t="n"/>
      <c r="AF101" s="10" t="inlineStr">
        <is>
          <t>Pro</t>
        </is>
      </c>
      <c r="AG101" s="10" t="inlineStr">
        <is>
          <t>Grandvilliers</t>
        </is>
      </c>
      <c r="AH101" s="10" t="inlineStr">
        <is>
          <t>60210</t>
        </is>
      </c>
      <c r="AI101" s="10" t="inlineStr">
        <is>
          <t>Oise</t>
        </is>
      </c>
      <c r="AJ101" s="10" t="inlineStr">
        <is>
          <t>Picardie</t>
        </is>
      </c>
      <c r="AK101" s="16" t="n"/>
      <c r="AL101" s="10" t="n"/>
      <c r="AM101" s="10" t="n"/>
      <c r="AN101" s="10" t="n"/>
      <c r="AO101" s="10" t="n"/>
      <c r="AP101" s="19" t="inlineStr">
        <is>
          <t>Voir</t>
        </is>
      </c>
      <c r="AQ101" s="10" t="inlineStr">
        <is>
          <t>3278294886</t>
        </is>
      </c>
    </row>
    <row r="102">
      <c r="A102" s="10" t="inlineStr">
        <is>
          <t>Citroën Saxo VTS 16V</t>
        </is>
      </c>
      <c r="B102" s="10" t="inlineStr">
        <is>
          <t>Vend saxo vts 1l4 essence</t>
        </is>
      </c>
      <c r="C102" s="10" t="n"/>
      <c r="D102" s="10" t="n"/>
      <c r="E102" s="10" t="inlineStr">
        <is>
          <t>En vente</t>
        </is>
      </c>
      <c r="F102" s="18" t="n">
        <v>46293</v>
      </c>
      <c r="G102" s="18" t="n">
        <v>46293</v>
      </c>
      <c r="H102" s="18" t="n">
        <v>46296</v>
      </c>
      <c r="I102" s="18" t="n"/>
      <c r="J102" s="17">
        <f>IF(OR(ISNUMBER(F102),ISNUMBER(G102)),IF(ISNUMBER(I102),I102,H102)-IF(ISNUMBER(F102),F102,G102),"")</f>
        <v/>
      </c>
      <c r="K102" s="12" t="n">
        <v>2000</v>
      </c>
      <c r="L102" s="12" t="n">
        <v>2000</v>
      </c>
      <c r="M102" s="13">
        <f>IF(AND(ISNUMBER(K102),ISNUMBER(L102),K102&gt;0),1-L102/K102,"")</f>
        <v/>
      </c>
      <c r="N102" s="16" t="n">
        <v>0</v>
      </c>
      <c r="O102" s="12" t="n"/>
      <c r="P102" s="12" t="n"/>
      <c r="Q102" s="12" t="n"/>
      <c r="R102" s="14">
        <f>IF(AND(ISNUMBER(L102),ISNUMBER(P102),ISNUMBER(Q102)),L102/((P102+Q102)/2)-1,"")</f>
        <v/>
      </c>
      <c r="S102" s="10" t="n"/>
      <c r="T102" s="15" t="n">
        <v>254000</v>
      </c>
      <c r="U102" s="16" t="n">
        <v>2002</v>
      </c>
      <c r="V102" s="10" t="n"/>
      <c r="W102" s="10" t="inlineStr">
        <is>
          <t>Essence</t>
        </is>
      </c>
      <c r="X102" s="10" t="inlineStr">
        <is>
          <t>Manuelle</t>
        </is>
      </c>
      <c r="Y102" s="16" t="n">
        <v>75</v>
      </c>
      <c r="Z102" s="16" t="n">
        <v>5</v>
      </c>
      <c r="AA102" s="10" t="inlineStr">
        <is>
          <t>Noir</t>
        </is>
      </c>
      <c r="AB102" s="16" t="n">
        <v>3</v>
      </c>
      <c r="AC102" s="10" t="inlineStr">
        <is>
          <t>Berline</t>
        </is>
      </c>
      <c r="AD102" s="10" t="n"/>
      <c r="AE102" s="10" t="n"/>
      <c r="AF102" s="10" t="inlineStr">
        <is>
          <t>Particulier</t>
        </is>
      </c>
      <c r="AG102" s="10" t="inlineStr">
        <is>
          <t>La Plaine-des-Palmistes</t>
        </is>
      </c>
      <c r="AH102" s="10" t="inlineStr">
        <is>
          <t>97431</t>
        </is>
      </c>
      <c r="AI102" s="10" t="n"/>
      <c r="AJ102" s="10" t="inlineStr">
        <is>
          <t>Réunion</t>
        </is>
      </c>
      <c r="AK102" s="16" t="n"/>
      <c r="AL102" s="10" t="n"/>
      <c r="AM102" s="10" t="n"/>
      <c r="AN102" s="10" t="n"/>
      <c r="AO102" s="10" t="n"/>
      <c r="AP102" s="19" t="inlineStr">
        <is>
          <t>Voir</t>
        </is>
      </c>
      <c r="AQ102" s="10" t="inlineStr">
        <is>
          <t>3278304303</t>
        </is>
      </c>
    </row>
    <row r="103">
      <c r="A103" s="10" t="inlineStr">
        <is>
          <t>Citroën Saxo VTS 16V</t>
        </is>
      </c>
      <c r="B103" s="10" t="inlineStr">
        <is>
          <t>Saxo vts 16s</t>
        </is>
      </c>
      <c r="C103" s="10" t="n"/>
      <c r="D103" s="10" t="n"/>
      <c r="E103" s="10" t="inlineStr">
        <is>
          <t>En vente</t>
        </is>
      </c>
      <c r="F103" s="18" t="n">
        <v>46293</v>
      </c>
      <c r="G103" s="18" t="n">
        <v>46293</v>
      </c>
      <c r="H103" s="18" t="n">
        <v>46296</v>
      </c>
      <c r="I103" s="18" t="n"/>
      <c r="J103" s="17">
        <f>IF(OR(ISNUMBER(F103),ISNUMBER(G103)),IF(ISNUMBER(I103),I103,H103)-IF(ISNUMBER(F103),F103,G103),"")</f>
        <v/>
      </c>
      <c r="K103" s="12" t="n">
        <v>12500</v>
      </c>
      <c r="L103" s="12" t="n">
        <v>12500</v>
      </c>
      <c r="M103" s="13">
        <f>IF(AND(ISNUMBER(K103),ISNUMBER(L103),K103&gt;0),1-L103/K103,"")</f>
        <v/>
      </c>
      <c r="N103" s="16" t="n">
        <v>0</v>
      </c>
      <c r="O103" s="12" t="n"/>
      <c r="P103" s="12" t="n"/>
      <c r="Q103" s="12" t="n"/>
      <c r="R103" s="14">
        <f>IF(AND(ISNUMBER(L103),ISNUMBER(P103),ISNUMBER(Q103)),L103/((P103+Q103)/2)-1,"")</f>
        <v/>
      </c>
      <c r="S103" s="10" t="n"/>
      <c r="T103" s="15" t="n">
        <v>126890</v>
      </c>
      <c r="U103" s="16" t="n">
        <v>1999</v>
      </c>
      <c r="V103" s="10" t="n"/>
      <c r="W103" s="10" t="inlineStr">
        <is>
          <t>Essence</t>
        </is>
      </c>
      <c r="X103" s="10" t="inlineStr">
        <is>
          <t>Manuelle</t>
        </is>
      </c>
      <c r="Y103" s="16" t="n">
        <v>118</v>
      </c>
      <c r="Z103" s="16" t="n">
        <v>8</v>
      </c>
      <c r="AA103" s="10" t="inlineStr">
        <is>
          <t>Bleu</t>
        </is>
      </c>
      <c r="AB103" s="16" t="n">
        <v>3</v>
      </c>
      <c r="AC103" s="10" t="inlineStr">
        <is>
          <t>Berline</t>
        </is>
      </c>
      <c r="AD103" s="10" t="n"/>
      <c r="AE103" s="10" t="n"/>
      <c r="AF103" s="10" t="inlineStr">
        <is>
          <t>Particulier</t>
        </is>
      </c>
      <c r="AG103" s="10" t="inlineStr">
        <is>
          <t>Badonviller</t>
        </is>
      </c>
      <c r="AH103" s="10" t="inlineStr">
        <is>
          <t>54540</t>
        </is>
      </c>
      <c r="AI103" s="10" t="inlineStr">
        <is>
          <t>Meurthe-et-Moselle</t>
        </is>
      </c>
      <c r="AJ103" s="10" t="inlineStr">
        <is>
          <t>Lorraine</t>
        </is>
      </c>
      <c r="AK103" s="16" t="n"/>
      <c r="AL103" s="10" t="n"/>
      <c r="AM103" s="10" t="n"/>
      <c r="AN103" s="10" t="n"/>
      <c r="AO103" s="10" t="n"/>
      <c r="AP103" s="19" t="inlineStr">
        <is>
          <t>Voir</t>
        </is>
      </c>
      <c r="AQ103" s="10" t="inlineStr">
        <is>
          <t>3278388859</t>
        </is>
      </c>
    </row>
    <row r="104">
      <c r="A104" s="10" t="inlineStr">
        <is>
          <t>Citroën Saxo VTS 16V</t>
        </is>
      </c>
      <c r="B104" s="10" t="inlineStr">
        <is>
          <t>Saxo vts</t>
        </is>
      </c>
      <c r="C104" s="10" t="n"/>
      <c r="D104" s="10" t="n"/>
      <c r="E104" s="10" t="inlineStr">
        <is>
          <t>En vente</t>
        </is>
      </c>
      <c r="F104" s="18" t="n">
        <v>46295</v>
      </c>
      <c r="G104" s="18" t="n">
        <v>46295</v>
      </c>
      <c r="H104" s="18" t="n">
        <v>46296</v>
      </c>
      <c r="I104" s="18" t="n"/>
      <c r="J104" s="17">
        <f>IF(OR(ISNUMBER(F104),ISNUMBER(G104)),IF(ISNUMBER(I104),I104,H104)-IF(ISNUMBER(F104),F104,G104),"")</f>
        <v/>
      </c>
      <c r="K104" s="12" t="n">
        <v>8200</v>
      </c>
      <c r="L104" s="12" t="n">
        <v>8200</v>
      </c>
      <c r="M104" s="13">
        <f>IF(AND(ISNUMBER(K104),ISNUMBER(L104),K104&gt;0),1-L104/K104,"")</f>
        <v/>
      </c>
      <c r="N104" s="16" t="n">
        <v>0</v>
      </c>
      <c r="O104" s="12" t="n"/>
      <c r="P104" s="12" t="n"/>
      <c r="Q104" s="12" t="n"/>
      <c r="R104" s="14">
        <f>IF(AND(ISNUMBER(L104),ISNUMBER(P104),ISNUMBER(Q104)),L104/((P104+Q104)/2)-1,"")</f>
        <v/>
      </c>
      <c r="S104" s="10" t="n"/>
      <c r="T104" s="15" t="n">
        <v>179999</v>
      </c>
      <c r="U104" s="16" t="n">
        <v>2001</v>
      </c>
      <c r="V104" s="10" t="n"/>
      <c r="W104" s="10" t="inlineStr">
        <is>
          <t>Essence</t>
        </is>
      </c>
      <c r="X104" s="10" t="inlineStr">
        <is>
          <t>Manuelle</t>
        </is>
      </c>
      <c r="Y104" s="16" t="n">
        <v>120</v>
      </c>
      <c r="Z104" s="16" t="n">
        <v>8</v>
      </c>
      <c r="AA104" s="10" t="inlineStr">
        <is>
          <t>Autre</t>
        </is>
      </c>
      <c r="AB104" s="16" t="n">
        <v>3</v>
      </c>
      <c r="AC104" s="10" t="inlineStr">
        <is>
          <t>Berline</t>
        </is>
      </c>
      <c r="AD104" s="10" t="n"/>
      <c r="AE104" s="10" t="n"/>
      <c r="AF104" s="10" t="inlineStr">
        <is>
          <t>Particulier</t>
        </is>
      </c>
      <c r="AG104" s="10" t="inlineStr">
        <is>
          <t>Angers</t>
        </is>
      </c>
      <c r="AH104" s="10" t="inlineStr">
        <is>
          <t>49100</t>
        </is>
      </c>
      <c r="AI104" s="10" t="inlineStr">
        <is>
          <t>Maine-et-Loire</t>
        </is>
      </c>
      <c r="AJ104" s="10" t="inlineStr">
        <is>
          <t>Pays de la Loire</t>
        </is>
      </c>
      <c r="AK104" s="16" t="n"/>
      <c r="AL104" s="10" t="n"/>
      <c r="AM104" s="10" t="n"/>
      <c r="AN104" s="10" t="n"/>
      <c r="AO104" s="10" t="n"/>
      <c r="AP104" s="19" t="inlineStr">
        <is>
          <t>Voir</t>
        </is>
      </c>
      <c r="AQ104" s="10" t="inlineStr">
        <is>
          <t>3279836593</t>
        </is>
      </c>
    </row>
    <row r="105">
      <c r="A105" s="10" t="inlineStr">
        <is>
          <t>Citroën Saxo VTS 16V</t>
        </is>
      </c>
      <c r="B105" s="10" t="inlineStr">
        <is>
          <t>Saxo vts 1,6 l 16v</t>
        </is>
      </c>
      <c r="C105" s="10" t="n"/>
      <c r="D105" s="10" t="n"/>
      <c r="E105" s="10" t="inlineStr">
        <is>
          <t>En vente</t>
        </is>
      </c>
      <c r="F105" s="18" t="n">
        <v>46295</v>
      </c>
      <c r="G105" s="18" t="n">
        <v>46295</v>
      </c>
      <c r="H105" s="18" t="n">
        <v>46296</v>
      </c>
      <c r="I105" s="18" t="n"/>
      <c r="J105" s="17">
        <f>IF(OR(ISNUMBER(F105),ISNUMBER(G105)),IF(ISNUMBER(I105),I105,H105)-IF(ISNUMBER(F105),F105,G105),"")</f>
        <v/>
      </c>
      <c r="K105" s="12" t="n">
        <v>8800</v>
      </c>
      <c r="L105" s="12" t="n">
        <v>8800</v>
      </c>
      <c r="M105" s="13">
        <f>IF(AND(ISNUMBER(K105),ISNUMBER(L105),K105&gt;0),1-L105/K105,"")</f>
        <v/>
      </c>
      <c r="N105" s="16" t="n">
        <v>0</v>
      </c>
      <c r="O105" s="12" t="n"/>
      <c r="P105" s="12" t="n"/>
      <c r="Q105" s="12" t="n"/>
      <c r="R105" s="14">
        <f>IF(AND(ISNUMBER(L105),ISNUMBER(P105),ISNUMBER(Q105)),L105/((P105+Q105)/2)-1,"")</f>
        <v/>
      </c>
      <c r="S105" s="10" t="n"/>
      <c r="T105" s="15" t="n">
        <v>194500</v>
      </c>
      <c r="U105" s="16" t="n">
        <v>2001</v>
      </c>
      <c r="V105" s="10" t="n"/>
      <c r="W105" s="10" t="inlineStr">
        <is>
          <t>Essence</t>
        </is>
      </c>
      <c r="X105" s="10" t="inlineStr">
        <is>
          <t>Manuelle</t>
        </is>
      </c>
      <c r="Y105" s="16" t="n">
        <v>120</v>
      </c>
      <c r="Z105" s="16" t="n">
        <v>8</v>
      </c>
      <c r="AA105" s="10" t="inlineStr">
        <is>
          <t>Bleu</t>
        </is>
      </c>
      <c r="AB105" s="16" t="n">
        <v>3</v>
      </c>
      <c r="AC105" s="10" t="inlineStr">
        <is>
          <t>Berline</t>
        </is>
      </c>
      <c r="AD105" s="10" t="n"/>
      <c r="AE105" s="10" t="n"/>
      <c r="AF105" s="10" t="inlineStr">
        <is>
          <t>Particulier</t>
        </is>
      </c>
      <c r="AG105" s="10" t="inlineStr">
        <is>
          <t>Saint-Laurent-les-Tours</t>
        </is>
      </c>
      <c r="AH105" s="10" t="inlineStr">
        <is>
          <t>46400</t>
        </is>
      </c>
      <c r="AI105" s="10" t="inlineStr">
        <is>
          <t>Lot</t>
        </is>
      </c>
      <c r="AJ105" s="10" t="inlineStr">
        <is>
          <t>Midi-Pyrénées</t>
        </is>
      </c>
      <c r="AK105" s="16" t="n"/>
      <c r="AL105" s="10" t="n"/>
      <c r="AM105" s="10" t="n"/>
      <c r="AN105" s="10" t="n"/>
      <c r="AO105" s="10" t="n"/>
      <c r="AP105" s="19" t="inlineStr">
        <is>
          <t>Voir</t>
        </is>
      </c>
      <c r="AQ105" s="10" t="inlineStr">
        <is>
          <t>3279840069</t>
        </is>
      </c>
    </row>
    <row r="106">
      <c r="A106" s="10" t="inlineStr">
        <is>
          <t>Citroën Saxo VTS 16V</t>
        </is>
      </c>
      <c r="B106" s="10" t="inlineStr">
        <is>
          <t>Saxo Vts 1.4</t>
        </is>
      </c>
      <c r="C106" s="10" t="n"/>
      <c r="D106" s="10" t="n"/>
      <c r="E106" s="10" t="inlineStr">
        <is>
          <t>En vente</t>
        </is>
      </c>
      <c r="F106" s="18" t="n">
        <v>46296</v>
      </c>
      <c r="G106" s="18" t="n">
        <v>46296</v>
      </c>
      <c r="H106" s="18" t="n">
        <v>46296</v>
      </c>
      <c r="I106" s="18" t="n"/>
      <c r="J106" s="17">
        <f>IF(OR(ISNUMBER(F106),ISNUMBER(G106)),IF(ISNUMBER(I106),I106,H106)-IF(ISNUMBER(F106),F106,G106),"")</f>
        <v/>
      </c>
      <c r="K106" s="12" t="n">
        <v>4000</v>
      </c>
      <c r="L106" s="12" t="n">
        <v>4000</v>
      </c>
      <c r="M106" s="13">
        <f>IF(AND(ISNUMBER(K106),ISNUMBER(L106),K106&gt;0),1-L106/K106,"")</f>
        <v/>
      </c>
      <c r="N106" s="16" t="n">
        <v>0</v>
      </c>
      <c r="O106" s="12" t="n"/>
      <c r="P106" s="12" t="n"/>
      <c r="Q106" s="12" t="n"/>
      <c r="R106" s="14">
        <f>IF(AND(ISNUMBER(L106),ISNUMBER(P106),ISNUMBER(Q106)),L106/((P106+Q106)/2)-1,"")</f>
        <v/>
      </c>
      <c r="S106" s="10" t="n"/>
      <c r="T106" s="15" t="n">
        <v>164000</v>
      </c>
      <c r="U106" s="16" t="n">
        <v>2001</v>
      </c>
      <c r="V106" s="10" t="n"/>
      <c r="W106" s="10" t="inlineStr">
        <is>
          <t>Essence</t>
        </is>
      </c>
      <c r="X106" s="10" t="inlineStr">
        <is>
          <t>Manuelle</t>
        </is>
      </c>
      <c r="Y106" s="16" t="n">
        <v>75</v>
      </c>
      <c r="Z106" s="16" t="n">
        <v>5</v>
      </c>
      <c r="AA106" s="10" t="inlineStr">
        <is>
          <t>Autre</t>
        </is>
      </c>
      <c r="AB106" s="16" t="n">
        <v>3</v>
      </c>
      <c r="AC106" s="10" t="inlineStr">
        <is>
          <t>Berline</t>
        </is>
      </c>
      <c r="AD106" s="10" t="n"/>
      <c r="AE106" s="10" t="n"/>
      <c r="AF106" s="10" t="inlineStr">
        <is>
          <t>Particulier</t>
        </is>
      </c>
      <c r="AG106" s="10" t="inlineStr">
        <is>
          <t>Béthune</t>
        </is>
      </c>
      <c r="AH106" s="10" t="inlineStr">
        <is>
          <t>62400</t>
        </is>
      </c>
      <c r="AI106" s="10" t="inlineStr">
        <is>
          <t>Pas-de-Calais</t>
        </is>
      </c>
      <c r="AJ106" s="10" t="inlineStr">
        <is>
          <t>Nord-Pas-de-Calais</t>
        </is>
      </c>
      <c r="AK106" s="16" t="n"/>
      <c r="AL106" s="10" t="n"/>
      <c r="AM106" s="10" t="n"/>
      <c r="AN106" s="10" t="n"/>
      <c r="AO106" s="10" t="n"/>
      <c r="AP106" s="19" t="inlineStr">
        <is>
          <t>Voir</t>
        </is>
      </c>
      <c r="AQ106" s="10" t="inlineStr">
        <is>
          <t>3279949039</t>
        </is>
      </c>
    </row>
    <row r="107">
      <c r="A107" s="10" t="inlineStr">
        <is>
          <t>Honda S2000</t>
        </is>
      </c>
      <c r="B107" s="10" t="inlineStr">
        <is>
          <t>Honda S2000 AP1 2.0 VTEC conduite à gauche</t>
        </is>
      </c>
      <c r="C107" s="10" t="n"/>
      <c r="D107" s="10" t="n"/>
      <c r="E107" s="10" t="inlineStr">
        <is>
          <t>En vente</t>
        </is>
      </c>
      <c r="F107" s="18" t="n">
        <v>46299</v>
      </c>
      <c r="G107" s="18" t="n">
        <v>46239</v>
      </c>
      <c r="H107" s="18" t="n">
        <v>46310</v>
      </c>
      <c r="I107" s="18" t="n"/>
      <c r="J107" s="17">
        <f>IF(OR(ISNUMBER(F107),ISNUMBER(G107)),IF(ISNUMBER(I107),I107,H107)-IF(ISNUMBER(F107),F107,G107),"")</f>
        <v/>
      </c>
      <c r="K107" s="12" t="n">
        <v>27500</v>
      </c>
      <c r="L107" s="12" t="n">
        <v>27500</v>
      </c>
      <c r="M107" s="13">
        <f>IF(AND(ISNUMBER(K107),ISNUMBER(L107),K107&gt;0),1-L107/K107,"")</f>
        <v/>
      </c>
      <c r="N107" s="16" t="n">
        <v>0</v>
      </c>
      <c r="O107" s="12" t="n"/>
      <c r="P107" s="12" t="n"/>
      <c r="Q107" s="12" t="n"/>
      <c r="R107" s="14">
        <f>IF(AND(ISNUMBER(L107),ISNUMBER(P107),ISNUMBER(Q107)),L107/((P107+Q107)/2)-1,"")</f>
        <v/>
      </c>
      <c r="S107" s="10" t="n"/>
      <c r="T107" s="15" t="n">
        <v>115000</v>
      </c>
      <c r="U107" s="16" t="n">
        <v>2001</v>
      </c>
      <c r="V107" s="10" t="inlineStr">
        <is>
          <t>05/2001</t>
        </is>
      </c>
      <c r="W107" s="10" t="inlineStr">
        <is>
          <t>Essence</t>
        </is>
      </c>
      <c r="X107" s="10" t="inlineStr">
        <is>
          <t>Manuelle</t>
        </is>
      </c>
      <c r="Y107" s="16" t="n">
        <v>240</v>
      </c>
      <c r="Z107" s="16" t="n">
        <v>16</v>
      </c>
      <c r="AA107" s="10" t="inlineStr">
        <is>
          <t>Bleu</t>
        </is>
      </c>
      <c r="AB107" s="16" t="n">
        <v>2</v>
      </c>
      <c r="AC107" s="10" t="inlineStr">
        <is>
          <t>Cabriolet</t>
        </is>
      </c>
      <c r="AD107" s="10" t="n"/>
      <c r="AE107" s="10" t="n"/>
      <c r="AF107" s="10" t="inlineStr">
        <is>
          <t>Particulier</t>
        </is>
      </c>
      <c r="AG107" s="10" t="inlineStr">
        <is>
          <t>Cuvat</t>
        </is>
      </c>
      <c r="AH107" s="10" t="inlineStr">
        <is>
          <t>74350</t>
        </is>
      </c>
      <c r="AI107" s="10" t="inlineStr">
        <is>
          <t>Haute-Savoie</t>
        </is>
      </c>
      <c r="AJ107" s="10" t="inlineStr">
        <is>
          <t>Rhône-Alpes</t>
        </is>
      </c>
      <c r="AK107" s="16" t="n">
        <v>3</v>
      </c>
      <c r="AL107" s="10" t="n"/>
      <c r="AM107" s="10" t="inlineStr">
        <is>
          <t>Non</t>
        </is>
      </c>
      <c r="AN107" s="10" t="inlineStr">
        <is>
          <t>Je vends ma Honda S2000 AP1 de 2001, un cabriolet sportif et dynamique. - Année : 2001 - Kilométrage : 115 000 km - Motorisation : 2.0 VTEC 240 ch - Puissance fiscale : 16 CV - Couleur : Bleu - Conduite à gauche - Origine Allemagne (où je résidais au moment de l’achat) Modifications: - Jantes AP2 17 pouces - Spoiler after market Honda - ligne inox après catalyseur - prise air directe - très légèrement rabaissée (2cm) - plaquette avant performance Ferodo En très bon état, aucun frais à prévoir. S</t>
        </is>
      </c>
      <c r="AO107" s="10" t="inlineStr">
        <is>
          <t>Dommages : Traces d’usure normales ; Sellerie : Cuir partiel ; Équipements intérieurs : Jantes en alliage, Ordinateur de bord, Phares LED / Xenon, Sièges en cuir, Sièges sport, Toit ouvrant / Toit panoramique, Volant réglable en hauteur ; vehicle_euro_emissions_standard : Euro 3 ; Permis : Avec permis ; Importé : false</t>
        </is>
      </c>
      <c r="AP107" s="19" t="inlineStr">
        <is>
          <t>Voir</t>
        </is>
      </c>
      <c r="AQ107" s="10" t="inlineStr">
        <is>
          <t>3140247303</t>
        </is>
      </c>
    </row>
    <row r="108">
      <c r="A108" s="10" t="inlineStr">
        <is>
          <t>Honda S2000</t>
        </is>
      </c>
      <c r="B108" s="10" t="inlineStr">
        <is>
          <t>Honda S2000 AP1 + 5000 de pièces</t>
        </is>
      </c>
      <c r="C108" s="10" t="inlineStr">
        <is>
          <t>Base_S2000 2.0 BV6</t>
        </is>
      </c>
      <c r="D108" s="10" t="inlineStr">
        <is>
          <t>Base</t>
        </is>
      </c>
      <c r="E108" s="10" t="inlineStr">
        <is>
          <t>En vente</t>
        </is>
      </c>
      <c r="F108" s="18" t="n">
        <v>46270</v>
      </c>
      <c r="G108" s="18" t="n">
        <v>46270</v>
      </c>
      <c r="H108" s="18" t="n">
        <v>46310</v>
      </c>
      <c r="I108" s="18" t="n"/>
      <c r="J108" s="17">
        <f>IF(OR(ISNUMBER(F108),ISNUMBER(G108)),IF(ISNUMBER(I108),I108,H108)-IF(ISNUMBER(F108),F108,G108),"")</f>
        <v/>
      </c>
      <c r="K108" s="12" t="n">
        <v>28900</v>
      </c>
      <c r="L108" s="12" t="n">
        <v>28900</v>
      </c>
      <c r="M108" s="13">
        <f>IF(AND(ISNUMBER(K108),ISNUMBER(L108),K108&gt;0),1-L108/K108,"")</f>
        <v/>
      </c>
      <c r="N108" s="16" t="n">
        <v>0</v>
      </c>
      <c r="O108" s="12" t="n">
        <v>29900</v>
      </c>
      <c r="P108" s="12" t="n"/>
      <c r="Q108" s="12" t="n"/>
      <c r="R108" s="14">
        <f>IF(AND(ISNUMBER(L108),ISNUMBER(P108),ISNUMBER(Q108)),L108/((P108+Q108)/2)-1,"")</f>
        <v/>
      </c>
      <c r="S108" s="10" t="n"/>
      <c r="T108" s="15" t="n">
        <v>137000</v>
      </c>
      <c r="U108" s="16" t="n">
        <v>2000</v>
      </c>
      <c r="V108" s="10" t="inlineStr">
        <is>
          <t>03/2000</t>
        </is>
      </c>
      <c r="W108" s="10" t="inlineStr">
        <is>
          <t>Essence</t>
        </is>
      </c>
      <c r="X108" s="10" t="inlineStr">
        <is>
          <t>Manuelle</t>
        </is>
      </c>
      <c r="Y108" s="16" t="n">
        <v>240</v>
      </c>
      <c r="Z108" s="16" t="n">
        <v>16</v>
      </c>
      <c r="AA108" s="10" t="inlineStr">
        <is>
          <t>Gris</t>
        </is>
      </c>
      <c r="AB108" s="16" t="n">
        <v>2</v>
      </c>
      <c r="AC108" s="10" t="inlineStr">
        <is>
          <t>Cabriolet</t>
        </is>
      </c>
      <c r="AD108" s="10" t="n"/>
      <c r="AE108" s="10" t="n"/>
      <c r="AF108" s="10" t="inlineStr">
        <is>
          <t>Particulier</t>
        </is>
      </c>
      <c r="AG108" s="10" t="inlineStr">
        <is>
          <t>Saverne</t>
        </is>
      </c>
      <c r="AH108" s="10" t="inlineStr">
        <is>
          <t>67700</t>
        </is>
      </c>
      <c r="AI108" s="10" t="inlineStr">
        <is>
          <t>Bas-Rhin</t>
        </is>
      </c>
      <c r="AJ108" s="10" t="inlineStr">
        <is>
          <t>Alsace</t>
        </is>
      </c>
      <c r="AK108" s="16" t="n">
        <v>3</v>
      </c>
      <c r="AL108" s="10" t="n"/>
      <c r="AM108" s="10" t="inlineStr">
        <is>
          <t>Non</t>
        </is>
      </c>
      <c r="AN108" s="10" t="inlineStr">
        <is>
          <t xml:space="preserve">Honda S2000 AP1 de 2000 – 137 000 km Intérieur rouge d’origine – très bel état général. Véhicule passion entretenu avec sérieux. Moteur F20C atmosphérique en excellente santé, boîte précise, châssis sain. Aucun frais à prévoir. État général • Carrosserie propre • Intérieur rouge en très bon état • Capote en bon état • Véhicule respecté, non “maltraité” • Fonctionnement parfait 🔹 Inclus avec la voiture ✔ 4 pneus hiver ✔ Important lot de pièces neuves (majoritairement OEM Honda) ✔ Valeur estimée </t>
        </is>
      </c>
      <c r="AO108" s="10" t="inlineStr">
        <is>
          <t>Sellerie : Tout cuir ; Permis : Avec permis ; Importé : false</t>
        </is>
      </c>
      <c r="AP108" s="19" t="inlineStr">
        <is>
          <t>Voir</t>
        </is>
      </c>
      <c r="AQ108" s="10" t="inlineStr">
        <is>
          <t>3155762075</t>
        </is>
      </c>
    </row>
    <row r="109">
      <c r="A109" s="10" t="inlineStr">
        <is>
          <t>Honda S2000</t>
        </is>
      </c>
      <c r="B109" s="10" t="inlineStr">
        <is>
          <t>Honda S2000 – Phase 1.5 - 139.000 KM - RHD</t>
        </is>
      </c>
      <c r="C109" s="10" t="n"/>
      <c r="D109" s="10" t="n"/>
      <c r="E109" s="10" t="inlineStr">
        <is>
          <t>En vente</t>
        </is>
      </c>
      <c r="F109" s="18" t="n">
        <v>46290</v>
      </c>
      <c r="G109" s="18" t="n">
        <v>46290</v>
      </c>
      <c r="H109" s="18" t="n">
        <v>46310</v>
      </c>
      <c r="I109" s="18" t="n"/>
      <c r="J109" s="17">
        <f>IF(OR(ISNUMBER(F109),ISNUMBER(G109)),IF(ISNUMBER(I109),I109,H109)-IF(ISNUMBER(F109),F109,G109),"")</f>
        <v/>
      </c>
      <c r="K109" s="12" t="n">
        <v>18500</v>
      </c>
      <c r="L109" s="12" t="n">
        <v>17900</v>
      </c>
      <c r="M109" s="13">
        <f>IF(AND(ISNUMBER(K109),ISNUMBER(L109),K109&gt;0),1-L109/K109,"")</f>
        <v/>
      </c>
      <c r="N109" s="16" t="n">
        <v>1</v>
      </c>
      <c r="O109" s="12" t="n">
        <v>19900</v>
      </c>
      <c r="P109" s="12" t="n"/>
      <c r="Q109" s="12" t="n"/>
      <c r="R109" s="14">
        <f>IF(AND(ISNUMBER(L109),ISNUMBER(P109),ISNUMBER(Q109)),L109/((P109+Q109)/2)-1,"")</f>
        <v/>
      </c>
      <c r="S109" s="10" t="n"/>
      <c r="T109" s="15" t="n">
        <v>139000</v>
      </c>
      <c r="U109" s="16" t="n">
        <v>2003</v>
      </c>
      <c r="V109" s="10" t="inlineStr">
        <is>
          <t>03/2003</t>
        </is>
      </c>
      <c r="W109" s="10" t="inlineStr">
        <is>
          <t>Essence</t>
        </is>
      </c>
      <c r="X109" s="10" t="inlineStr">
        <is>
          <t>Manuelle</t>
        </is>
      </c>
      <c r="Y109" s="16" t="n">
        <v>240</v>
      </c>
      <c r="Z109" s="16" t="n">
        <v>16</v>
      </c>
      <c r="AA109" s="10" t="inlineStr">
        <is>
          <t>Bleu</t>
        </is>
      </c>
      <c r="AB109" s="16" t="n">
        <v>2</v>
      </c>
      <c r="AC109" s="10" t="inlineStr">
        <is>
          <t>Cabriolet</t>
        </is>
      </c>
      <c r="AD109" s="10" t="n"/>
      <c r="AE109" s="10" t="n"/>
      <c r="AF109" s="10" t="inlineStr">
        <is>
          <t>Particulier</t>
        </is>
      </c>
      <c r="AG109" s="10" t="inlineStr">
        <is>
          <t>Toulouse</t>
        </is>
      </c>
      <c r="AH109" s="10" t="inlineStr">
        <is>
          <t>31400</t>
        </is>
      </c>
      <c r="AI109" s="10" t="inlineStr">
        <is>
          <t>Haute-Garonne</t>
        </is>
      </c>
      <c r="AJ109" s="10" t="inlineStr">
        <is>
          <t>Midi-Pyrénées</t>
        </is>
      </c>
      <c r="AK109" s="16" t="n">
        <v>10</v>
      </c>
      <c r="AL109" s="10" t="n"/>
      <c r="AM109" s="10" t="inlineStr">
        <is>
          <t>Non</t>
        </is>
      </c>
      <c r="AN109" s="10" t="inlineStr">
        <is>
          <t>Honda S2000 – Configuration Nürburgring – Entièrement d’origine – Gros entretien 📅 04/03/2003 – Phase 1.5 (non concernée par les rappels Phase 1) 🇬🇧 Version RHD (volant à droite) – Importée en 02/2025 ✅ Carte grise française 💙 Superbe configuration rare : bleu Nürburgring avec intérieur et capote assortis ✅ Véhicule 100% d’origine – aucun tuning 📍 139.000 km ✅ Le contrôle technique OK du 22/09/2026 —----------------------------- 🛠️ Gros frais récents : • Embrayage + Butée + Roulement Volan</t>
        </is>
      </c>
      <c r="AO109" s="10" t="inlineStr">
        <is>
          <t>Permis : Avec permis ; Importé : false</t>
        </is>
      </c>
      <c r="AP109" s="19" t="inlineStr">
        <is>
          <t>Voir</t>
        </is>
      </c>
      <c r="AQ109" s="10" t="inlineStr">
        <is>
          <t>3166175681</t>
        </is>
      </c>
    </row>
    <row r="110">
      <c r="A110" s="10" t="inlineStr">
        <is>
          <t>Honda S2000</t>
        </is>
      </c>
      <c r="B110" s="10" t="inlineStr">
        <is>
          <t>Honda S2000 AP1 J's Racing - 67000km</t>
        </is>
      </c>
      <c r="C110" s="10" t="n"/>
      <c r="D110" s="10" t="n"/>
      <c r="E110" s="10" t="inlineStr">
        <is>
          <t>En vente</t>
        </is>
      </c>
      <c r="F110" s="18" t="n">
        <v>46257</v>
      </c>
      <c r="G110" s="18" t="n">
        <v>46257</v>
      </c>
      <c r="H110" s="18" t="n">
        <v>46310</v>
      </c>
      <c r="I110" s="18" t="n"/>
      <c r="J110" s="17">
        <f>IF(OR(ISNUMBER(F110),ISNUMBER(G110)),IF(ISNUMBER(I110),I110,H110)-IF(ISNUMBER(F110),F110,G110),"")</f>
        <v/>
      </c>
      <c r="K110" s="12" t="n">
        <v>35900</v>
      </c>
      <c r="L110" s="12" t="n">
        <v>35900</v>
      </c>
      <c r="M110" s="13">
        <f>IF(AND(ISNUMBER(K110),ISNUMBER(L110),K110&gt;0),1-L110/K110,"")</f>
        <v/>
      </c>
      <c r="N110" s="16" t="n">
        <v>0</v>
      </c>
      <c r="O110" s="12" t="n">
        <v>54900</v>
      </c>
      <c r="P110" s="12" t="n"/>
      <c r="Q110" s="12" t="n"/>
      <c r="R110" s="14">
        <f>IF(AND(ISNUMBER(L110),ISNUMBER(P110),ISNUMBER(Q110)),L110/((P110+Q110)/2)-1,"")</f>
        <v/>
      </c>
      <c r="S110" s="10" t="n"/>
      <c r="T110" s="15" t="n">
        <v>67000</v>
      </c>
      <c r="U110" s="16" t="n">
        <v>2000</v>
      </c>
      <c r="V110" s="10" t="inlineStr">
        <is>
          <t>09/2000</t>
        </is>
      </c>
      <c r="W110" s="10" t="inlineStr">
        <is>
          <t>Essence</t>
        </is>
      </c>
      <c r="X110" s="10" t="inlineStr">
        <is>
          <t>Manuelle</t>
        </is>
      </c>
      <c r="Y110" s="16" t="n">
        <v>450</v>
      </c>
      <c r="Z110" s="16" t="n">
        <v>16</v>
      </c>
      <c r="AA110" s="10" t="inlineStr">
        <is>
          <t>Blanc</t>
        </is>
      </c>
      <c r="AB110" s="16" t="n">
        <v>2</v>
      </c>
      <c r="AC110" s="10" t="inlineStr">
        <is>
          <t>Cabriolet</t>
        </is>
      </c>
      <c r="AD110" s="10" t="n"/>
      <c r="AE110" s="10" t="n"/>
      <c r="AF110" s="10" t="inlineStr">
        <is>
          <t>Particulier</t>
        </is>
      </c>
      <c r="AG110" s="10" t="inlineStr">
        <is>
          <t>Plateau d'Hauteville</t>
        </is>
      </c>
      <c r="AH110" s="10" t="inlineStr">
        <is>
          <t>01110</t>
        </is>
      </c>
      <c r="AI110" s="10" t="inlineStr">
        <is>
          <t>Ain</t>
        </is>
      </c>
      <c r="AJ110" s="10" t="inlineStr">
        <is>
          <t>Rhône-Alpes</t>
        </is>
      </c>
      <c r="AK110" s="16" t="n">
        <v>3</v>
      </c>
      <c r="AL110" s="10" t="n"/>
      <c r="AM110" s="10" t="inlineStr">
        <is>
          <t>Non</t>
        </is>
      </c>
      <c r="AN110" s="10" t="inlineStr">
        <is>
          <t>Honda S2000 AP1 Turbo — Préparation d'exception Après des années de passion et de travail, il est temps pour moi de transmettre le relais. Cette S2000 n'est pas une simple voiture : c'est un véritable track car, un projet abouti construit pas à pas pour offrir des sensations uniques et un potentiel énorme sur circuit. KILOMÉTRAGE Moins de 67 000 km route Environ 3 000 km circuit Dans sa configuration actuelle, elle n'a pas encore roulé CARROSSERIE &amp; ESTHÉTIQUE Démontage intégral, peinture blanch</t>
        </is>
      </c>
      <c r="AO110" s="10" t="inlineStr">
        <is>
          <t>Permis : Avec permis ; Importé : false</t>
        </is>
      </c>
      <c r="AP110" s="19" t="inlineStr">
        <is>
          <t>Voir</t>
        </is>
      </c>
      <c r="AQ110" s="10" t="inlineStr">
        <is>
          <t>3182140973</t>
        </is>
      </c>
    </row>
    <row r="111">
      <c r="A111" s="10" t="inlineStr">
        <is>
          <t>Honda S2000</t>
        </is>
      </c>
      <c r="B111" s="10" t="inlineStr">
        <is>
          <t>BMW Z4 Roadster 3.0i 231cv BVM6 - sièges chauffants - Bluetooth - Toit révisé - Garantie 12 Mois</t>
        </is>
      </c>
      <c r="C111" s="10" t="inlineStr">
        <is>
          <t>Z4 Roadster 3.0i 231ch</t>
        </is>
      </c>
      <c r="D111" s="10" t="inlineStr">
        <is>
          <t>Base</t>
        </is>
      </c>
      <c r="E111" s="10" t="inlineStr">
        <is>
          <t>En vente</t>
        </is>
      </c>
      <c r="F111" s="18" t="n">
        <v>46296</v>
      </c>
      <c r="G111" s="18" t="n">
        <v>46296</v>
      </c>
      <c r="H111" s="18" t="n">
        <v>46310</v>
      </c>
      <c r="I111" s="18" t="n"/>
      <c r="J111" s="17">
        <f>IF(OR(ISNUMBER(F111),ISNUMBER(G111)),IF(ISNUMBER(I111),I111,H111)-IF(ISNUMBER(F111),F111,G111),"")</f>
        <v/>
      </c>
      <c r="K111" s="12" t="n">
        <v>12990</v>
      </c>
      <c r="L111" s="12" t="n">
        <v>12990</v>
      </c>
      <c r="M111" s="13">
        <f>IF(AND(ISNUMBER(K111),ISNUMBER(L111),K111&gt;0),1-L111/K111,"")</f>
        <v/>
      </c>
      <c r="N111" s="16" t="n">
        <v>0</v>
      </c>
      <c r="O111" s="12" t="n"/>
      <c r="P111" s="12" t="n"/>
      <c r="Q111" s="12" t="n"/>
      <c r="R111" s="14">
        <f>IF(AND(ISNUMBER(L111),ISNUMBER(P111),ISNUMBER(Q111)),L111/((P111+Q111)/2)-1,"")</f>
        <v/>
      </c>
      <c r="S111" s="10" t="n"/>
      <c r="T111" s="15" t="n">
        <v>167900</v>
      </c>
      <c r="U111" s="16" t="n">
        <v>2003</v>
      </c>
      <c r="V111" s="10" t="inlineStr">
        <is>
          <t>06/2003</t>
        </is>
      </c>
      <c r="W111" s="10" t="inlineStr">
        <is>
          <t>Essence</t>
        </is>
      </c>
      <c r="X111" s="10" t="inlineStr">
        <is>
          <t>Manuelle</t>
        </is>
      </c>
      <c r="Y111" s="16" t="n">
        <v>231</v>
      </c>
      <c r="Z111" s="16" t="n">
        <v>15</v>
      </c>
      <c r="AA111" s="10" t="inlineStr">
        <is>
          <t>Gris</t>
        </is>
      </c>
      <c r="AB111" s="16" t="n">
        <v>2</v>
      </c>
      <c r="AC111" s="10" t="inlineStr">
        <is>
          <t>Cabriolet</t>
        </is>
      </c>
      <c r="AD111" s="10" t="n"/>
      <c r="AE111" s="10" t="n"/>
      <c r="AF111" s="10" t="inlineStr">
        <is>
          <t>Pro</t>
        </is>
      </c>
      <c r="AG111" s="10" t="inlineStr">
        <is>
          <t>Nérac</t>
        </is>
      </c>
      <c r="AH111" s="10" t="inlineStr">
        <is>
          <t>47600</t>
        </is>
      </c>
      <c r="AI111" s="10" t="inlineStr">
        <is>
          <t>Lot-et-Garonne</t>
        </is>
      </c>
      <c r="AJ111" s="10" t="inlineStr">
        <is>
          <t>Aquitaine</t>
        </is>
      </c>
      <c r="AK111" s="16" t="n">
        <v>5</v>
      </c>
      <c r="AL111" s="10" t="n"/>
      <c r="AM111" s="10" t="inlineStr">
        <is>
          <t>Non</t>
        </is>
      </c>
      <c r="AN111" s="10" t="inlineStr">
        <is>
          <t>BMW Z4 Roadster 3.0i 231cv BVM6 - Garantie 12 Mois - grise, cv, 2 places. 6 Cylindres en ligne atmosphérique M54B30, boîte mécanique 6 rapports. - Mise en circulation : 03/2003 - Couleur extérieur : gris argenté métallisé - Sellerie : Cuir Oregon/noir - Kilométrage : 167.900 km - Carnet et factures d’entretien. -Toutes nos voitures sont vendues révisées : * Entretien courant effectué pour le départ, vidange et filtres. * 4 Pneus neufs, frein AR neufs * Moteur du toit NEUF, système fiabilisé. - P</t>
        </is>
      </c>
      <c r="AO111" s="10" t="inlineStr">
        <is>
          <t>vehicle_technical_inspection_valid : Non ; Dommages : Traces d’usure normales ; Sellerie : Tout cuir ; Équipements intérieurs : Bluetooth, Chargeurs USB, Climatisation, Jantes en alliage, Ordinateur de bord, Phares anti-brouillard, Régulateur de vitesse, Siège réglable en hauteur, Sièges chauffants, Sièges en cuir, Sièges sport, Volant réglable en hauteur, Volant réglable en profondeur ; Permis : Avec permis ; Vente en LOA/LLD : Non ; VO récent : false ; vehicle_commercial_warranty : Non ; vehicle_manufacturer_warranty : Non ; custom_ref : Z4.413 ; Importé : false ; vehicle_history_report_status : visible ; spare_parts_availability : Non renseignée</t>
        </is>
      </c>
      <c r="AP111" s="19" t="inlineStr">
        <is>
          <t>Voir</t>
        </is>
      </c>
      <c r="AQ111" s="10" t="inlineStr">
        <is>
          <t>3206462061</t>
        </is>
      </c>
    </row>
    <row r="112">
      <c r="A112" s="10" t="inlineStr">
        <is>
          <t>Honda S2000</t>
        </is>
      </c>
      <c r="B112" s="10" t="inlineStr">
        <is>
          <t>Honda S2000 ap1 '00</t>
        </is>
      </c>
      <c r="C112" s="10" t="inlineStr">
        <is>
          <t>Base_S2000 2.0 BV6</t>
        </is>
      </c>
      <c r="D112" s="10" t="inlineStr">
        <is>
          <t>Base</t>
        </is>
      </c>
      <c r="E112" s="10" t="inlineStr">
        <is>
          <t>En vente</t>
        </is>
      </c>
      <c r="F112" s="18" t="n">
        <v>46308</v>
      </c>
      <c r="G112" s="18" t="n">
        <v>46248</v>
      </c>
      <c r="H112" s="18" t="n">
        <v>46310</v>
      </c>
      <c r="I112" s="18" t="n"/>
      <c r="J112" s="17">
        <f>IF(OR(ISNUMBER(F112),ISNUMBER(G112)),IF(ISNUMBER(I112),I112,H112)-IF(ISNUMBER(F112),F112,G112),"")</f>
        <v/>
      </c>
      <c r="K112" s="12" t="n">
        <v>25500</v>
      </c>
      <c r="L112" s="12" t="n">
        <v>23900</v>
      </c>
      <c r="M112" s="13">
        <f>IF(AND(ISNUMBER(K112),ISNUMBER(L112),K112&gt;0),1-L112/K112,"")</f>
        <v/>
      </c>
      <c r="N112" s="16" t="n">
        <v>1</v>
      </c>
      <c r="O112" s="12" t="n">
        <v>26500</v>
      </c>
      <c r="P112" s="12" t="n"/>
      <c r="Q112" s="12" t="n"/>
      <c r="R112" s="14">
        <f>IF(AND(ISNUMBER(L112),ISNUMBER(P112),ISNUMBER(Q112)),L112/((P112+Q112)/2)-1,"")</f>
        <v/>
      </c>
      <c r="S112" s="10" t="n"/>
      <c r="T112" s="15" t="n">
        <v>187500</v>
      </c>
      <c r="U112" s="16" t="n">
        <v>2000</v>
      </c>
      <c r="V112" s="10" t="inlineStr">
        <is>
          <t>05/2000</t>
        </is>
      </c>
      <c r="W112" s="10" t="inlineStr">
        <is>
          <t>Essence</t>
        </is>
      </c>
      <c r="X112" s="10" t="inlineStr">
        <is>
          <t>Manuelle</t>
        </is>
      </c>
      <c r="Y112" s="16" t="n">
        <v>240</v>
      </c>
      <c r="Z112" s="16" t="n">
        <v>16</v>
      </c>
      <c r="AA112" s="10" t="inlineStr">
        <is>
          <t>Gris</t>
        </is>
      </c>
      <c r="AB112" s="16" t="n">
        <v>2</v>
      </c>
      <c r="AC112" s="10" t="inlineStr">
        <is>
          <t>Cabriolet</t>
        </is>
      </c>
      <c r="AD112" s="10" t="n"/>
      <c r="AE112" s="10" t="n"/>
      <c r="AF112" s="10" t="inlineStr">
        <is>
          <t>Particulier</t>
        </is>
      </c>
      <c r="AG112" s="10" t="inlineStr">
        <is>
          <t>Villandraut</t>
        </is>
      </c>
      <c r="AH112" s="10" t="inlineStr">
        <is>
          <t>33730</t>
        </is>
      </c>
      <c r="AI112" s="10" t="inlineStr">
        <is>
          <t>Gironde</t>
        </is>
      </c>
      <c r="AJ112" s="10" t="inlineStr">
        <is>
          <t>Aquitaine</t>
        </is>
      </c>
      <c r="AK112" s="16" t="n">
        <v>3</v>
      </c>
      <c r="AL112" s="10" t="n"/>
      <c r="AM112" s="10" t="inlineStr">
        <is>
          <t>Non</t>
        </is>
      </c>
      <c r="AN112" s="10" t="inlineStr">
        <is>
          <t xml:space="preserve">Je vends ma Honda S2000 AP1 de 2000. - Marque : Honda - Modèle : S2000 - Année : 2000 - Kilométrage : 187 500 km - Motorisation : 2.0 BV6 240 ch - Carburant : Essence - Boîte de vitesses : Manuelle - Couleur : Gris - Type : Cabriolet - Nombre de sièges : 2 - Nombre de portes : 2 - Puissance fiscale : 16 Cv - Contrôle technique : Valide jusqu'en 03/2028 Capote ok, pneus neufs, batterie neuve. Révisée, prête à rouler N'hésitez pas à me contacter pour plus d'informations ou pour organiser un essai </t>
        </is>
      </c>
      <c r="AO112" s="10" t="inlineStr">
        <is>
          <t>Dommages : Bon état général ; Sellerie : Tout cuir ; Équipements intérieurs : Climatisation ; Permis : Avec permis ; Importé : false ; vehicle_history_report_status : visible</t>
        </is>
      </c>
      <c r="AP112" s="19" t="inlineStr">
        <is>
          <t>Voir</t>
        </is>
      </c>
      <c r="AQ112" s="10" t="inlineStr">
        <is>
          <t>3217513763</t>
        </is>
      </c>
    </row>
    <row r="113">
      <c r="A113" s="10" t="inlineStr">
        <is>
          <t>Honda S2000</t>
        </is>
      </c>
      <c r="B113" s="10" t="inlineStr">
        <is>
          <t>Vente Honda S2000</t>
        </is>
      </c>
      <c r="C113" s="10" t="n"/>
      <c r="D113" s="10" t="n"/>
      <c r="E113" s="10" t="inlineStr">
        <is>
          <t>En vente</t>
        </is>
      </c>
      <c r="F113" s="18" t="n">
        <v>46275</v>
      </c>
      <c r="G113" s="18" t="n">
        <v>46275</v>
      </c>
      <c r="H113" s="18" t="n">
        <v>46310</v>
      </c>
      <c r="I113" s="18" t="n"/>
      <c r="J113" s="17">
        <f>IF(OR(ISNUMBER(F113),ISNUMBER(G113)),IF(ISNUMBER(I113),I113,H113)-IF(ISNUMBER(F113),F113,G113),"")</f>
        <v/>
      </c>
      <c r="K113" s="12" t="n">
        <v>29000</v>
      </c>
      <c r="L113" s="12" t="n">
        <v>29000</v>
      </c>
      <c r="M113" s="13">
        <f>IF(AND(ISNUMBER(K113),ISNUMBER(L113),K113&gt;0),1-L113/K113,"")</f>
        <v/>
      </c>
      <c r="N113" s="16" t="n">
        <v>0</v>
      </c>
      <c r="O113" s="12" t="n"/>
      <c r="P113" s="12" t="n"/>
      <c r="Q113" s="12" t="n"/>
      <c r="R113" s="14">
        <f>IF(AND(ISNUMBER(L113),ISNUMBER(P113),ISNUMBER(Q113)),L113/((P113+Q113)/2)-1,"")</f>
        <v/>
      </c>
      <c r="S113" s="10" t="n"/>
      <c r="T113" s="15" t="n">
        <v>122000</v>
      </c>
      <c r="U113" s="16" t="n">
        <v>2003</v>
      </c>
      <c r="V113" s="10" t="inlineStr">
        <is>
          <t>01/2003</t>
        </is>
      </c>
      <c r="W113" s="10" t="inlineStr">
        <is>
          <t>Essence</t>
        </is>
      </c>
      <c r="X113" s="10" t="inlineStr">
        <is>
          <t>Manuelle</t>
        </is>
      </c>
      <c r="Y113" s="16" t="n">
        <v>240</v>
      </c>
      <c r="Z113" s="16" t="n">
        <v>16</v>
      </c>
      <c r="AA113" s="10" t="inlineStr">
        <is>
          <t>Gris</t>
        </is>
      </c>
      <c r="AB113" s="16" t="n">
        <v>2</v>
      </c>
      <c r="AC113" s="10" t="inlineStr">
        <is>
          <t>Cabriolet</t>
        </is>
      </c>
      <c r="AD113" s="10" t="n"/>
      <c r="AE113" s="10" t="n"/>
      <c r="AF113" s="10" t="inlineStr">
        <is>
          <t>Particulier</t>
        </is>
      </c>
      <c r="AG113" s="10" t="inlineStr">
        <is>
          <t>Lyon</t>
        </is>
      </c>
      <c r="AH113" s="10" t="inlineStr">
        <is>
          <t>69009</t>
        </is>
      </c>
      <c r="AI113" s="10" t="inlineStr">
        <is>
          <t>Rhône</t>
        </is>
      </c>
      <c r="AJ113" s="10" t="inlineStr">
        <is>
          <t>Rhône-Alpes</t>
        </is>
      </c>
      <c r="AK113" s="16" t="n">
        <v>3</v>
      </c>
      <c r="AL113" s="10" t="n"/>
      <c r="AM113" s="10" t="inlineStr">
        <is>
          <t>Non</t>
        </is>
      </c>
      <c r="AN113" s="10" t="inlineStr">
        <is>
          <t>Je vends ma Honda S2000 de 2003, un cabriolet sportif emblématique avec 122 000 km au compteur. - Marque : Honda - Modèle : S2000 - Année : 2003 - Kilométrage : 122 000 km - Motorisation : 240 Ch - Puissance fiscale : 16 Cv - Carburant : Essence - Boîte de vitesses : Manuelle - Couleur : Gris - Type de véhicule : Cabriolet - Nombre de sièges : 2 - Nombre de portes : 2 - Crit'air : 3 - Contrôle technique : Valide jusqu'en 03/2027 N'hésitez pas à me contacter pour plus d'informations ou pour organ</t>
        </is>
      </c>
      <c r="AO113" s="10" t="inlineStr">
        <is>
          <t>Sellerie : Tout cuir ; Permis : Avec permis ; Importé : false</t>
        </is>
      </c>
      <c r="AP113" s="19" t="inlineStr">
        <is>
          <t>Voir</t>
        </is>
      </c>
      <c r="AQ113" s="10" t="inlineStr">
        <is>
          <t>3231572470</t>
        </is>
      </c>
    </row>
    <row r="114">
      <c r="A114" s="10" t="inlineStr">
        <is>
          <t>Honda S2000</t>
        </is>
      </c>
      <c r="B114" s="10" t="inlineStr">
        <is>
          <t>MG MGF/MGTF TF 115 CV fiabilisée RHD + HARDTOP</t>
        </is>
      </c>
      <c r="C114" s="10" t="inlineStr">
        <is>
          <t>MGF/MGTF 115</t>
        </is>
      </c>
      <c r="D114" s="10" t="inlineStr">
        <is>
          <t>Base</t>
        </is>
      </c>
      <c r="E114" s="10" t="inlineStr">
        <is>
          <t>En vente</t>
        </is>
      </c>
      <c r="F114" s="18" t="n">
        <v>46220</v>
      </c>
      <c r="G114" s="18" t="n">
        <v>46220</v>
      </c>
      <c r="H114" s="18" t="n">
        <v>46310</v>
      </c>
      <c r="I114" s="18" t="n"/>
      <c r="J114" s="17">
        <f>IF(OR(ISNUMBER(F114),ISNUMBER(G114)),IF(ISNUMBER(I114),I114,H114)-IF(ISNUMBER(F114),F114,G114),"")</f>
        <v/>
      </c>
      <c r="K114" s="12" t="n">
        <v>4599</v>
      </c>
      <c r="L114" s="12" t="n">
        <v>4599</v>
      </c>
      <c r="M114" s="13">
        <f>IF(AND(ISNUMBER(K114),ISNUMBER(L114),K114&gt;0),1-L114/K114,"")</f>
        <v/>
      </c>
      <c r="N114" s="16" t="n">
        <v>0</v>
      </c>
      <c r="O114" s="12" t="n">
        <v>4799</v>
      </c>
      <c r="P114" s="12" t="n"/>
      <c r="Q114" s="12" t="n"/>
      <c r="R114" s="14">
        <f>IF(AND(ISNUMBER(L114),ISNUMBER(P114),ISNUMBER(Q114)),L114/((P114+Q114)/2)-1,"")</f>
        <v/>
      </c>
      <c r="S114" s="10" t="n"/>
      <c r="T114" s="15" t="n">
        <v>147999</v>
      </c>
      <c r="U114" s="16" t="n">
        <v>2005</v>
      </c>
      <c r="V114" s="10" t="inlineStr">
        <is>
          <t>02/2005</t>
        </is>
      </c>
      <c r="W114" s="10" t="inlineStr">
        <is>
          <t>Essence</t>
        </is>
      </c>
      <c r="X114" s="10" t="inlineStr">
        <is>
          <t>Manuelle</t>
        </is>
      </c>
      <c r="Y114" s="16" t="n">
        <v>115</v>
      </c>
      <c r="Z114" s="16" t="n">
        <v>7</v>
      </c>
      <c r="AA114" s="10" t="inlineStr">
        <is>
          <t>Gris</t>
        </is>
      </c>
      <c r="AB114" s="16" t="n">
        <v>2</v>
      </c>
      <c r="AC114" s="10" t="inlineStr">
        <is>
          <t>Cabriolet</t>
        </is>
      </c>
      <c r="AD114" s="10" t="n"/>
      <c r="AE114" s="10" t="n"/>
      <c r="AF114" s="10" t="inlineStr">
        <is>
          <t>Pro</t>
        </is>
      </c>
      <c r="AG114" s="10" t="inlineStr">
        <is>
          <t>Salouël</t>
        </is>
      </c>
      <c r="AH114" s="10" t="inlineStr">
        <is>
          <t>80480</t>
        </is>
      </c>
      <c r="AI114" s="10" t="inlineStr">
        <is>
          <t>Somme</t>
        </is>
      </c>
      <c r="AJ114" s="10" t="inlineStr">
        <is>
          <t>Picardie</t>
        </is>
      </c>
      <c r="AK114" s="16" t="n">
        <v>34</v>
      </c>
      <c r="AL114" s="10" t="n"/>
      <c r="AM114" s="10" t="inlineStr">
        <is>
          <t>Non</t>
        </is>
      </c>
      <c r="AN114" s="10" t="inlineStr">
        <is>
          <t>Non Fumeur, Fiabilisée par le spécialiste MG GARAGE, véhicule en conduite à droite, compteur en milles un peu plus de 92000 actuellement , idem Honda S2000, Porsche Boxster S, Mercedes-Benz SLK 32 AMG, Audi TT Roadster, Mazda MX-5, Frais de mise en Main de 349€ à régler en supplément Pour vous garantir un accueil personnalisé et un accompagnement de qualité, tous nos véhicules sont visibles uniquement sur rendez-vous. L’AGENCE AUTOMOBILIÈRE accompagne chaque vente dans un esprit de confiance, d’</t>
        </is>
      </c>
      <c r="AO114" s="10" t="inlineStr">
        <is>
          <t>Équipements intérieurs : Ordinateur de bord, Roue de secours, Vitres électriques arrières ; VO récent : false ; custom_ref : 506183 ; Importé : true ; vehicle_history_report_status : visible ; spare_parts_availability : Non renseignée</t>
        </is>
      </c>
      <c r="AP114" s="19" t="inlineStr">
        <is>
          <t>Voir</t>
        </is>
      </c>
      <c r="AQ114" s="10" t="inlineStr">
        <is>
          <t>3234430383</t>
        </is>
      </c>
    </row>
    <row r="115">
      <c r="A115" s="10" t="inlineStr">
        <is>
          <t>Honda S2000</t>
        </is>
      </c>
      <c r="B115" s="10" t="inlineStr">
        <is>
          <t>Mazda Mx5 ROADSTER 1.8 MZR 125 ELEGANCE</t>
        </is>
      </c>
      <c r="C115" s="10" t="inlineStr">
        <is>
          <t>MX-5 1.8 Elegance</t>
        </is>
      </c>
      <c r="D115" s="10" t="inlineStr">
        <is>
          <t>Elegance</t>
        </is>
      </c>
      <c r="E115" s="10" t="inlineStr">
        <is>
          <t>En vente</t>
        </is>
      </c>
      <c r="F115" s="18" t="n">
        <v>46225</v>
      </c>
      <c r="G115" s="18" t="n">
        <v>46225</v>
      </c>
      <c r="H115" s="18" t="n">
        <v>46310</v>
      </c>
      <c r="I115" s="18" t="n"/>
      <c r="J115" s="17">
        <f>IF(OR(ISNUMBER(F115),ISNUMBER(G115)),IF(ISNUMBER(I115),I115,H115)-IF(ISNUMBER(F115),F115,G115),"")</f>
        <v/>
      </c>
      <c r="K115" s="12" t="n">
        <v>12990</v>
      </c>
      <c r="L115" s="12" t="n">
        <v>12990</v>
      </c>
      <c r="M115" s="13">
        <f>IF(AND(ISNUMBER(K115),ISNUMBER(L115),K115&gt;0),1-L115/K115,"")</f>
        <v/>
      </c>
      <c r="N115" s="16" t="n">
        <v>0</v>
      </c>
      <c r="O115" s="12" t="n"/>
      <c r="P115" s="12" t="n"/>
      <c r="Q115" s="12" t="n"/>
      <c r="R115" s="14">
        <f>IF(AND(ISNUMBER(L115),ISNUMBER(P115),ISNUMBER(Q115)),L115/((P115+Q115)/2)-1,"")</f>
        <v/>
      </c>
      <c r="S115" s="10" t="n"/>
      <c r="T115" s="15" t="n">
        <v>101000</v>
      </c>
      <c r="U115" s="16" t="n">
        <v>2006</v>
      </c>
      <c r="V115" s="10" t="inlineStr">
        <is>
          <t>06/2006</t>
        </is>
      </c>
      <c r="W115" s="10" t="inlineStr">
        <is>
          <t>Essence</t>
        </is>
      </c>
      <c r="X115" s="10" t="inlineStr">
        <is>
          <t>Manuelle</t>
        </is>
      </c>
      <c r="Y115" s="16" t="n">
        <v>126</v>
      </c>
      <c r="Z115" s="16" t="n">
        <v>8</v>
      </c>
      <c r="AA115" s="10" t="inlineStr">
        <is>
          <t>Gris</t>
        </is>
      </c>
      <c r="AB115" s="16" t="n">
        <v>2</v>
      </c>
      <c r="AC115" s="10" t="inlineStr">
        <is>
          <t>Cabriolet</t>
        </is>
      </c>
      <c r="AD115" s="10" t="n"/>
      <c r="AE115" s="10" t="n"/>
      <c r="AF115" s="10" t="inlineStr">
        <is>
          <t>Pro</t>
        </is>
      </c>
      <c r="AG115" s="10" t="inlineStr">
        <is>
          <t>Creuzier-le-Vieux</t>
        </is>
      </c>
      <c r="AH115" s="10" t="inlineStr">
        <is>
          <t>03300</t>
        </is>
      </c>
      <c r="AI115" s="10" t="inlineStr">
        <is>
          <t>Allier</t>
        </is>
      </c>
      <c r="AJ115" s="10" t="inlineStr">
        <is>
          <t>Auvergne</t>
        </is>
      </c>
      <c r="AK115" s="16" t="n">
        <v>29</v>
      </c>
      <c r="AL115" s="10" t="n"/>
      <c r="AM115" s="10" t="inlineStr">
        <is>
          <t>Non</t>
        </is>
      </c>
      <c r="AN115" s="10" t="inlineStr">
        <is>
          <t>Mazda Mx5 ROADSTER 1.8 MZR 125 ELEGANCE, roadster, gris, 8 cv, 2 portes, première mise en circulation le 16/06/2006. 2 places 🚚 Livraison du véhicule en France possible (uniquement sur devis) 📅 Nos véhicules sont visibles uniquement sur RDV pendant nos heures d'ouvertures au sein de notre agence CAR AND BIKE ✅ Reprise de votre ancien véhicule possible (sous conditions) | Garantie mécanique (extensions 3 à 48 mois) | Financement possible 🟣🔵 CAR &amp; BIKE Vichy Rue du Sergent Bourdeaux, 03300 Cre</t>
        </is>
      </c>
      <c r="AO115" s="10" t="inlineStr">
        <is>
          <t>Permis : Avec permis ; VO récent : false ; custom_ref : VRZ_27E20F ; Importé : true ; vehicle_history_report_status : visible ; spare_parts_availability : Non renseignée</t>
        </is>
      </c>
      <c r="AP115" s="19" t="inlineStr">
        <is>
          <t>Voir</t>
        </is>
      </c>
      <c r="AQ115" s="10" t="inlineStr">
        <is>
          <t>3237454171</t>
        </is>
      </c>
    </row>
    <row r="116">
      <c r="A116" s="10" t="inlineStr">
        <is>
          <t>Honda S2000</t>
        </is>
      </c>
      <c r="B116" s="10" t="inlineStr">
        <is>
          <t>Honda S2000 (échange possible)</t>
        </is>
      </c>
      <c r="C116" s="10" t="inlineStr">
        <is>
          <t>Base_S2000 2.0 BV6</t>
        </is>
      </c>
      <c r="D116" s="10" t="inlineStr">
        <is>
          <t>Base</t>
        </is>
      </c>
      <c r="E116" s="10" t="inlineStr">
        <is>
          <t>En vente</t>
        </is>
      </c>
      <c r="F116" s="18" t="n">
        <v>46302</v>
      </c>
      <c r="G116" s="18" t="n">
        <v>46242</v>
      </c>
      <c r="H116" s="18" t="n">
        <v>46310</v>
      </c>
      <c r="I116" s="18" t="n"/>
      <c r="J116" s="17">
        <f>IF(OR(ISNUMBER(F116),ISNUMBER(G116)),IF(ISNUMBER(I116),I116,H116)-IF(ISNUMBER(F116),F116,G116),"")</f>
        <v/>
      </c>
      <c r="K116" s="12" t="n">
        <v>27000</v>
      </c>
      <c r="L116" s="12" t="n">
        <v>26000</v>
      </c>
      <c r="M116" s="13">
        <f>IF(AND(ISNUMBER(K116),ISNUMBER(L116),K116&gt;0),1-L116/K116,"")</f>
        <v/>
      </c>
      <c r="N116" s="16" t="n">
        <v>1</v>
      </c>
      <c r="O116" s="12" t="n">
        <v>27000</v>
      </c>
      <c r="P116" s="12" t="n"/>
      <c r="Q116" s="12" t="n"/>
      <c r="R116" s="14">
        <f>IF(AND(ISNUMBER(L116),ISNUMBER(P116),ISNUMBER(Q116)),L116/((P116+Q116)/2)-1,"")</f>
        <v/>
      </c>
      <c r="S116" s="10" t="n"/>
      <c r="T116" s="15" t="n">
        <v>172346</v>
      </c>
      <c r="U116" s="16" t="n">
        <v>2000</v>
      </c>
      <c r="V116" s="10" t="inlineStr">
        <is>
          <t>06/2000</t>
        </is>
      </c>
      <c r="W116" s="10" t="inlineStr">
        <is>
          <t>Essence</t>
        </is>
      </c>
      <c r="X116" s="10" t="inlineStr">
        <is>
          <t>Manuelle</t>
        </is>
      </c>
      <c r="Y116" s="16" t="n">
        <v>240</v>
      </c>
      <c r="Z116" s="16" t="n">
        <v>16</v>
      </c>
      <c r="AA116" s="10" t="inlineStr">
        <is>
          <t>Gris</t>
        </is>
      </c>
      <c r="AB116" s="16" t="n">
        <v>2</v>
      </c>
      <c r="AC116" s="10" t="inlineStr">
        <is>
          <t>Cabriolet</t>
        </is>
      </c>
      <c r="AD116" s="10" t="n"/>
      <c r="AE116" s="10" t="n"/>
      <c r="AF116" s="10" t="inlineStr">
        <is>
          <t>Particulier</t>
        </is>
      </c>
      <c r="AG116" s="10" t="inlineStr">
        <is>
          <t>Bayonne</t>
        </is>
      </c>
      <c r="AH116" s="10" t="inlineStr">
        <is>
          <t>64100</t>
        </is>
      </c>
      <c r="AI116" s="10" t="inlineStr">
        <is>
          <t>Pyrénées-Atlantiques</t>
        </is>
      </c>
      <c r="AJ116" s="10" t="inlineStr">
        <is>
          <t>Aquitaine</t>
        </is>
      </c>
      <c r="AK116" s="16" t="n">
        <v>3</v>
      </c>
      <c r="AL116" s="10" t="n"/>
      <c r="AM116" s="10" t="inlineStr">
        <is>
          <t>Non</t>
        </is>
      </c>
      <c r="AN116" s="10" t="inlineStr">
        <is>
          <t>Bonjour Apres 2 ans en ma possession, je souhaite me séparer de ma Honda S2000. C'est un modèle de juin 2000, donc phase 1 qui comptabilise 172 346 km évolutifs, car c'est mon daily. Niveau mécanique, rien a dire c'est une Honda. Elle est entièrement d'origine ormis une ligne d'échappement Supersprint qui conserve le catalyseur d'origine, et un filtre a air K&amp;N (indispensable a mon sens pour profiter de la sonorité de ce moteur). Le contrôle technique a été réalisé sans soucis le 11/07/2026 Je d</t>
        </is>
      </c>
      <c r="AO116" s="10" t="inlineStr">
        <is>
          <t>Dommages : Bon état général ; Équipements intérieurs : Bluetooth, Climatisation ; Permis : Avec permis ; Importé : false</t>
        </is>
      </c>
      <c r="AP116" s="19" t="inlineStr">
        <is>
          <t>Voir</t>
        </is>
      </c>
      <c r="AQ116" s="10" t="inlineStr">
        <is>
          <t>3246600883</t>
        </is>
      </c>
    </row>
    <row r="117">
      <c r="A117" s="10" t="inlineStr">
        <is>
          <t>Honda S2000</t>
        </is>
      </c>
      <c r="B117" s="10" t="inlineStr">
        <is>
          <t>Honda s2000 phase2 intérieur full red unique</t>
        </is>
      </c>
      <c r="C117" s="10" t="n"/>
      <c r="D117" s="10" t="n"/>
      <c r="E117" s="10" t="inlineStr">
        <is>
          <t>En vente</t>
        </is>
      </c>
      <c r="F117" s="18" t="n">
        <v>46304</v>
      </c>
      <c r="G117" s="18" t="n">
        <v>46243</v>
      </c>
      <c r="H117" s="18" t="n">
        <v>46310</v>
      </c>
      <c r="I117" s="18" t="n"/>
      <c r="J117" s="17">
        <f>IF(OR(ISNUMBER(F117),ISNUMBER(G117)),IF(ISNUMBER(I117),I117,H117)-IF(ISNUMBER(F117),F117,G117),"")</f>
        <v/>
      </c>
      <c r="K117" s="12" t="n">
        <v>19500</v>
      </c>
      <c r="L117" s="12" t="n">
        <v>19500</v>
      </c>
      <c r="M117" s="13">
        <f>IF(AND(ISNUMBER(K117),ISNUMBER(L117),K117&gt;0),1-L117/K117,"")</f>
        <v/>
      </c>
      <c r="N117" s="16" t="n">
        <v>0</v>
      </c>
      <c r="O117" s="12" t="n"/>
      <c r="P117" s="12" t="n"/>
      <c r="Q117" s="12" t="n"/>
      <c r="R117" s="14">
        <f>IF(AND(ISNUMBER(L117),ISNUMBER(P117),ISNUMBER(Q117)),L117/((P117+Q117)/2)-1,"")</f>
        <v/>
      </c>
      <c r="S117" s="10" t="n"/>
      <c r="T117" s="15" t="n">
        <v>160000</v>
      </c>
      <c r="U117" s="16" t="n">
        <v>2004</v>
      </c>
      <c r="V117" s="10" t="inlineStr">
        <is>
          <t>04/2004</t>
        </is>
      </c>
      <c r="W117" s="10" t="inlineStr">
        <is>
          <t>Essence</t>
        </is>
      </c>
      <c r="X117" s="10" t="inlineStr">
        <is>
          <t>Manuelle</t>
        </is>
      </c>
      <c r="Y117" s="16" t="n">
        <v>240</v>
      </c>
      <c r="Z117" s="16" t="n">
        <v>16</v>
      </c>
      <c r="AA117" s="10" t="inlineStr">
        <is>
          <t>Noir</t>
        </is>
      </c>
      <c r="AB117" s="16" t="n">
        <v>2</v>
      </c>
      <c r="AC117" s="10" t="inlineStr">
        <is>
          <t>Cabriolet</t>
        </is>
      </c>
      <c r="AD117" s="10" t="n"/>
      <c r="AE117" s="10" t="n"/>
      <c r="AF117" s="10" t="inlineStr">
        <is>
          <t>Particulier</t>
        </is>
      </c>
      <c r="AG117" s="10" t="inlineStr">
        <is>
          <t>Loches</t>
        </is>
      </c>
      <c r="AH117" s="10" t="inlineStr">
        <is>
          <t>37600</t>
        </is>
      </c>
      <c r="AI117" s="10" t="inlineStr">
        <is>
          <t>Indre-et-Loire</t>
        </is>
      </c>
      <c r="AJ117" s="10" t="inlineStr">
        <is>
          <t>Centre</t>
        </is>
      </c>
      <c r="AK117" s="16" t="n">
        <v>3</v>
      </c>
      <c r="AL117" s="10" t="n"/>
      <c r="AM117" s="10" t="inlineStr">
        <is>
          <t>Non</t>
        </is>
      </c>
      <c r="AN117" s="10" t="inlineStr">
        <is>
          <t>Je met en vente ma s2000 que je possède depuis plus de 10ans. C'est une phase2 intérieur full red extrement rare voir unique. pack gt comprenant lame avant becquet et extension de bas caisse( très rare) toujours très bien entretenu avec toutes les factures. Vidange tous les ans à moins de 5000km avec facture. Parlons tout de suite du négatif. Capote à changer car d'origine et craqué au endroit habituel. Peinture à lustré complètement et un pète sur la porte conducteur.( peut partir en debosselag</t>
        </is>
      </c>
      <c r="AO117" s="10" t="inlineStr">
        <is>
          <t>Dommages : Bon état général ; Sellerie : Tout cuir ; Permis : Avec permis ; Importé : false</t>
        </is>
      </c>
      <c r="AP117" s="19" t="inlineStr">
        <is>
          <t>Voir</t>
        </is>
      </c>
      <c r="AQ117" s="10" t="inlineStr">
        <is>
          <t>3247204311</t>
        </is>
      </c>
    </row>
    <row r="118">
      <c r="A118" s="10" t="inlineStr">
        <is>
          <t>Honda S2000</t>
        </is>
      </c>
      <c r="B118" s="10" t="inlineStr">
        <is>
          <t>Porsche Boxster 2.7 240</t>
        </is>
      </c>
      <c r="C118" s="10" t="inlineStr">
        <is>
          <t>Boxster 2.7</t>
        </is>
      </c>
      <c r="D118" s="10" t="inlineStr">
        <is>
          <t>Base</t>
        </is>
      </c>
      <c r="E118" s="10" t="inlineStr">
        <is>
          <t>En vente</t>
        </is>
      </c>
      <c r="F118" s="18" t="n">
        <v>46244</v>
      </c>
      <c r="G118" s="18" t="n">
        <v>46244</v>
      </c>
      <c r="H118" s="18" t="n">
        <v>46310</v>
      </c>
      <c r="I118" s="18" t="n"/>
      <c r="J118" s="17">
        <f>IF(OR(ISNUMBER(F118),ISNUMBER(G118)),IF(ISNUMBER(I118),I118,H118)-IF(ISNUMBER(F118),F118,G118),"")</f>
        <v/>
      </c>
      <c r="K118" s="12" t="n">
        <v>22990</v>
      </c>
      <c r="L118" s="12" t="n">
        <v>22990</v>
      </c>
      <c r="M118" s="13">
        <f>IF(AND(ISNUMBER(K118),ISNUMBER(L118),K118&gt;0),1-L118/K118,"")</f>
        <v/>
      </c>
      <c r="N118" s="16" t="n">
        <v>0</v>
      </c>
      <c r="O118" s="12" t="n">
        <v>23490</v>
      </c>
      <c r="P118" s="12" t="n"/>
      <c r="Q118" s="12" t="n"/>
      <c r="R118" s="14">
        <f>IF(AND(ISNUMBER(L118),ISNUMBER(P118),ISNUMBER(Q118)),L118/((P118+Q118)/2)-1,"")</f>
        <v/>
      </c>
      <c r="S118" s="10" t="n"/>
      <c r="T118" s="15" t="n">
        <v>132000</v>
      </c>
      <c r="U118" s="16" t="n">
        <v>2005</v>
      </c>
      <c r="V118" s="10" t="inlineStr">
        <is>
          <t>04/2005</t>
        </is>
      </c>
      <c r="W118" s="10" t="inlineStr">
        <is>
          <t>Essence</t>
        </is>
      </c>
      <c r="X118" s="10" t="inlineStr">
        <is>
          <t>Manuelle</t>
        </is>
      </c>
      <c r="Y118" s="16" t="n">
        <v>240</v>
      </c>
      <c r="Z118" s="16" t="n">
        <v>16</v>
      </c>
      <c r="AA118" s="10" t="inlineStr">
        <is>
          <t>Gris</t>
        </is>
      </c>
      <c r="AB118" s="16" t="n">
        <v>2</v>
      </c>
      <c r="AC118" s="10" t="inlineStr">
        <is>
          <t>Cabriolet</t>
        </is>
      </c>
      <c r="AD118" s="10" t="n"/>
      <c r="AE118" s="10" t="n"/>
      <c r="AF118" s="10" t="inlineStr">
        <is>
          <t>Pro</t>
        </is>
      </c>
      <c r="AG118" s="10" t="inlineStr">
        <is>
          <t>Creuzier-le-Vieux</t>
        </is>
      </c>
      <c r="AH118" s="10" t="inlineStr">
        <is>
          <t>03300</t>
        </is>
      </c>
      <c r="AI118" s="10" t="inlineStr">
        <is>
          <t>Allier</t>
        </is>
      </c>
      <c r="AJ118" s="10" t="inlineStr">
        <is>
          <t>Auvergne</t>
        </is>
      </c>
      <c r="AK118" s="16" t="n">
        <v>27</v>
      </c>
      <c r="AL118" s="10" t="n"/>
      <c r="AM118" s="10" t="inlineStr">
        <is>
          <t>Non</t>
        </is>
      </c>
      <c r="AN118" s="10" t="inlineStr">
        <is>
          <t xml:space="preserve">Porsche Boxster 2.7 240, roadster, gris, 16 cv, 2 portes, première mise en circulation le 12/04/2005. 2 places 🚚 Livraison du véhicule en France possible (uniquement sur devis) 📅 Nos véhicules sont visibles uniquement sur RDV pendant nos heures d'ouvertures au sein de notre agence CAR AND BIKE ✅ Reprise de votre ancien véhicule possible (sous conditions) | Garantie mécanique (extensions 3 à 48 mois) | Financement possible 🟣🔵 CAR &amp; BIKE Vichy Rue du Sergent Bourdeaux, 03300 Creuzier-le-Vieux </t>
        </is>
      </c>
      <c r="AO118" s="10" t="inlineStr">
        <is>
          <t>Permis : Avec permis ; VO récent : false ; custom_ref : VRZ_B6F017 ; Importé : true ; vehicle_history_report_status : visible ; spare_parts_availability : Non renseignée</t>
        </is>
      </c>
      <c r="AP118" s="19" t="inlineStr">
        <is>
          <t>Voir</t>
        </is>
      </c>
      <c r="AQ118" s="10" t="inlineStr">
        <is>
          <t>3247804233</t>
        </is>
      </c>
    </row>
    <row r="119">
      <c r="A119" s="10" t="inlineStr">
        <is>
          <t>Honda S2000</t>
        </is>
      </c>
      <c r="B119" s="10" t="inlineStr">
        <is>
          <t>Honda s2000 rhd</t>
        </is>
      </c>
      <c r="C119" s="10" t="n"/>
      <c r="D119" s="10" t="n"/>
      <c r="E119" s="10" t="inlineStr">
        <is>
          <t>En vente</t>
        </is>
      </c>
      <c r="F119" s="18" t="n">
        <v>46254</v>
      </c>
      <c r="G119" s="18" t="n">
        <v>46254</v>
      </c>
      <c r="H119" s="18" t="n">
        <v>46310</v>
      </c>
      <c r="I119" s="18" t="n"/>
      <c r="J119" s="17">
        <f>IF(OR(ISNUMBER(F119),ISNUMBER(G119)),IF(ISNUMBER(I119),I119,H119)-IF(ISNUMBER(F119),F119,G119),"")</f>
        <v/>
      </c>
      <c r="K119" s="12" t="n">
        <v>17000</v>
      </c>
      <c r="L119" s="12" t="n">
        <v>17000</v>
      </c>
      <c r="M119" s="13">
        <f>IF(AND(ISNUMBER(K119),ISNUMBER(L119),K119&gt;0),1-L119/K119,"")</f>
        <v/>
      </c>
      <c r="N119" s="16" t="n">
        <v>0</v>
      </c>
      <c r="O119" s="12" t="n"/>
      <c r="P119" s="12" t="n"/>
      <c r="Q119" s="12" t="n"/>
      <c r="R119" s="14">
        <f>IF(AND(ISNUMBER(L119),ISNUMBER(P119),ISNUMBER(Q119)),L119/((P119+Q119)/2)-1,"")</f>
        <v/>
      </c>
      <c r="S119" s="10" t="n"/>
      <c r="T119" s="15" t="n">
        <v>200000</v>
      </c>
      <c r="U119" s="16" t="n">
        <v>2002</v>
      </c>
      <c r="V119" s="10" t="inlineStr">
        <is>
          <t>11/2002</t>
        </is>
      </c>
      <c r="W119" s="10" t="inlineStr">
        <is>
          <t>Essence</t>
        </is>
      </c>
      <c r="X119" s="10" t="inlineStr">
        <is>
          <t>Manuelle</t>
        </is>
      </c>
      <c r="Y119" s="16" t="n">
        <v>240</v>
      </c>
      <c r="Z119" s="16" t="n">
        <v>16</v>
      </c>
      <c r="AA119" s="10" t="inlineStr">
        <is>
          <t>Noir</t>
        </is>
      </c>
      <c r="AB119" s="16" t="n">
        <v>2</v>
      </c>
      <c r="AC119" s="10" t="inlineStr">
        <is>
          <t>Cabriolet</t>
        </is>
      </c>
      <c r="AD119" s="10" t="n"/>
      <c r="AE119" s="10" t="n"/>
      <c r="AF119" s="10" t="inlineStr">
        <is>
          <t>Particulier</t>
        </is>
      </c>
      <c r="AG119" s="10" t="inlineStr">
        <is>
          <t>Poueyferré</t>
        </is>
      </c>
      <c r="AH119" s="10" t="inlineStr">
        <is>
          <t>65100</t>
        </is>
      </c>
      <c r="AI119" s="10" t="inlineStr">
        <is>
          <t>Hautes-Pyrénées</t>
        </is>
      </c>
      <c r="AJ119" s="10" t="inlineStr">
        <is>
          <t>Midi-Pyrénées</t>
        </is>
      </c>
      <c r="AK119" s="16" t="n">
        <v>3</v>
      </c>
      <c r="AL119" s="10" t="n"/>
      <c r="AM119" s="10" t="inlineStr">
        <is>
          <t>Non</t>
        </is>
      </c>
      <c r="AN119" s="10" t="inlineStr">
        <is>
          <t>Bonjour, je vend ma Honda s2000 que j’ai en ma possession depuis 8 ans. Je m’en sépare a contre cœur pour d’autres projets. Équipement : Combiné filetée bilstein Barre anti rapprochement devant et derrière Collecteur d’échappement en titane ( origine fourni ) Ligne inox ( origine fourni ) Decata pour lui donner toutes sa puissance fourni 🟢 peinture neuve 🟢 capote neuve 🟢 pare brise neuf 🟢 entretien fait 🔴 siège fatigué mais pas troué 🔴 moquette côté conducteur abîmé Aucun échange, pas de m</t>
        </is>
      </c>
      <c r="AO119" s="10" t="inlineStr">
        <is>
          <t>Sellerie : Tout cuir ; Permis : Avec permis ; Importé : false</t>
        </is>
      </c>
      <c r="AP119" s="19" t="inlineStr">
        <is>
          <t>Voir</t>
        </is>
      </c>
      <c r="AQ119" s="10" t="inlineStr">
        <is>
          <t>3253686728</t>
        </is>
      </c>
    </row>
    <row r="120">
      <c r="A120" s="10" t="inlineStr">
        <is>
          <t>Honda S2000</t>
        </is>
      </c>
      <c r="B120" s="10" t="inlineStr">
        <is>
          <t>Honda s2000</t>
        </is>
      </c>
      <c r="C120" s="10" t="n"/>
      <c r="D120" s="10" t="n"/>
      <c r="E120" s="10" t="inlineStr">
        <is>
          <t>En vente</t>
        </is>
      </c>
      <c r="F120" s="18" t="n">
        <v>46255</v>
      </c>
      <c r="G120" s="18" t="n">
        <v>46255</v>
      </c>
      <c r="H120" s="18" t="n">
        <v>46310</v>
      </c>
      <c r="I120" s="18" t="n"/>
      <c r="J120" s="17">
        <f>IF(OR(ISNUMBER(F120),ISNUMBER(G120)),IF(ISNUMBER(I120),I120,H120)-IF(ISNUMBER(F120),F120,G120),"")</f>
        <v/>
      </c>
      <c r="K120" s="12" t="n">
        <v>25000</v>
      </c>
      <c r="L120" s="12" t="n">
        <v>25000</v>
      </c>
      <c r="M120" s="13">
        <f>IF(AND(ISNUMBER(K120),ISNUMBER(L120),K120&gt;0),1-L120/K120,"")</f>
        <v/>
      </c>
      <c r="N120" s="16" t="n">
        <v>0</v>
      </c>
      <c r="O120" s="12" t="n"/>
      <c r="P120" s="12" t="n"/>
      <c r="Q120" s="12" t="n"/>
      <c r="R120" s="14">
        <f>IF(AND(ISNUMBER(L120),ISNUMBER(P120),ISNUMBER(Q120)),L120/((P120+Q120)/2)-1,"")</f>
        <v/>
      </c>
      <c r="S120" s="10" t="n"/>
      <c r="T120" s="15" t="n">
        <v>138000</v>
      </c>
      <c r="U120" s="16" t="n">
        <v>1999</v>
      </c>
      <c r="V120" s="10" t="inlineStr">
        <is>
          <t>09/1999</t>
        </is>
      </c>
      <c r="W120" s="10" t="inlineStr">
        <is>
          <t>Essence</t>
        </is>
      </c>
      <c r="X120" s="10" t="inlineStr">
        <is>
          <t>Manuelle</t>
        </is>
      </c>
      <c r="Y120" s="16" t="n">
        <v>240</v>
      </c>
      <c r="Z120" s="16" t="n">
        <v>16</v>
      </c>
      <c r="AA120" s="10" t="inlineStr">
        <is>
          <t>Rouge</t>
        </is>
      </c>
      <c r="AB120" s="16" t="n">
        <v>2</v>
      </c>
      <c r="AC120" s="10" t="inlineStr">
        <is>
          <t>Cabriolet</t>
        </is>
      </c>
      <c r="AD120" s="10" t="n"/>
      <c r="AE120" s="10" t="n"/>
      <c r="AF120" s="10" t="inlineStr">
        <is>
          <t>Particulier</t>
        </is>
      </c>
      <c r="AG120" s="10" t="inlineStr">
        <is>
          <t>Lille</t>
        </is>
      </c>
      <c r="AH120" s="10" t="inlineStr">
        <is>
          <t>59000</t>
        </is>
      </c>
      <c r="AI120" s="10" t="inlineStr">
        <is>
          <t>Nord</t>
        </is>
      </c>
      <c r="AJ120" s="10" t="inlineStr">
        <is>
          <t>Nord-Pas-de-Calais</t>
        </is>
      </c>
      <c r="AK120" s="16" t="n">
        <v>3</v>
      </c>
      <c r="AL120" s="10" t="n"/>
      <c r="AM120" s="10" t="inlineStr">
        <is>
          <t>Non</t>
        </is>
      </c>
      <c r="AN120" s="10" t="inlineStr">
        <is>
          <t>Bonjour, Honda s2000 track day Moteur Boite à air carbonne Papillon 70 mm Collecteur adm modifier Bougies iridium Collecteur inox Decata 60mm Ligne inox 70 mm Volant moteur alléger Embrayage stage 1 Radiateur d'huile Radiateur d'eau gros volume Chaîne de distribution et tendeur remplacer à 10 000 kilomètres Gestion doctronics + faisceau 100% ethanol Injecteur 650 cc Pompe de gavage 250 l/h Huile moteur motul Mano pour la lambda, température d'huile et pression d'huile Carter d'huile cloisonner C</t>
        </is>
      </c>
      <c r="AO120" s="10" t="inlineStr">
        <is>
          <t>Permis : Avec permis ; Importé : false</t>
        </is>
      </c>
      <c r="AP120" s="19" t="inlineStr">
        <is>
          <t>Voir</t>
        </is>
      </c>
      <c r="AQ120" s="10" t="inlineStr">
        <is>
          <t>3254057230</t>
        </is>
      </c>
    </row>
    <row r="121">
      <c r="A121" s="10" t="inlineStr">
        <is>
          <t>Honda S2000</t>
        </is>
      </c>
      <c r="B121" s="10" t="inlineStr">
        <is>
          <t>Honda S2000</t>
        </is>
      </c>
      <c r="C121" s="10" t="n"/>
      <c r="D121" s="10" t="n"/>
      <c r="E121" s="10" t="inlineStr">
        <is>
          <t>En vente</t>
        </is>
      </c>
      <c r="F121" s="18" t="n">
        <v>46256</v>
      </c>
      <c r="G121" s="18" t="n">
        <v>46256</v>
      </c>
      <c r="H121" s="18" t="n">
        <v>46310</v>
      </c>
      <c r="I121" s="18" t="n"/>
      <c r="J121" s="17">
        <f>IF(OR(ISNUMBER(F121),ISNUMBER(G121)),IF(ISNUMBER(I121),I121,H121)-IF(ISNUMBER(F121),F121,G121),"")</f>
        <v/>
      </c>
      <c r="K121" s="12" t="n">
        <v>13000</v>
      </c>
      <c r="L121" s="12" t="n">
        <v>13000</v>
      </c>
      <c r="M121" s="13">
        <f>IF(AND(ISNUMBER(K121),ISNUMBER(L121),K121&gt;0),1-L121/K121,"")</f>
        <v/>
      </c>
      <c r="N121" s="16" t="n">
        <v>0</v>
      </c>
      <c r="O121" s="12" t="n"/>
      <c r="P121" s="12" t="n"/>
      <c r="Q121" s="12" t="n"/>
      <c r="R121" s="14">
        <f>IF(AND(ISNUMBER(L121),ISNUMBER(P121),ISNUMBER(Q121)),L121/((P121+Q121)/2)-1,"")</f>
        <v/>
      </c>
      <c r="S121" s="10" t="n"/>
      <c r="T121" s="15" t="n">
        <v>140000</v>
      </c>
      <c r="U121" s="16" t="n">
        <v>2006</v>
      </c>
      <c r="V121" s="10" t="inlineStr">
        <is>
          <t>10/2006</t>
        </is>
      </c>
      <c r="W121" s="10" t="inlineStr">
        <is>
          <t>Essence</t>
        </is>
      </c>
      <c r="X121" s="10" t="inlineStr">
        <is>
          <t>Manuelle</t>
        </is>
      </c>
      <c r="Y121" s="16" t="n">
        <v>240</v>
      </c>
      <c r="Z121" s="16" t="n">
        <v>16</v>
      </c>
      <c r="AA121" s="10" t="inlineStr">
        <is>
          <t>Autre</t>
        </is>
      </c>
      <c r="AB121" s="16" t="n">
        <v>2</v>
      </c>
      <c r="AC121" s="10" t="inlineStr">
        <is>
          <t>Cabriolet</t>
        </is>
      </c>
      <c r="AD121" s="10" t="n"/>
      <c r="AE121" s="10" t="n"/>
      <c r="AF121" s="10" t="inlineStr">
        <is>
          <t>Particulier</t>
        </is>
      </c>
      <c r="AG121" s="10" t="inlineStr">
        <is>
          <t>Lens</t>
        </is>
      </c>
      <c r="AH121" s="10" t="inlineStr">
        <is>
          <t>62300</t>
        </is>
      </c>
      <c r="AI121" s="10" t="inlineStr">
        <is>
          <t>Pas-de-Calais</t>
        </is>
      </c>
      <c r="AJ121" s="10" t="inlineStr">
        <is>
          <t>Nord-Pas-de-Calais</t>
        </is>
      </c>
      <c r="AK121" s="16" t="n">
        <v>1</v>
      </c>
      <c r="AL121" s="10" t="n"/>
      <c r="AM121" s="10" t="inlineStr">
        <is>
          <t>Non</t>
        </is>
      </c>
      <c r="AN121" s="10" t="inlineStr">
        <is>
          <t>Bonjour, Je mets en vente ma Honda S2000 phase 2 avec 140 000km RHD Moteur tourne nickel , un peu de pièce châssis . Les sièges ne sont pas en pleine forme , Je possède le double des clés. Point Négatif c’est que la voiture a subi un choc a l’avant et je n’ai pas trop de temps de m’en occuper. Pièces a prévoir : Face avant , parchoc avant, capot , ailes , renfort d’ailes et les feux. Je la vend dans l’état pour 13 000€. Voiture très saine , n’hésitez pas a me demander des photos si vous êtes vra</t>
        </is>
      </c>
      <c r="AO121" s="10" t="inlineStr">
        <is>
          <t>Permis : Avec permis ; ad_warranty_type : essential ; Importé : false ; vehicle_history_report_status : visible</t>
        </is>
      </c>
      <c r="AP121" s="19" t="inlineStr">
        <is>
          <t>Voir</t>
        </is>
      </c>
      <c r="AQ121" s="10" t="inlineStr">
        <is>
          <t>3254395601</t>
        </is>
      </c>
    </row>
    <row r="122">
      <c r="A122" s="10" t="inlineStr">
        <is>
          <t>Honda S2000</t>
        </is>
      </c>
      <c r="B122" s="10" t="inlineStr">
        <is>
          <t>Honda s2000</t>
        </is>
      </c>
      <c r="C122" s="10" t="inlineStr">
        <is>
          <t>S2000 2.0 VTEC</t>
        </is>
      </c>
      <c r="D122" s="10" t="inlineStr">
        <is>
          <t>Base</t>
        </is>
      </c>
      <c r="E122" s="10" t="inlineStr">
        <is>
          <t>En vente</t>
        </is>
      </c>
      <c r="F122" s="18" t="n">
        <v>46256</v>
      </c>
      <c r="G122" s="18" t="n">
        <v>46256</v>
      </c>
      <c r="H122" s="18" t="n">
        <v>46310</v>
      </c>
      <c r="I122" s="18" t="n"/>
      <c r="J122" s="17">
        <f>IF(OR(ISNUMBER(F122),ISNUMBER(G122)),IF(ISNUMBER(I122),I122,H122)-IF(ISNUMBER(F122),F122,G122),"")</f>
        <v/>
      </c>
      <c r="K122" s="12" t="n">
        <v>33990</v>
      </c>
      <c r="L122" s="12" t="n">
        <v>33990</v>
      </c>
      <c r="M122" s="13">
        <f>IF(AND(ISNUMBER(K122),ISNUMBER(L122),K122&gt;0),1-L122/K122,"")</f>
        <v/>
      </c>
      <c r="N122" s="16" t="n">
        <v>0</v>
      </c>
      <c r="O122" s="12" t="n"/>
      <c r="P122" s="12" t="n"/>
      <c r="Q122" s="12" t="n"/>
      <c r="R122" s="14">
        <f>IF(AND(ISNUMBER(L122),ISNUMBER(P122),ISNUMBER(Q122)),L122/((P122+Q122)/2)-1,"")</f>
        <v/>
      </c>
      <c r="S122" s="10" t="n"/>
      <c r="T122" s="15" t="n">
        <v>95950</v>
      </c>
      <c r="U122" s="16" t="n">
        <v>2003</v>
      </c>
      <c r="V122" s="10" t="inlineStr">
        <is>
          <t>08/2003</t>
        </is>
      </c>
      <c r="W122" s="10" t="inlineStr">
        <is>
          <t>Essence</t>
        </is>
      </c>
      <c r="X122" s="10" t="inlineStr">
        <is>
          <t>Manuelle</t>
        </is>
      </c>
      <c r="Y122" s="16" t="n">
        <v>240</v>
      </c>
      <c r="Z122" s="16" t="n">
        <v>16</v>
      </c>
      <c r="AA122" s="10" t="inlineStr">
        <is>
          <t>Autre</t>
        </is>
      </c>
      <c r="AB122" s="16" t="n">
        <v>2</v>
      </c>
      <c r="AC122" s="10" t="inlineStr">
        <is>
          <t>Cabriolet</t>
        </is>
      </c>
      <c r="AD122" s="10" t="n"/>
      <c r="AE122" s="10" t="n"/>
      <c r="AF122" s="10" t="inlineStr">
        <is>
          <t>Particulier</t>
        </is>
      </c>
      <c r="AG122" s="10" t="inlineStr">
        <is>
          <t>Montriond</t>
        </is>
      </c>
      <c r="AH122" s="10" t="inlineStr">
        <is>
          <t>74110</t>
        </is>
      </c>
      <c r="AI122" s="10" t="inlineStr">
        <is>
          <t>Haute-Savoie</t>
        </is>
      </c>
      <c r="AJ122" s="10" t="inlineStr">
        <is>
          <t>Rhône-Alpes</t>
        </is>
      </c>
      <c r="AK122" s="16" t="n">
        <v>3</v>
      </c>
      <c r="AL122" s="10" t="n"/>
      <c r="AM122" s="10" t="inlineStr">
        <is>
          <t>Non</t>
        </is>
      </c>
      <c r="AN122" s="10" t="inlineStr">
        <is>
          <t>Véhicule entièrement d'origine et régulièrement entretenu par le réseau Honda. Véhicule loisir, roule 3000/4000 km par an. Dort dans un garage à l'abri de la lumière. Véhicule 2ème main, acquis en mars 2004 à 7 800 km. 4 pneus neufs Yokohama Advan Fleva (V701). AV : 205/55/R16 + AR : 225/50/R16 Géométrie Réseau Honda avril 2025 OK Dernier entretien Réseau Honda 29/07/2026 à 95 295 km + Vidange pont et boite + Disques et plaquettes avant Carnet d'entretien + factures</t>
        </is>
      </c>
      <c r="AO122" s="10" t="inlineStr">
        <is>
          <t>vehicle_technical_inspection_valid : Oui ; Contrôle technique : 2028 ; Dommages : Excellent état (proche du neuf) ; Sellerie : Autre ; vehicle_euro_emissions_standard : Euro 3 ; Permis : Avec permis ; Importé : false ; vehicle_history_teaser_critair : 3 ; vehicle_history_teaser_owners : 3 ; vehicle_history_teaser_expertises : false ; vehicle_history_teaser_special_uses : false ; vehicle_history_teaser_atypical_operations : false ; vehicle_history_teaser_importations : false</t>
        </is>
      </c>
      <c r="AP122" s="19" t="inlineStr">
        <is>
          <t>Voir</t>
        </is>
      </c>
      <c r="AQ122" s="10" t="inlineStr">
        <is>
          <t>3254788855</t>
        </is>
      </c>
    </row>
    <row r="123">
      <c r="A123" s="10" t="inlineStr">
        <is>
          <t>Honda S2000</t>
        </is>
      </c>
      <c r="B123" s="10" t="inlineStr">
        <is>
          <t>NISSAN 350Z Roadster 3.5 280ch Pack - 2006 - 87 500 km - Faible kilométrage</t>
        </is>
      </c>
      <c r="C123" s="10" t="inlineStr">
        <is>
          <t>350Z Roadster 3.5 V6 280ch Pack</t>
        </is>
      </c>
      <c r="D123" s="10" t="inlineStr">
        <is>
          <t>Pack</t>
        </is>
      </c>
      <c r="E123" s="10" t="inlineStr">
        <is>
          <t>En vente</t>
        </is>
      </c>
      <c r="F123" s="18" t="n">
        <v>46259</v>
      </c>
      <c r="G123" s="18" t="n">
        <v>46259</v>
      </c>
      <c r="H123" s="18" t="n">
        <v>46310</v>
      </c>
      <c r="I123" s="18" t="n"/>
      <c r="J123" s="17">
        <f>IF(OR(ISNUMBER(F123),ISNUMBER(G123)),IF(ISNUMBER(I123),I123,H123)-IF(ISNUMBER(F123),F123,G123),"")</f>
        <v/>
      </c>
      <c r="K123" s="12" t="n">
        <v>20490</v>
      </c>
      <c r="L123" s="12" t="n">
        <v>19990</v>
      </c>
      <c r="M123" s="13">
        <f>IF(AND(ISNUMBER(K123),ISNUMBER(L123),K123&gt;0),1-L123/K123,"")</f>
        <v/>
      </c>
      <c r="N123" s="16" t="n">
        <v>1</v>
      </c>
      <c r="O123" s="12" t="n">
        <v>21490</v>
      </c>
      <c r="P123" s="12" t="n"/>
      <c r="Q123" s="12" t="n"/>
      <c r="R123" s="14">
        <f>IF(AND(ISNUMBER(L123),ISNUMBER(P123),ISNUMBER(Q123)),L123/((P123+Q123)/2)-1,"")</f>
        <v/>
      </c>
      <c r="S123" s="10" t="n"/>
      <c r="T123" s="15" t="n">
        <v>87500</v>
      </c>
      <c r="U123" s="16" t="n">
        <v>2006</v>
      </c>
      <c r="V123" s="10" t="inlineStr">
        <is>
          <t>12/2006</t>
        </is>
      </c>
      <c r="W123" s="10" t="inlineStr">
        <is>
          <t>Essence</t>
        </is>
      </c>
      <c r="X123" s="10" t="inlineStr">
        <is>
          <t>Manuelle</t>
        </is>
      </c>
      <c r="Y123" s="16" t="n">
        <v>280</v>
      </c>
      <c r="Z123" s="16" t="n">
        <v>20</v>
      </c>
      <c r="AA123" s="10" t="n"/>
      <c r="AB123" s="16" t="n">
        <v>2</v>
      </c>
      <c r="AC123" s="10" t="inlineStr">
        <is>
          <t>Cabriolet</t>
        </is>
      </c>
      <c r="AD123" s="10" t="inlineStr">
        <is>
          <t>Carnet d'entretien disponible</t>
        </is>
      </c>
      <c r="AE123" s="10" t="n"/>
      <c r="AF123" s="10" t="inlineStr">
        <is>
          <t>Pro</t>
        </is>
      </c>
      <c r="AG123" s="10" t="inlineStr">
        <is>
          <t>Courcelles-lès-Lens</t>
        </is>
      </c>
      <c r="AH123" s="10" t="inlineStr">
        <is>
          <t>62970</t>
        </is>
      </c>
      <c r="AI123" s="10" t="inlineStr">
        <is>
          <t>Pas-de-Calais</t>
        </is>
      </c>
      <c r="AJ123" s="10" t="inlineStr">
        <is>
          <t>Nord-Pas-de-Calais</t>
        </is>
      </c>
      <c r="AK123" s="16" t="n">
        <v>21</v>
      </c>
      <c r="AL123" s="10" t="inlineStr">
        <is>
          <t>Oui</t>
        </is>
      </c>
      <c r="AM123" s="10" t="inlineStr">
        <is>
          <t>Non</t>
        </is>
      </c>
      <c r="AN123" s="10" t="inlineStr">
        <is>
          <t>Vroom Market Douai vous propose : NISSAN 350Z Roadster Pack 280ch 2006 • 87 500 km • Essence • Boîte manuelle 📌 Tarif hors frais d'agence | Des erreurs peuvent se glisser dans nos annonces. 🚙 Véhicule classique — 990 € ⭐ Véhicule premium — 1 090 € 🥇 Véhicules Prestige/Sport — 1 290 € *La catégorie du véhicule est déterminée par l'agence selon le modèle et son positionnement sur le marché. 📁 État &amp; Historique Kilométrage : 87 500 km Mise en circulation : 2006 Carrosserie : 2 portes • 2 places</t>
        </is>
      </c>
      <c r="AO123" s="10" t="inlineStr">
        <is>
          <t>Équipements intérieurs : Jantes en alliage, Phares LED / Xenon, Régulateur de vitesse, Sièges chauffants ; VO récent : false ; Importé : true ; vehicle_history_report_status : visible ; spare_parts_availability : Non renseignée</t>
        </is>
      </c>
      <c r="AP123" s="19" t="inlineStr">
        <is>
          <t>Voir</t>
        </is>
      </c>
      <c r="AQ123" s="10" t="inlineStr">
        <is>
          <t>3256705549</t>
        </is>
      </c>
    </row>
    <row r="124">
      <c r="A124" s="10" t="inlineStr">
        <is>
          <t>Honda S2000</t>
        </is>
      </c>
      <c r="B124" s="10" t="inlineStr">
        <is>
          <t>Honda S2000</t>
        </is>
      </c>
      <c r="C124" s="10" t="n"/>
      <c r="D124" s="10" t="n"/>
      <c r="E124" s="10" t="inlineStr">
        <is>
          <t>En vente</t>
        </is>
      </c>
      <c r="F124" s="18" t="n">
        <v>46261</v>
      </c>
      <c r="G124" s="18" t="n">
        <v>46261</v>
      </c>
      <c r="H124" s="18" t="n">
        <v>46310</v>
      </c>
      <c r="I124" s="18" t="n"/>
      <c r="J124" s="17">
        <f>IF(OR(ISNUMBER(F124),ISNUMBER(G124)),IF(ISNUMBER(I124),I124,H124)-IF(ISNUMBER(F124),F124,G124),"")</f>
        <v/>
      </c>
      <c r="K124" s="12" t="n">
        <v>25000</v>
      </c>
      <c r="L124" s="12" t="n">
        <v>25000</v>
      </c>
      <c r="M124" s="13">
        <f>IF(AND(ISNUMBER(K124),ISNUMBER(L124),K124&gt;0),1-L124/K124,"")</f>
        <v/>
      </c>
      <c r="N124" s="16" t="n">
        <v>0</v>
      </c>
      <c r="O124" s="12" t="n"/>
      <c r="P124" s="12" t="n"/>
      <c r="Q124" s="12" t="n"/>
      <c r="R124" s="14">
        <f>IF(AND(ISNUMBER(L124),ISNUMBER(P124),ISNUMBER(Q124)),L124/((P124+Q124)/2)-1,"")</f>
        <v/>
      </c>
      <c r="S124" s="10" t="n"/>
      <c r="T124" s="15" t="n">
        <v>158000</v>
      </c>
      <c r="U124" s="16" t="n">
        <v>2000</v>
      </c>
      <c r="V124" s="10" t="inlineStr">
        <is>
          <t>02/2000</t>
        </is>
      </c>
      <c r="W124" s="10" t="inlineStr">
        <is>
          <t>Essence</t>
        </is>
      </c>
      <c r="X124" s="10" t="inlineStr">
        <is>
          <t>Manuelle</t>
        </is>
      </c>
      <c r="Y124" s="16" t="n">
        <v>240</v>
      </c>
      <c r="Z124" s="16" t="n">
        <v>16</v>
      </c>
      <c r="AA124" s="10" t="inlineStr">
        <is>
          <t>Gris</t>
        </is>
      </c>
      <c r="AB124" s="16" t="n">
        <v>2</v>
      </c>
      <c r="AC124" s="10" t="inlineStr">
        <is>
          <t>Cabriolet</t>
        </is>
      </c>
      <c r="AD124" s="10" t="n"/>
      <c r="AE124" s="10" t="n"/>
      <c r="AF124" s="10" t="inlineStr">
        <is>
          <t>Particulier</t>
        </is>
      </c>
      <c r="AG124" s="10" t="inlineStr">
        <is>
          <t>Ancenis-Saint-Géréon</t>
        </is>
      </c>
      <c r="AH124" s="10" t="inlineStr">
        <is>
          <t>44150</t>
        </is>
      </c>
      <c r="AI124" s="10" t="inlineStr">
        <is>
          <t>Loire-Atlantique</t>
        </is>
      </c>
      <c r="AJ124" s="10" t="inlineStr">
        <is>
          <t>Pays de la Loire</t>
        </is>
      </c>
      <c r="AK124" s="16" t="n">
        <v>3</v>
      </c>
      <c r="AL124" s="10" t="n"/>
      <c r="AM124" s="10" t="inlineStr">
        <is>
          <t>Non</t>
        </is>
      </c>
      <c r="AN124" s="10" t="inlineStr">
        <is>
          <t>Bonjour, Je mets à la vente ma Honda S2000 (LHD) de Février 2000. - L’entretien complet est à jour ( Moteur, boîte, pont, freins, …) - Carte grise OK - État de la capote : Très bon Le véhicule est dans un bon état global, quelques imperfections sont présentes malgré tout. Pour plus d’informations / photos sur le véhicule n’hésitez pas à me contacter.</t>
        </is>
      </c>
      <c r="AO124" s="10" t="inlineStr">
        <is>
          <t>Dommages : Bon état général ; Sellerie : Tout cuir ; Permis : Avec permis ; Importé : false</t>
        </is>
      </c>
      <c r="AP124" s="19" t="inlineStr">
        <is>
          <t>Voir</t>
        </is>
      </c>
      <c r="AQ124" s="10" t="inlineStr">
        <is>
          <t>3258000352</t>
        </is>
      </c>
    </row>
    <row r="125">
      <c r="A125" s="10" t="inlineStr">
        <is>
          <t>Honda S2000</t>
        </is>
      </c>
      <c r="B125" s="10" t="inlineStr">
        <is>
          <t>Honda S2000</t>
        </is>
      </c>
      <c r="C125" s="10" t="n"/>
      <c r="D125" s="10" t="n"/>
      <c r="E125" s="10" t="inlineStr">
        <is>
          <t>En vente</t>
        </is>
      </c>
      <c r="F125" s="18" t="n">
        <v>46273</v>
      </c>
      <c r="G125" s="18" t="n">
        <v>46273</v>
      </c>
      <c r="H125" s="18" t="n">
        <v>46310</v>
      </c>
      <c r="I125" s="18" t="n"/>
      <c r="J125" s="17">
        <f>IF(OR(ISNUMBER(F125),ISNUMBER(G125)),IF(ISNUMBER(I125),I125,H125)-IF(ISNUMBER(F125),F125,G125),"")</f>
        <v/>
      </c>
      <c r="K125" s="12" t="n">
        <v>14800</v>
      </c>
      <c r="L125" s="12" t="n">
        <v>14800</v>
      </c>
      <c r="M125" s="13">
        <f>IF(AND(ISNUMBER(K125),ISNUMBER(L125),K125&gt;0),1-L125/K125,"")</f>
        <v/>
      </c>
      <c r="N125" s="16" t="n">
        <v>0</v>
      </c>
      <c r="O125" s="12" t="n"/>
      <c r="P125" s="12" t="n"/>
      <c r="Q125" s="12" t="n"/>
      <c r="R125" s="14">
        <f>IF(AND(ISNUMBER(L125),ISNUMBER(P125),ISNUMBER(Q125)),L125/((P125+Q125)/2)-1,"")</f>
        <v/>
      </c>
      <c r="S125" s="10" t="n"/>
      <c r="T125" s="15" t="n">
        <v>214000</v>
      </c>
      <c r="U125" s="16" t="n">
        <v>2000</v>
      </c>
      <c r="V125" s="10" t="inlineStr">
        <is>
          <t>03/2000</t>
        </is>
      </c>
      <c r="W125" s="10" t="inlineStr">
        <is>
          <t>Essence</t>
        </is>
      </c>
      <c r="X125" s="10" t="inlineStr">
        <is>
          <t>Manuelle</t>
        </is>
      </c>
      <c r="Y125" s="16" t="n">
        <v>240</v>
      </c>
      <c r="Z125" s="16" t="n">
        <v>16</v>
      </c>
      <c r="AA125" s="10" t="inlineStr">
        <is>
          <t>Gris</t>
        </is>
      </c>
      <c r="AB125" s="16" t="n">
        <v>2</v>
      </c>
      <c r="AC125" s="10" t="inlineStr">
        <is>
          <t>Cabriolet</t>
        </is>
      </c>
      <c r="AD125" s="10" t="n"/>
      <c r="AE125" s="10" t="n"/>
      <c r="AF125" s="10" t="inlineStr">
        <is>
          <t>Particulier</t>
        </is>
      </c>
      <c r="AG125" s="10" t="inlineStr">
        <is>
          <t>Bignan</t>
        </is>
      </c>
      <c r="AH125" s="10" t="inlineStr">
        <is>
          <t>56500</t>
        </is>
      </c>
      <c r="AI125" s="10" t="inlineStr">
        <is>
          <t>Morbihan</t>
        </is>
      </c>
      <c r="AJ125" s="10" t="inlineStr">
        <is>
          <t>Bretagne</t>
        </is>
      </c>
      <c r="AK125" s="16" t="n">
        <v>3</v>
      </c>
      <c r="AL125" s="10" t="n"/>
      <c r="AM125" s="10" t="inlineStr">
        <is>
          <t>Non</t>
        </is>
      </c>
      <c r="AN125" s="10" t="inlineStr">
        <is>
          <t>Vends Honda S2000 de 2000 avec 214 000 kms. Le contrôle technique a été passé le 25/06/2026 avec quelques défauts mineurs. J’ai le véhicule en ma possession depuis 2018 et je m’en sépare pour un changement de projet. Le véhicule possède une ligne inox sur mesure après catalyseur, une admission injen, radiateur alu, des combines filetés ainsi que quelques autres pièces. La climatisation a été supprimé ainsi que le système de pompe à air secondaire. J’ai toujours entretenu le véhicule avec des flu</t>
        </is>
      </c>
      <c r="AO125" s="10" t="inlineStr">
        <is>
          <t>vehicle_technical_inspection_valid : Oui ; Contrôle technique : 2028 ; Dommages : Traces d’usure normales ; Sellerie : Tout cuir ; Équipements intérieurs : Bluetooth ; Permis : Avec permis ; Importé : false</t>
        </is>
      </c>
      <c r="AP125" s="19" t="inlineStr">
        <is>
          <t>Voir</t>
        </is>
      </c>
      <c r="AQ125" s="10" t="inlineStr">
        <is>
          <t>3266038843</t>
        </is>
      </c>
    </row>
    <row r="126">
      <c r="A126" s="10" t="inlineStr">
        <is>
          <t>Honda S2000</t>
        </is>
      </c>
      <c r="B126" s="10" t="inlineStr">
        <is>
          <t>Honda s2000 ap1</t>
        </is>
      </c>
      <c r="C126" s="10" t="n"/>
      <c r="D126" s="10" t="n"/>
      <c r="E126" s="10" t="inlineStr">
        <is>
          <t>En vente</t>
        </is>
      </c>
      <c r="F126" s="18" t="n">
        <v>46277</v>
      </c>
      <c r="G126" s="18" t="n">
        <v>46277</v>
      </c>
      <c r="H126" s="18" t="n">
        <v>46310</v>
      </c>
      <c r="I126" s="18" t="n"/>
      <c r="J126" s="17">
        <f>IF(OR(ISNUMBER(F126),ISNUMBER(G126)),IF(ISNUMBER(I126),I126,H126)-IF(ISNUMBER(F126),F126,G126),"")</f>
        <v/>
      </c>
      <c r="K126" s="12" t="n">
        <v>21000</v>
      </c>
      <c r="L126" s="12" t="n">
        <v>21000</v>
      </c>
      <c r="M126" s="13">
        <f>IF(AND(ISNUMBER(K126),ISNUMBER(L126),K126&gt;0),1-L126/K126,"")</f>
        <v/>
      </c>
      <c r="N126" s="16" t="n">
        <v>0</v>
      </c>
      <c r="O126" s="12" t="n"/>
      <c r="P126" s="12" t="n"/>
      <c r="Q126" s="12" t="n"/>
      <c r="R126" s="14">
        <f>IF(AND(ISNUMBER(L126),ISNUMBER(P126),ISNUMBER(Q126)),L126/((P126+Q126)/2)-1,"")</f>
        <v/>
      </c>
      <c r="S126" s="10" t="n"/>
      <c r="T126" s="15" t="n">
        <v>153800</v>
      </c>
      <c r="U126" s="16" t="n">
        <v>2000</v>
      </c>
      <c r="V126" s="10" t="inlineStr">
        <is>
          <t>08/2000</t>
        </is>
      </c>
      <c r="W126" s="10" t="inlineStr">
        <is>
          <t>Essence</t>
        </is>
      </c>
      <c r="X126" s="10" t="inlineStr">
        <is>
          <t>Manuelle</t>
        </is>
      </c>
      <c r="Y126" s="16" t="n">
        <v>240</v>
      </c>
      <c r="Z126" s="16" t="n">
        <v>16</v>
      </c>
      <c r="AA126" s="10" t="inlineStr">
        <is>
          <t>Rouge</t>
        </is>
      </c>
      <c r="AB126" s="16" t="n">
        <v>2</v>
      </c>
      <c r="AC126" s="10" t="inlineStr">
        <is>
          <t>Cabriolet</t>
        </is>
      </c>
      <c r="AD126" s="10" t="n"/>
      <c r="AE126" s="10" t="n"/>
      <c r="AF126" s="10" t="inlineStr">
        <is>
          <t>Particulier</t>
        </is>
      </c>
      <c r="AG126" s="10" t="inlineStr">
        <is>
          <t>Marseille</t>
        </is>
      </c>
      <c r="AH126" s="10" t="inlineStr">
        <is>
          <t>13010</t>
        </is>
      </c>
      <c r="AI126" s="10" t="inlineStr">
        <is>
          <t>Bouches-du-Rhône</t>
        </is>
      </c>
      <c r="AJ126" s="10" t="inlineStr">
        <is>
          <t>Provence-Alpes-Côte d'Azur</t>
        </is>
      </c>
      <c r="AK126" s="16" t="n">
        <v>3</v>
      </c>
      <c r="AL126" s="10" t="n"/>
      <c r="AM126" s="10" t="inlineStr">
        <is>
          <t>Non</t>
        </is>
      </c>
      <c r="AN126" s="10" t="inlineStr">
        <is>
          <t>Bonjour, Vends Honda s2000 phase 1 de 2000. Dort dans le garage. Carrosserie et intérieur en très bon état. Prévoir changement de capote et tapis de sol qui ont vieillis.</t>
        </is>
      </c>
      <c r="AO126" s="10" t="inlineStr">
        <is>
          <t>vehicle_technical_inspection_valid : Non ; Sellerie : Tout cuir ; Permis : Avec permis ; Importé : false ; vehicle_history_report_status : visible</t>
        </is>
      </c>
      <c r="AP126" s="19" t="inlineStr">
        <is>
          <t>Voir</t>
        </is>
      </c>
      <c r="AQ126" s="10" t="inlineStr">
        <is>
          <t>3268164763</t>
        </is>
      </c>
    </row>
    <row r="127">
      <c r="A127" s="10" t="inlineStr">
        <is>
          <t>Honda S2000</t>
        </is>
      </c>
      <c r="B127" s="10" t="inlineStr">
        <is>
          <t>Honda s2000</t>
        </is>
      </c>
      <c r="C127" s="10" t="inlineStr">
        <is>
          <t>S2000 2.0 BV6</t>
        </is>
      </c>
      <c r="D127" s="10" t="inlineStr">
        <is>
          <t>Base</t>
        </is>
      </c>
      <c r="E127" s="10" t="inlineStr">
        <is>
          <t>En vente</t>
        </is>
      </c>
      <c r="F127" s="18" t="n">
        <v>46279</v>
      </c>
      <c r="G127" s="18" t="n">
        <v>46279</v>
      </c>
      <c r="H127" s="18" t="n">
        <v>46310</v>
      </c>
      <c r="I127" s="18" t="n"/>
      <c r="J127" s="17">
        <f>IF(OR(ISNUMBER(F127),ISNUMBER(G127)),IF(ISNUMBER(I127),I127,H127)-IF(ISNUMBER(F127),F127,G127),"")</f>
        <v/>
      </c>
      <c r="K127" s="12" t="n">
        <v>27500</v>
      </c>
      <c r="L127" s="12" t="n">
        <v>27500</v>
      </c>
      <c r="M127" s="13">
        <f>IF(AND(ISNUMBER(K127),ISNUMBER(L127),K127&gt;0),1-L127/K127,"")</f>
        <v/>
      </c>
      <c r="N127" s="16" t="n">
        <v>0</v>
      </c>
      <c r="O127" s="12" t="n"/>
      <c r="P127" s="12" t="n"/>
      <c r="Q127" s="12" t="n"/>
      <c r="R127" s="14">
        <f>IF(AND(ISNUMBER(L127),ISNUMBER(P127),ISNUMBER(Q127)),L127/((P127+Q127)/2)-1,"")</f>
        <v/>
      </c>
      <c r="S127" s="10" t="n"/>
      <c r="T127" s="15" t="n">
        <v>130000</v>
      </c>
      <c r="U127" s="16" t="n">
        <v>2000</v>
      </c>
      <c r="V127" s="10" t="inlineStr">
        <is>
          <t>02/2000</t>
        </is>
      </c>
      <c r="W127" s="10" t="inlineStr">
        <is>
          <t>Essence</t>
        </is>
      </c>
      <c r="X127" s="10" t="inlineStr">
        <is>
          <t>Manuelle</t>
        </is>
      </c>
      <c r="Y127" s="16" t="n">
        <v>240</v>
      </c>
      <c r="Z127" s="16" t="n">
        <v>16</v>
      </c>
      <c r="AA127" s="10" t="inlineStr">
        <is>
          <t>Noir</t>
        </is>
      </c>
      <c r="AB127" s="16" t="n">
        <v>2</v>
      </c>
      <c r="AC127" s="10" t="inlineStr">
        <is>
          <t>Cabriolet</t>
        </is>
      </c>
      <c r="AD127" s="10" t="inlineStr">
        <is>
          <t>Factures disponibles, Véhicule non fumeur, Réparations utiles déjà faites</t>
        </is>
      </c>
      <c r="AE127" s="10" t="n"/>
      <c r="AF127" s="10" t="inlineStr">
        <is>
          <t>Particulier</t>
        </is>
      </c>
      <c r="AG127" s="10" t="inlineStr">
        <is>
          <t>Tarbes</t>
        </is>
      </c>
      <c r="AH127" s="10" t="inlineStr">
        <is>
          <t>65000</t>
        </is>
      </c>
      <c r="AI127" s="10" t="inlineStr">
        <is>
          <t>Hautes-Pyrénées</t>
        </is>
      </c>
      <c r="AJ127" s="10" t="inlineStr">
        <is>
          <t>Midi-Pyrénées</t>
        </is>
      </c>
      <c r="AK127" s="16" t="n">
        <v>3</v>
      </c>
      <c r="AL127" s="10" t="n"/>
      <c r="AM127" s="10" t="inlineStr">
        <is>
          <t>Non</t>
        </is>
      </c>
      <c r="AN127" s="10" t="inlineStr">
        <is>
          <t xml:space="preserve">Honda s2000 du 15/02/2000 Dans un super état à tout niveau, carrosserie, châssis, moteur La peinture a été faite en 2024 complètes avec peinture des jantes neuves Niveau châssis : Tout les trains avant et arrière sont neufs, silenbloc triangles, rotules, barre Stab,soufflet ..etc Ainsi que les freins : Plaquettes avant et arrière, EBC, flexible, aviation avant arrière, et les quatre étriers ont été refait, changement, piston plus joints Un parallélisme a été fait Les 4 pneus sont proche du neuf </t>
        </is>
      </c>
      <c r="AO127" s="10" t="inlineStr">
        <is>
          <t>vehicle_technical_inspection_valid : Oui ; Contrôle technique : 2028 ; Dommages : Excellent état (proche du neuf) ; Sellerie : Tout cuir ; Permis : Avec permis ; Importé : false</t>
        </is>
      </c>
      <c r="AP127" s="19" t="inlineStr">
        <is>
          <t>Voir</t>
        </is>
      </c>
      <c r="AQ127" s="10" t="inlineStr">
        <is>
          <t>3269545549</t>
        </is>
      </c>
    </row>
    <row r="128">
      <c r="A128" s="10" t="inlineStr">
        <is>
          <t>Honda S2000</t>
        </is>
      </c>
      <c r="B128" s="10" t="inlineStr">
        <is>
          <t>TOYOTA MR2 1.8 140 VVT-i 2005 - 110 430 km - Réfection complète peinture - sellerie - capote - pneus arrière neufs -</t>
        </is>
      </c>
      <c r="C128" s="10" t="inlineStr">
        <is>
          <t>MR 140 VVT-i</t>
        </is>
      </c>
      <c r="D128" s="10" t="inlineStr">
        <is>
          <t>Base</t>
        </is>
      </c>
      <c r="E128" s="10" t="inlineStr">
        <is>
          <t>En vente</t>
        </is>
      </c>
      <c r="F128" s="18" t="n">
        <v>46280</v>
      </c>
      <c r="G128" s="18" t="n">
        <v>46280</v>
      </c>
      <c r="H128" s="18" t="n">
        <v>46310</v>
      </c>
      <c r="I128" s="18" t="n"/>
      <c r="J128" s="17">
        <f>IF(OR(ISNUMBER(F128),ISNUMBER(G128)),IF(ISNUMBER(I128),I128,H128)-IF(ISNUMBER(F128),F128,G128),"")</f>
        <v/>
      </c>
      <c r="K128" s="12" t="n">
        <v>11990</v>
      </c>
      <c r="L128" s="12" t="n">
        <v>11990</v>
      </c>
      <c r="M128" s="13">
        <f>IF(AND(ISNUMBER(K128),ISNUMBER(L128),K128&gt;0),1-L128/K128,"")</f>
        <v/>
      </c>
      <c r="N128" s="16" t="n">
        <v>0</v>
      </c>
      <c r="O128" s="12" t="n"/>
      <c r="P128" s="12" t="n"/>
      <c r="Q128" s="12" t="n"/>
      <c r="R128" s="14">
        <f>IF(AND(ISNUMBER(L128),ISNUMBER(P128),ISNUMBER(Q128)),L128/((P128+Q128)/2)-1,"")</f>
        <v/>
      </c>
      <c r="S128" s="10" t="n"/>
      <c r="T128" s="15" t="n">
        <v>110430</v>
      </c>
      <c r="U128" s="16" t="n">
        <v>2005</v>
      </c>
      <c r="V128" s="10" t="inlineStr">
        <is>
          <t>06/2005</t>
        </is>
      </c>
      <c r="W128" s="10" t="inlineStr">
        <is>
          <t>Essence</t>
        </is>
      </c>
      <c r="X128" s="10" t="inlineStr">
        <is>
          <t>Manuelle</t>
        </is>
      </c>
      <c r="Y128" s="16" t="n">
        <v>140</v>
      </c>
      <c r="Z128" s="16" t="n">
        <v>8</v>
      </c>
      <c r="AA128" s="10" t="inlineStr">
        <is>
          <t>Rouge</t>
        </is>
      </c>
      <c r="AB128" s="16" t="n">
        <v>2</v>
      </c>
      <c r="AC128" s="10" t="inlineStr">
        <is>
          <t>Cabriolet</t>
        </is>
      </c>
      <c r="AD128" s="10" t="n"/>
      <c r="AE128" s="10" t="n"/>
      <c r="AF128" s="10" t="inlineStr">
        <is>
          <t>Pro</t>
        </is>
      </c>
      <c r="AG128" s="10" t="inlineStr">
        <is>
          <t>Reims</t>
        </is>
      </c>
      <c r="AH128" s="10" t="inlineStr">
        <is>
          <t>51100</t>
        </is>
      </c>
      <c r="AI128" s="10" t="inlineStr">
        <is>
          <t>Marne</t>
        </is>
      </c>
      <c r="AJ128" s="10" t="inlineStr">
        <is>
          <t>Champagne-Ardenne</t>
        </is>
      </c>
      <c r="AK128" s="16" t="n">
        <v>20</v>
      </c>
      <c r="AL128" s="10" t="n"/>
      <c r="AM128" s="10" t="inlineStr">
        <is>
          <t>Non</t>
        </is>
      </c>
      <c r="AN128" s="10" t="inlineStr">
        <is>
          <t>Vroom Market Reims vous propose : TOYOTA MR MR2 140 VVT-i 140ch 2005 • 110 430 km • Essence • Boîte manuelle 📁 État &amp; Historique Kilométrage : 110 430 km Mise en circulation : juin 2005 Carrosserie : 2 portes • 2 places Finition : MR2 140 VVT-i Contrôle technique : Moins de 6 mois ⚙️ Motorisation &amp; Performances Motorisation : Essence 140 ch Cylindrée : 1794 cm³ Boîte : Manuelle 5 rapports Transmission : Propulsion CO2 : 178 g/km 📸 Photos professionnelles disponibles sur simple demande. 📞 Disp</t>
        </is>
      </c>
      <c r="AO128" s="10" t="inlineStr">
        <is>
          <t>Équipements intérieurs : Jantes en alliage, Phares anti-brouillard ; VO récent : false ; Importé : true ; vehicle_history_report_status : visible ; spare_parts_availability : Non renseignée</t>
        </is>
      </c>
      <c r="AP128" s="19" t="inlineStr">
        <is>
          <t>Voir</t>
        </is>
      </c>
      <c r="AQ128" s="10" t="inlineStr">
        <is>
          <t>3270236878</t>
        </is>
      </c>
    </row>
    <row r="129">
      <c r="A129" s="10" t="inlineStr">
        <is>
          <t>Honda S2000</t>
        </is>
      </c>
      <c r="B129" s="10" t="inlineStr">
        <is>
          <t>Honda s2000 2.0 vtec 240</t>
        </is>
      </c>
      <c r="C129" s="10" t="inlineStr">
        <is>
          <t>S2000 2.0 BV6</t>
        </is>
      </c>
      <c r="D129" s="10" t="inlineStr">
        <is>
          <t>Base</t>
        </is>
      </c>
      <c r="E129" s="10" t="inlineStr">
        <is>
          <t>En vente</t>
        </is>
      </c>
      <c r="F129" s="18" t="n">
        <v>46283</v>
      </c>
      <c r="G129" s="18" t="n">
        <v>46283</v>
      </c>
      <c r="H129" s="18" t="n">
        <v>46310</v>
      </c>
      <c r="I129" s="18" t="n"/>
      <c r="J129" s="17">
        <f>IF(OR(ISNUMBER(F129),ISNUMBER(G129)),IF(ISNUMBER(I129),I129,H129)-IF(ISNUMBER(F129),F129,G129),"")</f>
        <v/>
      </c>
      <c r="K129" s="12" t="n">
        <v>30980</v>
      </c>
      <c r="L129" s="12" t="n">
        <v>30980</v>
      </c>
      <c r="M129" s="13">
        <f>IF(AND(ISNUMBER(K129),ISNUMBER(L129),K129&gt;0),1-L129/K129,"")</f>
        <v/>
      </c>
      <c r="N129" s="16" t="n">
        <v>0</v>
      </c>
      <c r="O129" s="12" t="n"/>
      <c r="P129" s="12" t="n"/>
      <c r="Q129" s="12" t="n"/>
      <c r="R129" s="14">
        <f>IF(AND(ISNUMBER(L129),ISNUMBER(P129),ISNUMBER(Q129)),L129/((P129+Q129)/2)-1,"")</f>
        <v/>
      </c>
      <c r="S129" s="10" t="n"/>
      <c r="T129" s="15" t="n">
        <v>124526</v>
      </c>
      <c r="U129" s="16" t="n">
        <v>2000</v>
      </c>
      <c r="V129" s="10" t="inlineStr">
        <is>
          <t>08/2000</t>
        </is>
      </c>
      <c r="W129" s="10" t="inlineStr">
        <is>
          <t>Essence</t>
        </is>
      </c>
      <c r="X129" s="10" t="inlineStr">
        <is>
          <t>Manuelle</t>
        </is>
      </c>
      <c r="Y129" s="16" t="n">
        <v>240</v>
      </c>
      <c r="Z129" s="16" t="n">
        <v>16</v>
      </c>
      <c r="AA129" s="10" t="inlineStr">
        <is>
          <t>Autre</t>
        </is>
      </c>
      <c r="AB129" s="16" t="n">
        <v>2</v>
      </c>
      <c r="AC129" s="10" t="inlineStr">
        <is>
          <t>Cabriolet</t>
        </is>
      </c>
      <c r="AD129" s="10" t="n"/>
      <c r="AE129" s="10" t="n"/>
      <c r="AF129" s="10" t="inlineStr">
        <is>
          <t>Pro</t>
        </is>
      </c>
      <c r="AG129" s="10" t="inlineStr">
        <is>
          <t>Saint-Maur-des-Fossés</t>
        </is>
      </c>
      <c r="AH129" s="10" t="inlineStr">
        <is>
          <t>94100</t>
        </is>
      </c>
      <c r="AI129" s="10" t="inlineStr">
        <is>
          <t>Val-de-Marne</t>
        </is>
      </c>
      <c r="AJ129" s="10" t="inlineStr">
        <is>
          <t>Ile-de-France</t>
        </is>
      </c>
      <c r="AK129" s="16" t="n">
        <v>10</v>
      </c>
      <c r="AL129" s="10" t="n"/>
      <c r="AM129" s="10" t="inlineStr">
        <is>
          <t>Non</t>
        </is>
      </c>
      <c r="AN129" s="10" t="inlineStr">
        <is>
          <t>Je vends ma Honda S2000 de 2000, un cabriolet sportif légendaire avec 124 526 km au compteur. - Marque : Honda - Modèle : S2000 - Année : 2000 - Kilométrage : 124 526 km - Motorisation : 2.0 VTEC 240 ch - Carburant : Essence - Boîte de vitesses : Manuelle - Type de véhicule : Cabriolet - Nombre de portes : 2 - Puissance fiscale : 16 Cv - Couleur : Gris - Norme Euro : Euro 3 - Crit'air : 3 N'hésitez pas à me contacter pour plus d'informations ou pour convenir d'un essai !</t>
        </is>
      </c>
      <c r="AO129" s="10" t="inlineStr">
        <is>
          <t>Sellerie : Tout cuir ; vehicle_euro_emissions_standard : Euro 3 ; Permis : Avec permis ; Vente en LOA/LLD : Non ; VO récent : false ; vehicle_commercial_warranty : Non ; vehicle_manufacturer_warranty : Non ; Importé : false ; vehicle_history_report_status : visible ; spare_parts_availability : Non renseignée</t>
        </is>
      </c>
      <c r="AP129" s="19" t="inlineStr">
        <is>
          <t>Voir</t>
        </is>
      </c>
      <c r="AQ129" s="10" t="inlineStr">
        <is>
          <t>3271776834</t>
        </is>
      </c>
    </row>
    <row r="130">
      <c r="A130" s="10" t="inlineStr">
        <is>
          <t>Honda S2000</t>
        </is>
      </c>
      <c r="B130" s="10" t="inlineStr">
        <is>
          <t>Honda S2000 AP1 2.0 vtec 240- Seulement 20 200 km - Origine France Japauto - Carnet d'entretien disponible tamponné</t>
        </is>
      </c>
      <c r="C130" s="10" t="n"/>
      <c r="D130" s="10" t="n"/>
      <c r="E130" s="10" t="inlineStr">
        <is>
          <t>En vente</t>
        </is>
      </c>
      <c r="F130" s="18" t="n">
        <v>46286</v>
      </c>
      <c r="G130" s="18" t="n">
        <v>46286</v>
      </c>
      <c r="H130" s="18" t="n">
        <v>46310</v>
      </c>
      <c r="I130" s="18" t="n"/>
      <c r="J130" s="17">
        <f>IF(OR(ISNUMBER(F130),ISNUMBER(G130)),IF(ISNUMBER(I130),I130,H130)-IF(ISNUMBER(F130),F130,G130),"")</f>
        <v/>
      </c>
      <c r="K130" s="12" t="n">
        <v>49990</v>
      </c>
      <c r="L130" s="12" t="n">
        <v>49990</v>
      </c>
      <c r="M130" s="13">
        <f>IF(AND(ISNUMBER(K130),ISNUMBER(L130),K130&gt;0),1-L130/K130,"")</f>
        <v/>
      </c>
      <c r="N130" s="16" t="n">
        <v>0</v>
      </c>
      <c r="O130" s="12" t="n"/>
      <c r="P130" s="12" t="n"/>
      <c r="Q130" s="12" t="n"/>
      <c r="R130" s="14">
        <f>IF(AND(ISNUMBER(L130),ISNUMBER(P130),ISNUMBER(Q130)),L130/((P130+Q130)/2)-1,"")</f>
        <v/>
      </c>
      <c r="S130" s="10" t="n"/>
      <c r="T130" s="15" t="n">
        <v>20200</v>
      </c>
      <c r="U130" s="16" t="n">
        <v>2000</v>
      </c>
      <c r="V130" s="10" t="inlineStr">
        <is>
          <t>05/2000</t>
        </is>
      </c>
      <c r="W130" s="10" t="inlineStr">
        <is>
          <t>Essence</t>
        </is>
      </c>
      <c r="X130" s="10" t="inlineStr">
        <is>
          <t>Manuelle</t>
        </is>
      </c>
      <c r="Y130" s="16" t="n">
        <v>240</v>
      </c>
      <c r="Z130" s="16" t="n">
        <v>16</v>
      </c>
      <c r="AA130" s="10" t="inlineStr">
        <is>
          <t>Gris</t>
        </is>
      </c>
      <c r="AB130" s="16" t="n">
        <v>2</v>
      </c>
      <c r="AC130" s="10" t="inlineStr">
        <is>
          <t>Cabriolet</t>
        </is>
      </c>
      <c r="AD130" s="10" t="inlineStr">
        <is>
          <t>Carnet d'entretien disponible, Factures disponibles</t>
        </is>
      </c>
      <c r="AE130" s="10" t="n"/>
      <c r="AF130" s="10" t="inlineStr">
        <is>
          <t>Pro</t>
        </is>
      </c>
      <c r="AG130" s="10" t="inlineStr">
        <is>
          <t>Les Alluets-le-Roi</t>
        </is>
      </c>
      <c r="AH130" s="10" t="inlineStr">
        <is>
          <t>78580</t>
        </is>
      </c>
      <c r="AI130" s="10" t="inlineStr">
        <is>
          <t>Yvelines</t>
        </is>
      </c>
      <c r="AJ130" s="10" t="inlineStr">
        <is>
          <t>Ile-de-France</t>
        </is>
      </c>
      <c r="AK130" s="16" t="n">
        <v>15</v>
      </c>
      <c r="AL130" s="10" t="inlineStr">
        <is>
          <t>Oui</t>
        </is>
      </c>
      <c r="AM130" s="10" t="inlineStr">
        <is>
          <t>Non</t>
        </is>
      </c>
      <c r="AN130" s="10" t="inlineStr">
        <is>
          <t xml:space="preserve">L'Automobile Performance Paris, Vous présente cette exceptionnelle Honda S2000 du 10/05/2000 comptabilisant seulement 20 200 km. * Rare origine France, jamais accidenté. * Un des modèles les moins kilométrés d'Europe. * Version AP1. Plus radicale, plus rageur, plus ferme et moins d'aide à la conduite que les AP2. * Entretiens : 5 485 km - Japauto 9 309 km - Japauto 11 709 km - Japauto 13 405 km - Japauto 16 610 km - Japauto Vidange faite hors facture il y a moins d'un an. Possibilité de refaire </t>
        </is>
      </c>
      <c r="AO130" s="10" t="inlineStr">
        <is>
          <t>Sellerie : Tout cuir ; Permis : Avec permis ; VO récent : false ; custom_ref : NATHAN ; Importé : false ; vehicle_history_report_status : visible ; vehicle_history_teaser_critair : 3 ; vehicle_history_teaser_owners : 3 ; vehicle_history_teaser_expertises : false ; vehicle_history_teaser_special_uses : false ; vehicle_history_teaser_atypical_operations : false ; vehicle_history_teaser_importations : false ; spare_parts_availability : Non renseignée</t>
        </is>
      </c>
      <c r="AP130" s="19" t="inlineStr">
        <is>
          <t>Voir</t>
        </is>
      </c>
      <c r="AQ130" s="10" t="inlineStr">
        <is>
          <t>3274290118</t>
        </is>
      </c>
    </row>
    <row r="131">
      <c r="A131" s="10" t="inlineStr">
        <is>
          <t>Honda S2000</t>
        </is>
      </c>
      <c r="B131" s="10" t="inlineStr">
        <is>
          <t>PORSCHE BOXSTER S 986 3.2i 252cv - Sièges cuir électriques chauffants/Air conditionné/Jantes 18</t>
        </is>
      </c>
      <c r="C131" s="10" t="inlineStr">
        <is>
          <t>Boxster 3.2 S</t>
        </is>
      </c>
      <c r="D131" s="10" t="inlineStr">
        <is>
          <t>S</t>
        </is>
      </c>
      <c r="E131" s="10" t="inlineStr">
        <is>
          <t>En vente</t>
        </is>
      </c>
      <c r="F131" s="18" t="n">
        <v>46198</v>
      </c>
      <c r="G131" s="18" t="n">
        <v>46198</v>
      </c>
      <c r="H131" s="18" t="n">
        <v>46310</v>
      </c>
      <c r="I131" s="18" t="n"/>
      <c r="J131" s="17">
        <f>IF(OR(ISNUMBER(F131),ISNUMBER(G131)),IF(ISNUMBER(I131),I131,H131)-IF(ISNUMBER(F131),F131,G131),"")</f>
        <v/>
      </c>
      <c r="K131" s="12" t="n">
        <v>18990</v>
      </c>
      <c r="L131" s="12" t="n">
        <v>18990</v>
      </c>
      <c r="M131" s="13">
        <f>IF(AND(ISNUMBER(K131),ISNUMBER(L131),K131&gt;0),1-L131/K131,"")</f>
        <v/>
      </c>
      <c r="N131" s="16" t="n">
        <v>0</v>
      </c>
      <c r="O131" s="12" t="n">
        <v>19990</v>
      </c>
      <c r="P131" s="12" t="n"/>
      <c r="Q131" s="12" t="n"/>
      <c r="R131" s="14">
        <f>IF(AND(ISNUMBER(L131),ISNUMBER(P131),ISNUMBER(Q131)),L131/((P131+Q131)/2)-1,"")</f>
        <v/>
      </c>
      <c r="S131" s="10" t="n"/>
      <c r="T131" s="15" t="n">
        <v>137000</v>
      </c>
      <c r="U131" s="16" t="n">
        <v>2002</v>
      </c>
      <c r="V131" s="10" t="inlineStr">
        <is>
          <t>04/2002</t>
        </is>
      </c>
      <c r="W131" s="10" t="inlineStr">
        <is>
          <t>Essence</t>
        </is>
      </c>
      <c r="X131" s="10" t="inlineStr">
        <is>
          <t>Manuelle</t>
        </is>
      </c>
      <c r="Y131" s="16" t="n">
        <v>252</v>
      </c>
      <c r="Z131" s="16" t="n">
        <v>17</v>
      </c>
      <c r="AA131" s="10" t="inlineStr">
        <is>
          <t>Noir</t>
        </is>
      </c>
      <c r="AB131" s="16" t="n">
        <v>2</v>
      </c>
      <c r="AC131" s="10" t="inlineStr">
        <is>
          <t>Cabriolet</t>
        </is>
      </c>
      <c r="AD131" s="10" t="n"/>
      <c r="AE131" s="10" t="n"/>
      <c r="AF131" s="10" t="inlineStr">
        <is>
          <t>Pro</t>
        </is>
      </c>
      <c r="AG131" s="10" t="inlineStr">
        <is>
          <t>Couchey</t>
        </is>
      </c>
      <c r="AH131" s="10" t="inlineStr">
        <is>
          <t>21160</t>
        </is>
      </c>
      <c r="AI131" s="10" t="inlineStr">
        <is>
          <t>Côte-d'Or</t>
        </is>
      </c>
      <c r="AJ131" s="10" t="inlineStr">
        <is>
          <t>Bourgogne</t>
        </is>
      </c>
      <c r="AK131" s="16" t="n">
        <v>17</v>
      </c>
      <c r="AL131" s="10" t="n"/>
      <c r="AM131" s="10" t="inlineStr">
        <is>
          <t>Non</t>
        </is>
      </c>
      <c r="AN131" s="10" t="inlineStr">
        <is>
          <t>Suite Automobile Votre intermédiaire de confiance pour l’achat et la vente de voitures d’occasion. Le bonus avec ce véhicule ? Vous bénéficiez d'une garantie de . N'hésitez pas à nous contacter pour un essai routier ! Véhicule visible sur rendez-vous. Modèles équivalents : BMW Z4, Mercedes-Benz SLK, Mercedes-Benz SLC, Audi TT Roadster, Jaguar F-Type, Lotus Elise, Alpine A110, Nissan 370Z Roadster, Mazda MX-5, Honda S2000, Porsche Boxster 252cv 252ch 252 cv ch Frais de mise a la route optionnel 6</t>
        </is>
      </c>
      <c r="AO131" s="10" t="inlineStr">
        <is>
          <t>Dommages : Bon état général ; Sellerie : Tout cuir ; Équipements intérieurs : Jantes en alliage, Ordinateur de bord, Vitres électriques arrières ; Permis : Avec permis ; VO récent : false ; custom_ref : 1809-0000148 ; Importé : true ; vehicle_history_report_status : visible ; spare_parts_availability : Non renseignée</t>
        </is>
      </c>
      <c r="AP131" s="19" t="inlineStr">
        <is>
          <t>Voir</t>
        </is>
      </c>
      <c r="AQ131" s="10" t="inlineStr">
        <is>
          <t>3278262538</t>
        </is>
      </c>
    </row>
    <row r="132">
      <c r="A132" s="10" t="inlineStr">
        <is>
          <t>Honda S2000</t>
        </is>
      </c>
      <c r="B132" s="10" t="inlineStr">
        <is>
          <t>HONDA S2000 2.0 i-VTEC COUPE . PHASE 2</t>
        </is>
      </c>
      <c r="C132" s="10" t="inlineStr">
        <is>
          <t>S2000 2.0 VTEC</t>
        </is>
      </c>
      <c r="D132" s="10" t="inlineStr">
        <is>
          <t>Base</t>
        </is>
      </c>
      <c r="E132" s="10" t="inlineStr">
        <is>
          <t>En vente</t>
        </is>
      </c>
      <c r="F132" s="18" t="n">
        <v>46234</v>
      </c>
      <c r="G132" s="18" t="n">
        <v>46234</v>
      </c>
      <c r="H132" s="18" t="n">
        <v>46310</v>
      </c>
      <c r="I132" s="18" t="n"/>
      <c r="J132" s="17">
        <f>IF(OR(ISNUMBER(F132),ISNUMBER(G132)),IF(ISNUMBER(I132),I132,H132)-IF(ISNUMBER(F132),F132,G132),"")</f>
        <v/>
      </c>
      <c r="K132" s="12" t="n">
        <v>35790</v>
      </c>
      <c r="L132" s="12" t="n">
        <v>35790</v>
      </c>
      <c r="M132" s="13">
        <f>IF(AND(ISNUMBER(K132),ISNUMBER(L132),K132&gt;0),1-L132/K132,"")</f>
        <v/>
      </c>
      <c r="N132" s="16" t="n">
        <v>0</v>
      </c>
      <c r="O132" s="12" t="n">
        <v>36990</v>
      </c>
      <c r="P132" s="12" t="n"/>
      <c r="Q132" s="12" t="n"/>
      <c r="R132" s="14">
        <f>IF(AND(ISNUMBER(L132),ISNUMBER(P132),ISNUMBER(Q132)),L132/((P132+Q132)/2)-1,"")</f>
        <v/>
      </c>
      <c r="S132" s="10" t="n"/>
      <c r="T132" s="15" t="n">
        <v>105000</v>
      </c>
      <c r="U132" s="16" t="n">
        <v>2007</v>
      </c>
      <c r="V132" s="10" t="inlineStr">
        <is>
          <t>01/2007</t>
        </is>
      </c>
      <c r="W132" s="10" t="inlineStr">
        <is>
          <t>Essence</t>
        </is>
      </c>
      <c r="X132" s="10" t="inlineStr">
        <is>
          <t>Manuelle</t>
        </is>
      </c>
      <c r="Y132" s="16" t="n">
        <v>240</v>
      </c>
      <c r="Z132" s="16" t="n">
        <v>16</v>
      </c>
      <c r="AA132" s="10" t="inlineStr">
        <is>
          <t>Gris</t>
        </is>
      </c>
      <c r="AB132" s="16" t="n">
        <v>2</v>
      </c>
      <c r="AC132" s="10" t="inlineStr">
        <is>
          <t>Coupé</t>
        </is>
      </c>
      <c r="AD132" s="10" t="n"/>
      <c r="AE132" s="10" t="n"/>
      <c r="AF132" s="10" t="inlineStr">
        <is>
          <t>Pro</t>
        </is>
      </c>
      <c r="AG132" s="10" t="inlineStr">
        <is>
          <t>Bretignolles-sur-Mer</t>
        </is>
      </c>
      <c r="AH132" s="10" t="inlineStr">
        <is>
          <t>85470</t>
        </is>
      </c>
      <c r="AI132" s="10" t="inlineStr">
        <is>
          <t>Vendée</t>
        </is>
      </c>
      <c r="AJ132" s="10" t="inlineStr">
        <is>
          <t>Pays de la Loire</t>
        </is>
      </c>
      <c r="AK132" s="16" t="n">
        <v>44</v>
      </c>
      <c r="AL132" s="10" t="n"/>
      <c r="AM132" s="10" t="inlineStr">
        <is>
          <t>Non</t>
        </is>
      </c>
      <c r="AN132" s="10" t="inlineStr">
        <is>
          <t>Honda S2000 2.0 i-VTEC Coupe Phase 2 2007 Lolan Mobility vous propose cette Honda S2000, cabriolet mythique d'exception alliant le légendaire moteur VTEC capable de montées en régime fulgurantes, un équilibre parfait et un plaisir de conduite pur. Un véhicule de collection iconique, taillé pour les passionnés de sensations authentiques, sublimé par une sellerie cuir rouge et noir très recherchée, dans un coloris Gris élégant et intemporel. Options Sellerie cuir rouge et noir (très recherchée) Ca</t>
        </is>
      </c>
      <c r="AO132" s="10" t="inlineStr">
        <is>
          <t>Dommages : Bon état général ; Équipements intérieurs : Jantes en alliage ; Permis : Avec permis ; VO récent : false ; custom_ref : 1894-0000156 ; Importé : true ; vehicle_history_report_status : visible ; spare_parts_availability : Non renseignée</t>
        </is>
      </c>
      <c r="AP132" s="19" t="inlineStr">
        <is>
          <t>Voir</t>
        </is>
      </c>
      <c r="AQ132" s="10" t="inlineStr">
        <is>
          <t>3278304133</t>
        </is>
      </c>
    </row>
    <row r="133">
      <c r="A133" s="10" t="inlineStr">
        <is>
          <t>Honda S2000</t>
        </is>
      </c>
      <c r="B133" s="10" t="inlineStr">
        <is>
          <t>Honda S2000</t>
        </is>
      </c>
      <c r="C133" s="10" t="n"/>
      <c r="D133" s="10" t="n"/>
      <c r="E133" s="10" t="inlineStr">
        <is>
          <t>En vente</t>
        </is>
      </c>
      <c r="F133" s="18" t="n">
        <v>46293</v>
      </c>
      <c r="G133" s="18" t="n">
        <v>46293</v>
      </c>
      <c r="H133" s="18" t="n">
        <v>46310</v>
      </c>
      <c r="I133" s="18" t="n"/>
      <c r="J133" s="17">
        <f>IF(OR(ISNUMBER(F133),ISNUMBER(G133)),IF(ISNUMBER(I133),I133,H133)-IF(ISNUMBER(F133),F133,G133),"")</f>
        <v/>
      </c>
      <c r="K133" s="12" t="n">
        <v>18000</v>
      </c>
      <c r="L133" s="12" t="n">
        <v>18000</v>
      </c>
      <c r="M133" s="13">
        <f>IF(AND(ISNUMBER(K133),ISNUMBER(L133),K133&gt;0),1-L133/K133,"")</f>
        <v/>
      </c>
      <c r="N133" s="16" t="n">
        <v>0</v>
      </c>
      <c r="O133" s="12" t="n"/>
      <c r="P133" s="12" t="n"/>
      <c r="Q133" s="12" t="n"/>
      <c r="R133" s="14">
        <f>IF(AND(ISNUMBER(L133),ISNUMBER(P133),ISNUMBER(Q133)),L133/((P133+Q133)/2)-1,"")</f>
        <v/>
      </c>
      <c r="S133" s="10" t="n"/>
      <c r="T133" s="15" t="n">
        <v>188000</v>
      </c>
      <c r="U133" s="16" t="n">
        <v>2004</v>
      </c>
      <c r="V133" s="10" t="inlineStr">
        <is>
          <t>08/2004</t>
        </is>
      </c>
      <c r="W133" s="10" t="inlineStr">
        <is>
          <t>Essence</t>
        </is>
      </c>
      <c r="X133" s="10" t="inlineStr">
        <is>
          <t>Manuelle</t>
        </is>
      </c>
      <c r="Y133" s="16" t="n">
        <v>240</v>
      </c>
      <c r="Z133" s="16" t="n">
        <v>16</v>
      </c>
      <c r="AA133" s="10" t="inlineStr">
        <is>
          <t>Noir</t>
        </is>
      </c>
      <c r="AB133" s="16" t="n">
        <v>2</v>
      </c>
      <c r="AC133" s="10" t="inlineStr">
        <is>
          <t>Cabriolet</t>
        </is>
      </c>
      <c r="AD133" s="10" t="n"/>
      <c r="AE133" s="10" t="n"/>
      <c r="AF133" s="10" t="inlineStr">
        <is>
          <t>Particulier</t>
        </is>
      </c>
      <c r="AG133" s="10" t="inlineStr">
        <is>
          <t>Ensisheim</t>
        </is>
      </c>
      <c r="AH133" s="10" t="inlineStr">
        <is>
          <t>68190</t>
        </is>
      </c>
      <c r="AI133" s="10" t="inlineStr">
        <is>
          <t>Haut-Rhin</t>
        </is>
      </c>
      <c r="AJ133" s="10" t="inlineStr">
        <is>
          <t>Alsace</t>
        </is>
      </c>
      <c r="AK133" s="16" t="n">
        <v>3</v>
      </c>
      <c r="AL133" s="10" t="n"/>
      <c r="AM133" s="10" t="inlineStr">
        <is>
          <t>Non</t>
        </is>
      </c>
      <c r="AN133" s="10" t="inlineStr">
        <is>
          <t xml:space="preserve">À vendre Honda S2000 Phase 2 RHD (volant à droite). Je possède la voiture depuis 8 ans . Le véhicule est modifié uniquement avec des pièces originales et de qualités. Carrosserie : Kit carrosserie Spoon complet PC AV Spoon (2600€) PC AR Spoon (1800€) Ailes avant Spoon (1700€) Ailes arrière Spoon (1076€) Aileron Carbon Spoon (2700€) Capot Shine ASM like Feux arrière Buddy Club Jantes Work XD9 Intérieur : Baquet conducteur Bride Zieg 3 Siège passager Recaro EVO 8 MR Arceau Cusco 6 points boulonné </t>
        </is>
      </c>
      <c r="AO133" s="10" t="inlineStr">
        <is>
          <t>Permis : Avec permis ; Importé : false</t>
        </is>
      </c>
      <c r="AP133" s="19" t="inlineStr">
        <is>
          <t>Voir</t>
        </is>
      </c>
      <c r="AQ133" s="10" t="inlineStr">
        <is>
          <t>3278641460</t>
        </is>
      </c>
    </row>
    <row r="134">
      <c r="A134" s="10" t="inlineStr">
        <is>
          <t>Honda S2000</t>
        </is>
      </c>
      <c r="B134" s="10" t="inlineStr">
        <is>
          <t>HONDA S2000 HONDA 2.0 i-VTEC 240ch AP1 Origine Dossier complet – RHD</t>
        </is>
      </c>
      <c r="C134" s="10" t="inlineStr">
        <is>
          <t>S2000 2.0 VTEC</t>
        </is>
      </c>
      <c r="D134" s="10" t="inlineStr">
        <is>
          <t>Base</t>
        </is>
      </c>
      <c r="E134" s="10" t="inlineStr">
        <is>
          <t>En vente</t>
        </is>
      </c>
      <c r="F134" s="18" t="n">
        <v>46284</v>
      </c>
      <c r="G134" s="18" t="n">
        <v>46284</v>
      </c>
      <c r="H134" s="18" t="n">
        <v>46310</v>
      </c>
      <c r="I134" s="18" t="n"/>
      <c r="J134" s="17">
        <f>IF(OR(ISNUMBER(F134),ISNUMBER(G134)),IF(ISNUMBER(I134),I134,H134)-IF(ISNUMBER(F134),F134,G134),"")</f>
        <v/>
      </c>
      <c r="K134" s="12" t="n">
        <v>23990</v>
      </c>
      <c r="L134" s="12" t="n">
        <v>20990</v>
      </c>
      <c r="M134" s="13">
        <f>IF(AND(ISNUMBER(K134),ISNUMBER(L134),K134&gt;0),1-L134/K134,"")</f>
        <v/>
      </c>
      <c r="N134" s="16" t="n">
        <v>1</v>
      </c>
      <c r="O134" s="12" t="n">
        <v>23990</v>
      </c>
      <c r="P134" s="12" t="n"/>
      <c r="Q134" s="12" t="n"/>
      <c r="R134" s="14">
        <f>IF(AND(ISNUMBER(L134),ISNUMBER(P134),ISNUMBER(Q134)),L134/((P134+Q134)/2)-1,"")</f>
        <v/>
      </c>
      <c r="S134" s="10" t="n"/>
      <c r="T134" s="15" t="n">
        <v>80000</v>
      </c>
      <c r="U134" s="16" t="n">
        <v>2004</v>
      </c>
      <c r="V134" s="10" t="inlineStr">
        <is>
          <t>03/2004</t>
        </is>
      </c>
      <c r="W134" s="10" t="inlineStr">
        <is>
          <t>Essence</t>
        </is>
      </c>
      <c r="X134" s="10" t="inlineStr">
        <is>
          <t>Manuelle</t>
        </is>
      </c>
      <c r="Y134" s="16" t="n">
        <v>240</v>
      </c>
      <c r="Z134" s="16" t="n">
        <v>16</v>
      </c>
      <c r="AA134" s="10" t="inlineStr">
        <is>
          <t>Bleu</t>
        </is>
      </c>
      <c r="AB134" s="16" t="n">
        <v>2</v>
      </c>
      <c r="AC134" s="10" t="inlineStr">
        <is>
          <t>Coupé</t>
        </is>
      </c>
      <c r="AD134" s="10" t="n"/>
      <c r="AE134" s="10" t="n"/>
      <c r="AF134" s="10" t="inlineStr">
        <is>
          <t>Pro</t>
        </is>
      </c>
      <c r="AG134" s="10" t="inlineStr">
        <is>
          <t>Venelles</t>
        </is>
      </c>
      <c r="AH134" s="10" t="inlineStr">
        <is>
          <t>13770</t>
        </is>
      </c>
      <c r="AI134" s="10" t="inlineStr">
        <is>
          <t>Bouches-du-Rhône</t>
        </is>
      </c>
      <c r="AJ134" s="10" t="inlineStr">
        <is>
          <t>Provence-Alpes-Côte d'Azur</t>
        </is>
      </c>
      <c r="AK134" s="16" t="n">
        <v>23</v>
      </c>
      <c r="AL134" s="10" t="n"/>
      <c r="AM134" s="10" t="inlineStr">
        <is>
          <t>Non</t>
        </is>
      </c>
      <c r="AN134" s="10" t="inlineStr">
        <is>
          <t xml:space="preserve">AGENCY CAR – Showroom automobile à Aix en Provence Depuis 2014, AGENCY CAR vous accompagne dans vos projets d'achat de véhicules d'occasion avec sérieux et transparence. Notre agence de Aix en Provence vous propose ce véhicule : HONDA S 2000 2.0 i-VTEC 240ch – AP1 – BLEU FONCE (Royal Navy Blue) – 16 cv – 2 portes – première mise en circulation le 19-03-2004 – 78 000 km – garantie 6 MOIS LE VÉHICULE Le dernier roadster atmosphérique de Honda. Moteur F20C 2.0 de 240 ch sans turbo, rupteur à 9 000 </t>
        </is>
      </c>
      <c r="AO134" s="10" t="inlineStr">
        <is>
          <t>Dommages : Bon état général ; Sellerie : Tout cuir ; Permis : Avec permis ; VO récent : false ; custom_ref : 1670-0000584 ; Importé : true ; vehicle_history_report_status : visible ; spare_parts_availability : Non renseignée</t>
        </is>
      </c>
      <c r="AP134" s="19" t="inlineStr">
        <is>
          <t>Voir</t>
        </is>
      </c>
      <c r="AQ134" s="10" t="inlineStr">
        <is>
          <t>3279647179</t>
        </is>
      </c>
    </row>
    <row r="135">
      <c r="A135" s="10" t="inlineStr">
        <is>
          <t>Honda S2000</t>
        </is>
      </c>
      <c r="B135" s="10" t="inlineStr">
        <is>
          <t>PORSCHE 911 996 Carrera Cabriolet 3.6i/IMS-EMBRAYAGE-VOLANT MOTEUR NEUF</t>
        </is>
      </c>
      <c r="C135" s="10" t="inlineStr">
        <is>
          <t>911 Cabriolet 320ch Carrera BV6</t>
        </is>
      </c>
      <c r="D135" s="10" t="inlineStr">
        <is>
          <t>Carrera</t>
        </is>
      </c>
      <c r="E135" s="10" t="inlineStr">
        <is>
          <t>En vente</t>
        </is>
      </c>
      <c r="F135" s="18" t="n">
        <v>46241</v>
      </c>
      <c r="G135" s="18" t="n">
        <v>46241</v>
      </c>
      <c r="H135" s="18" t="n">
        <v>46310</v>
      </c>
      <c r="I135" s="18" t="n"/>
      <c r="J135" s="17">
        <f>IF(OR(ISNUMBER(F135),ISNUMBER(G135)),IF(ISNUMBER(I135),I135,H135)-IF(ISNUMBER(F135),F135,G135),"")</f>
        <v/>
      </c>
      <c r="K135" s="12" t="n">
        <v>37990</v>
      </c>
      <c r="L135" s="12" t="n">
        <v>37990</v>
      </c>
      <c r="M135" s="13">
        <f>IF(AND(ISNUMBER(K135),ISNUMBER(L135),K135&gt;0),1-L135/K135,"")</f>
        <v/>
      </c>
      <c r="N135" s="16" t="n">
        <v>0</v>
      </c>
      <c r="O135" s="12" t="n"/>
      <c r="P135" s="12" t="n"/>
      <c r="Q135" s="12" t="n"/>
      <c r="R135" s="14">
        <f>IF(AND(ISNUMBER(L135),ISNUMBER(P135),ISNUMBER(Q135)),L135/((P135+Q135)/2)-1,"")</f>
        <v/>
      </c>
      <c r="S135" s="10" t="n"/>
      <c r="T135" s="15" t="n">
        <v>94000</v>
      </c>
      <c r="U135" s="16" t="n">
        <v>2002</v>
      </c>
      <c r="V135" s="10" t="inlineStr">
        <is>
          <t>12/2002</t>
        </is>
      </c>
      <c r="W135" s="10" t="inlineStr">
        <is>
          <t>Essence</t>
        </is>
      </c>
      <c r="X135" s="10" t="inlineStr">
        <is>
          <t>Manuelle</t>
        </is>
      </c>
      <c r="Y135" s="16" t="n">
        <v>320</v>
      </c>
      <c r="Z135" s="16" t="n">
        <v>23</v>
      </c>
      <c r="AA135" s="10" t="inlineStr">
        <is>
          <t>Noir</t>
        </is>
      </c>
      <c r="AB135" s="16" t="n">
        <v>2</v>
      </c>
      <c r="AC135" s="10" t="inlineStr">
        <is>
          <t>Cabriolet</t>
        </is>
      </c>
      <c r="AD135" s="10" t="n"/>
      <c r="AE135" s="10" t="n"/>
      <c r="AF135" s="10" t="inlineStr">
        <is>
          <t>Pro</t>
        </is>
      </c>
      <c r="AG135" s="10" t="inlineStr">
        <is>
          <t>Saint-Alban-Leysse</t>
        </is>
      </c>
      <c r="AH135" s="10" t="inlineStr">
        <is>
          <t>73230</t>
        </is>
      </c>
      <c r="AI135" s="10" t="inlineStr">
        <is>
          <t>Savoie</t>
        </is>
      </c>
      <c r="AJ135" s="10" t="inlineStr">
        <is>
          <t>Rhône-Alpes</t>
        </is>
      </c>
      <c r="AK135" s="16" t="n">
        <v>24</v>
      </c>
      <c r="AL135" s="10" t="n"/>
      <c r="AM135" s="10" t="inlineStr">
        <is>
          <t>Non</t>
        </is>
      </c>
      <c r="AN135" s="10" t="inlineStr">
        <is>
          <t>AGENCY CAR réseau national de transaction automobile vous accompagne depuis 2019 dans vos projets d'achat de véhicules d'occasion. Nous vous proposons PORSCHE 911, NOIR, 23 cv, 2 portes, première mise en circulation le 27-12-2002, garantie 6 mois. Véhicule visible UNIQUEMENT SUR RDV à l'agence de Chambéry (73). Du mardi au vendredi 10h-12h30 et 14h-18h30 et le samedi de 10h à 16h. - Financement possible de 12 à 72 mois. - Possibilité d'extension de garantie jusqu'à 48 mois. - Livraison dans tout</t>
        </is>
      </c>
      <c r="AO135" s="10" t="inlineStr">
        <is>
          <t>Dommages : Bon état général ; Équipements intérieurs : Alarme antivol, Coffre à ouverture électrique, Phares LED / Xenon, Sièges chauffants, Système de navigation ; Permis : Avec permis ; VO récent : false ; custom_ref : 1739-0000491 ; Importé : true ; vehicle_history_report_status : visible ; spare_parts_availability : Non renseignée</t>
        </is>
      </c>
      <c r="AP135" s="19" t="inlineStr">
        <is>
          <t>Voir</t>
        </is>
      </c>
      <c r="AQ135" s="10" t="inlineStr">
        <is>
          <t>3279756140</t>
        </is>
      </c>
    </row>
    <row r="136">
      <c r="A136" s="10" t="inlineStr">
        <is>
          <t>Honda S2000</t>
        </is>
      </c>
      <c r="B136" s="10" t="inlineStr">
        <is>
          <t>Honda s2000</t>
        </is>
      </c>
      <c r="C136" s="10" t="n"/>
      <c r="D136" s="10" t="n"/>
      <c r="E136" s="10" t="inlineStr">
        <is>
          <t>En vente</t>
        </is>
      </c>
      <c r="F136" s="18" t="n">
        <v>46297</v>
      </c>
      <c r="G136" s="18" t="n">
        <v>46297</v>
      </c>
      <c r="H136" s="18" t="n">
        <v>46310</v>
      </c>
      <c r="I136" s="18" t="n"/>
      <c r="J136" s="17">
        <f>IF(OR(ISNUMBER(F136),ISNUMBER(G136)),IF(ISNUMBER(I136),I136,H136)-IF(ISNUMBER(F136),F136,G136),"")</f>
        <v/>
      </c>
      <c r="K136" s="12" t="n">
        <v>10500</v>
      </c>
      <c r="L136" s="12" t="n">
        <v>10500</v>
      </c>
      <c r="M136" s="13">
        <f>IF(AND(ISNUMBER(K136),ISNUMBER(L136),K136&gt;0),1-L136/K136,"")</f>
        <v/>
      </c>
      <c r="N136" s="16" t="n">
        <v>0</v>
      </c>
      <c r="O136" s="12" t="n"/>
      <c r="P136" s="12" t="n"/>
      <c r="Q136" s="12" t="n"/>
      <c r="R136" s="14">
        <f>IF(AND(ISNUMBER(L136),ISNUMBER(P136),ISNUMBER(Q136)),L136/((P136+Q136)/2)-1,"")</f>
        <v/>
      </c>
      <c r="S136" s="10" t="n"/>
      <c r="T136" s="15" t="n">
        <v>258000</v>
      </c>
      <c r="U136" s="16" t="n">
        <v>2002</v>
      </c>
      <c r="V136" s="10" t="inlineStr">
        <is>
          <t>09/2002</t>
        </is>
      </c>
      <c r="W136" s="10" t="inlineStr">
        <is>
          <t>Essence</t>
        </is>
      </c>
      <c r="X136" s="10" t="inlineStr">
        <is>
          <t>Manuelle</t>
        </is>
      </c>
      <c r="Y136" s="16" t="n">
        <v>240</v>
      </c>
      <c r="Z136" s="16" t="n">
        <v>16</v>
      </c>
      <c r="AA136" s="10" t="inlineStr">
        <is>
          <t>Noir</t>
        </is>
      </c>
      <c r="AB136" s="16" t="n">
        <v>2</v>
      </c>
      <c r="AC136" s="10" t="inlineStr">
        <is>
          <t>Cabriolet</t>
        </is>
      </c>
      <c r="AD136" s="10" t="n"/>
      <c r="AE136" s="10" t="n"/>
      <c r="AF136" s="10" t="inlineStr">
        <is>
          <t>Particulier</t>
        </is>
      </c>
      <c r="AG136" s="10" t="inlineStr">
        <is>
          <t>Béziers</t>
        </is>
      </c>
      <c r="AH136" s="10" t="inlineStr">
        <is>
          <t>34500</t>
        </is>
      </c>
      <c r="AI136" s="10" t="inlineStr">
        <is>
          <t>Hérault</t>
        </is>
      </c>
      <c r="AJ136" s="10" t="inlineStr">
        <is>
          <t>Languedoc-Roussillon</t>
        </is>
      </c>
      <c r="AK136" s="16" t="n">
        <v>3</v>
      </c>
      <c r="AL136" s="10" t="n"/>
      <c r="AM136" s="10" t="inlineStr">
        <is>
          <t>Non</t>
        </is>
      </c>
      <c r="AN136" s="10" t="inlineStr">
        <is>
          <t>Vend Honda S2000 swap K24 RHD Le moteur est un K24 qui a été refait. Moteur : Vilebrequin neuf Coussinets de bielles et de vilebrequin ACL Bielles forgées Pompe à huile gros débit (marque : 4 Piston) Cale d’admission Calculateur programmable Hondata Collecteur de F20 Niveau châssis / carrosserie : Il y a encore du travail à effectuer pour la remettre propre. Combinés filetés Jantes en 18 pouces Biellettes de barre stabilisatrice neuves Prévoir une capotes, car la toile est en mauvais état. La vo</t>
        </is>
      </c>
      <c r="AO136" s="10" t="inlineStr">
        <is>
          <t>Permis : Avec permis ; Importé : false</t>
        </is>
      </c>
      <c r="AP136" s="19" t="inlineStr">
        <is>
          <t>Voir</t>
        </is>
      </c>
      <c r="AQ136" s="10" t="inlineStr">
        <is>
          <t>3280985948</t>
        </is>
      </c>
    </row>
    <row r="137">
      <c r="A137" s="10" t="inlineStr">
        <is>
          <t>Honda S2000</t>
        </is>
      </c>
      <c r="B137" s="10" t="inlineStr">
        <is>
          <t>Honda S2000 - LHD</t>
        </is>
      </c>
      <c r="C137" s="10" t="n"/>
      <c r="D137" s="10" t="n"/>
      <c r="E137" s="10" t="inlineStr">
        <is>
          <t>En vente</t>
        </is>
      </c>
      <c r="F137" s="18" t="n">
        <v>46301</v>
      </c>
      <c r="G137" s="18" t="n">
        <v>46301</v>
      </c>
      <c r="H137" s="18" t="n">
        <v>46310</v>
      </c>
      <c r="I137" s="18" t="n"/>
      <c r="J137" s="17">
        <f>IF(OR(ISNUMBER(F137),ISNUMBER(G137)),IF(ISNUMBER(I137),I137,H137)-IF(ISNUMBER(F137),F137,G137),"")</f>
        <v/>
      </c>
      <c r="K137" s="12" t="n">
        <v>21000</v>
      </c>
      <c r="L137" s="12" t="n">
        <v>21000</v>
      </c>
      <c r="M137" s="13">
        <f>IF(AND(ISNUMBER(K137),ISNUMBER(L137),K137&gt;0),1-L137/K137,"")</f>
        <v/>
      </c>
      <c r="N137" s="16" t="n">
        <v>0</v>
      </c>
      <c r="O137" s="12" t="n"/>
      <c r="P137" s="12" t="n"/>
      <c r="Q137" s="12" t="n"/>
      <c r="R137" s="14">
        <f>IF(AND(ISNUMBER(L137),ISNUMBER(P137),ISNUMBER(Q137)),L137/((P137+Q137)/2)-1,"")</f>
        <v/>
      </c>
      <c r="S137" s="10" t="n"/>
      <c r="T137" s="15" t="n">
        <v>189500</v>
      </c>
      <c r="U137" s="16" t="n">
        <v>2000</v>
      </c>
      <c r="V137" s="10" t="inlineStr">
        <is>
          <t>01/2000</t>
        </is>
      </c>
      <c r="W137" s="10" t="inlineStr">
        <is>
          <t>Essence</t>
        </is>
      </c>
      <c r="X137" s="10" t="inlineStr">
        <is>
          <t>Manuelle</t>
        </is>
      </c>
      <c r="Y137" s="16" t="n">
        <v>240</v>
      </c>
      <c r="Z137" s="16" t="n">
        <v>16</v>
      </c>
      <c r="AA137" s="10" t="inlineStr">
        <is>
          <t>Bleu</t>
        </is>
      </c>
      <c r="AB137" s="16" t="n">
        <v>2</v>
      </c>
      <c r="AC137" s="10" t="inlineStr">
        <is>
          <t>Cabriolet</t>
        </is>
      </c>
      <c r="AD137" s="10" t="n"/>
      <c r="AE137" s="10" t="n"/>
      <c r="AF137" s="10" t="inlineStr">
        <is>
          <t>Particulier</t>
        </is>
      </c>
      <c r="AG137" s="10" t="inlineStr">
        <is>
          <t>Levallois-Perret</t>
        </is>
      </c>
      <c r="AH137" s="10" t="inlineStr">
        <is>
          <t>92300</t>
        </is>
      </c>
      <c r="AI137" s="10" t="inlineStr">
        <is>
          <t>Hauts-de-Seine</t>
        </is>
      </c>
      <c r="AJ137" s="10" t="inlineStr">
        <is>
          <t>Ile-de-France</t>
        </is>
      </c>
      <c r="AK137" s="16" t="n">
        <v>3</v>
      </c>
      <c r="AL137" s="10" t="n"/>
      <c r="AM137" s="10" t="inlineStr">
        <is>
          <t>Non</t>
        </is>
      </c>
      <c r="AN137" s="10" t="inlineStr">
        <is>
          <t>S2000 en conduite à gauche, de janvier 2000 donc une phase 1. Je m’en sépare car priorité à un projet immobilier. Le véhicule est globalement en bon état, vraiment agréable sur petites routes, y compris de nuit avec ses phares xénon, l’été avec la clim. Le moteur monte bien dans les tours, avec le VTEC à 6500tr/min qui se déclenche bien et monte bien à 9000tr/min. Tarif je pense assez bas, tenant compte du kilométrage du véhicule et des plus et moins du véhicule : Les plus - CT zéro défaut passé</t>
        </is>
      </c>
      <c r="AO137" s="10" t="inlineStr">
        <is>
          <t>vehicle_technical_inspection_valid : Non ; Permis : Avec permis ; Importé : false ; vehicle_history_teaser_critair : 3 ; vehicle_history_teaser_owners : 2 ; vehicle_history_teaser_expertises : false ; vehicle_history_teaser_special_uses : false ; vehicle_history_teaser_atypical_operations : true ; vehicle_history_teaser_importations : true</t>
        </is>
      </c>
      <c r="AP137" s="19" t="inlineStr">
        <is>
          <t>Voir</t>
        </is>
      </c>
      <c r="AQ137" s="10" t="inlineStr">
        <is>
          <t>3283123020</t>
        </is>
      </c>
    </row>
    <row r="138">
      <c r="A138" s="10" t="inlineStr">
        <is>
          <t>Honda S2000</t>
        </is>
      </c>
      <c r="B138" s="10" t="inlineStr">
        <is>
          <t>Honda S2000 AP1 Laguna Blue – 83 500 km – signée Uehara</t>
        </is>
      </c>
      <c r="C138" s="10" t="n"/>
      <c r="D138" s="10" t="n"/>
      <c r="E138" s="10" t="inlineStr">
        <is>
          <t>En vente</t>
        </is>
      </c>
      <c r="F138" s="18" t="n">
        <v>46301</v>
      </c>
      <c r="G138" s="18" t="n">
        <v>46301</v>
      </c>
      <c r="H138" s="18" t="n">
        <v>46310</v>
      </c>
      <c r="I138" s="18" t="n"/>
      <c r="J138" s="17">
        <f>IF(OR(ISNUMBER(F138),ISNUMBER(G138)),IF(ISNUMBER(I138),I138,H138)-IF(ISNUMBER(F138),F138,G138),"")</f>
        <v/>
      </c>
      <c r="K138" s="12" t="n">
        <v>31900</v>
      </c>
      <c r="L138" s="12" t="n">
        <v>31900</v>
      </c>
      <c r="M138" s="13">
        <f>IF(AND(ISNUMBER(K138),ISNUMBER(L138),K138&gt;0),1-L138/K138,"")</f>
        <v/>
      </c>
      <c r="N138" s="16" t="n">
        <v>0</v>
      </c>
      <c r="O138" s="12" t="n"/>
      <c r="P138" s="12" t="n"/>
      <c r="Q138" s="12" t="n"/>
      <c r="R138" s="14">
        <f>IF(AND(ISNUMBER(L138),ISNUMBER(P138),ISNUMBER(Q138)),L138/((P138+Q138)/2)-1,"")</f>
        <v/>
      </c>
      <c r="S138" s="10" t="n"/>
      <c r="T138" s="15" t="n">
        <v>83000</v>
      </c>
      <c r="U138" s="16" t="n">
        <v>2000</v>
      </c>
      <c r="V138" s="10" t="inlineStr">
        <is>
          <t>10/2000</t>
        </is>
      </c>
      <c r="W138" s="10" t="inlineStr">
        <is>
          <t>Essence</t>
        </is>
      </c>
      <c r="X138" s="10" t="inlineStr">
        <is>
          <t>Manuelle</t>
        </is>
      </c>
      <c r="Y138" s="16" t="n">
        <v>240</v>
      </c>
      <c r="Z138" s="16" t="n">
        <v>16</v>
      </c>
      <c r="AA138" s="10" t="inlineStr">
        <is>
          <t>Bleu</t>
        </is>
      </c>
      <c r="AB138" s="16" t="n">
        <v>2</v>
      </c>
      <c r="AC138" s="10" t="inlineStr">
        <is>
          <t>Cabriolet</t>
        </is>
      </c>
      <c r="AD138" s="10" t="inlineStr">
        <is>
          <t>Factures disponibles</t>
        </is>
      </c>
      <c r="AE138" s="10" t="n"/>
      <c r="AF138" s="10" t="inlineStr">
        <is>
          <t>Particulier</t>
        </is>
      </c>
      <c r="AG138" s="10" t="inlineStr">
        <is>
          <t>Libourne</t>
        </is>
      </c>
      <c r="AH138" s="10" t="inlineStr">
        <is>
          <t>33500</t>
        </is>
      </c>
      <c r="AI138" s="10" t="inlineStr">
        <is>
          <t>Gironde</t>
        </is>
      </c>
      <c r="AJ138" s="10" t="inlineStr">
        <is>
          <t>Aquitaine</t>
        </is>
      </c>
      <c r="AK138" s="16" t="n">
        <v>4</v>
      </c>
      <c r="AL138" s="10" t="n"/>
      <c r="AM138" s="10" t="inlineStr">
        <is>
          <t>Non</t>
        </is>
      </c>
      <c r="AN138" s="10" t="inlineStr">
        <is>
          <t>Je vends ma Honda S2000 AP1 de 2000 (moteur F20C 2.0 VTEC, 240 ch, 9 000 tr/min, boîte manuelle 6 vitesses), repeinte en Laguna Blue Pearl, la teinte emblématique des dernières S2000, intérieur cuir rouge. 83 500 km réels, prouvés par l'historique des contrôles techniques depuis 2018 (71 599 km en 2018, 79 368 en 2020, 80 613 en 2022, 83 319 en 2025). Carte grise à mon nom depuis 2020. Carnet d'entretien et factures disponibles. UNE S2000 UNIQUE : elle est dédicacée par Shigeru Uehara (上原 繁), in</t>
        </is>
      </c>
      <c r="AO138" s="10" t="inlineStr">
        <is>
          <t>vehicle_technical_inspection_valid : Non ; Dommages : Excellent état (proche du neuf) ; Sellerie : Tout cuir ; Équipements intérieurs : Climatisation ; Permis : Avec permis ; Importé : false ; vehicle_history_teaser_critair : 3 ; vehicle_history_teaser_owners : 4 ; vehicle_history_teaser_expertises : false ; vehicle_history_teaser_special_uses : false ; vehicle_history_teaser_atypical_operations : false ; vehicle_history_teaser_importations : false</t>
        </is>
      </c>
      <c r="AP138" s="19" t="inlineStr">
        <is>
          <t>Voir</t>
        </is>
      </c>
      <c r="AQ138" s="10" t="inlineStr">
        <is>
          <t>3283499339</t>
        </is>
      </c>
    </row>
    <row r="139">
      <c r="A139" s="10" t="inlineStr">
        <is>
          <t>Honda S2000</t>
        </is>
      </c>
      <c r="B139" s="10" t="inlineStr">
        <is>
          <t>Honda S2000 AP1 – 2000 – 102 000 km – Berlina Black</t>
        </is>
      </c>
      <c r="C139" s="10" t="n"/>
      <c r="D139" s="10" t="n"/>
      <c r="E139" s="10" t="inlineStr">
        <is>
          <t>En vente</t>
        </is>
      </c>
      <c r="F139" s="18" t="n">
        <v>46303</v>
      </c>
      <c r="G139" s="18" t="n">
        <v>46303</v>
      </c>
      <c r="H139" s="18" t="n">
        <v>46310</v>
      </c>
      <c r="I139" s="18" t="n"/>
      <c r="J139" s="17">
        <f>IF(OR(ISNUMBER(F139),ISNUMBER(G139)),IF(ISNUMBER(I139),I139,H139)-IF(ISNUMBER(F139),F139,G139),"")</f>
        <v/>
      </c>
      <c r="K139" s="12" t="n">
        <v>29900</v>
      </c>
      <c r="L139" s="12" t="n">
        <v>29900</v>
      </c>
      <c r="M139" s="13">
        <f>IF(AND(ISNUMBER(K139),ISNUMBER(L139),K139&gt;0),1-L139/K139,"")</f>
        <v/>
      </c>
      <c r="N139" s="16" t="n">
        <v>0</v>
      </c>
      <c r="O139" s="12" t="n"/>
      <c r="P139" s="12" t="n"/>
      <c r="Q139" s="12" t="n"/>
      <c r="R139" s="14">
        <f>IF(AND(ISNUMBER(L139),ISNUMBER(P139),ISNUMBER(Q139)),L139/((P139+Q139)/2)-1,"")</f>
        <v/>
      </c>
      <c r="S139" s="10" t="n"/>
      <c r="T139" s="15" t="n">
        <v>102000</v>
      </c>
      <c r="U139" s="16" t="n">
        <v>2000</v>
      </c>
      <c r="V139" s="10" t="inlineStr">
        <is>
          <t>02/2000</t>
        </is>
      </c>
      <c r="W139" s="10" t="inlineStr">
        <is>
          <t>Essence</t>
        </is>
      </c>
      <c r="X139" s="10" t="inlineStr">
        <is>
          <t>Manuelle</t>
        </is>
      </c>
      <c r="Y139" s="16" t="n">
        <v>240</v>
      </c>
      <c r="Z139" s="16" t="n">
        <v>16</v>
      </c>
      <c r="AA139" s="10" t="inlineStr">
        <is>
          <t>Noir</t>
        </is>
      </c>
      <c r="AB139" s="16" t="n">
        <v>2</v>
      </c>
      <c r="AC139" s="10" t="inlineStr">
        <is>
          <t>Cabriolet</t>
        </is>
      </c>
      <c r="AD139" s="10" t="inlineStr">
        <is>
          <t>Carnet d'entretien disponible, Véhicule non fumeur</t>
        </is>
      </c>
      <c r="AE139" s="10" t="n"/>
      <c r="AF139" s="10" t="inlineStr">
        <is>
          <t>Particulier</t>
        </is>
      </c>
      <c r="AG139" s="10" t="inlineStr">
        <is>
          <t>Buchy</t>
        </is>
      </c>
      <c r="AH139" s="10" t="inlineStr">
        <is>
          <t>76750</t>
        </is>
      </c>
      <c r="AI139" s="10" t="inlineStr">
        <is>
          <t>Seine-Maritime</t>
        </is>
      </c>
      <c r="AJ139" s="10" t="inlineStr">
        <is>
          <t>Haute-Normandie</t>
        </is>
      </c>
      <c r="AK139" s="16" t="n">
        <v>3</v>
      </c>
      <c r="AL139" s="10" t="n"/>
      <c r="AM139" s="10" t="inlineStr">
        <is>
          <t>Non</t>
        </is>
      </c>
      <c r="AN139" s="10" t="inlineStr">
        <is>
          <t>Bonjour, Je mets en vente ma Honda S2000 AP1 de 2000, noire avec intérieur rouge et noir, affichant aujourd’hui 102 000 km. Achetée durant l’hiver 2026 chez S2000 Parts Europe, à 97 000 km, elle a bénéficié chez ce spécialiste d’un entretien important, comprenant notamment le réglage du jeu aux soupapes ainsi que le remplacement du pont. La provenance et les interventions sont vérifiables auprès du professionnel. Je dispose également d’un carnet d’entretien remontant à 2009, permettant de retrac</t>
        </is>
      </c>
      <c r="AO139" s="10" t="inlineStr">
        <is>
          <t>vehicle_technical_inspection_valid : Oui ; Contrôle technique : 2028 ; Dommages : Traces d’usure normales ; Sellerie : Tout cuir ; Permis : Avec permis ; Importé : false ; vehicle_history_report_status : visible</t>
        </is>
      </c>
      <c r="AP139" s="19" t="inlineStr">
        <is>
          <t>Voir</t>
        </is>
      </c>
      <c r="AQ139" s="10" t="inlineStr">
        <is>
          <t>3284317549</t>
        </is>
      </c>
    </row>
    <row r="140">
      <c r="A140" s="10" t="inlineStr">
        <is>
          <t>Honda S2000</t>
        </is>
      </c>
      <c r="B140" s="10" t="inlineStr">
        <is>
          <t>HONDA S2000 (AP) 2.0 i VTEC Roadster 240cv</t>
        </is>
      </c>
      <c r="C140" s="10" t="inlineStr">
        <is>
          <t>S2000 2.0 VTEC</t>
        </is>
      </c>
      <c r="D140" s="10" t="inlineStr">
        <is>
          <t>Base</t>
        </is>
      </c>
      <c r="E140" s="10" t="inlineStr">
        <is>
          <t>En vente</t>
        </is>
      </c>
      <c r="F140" s="18" t="n">
        <v>46304</v>
      </c>
      <c r="G140" s="18" t="n">
        <v>46304</v>
      </c>
      <c r="H140" s="18" t="n">
        <v>46310</v>
      </c>
      <c r="I140" s="18" t="n"/>
      <c r="J140" s="17">
        <f>IF(OR(ISNUMBER(F140),ISNUMBER(G140)),IF(ISNUMBER(I140),I140,H140)-IF(ISNUMBER(F140),F140,G140),"")</f>
        <v/>
      </c>
      <c r="K140" s="12" t="n">
        <v>47990</v>
      </c>
      <c r="L140" s="12" t="n">
        <v>47990</v>
      </c>
      <c r="M140" s="13">
        <f>IF(AND(ISNUMBER(K140),ISNUMBER(L140),K140&gt;0),1-L140/K140,"")</f>
        <v/>
      </c>
      <c r="N140" s="16" t="n">
        <v>0</v>
      </c>
      <c r="O140" s="12" t="n"/>
      <c r="P140" s="12" t="n"/>
      <c r="Q140" s="12" t="n"/>
      <c r="R140" s="14">
        <f>IF(AND(ISNUMBER(L140),ISNUMBER(P140),ISNUMBER(Q140)),L140/((P140+Q140)/2)-1,"")</f>
        <v/>
      </c>
      <c r="S140" s="10" t="n"/>
      <c r="T140" s="15" t="n">
        <v>33400</v>
      </c>
      <c r="U140" s="16" t="n">
        <v>2005</v>
      </c>
      <c r="V140" s="10" t="inlineStr">
        <is>
          <t>06/2005</t>
        </is>
      </c>
      <c r="W140" s="10" t="inlineStr">
        <is>
          <t>Essence</t>
        </is>
      </c>
      <c r="X140" s="10" t="inlineStr">
        <is>
          <t>Manuelle</t>
        </is>
      </c>
      <c r="Y140" s="16" t="n">
        <v>240</v>
      </c>
      <c r="Z140" s="16" t="n">
        <v>16</v>
      </c>
      <c r="AA140" s="10" t="inlineStr">
        <is>
          <t>Gris</t>
        </is>
      </c>
      <c r="AB140" s="16" t="n">
        <v>2</v>
      </c>
      <c r="AC140" s="10" t="inlineStr">
        <is>
          <t>Cabriolet</t>
        </is>
      </c>
      <c r="AD140" s="10" t="inlineStr">
        <is>
          <t>Carnet d'entretien disponible, Factures disponibles, Véhicule non fumeur</t>
        </is>
      </c>
      <c r="AE140" s="10" t="inlineStr">
        <is>
          <t>Première main</t>
        </is>
      </c>
      <c r="AF140" s="10" t="inlineStr">
        <is>
          <t>Pro</t>
        </is>
      </c>
      <c r="AG140" s="10" t="inlineStr">
        <is>
          <t>Bastia</t>
        </is>
      </c>
      <c r="AH140" s="10" t="inlineStr">
        <is>
          <t>20600</t>
        </is>
      </c>
      <c r="AI140" s="10" t="n"/>
      <c r="AJ140" s="10" t="inlineStr">
        <is>
          <t>Corse</t>
        </is>
      </c>
      <c r="AK140" s="16" t="n">
        <v>10</v>
      </c>
      <c r="AL140" s="10" t="n"/>
      <c r="AM140" s="10" t="inlineStr">
        <is>
          <t>Non</t>
        </is>
      </c>
      <c r="AN140" s="10" t="inlineStr">
        <is>
          <t>HONDA S2000 (AP) 2.0 i VTEC Roadster 240cv Mise en circulation : 17/12/2006 Sellerie Rouge/Noir, Hard-Top, Boîte Manuelle 6 rapports, Jantes Alu, Double sortie d’échappement, Sièges Sport... OPTIONS &amp; EQUIPEMENTS EXTÉRIEUR ET CHÂSSIS : - Hard-Top Noir - Jantes Alu - Double sortie d'échappement - Rétroviseurs extérieurs - Carrosserie Gris Métallisé - Freins à disques - Antenne extérieure INTÉRIEUR ET CONFORT : - Sellerie Rouge / Noir - Sièges Sport - 2 places - Volant Sport - Pommeau de levier de</t>
        </is>
      </c>
      <c r="AO140" s="10" t="inlineStr">
        <is>
          <t>Dommages : Excellent état (proche du neuf) ; Sellerie : Tout cuir ; Permis : Avec permis ; VO récent : false ; Importé : false ; vehicle_history_report_status : visible ; vehicle_history_teaser_critair : 3 ; vehicle_history_teaser_owners : 2 ; vehicle_history_teaser_expertises : false ; vehicle_history_teaser_special_uses : false ; vehicle_history_teaser_atypical_operations : false ; vehicle_history_teaser_importations : false ; spare_parts_availability : Non renseignée</t>
        </is>
      </c>
      <c r="AP140" s="19" t="inlineStr">
        <is>
          <t>Voir</t>
        </is>
      </c>
      <c r="AQ140" s="10" t="inlineStr">
        <is>
          <t>3285088951</t>
        </is>
      </c>
    </row>
    <row r="141">
      <c r="A141" s="10" t="inlineStr">
        <is>
          <t>Honda S2000</t>
        </is>
      </c>
      <c r="B141" s="10" t="inlineStr">
        <is>
          <t>HONDA S2000 2.0 i-VTEC</t>
        </is>
      </c>
      <c r="C141" s="10" t="inlineStr">
        <is>
          <t>S2000 2.0 VTEC</t>
        </is>
      </c>
      <c r="D141" s="10" t="inlineStr">
        <is>
          <t>Base</t>
        </is>
      </c>
      <c r="E141" s="10" t="inlineStr">
        <is>
          <t>En vente</t>
        </is>
      </c>
      <c r="F141" s="18" t="n">
        <v>46308</v>
      </c>
      <c r="G141" s="18" t="n">
        <v>46308</v>
      </c>
      <c r="H141" s="18" t="n">
        <v>46310</v>
      </c>
      <c r="I141" s="18" t="n"/>
      <c r="J141" s="17">
        <f>IF(OR(ISNUMBER(F141),ISNUMBER(G141)),IF(ISNUMBER(I141),I141,H141)-IF(ISNUMBER(F141),F141,G141),"")</f>
        <v/>
      </c>
      <c r="K141" s="12" t="n">
        <v>24990</v>
      </c>
      <c r="L141" s="12" t="n">
        <v>24990</v>
      </c>
      <c r="M141" s="13">
        <f>IF(AND(ISNUMBER(K141),ISNUMBER(L141),K141&gt;0),1-L141/K141,"")</f>
        <v/>
      </c>
      <c r="N141" s="16" t="n">
        <v>0</v>
      </c>
      <c r="O141" s="12" t="n"/>
      <c r="P141" s="12" t="n"/>
      <c r="Q141" s="12" t="n"/>
      <c r="R141" s="14">
        <f>IF(AND(ISNUMBER(L141),ISNUMBER(P141),ISNUMBER(Q141)),L141/((P141+Q141)/2)-1,"")</f>
        <v/>
      </c>
      <c r="S141" s="10" t="n"/>
      <c r="T141" s="15" t="n">
        <v>145000</v>
      </c>
      <c r="U141" s="16" t="n">
        <v>2003</v>
      </c>
      <c r="V141" s="10" t="inlineStr">
        <is>
          <t>11/2003</t>
        </is>
      </c>
      <c r="W141" s="10" t="inlineStr">
        <is>
          <t>Essence</t>
        </is>
      </c>
      <c r="X141" s="10" t="inlineStr">
        <is>
          <t>Manuelle</t>
        </is>
      </c>
      <c r="Y141" s="16" t="n">
        <v>240</v>
      </c>
      <c r="Z141" s="16" t="n">
        <v>16</v>
      </c>
      <c r="AA141" s="10" t="inlineStr">
        <is>
          <t>Noir</t>
        </is>
      </c>
      <c r="AB141" s="16" t="n">
        <v>2</v>
      </c>
      <c r="AC141" s="10" t="inlineStr">
        <is>
          <t>Coupé</t>
        </is>
      </c>
      <c r="AD141" s="10" t="n"/>
      <c r="AE141" s="10" t="n"/>
      <c r="AF141" s="10" t="inlineStr">
        <is>
          <t>Pro</t>
        </is>
      </c>
      <c r="AG141" s="10" t="inlineStr">
        <is>
          <t>Boissy-le-Châtel</t>
        </is>
      </c>
      <c r="AH141" s="10" t="inlineStr">
        <is>
          <t>77169</t>
        </is>
      </c>
      <c r="AI141" s="10" t="inlineStr">
        <is>
          <t>Seine-et-Marne</t>
        </is>
      </c>
      <c r="AJ141" s="10" t="inlineStr">
        <is>
          <t>Ile-de-France</t>
        </is>
      </c>
      <c r="AK141" s="16" t="n">
        <v>30</v>
      </c>
      <c r="AL141" s="10" t="n"/>
      <c r="AM141" s="10" t="inlineStr">
        <is>
          <t>Non</t>
        </is>
      </c>
      <c r="AN141" s="10" t="inlineStr">
        <is>
          <t>MCT CONSULTING c'est plus de 10 ans d'expériences dans l'automobile. Des véhicules triés sur le volet, et des propriétaires sérieux ! Aujourd'hui nous avons le plaisir de vous proposer cette magnifique : HONDA S2000 2.0 I-VTEC Noir métal de Novembre 2003 Extérieur et Châssis : - 2 roues motrices - jantes alu - lunette arrière dégivrante - peinture métallisée - rétroviseurs électriques et dégivrants - sorties d'échappement chromées - toit ouvrant électrique Intérieur : - vitres électriques - acco</t>
        </is>
      </c>
      <c r="AO141" s="10" t="inlineStr">
        <is>
          <t>Dommages : Bon état général ; Permis : Avec permis ; VO récent : false ; custom_ref : 1872-0000150 ; Importé : true ; spare_parts_availability : Non renseignée</t>
        </is>
      </c>
      <c r="AP141" s="19" t="inlineStr">
        <is>
          <t>Voir</t>
        </is>
      </c>
      <c r="AQ141" s="10" t="inlineStr">
        <is>
          <t>3287620670</t>
        </is>
      </c>
    </row>
    <row r="142">
      <c r="A142" s="10" t="inlineStr">
        <is>
          <t>Honda S2000</t>
        </is>
      </c>
      <c r="B142" s="10" t="inlineStr">
        <is>
          <t>Honda s2000</t>
        </is>
      </c>
      <c r="C142" s="10" t="n"/>
      <c r="D142" s="10" t="n"/>
      <c r="E142" s="10" t="inlineStr">
        <is>
          <t>En vente</t>
        </is>
      </c>
      <c r="F142" s="18" t="n">
        <v>46308</v>
      </c>
      <c r="G142" s="18" t="n">
        <v>46308</v>
      </c>
      <c r="H142" s="18" t="n">
        <v>46310</v>
      </c>
      <c r="I142" s="18" t="n"/>
      <c r="J142" s="17">
        <f>IF(OR(ISNUMBER(F142),ISNUMBER(G142)),IF(ISNUMBER(I142),I142,H142)-IF(ISNUMBER(F142),F142,G142),"")</f>
        <v/>
      </c>
      <c r="K142" s="12" t="n">
        <v>15000</v>
      </c>
      <c r="L142" s="12" t="n">
        <v>15000</v>
      </c>
      <c r="M142" s="13">
        <f>IF(AND(ISNUMBER(K142),ISNUMBER(L142),K142&gt;0),1-L142/K142,"")</f>
        <v/>
      </c>
      <c r="N142" s="16" t="n">
        <v>0</v>
      </c>
      <c r="O142" s="12" t="n"/>
      <c r="P142" s="12" t="n"/>
      <c r="Q142" s="12" t="n"/>
      <c r="R142" s="14">
        <f>IF(AND(ISNUMBER(L142),ISNUMBER(P142),ISNUMBER(Q142)),L142/((P142+Q142)/2)-1,"")</f>
        <v/>
      </c>
      <c r="S142" s="10" t="n"/>
      <c r="T142" s="15" t="n">
        <v>57000</v>
      </c>
      <c r="U142" s="16" t="n">
        <v>2006</v>
      </c>
      <c r="V142" s="10" t="inlineStr">
        <is>
          <t>04/2006</t>
        </is>
      </c>
      <c r="W142" s="10" t="inlineStr">
        <is>
          <t>Essence</t>
        </is>
      </c>
      <c r="X142" s="10" t="inlineStr">
        <is>
          <t>Manuelle</t>
        </is>
      </c>
      <c r="Y142" s="16" t="n">
        <v>240</v>
      </c>
      <c r="Z142" s="16" t="n">
        <v>16</v>
      </c>
      <c r="AA142" s="10" t="inlineStr">
        <is>
          <t>Noir</t>
        </is>
      </c>
      <c r="AB142" s="16" t="n">
        <v>2</v>
      </c>
      <c r="AC142" s="10" t="inlineStr">
        <is>
          <t>Cabriolet</t>
        </is>
      </c>
      <c r="AD142" s="10" t="inlineStr">
        <is>
          <t>Carnet d'entretien disponible</t>
        </is>
      </c>
      <c r="AE142" s="10" t="inlineStr">
        <is>
          <t>Véhicule importé</t>
        </is>
      </c>
      <c r="AF142" s="10" t="inlineStr">
        <is>
          <t>Particulier</t>
        </is>
      </c>
      <c r="AG142" s="10" t="inlineStr">
        <is>
          <t>Boussens</t>
        </is>
      </c>
      <c r="AH142" s="10" t="inlineStr">
        <is>
          <t>31360</t>
        </is>
      </c>
      <c r="AI142" s="10" t="inlineStr">
        <is>
          <t>Haute-Garonne</t>
        </is>
      </c>
      <c r="AJ142" s="10" t="inlineStr">
        <is>
          <t>Midi-Pyrénées</t>
        </is>
      </c>
      <c r="AK142" s="16" t="n">
        <v>3</v>
      </c>
      <c r="AL142" s="10" t="n"/>
      <c r="AM142" s="10" t="inlineStr">
        <is>
          <t>Non</t>
        </is>
      </c>
      <c r="AN142" s="10" t="inlineStr">
        <is>
          <t>Bonjour, Je propose une s2000 de 2006 avec 57m klm. Choc arrière droit il y 10 ans, refait par professionnel avec rapport d'expertise. L'intérieur en bon état. Ligne invidia complète. Jantes refaites. Sellerie et capote refaite il y 5 ans. Démarre très bien. Flexfuel. A prévoir : Frein, problème de purge... CT ( ligne complète invidia inox) Échange possible : Quad pour utilisation plus agricole ( pas de banshee ou autres) type cf moto 520 .... Tracteur avec giro (pour tonte) Maximum échange 9000</t>
        </is>
      </c>
      <c r="AO142" s="10" t="inlineStr">
        <is>
          <t>vehicle_technical_inspection_valid : Non ; Dommages : Réparations mineures à prévoir ; Permis : Avec permis ; Importé : false ; vehicle_history_report_status : visible</t>
        </is>
      </c>
      <c r="AP142" s="19" t="inlineStr">
        <is>
          <t>Voir</t>
        </is>
      </c>
      <c r="AQ142" s="10" t="inlineStr">
        <is>
          <t>3287868399</t>
        </is>
      </c>
    </row>
    <row r="143">
      <c r="A143" s="10" t="inlineStr">
        <is>
          <t>Honda S2000</t>
        </is>
      </c>
      <c r="B143" s="10" t="inlineStr">
        <is>
          <t>Honda S2000 2.0 IVTEC 240 réf 449</t>
        </is>
      </c>
      <c r="C143" s="10" t="inlineStr">
        <is>
          <t>S2000 2.0 BV6</t>
        </is>
      </c>
      <c r="D143" s="10" t="inlineStr">
        <is>
          <t>Base</t>
        </is>
      </c>
      <c r="E143" s="10" t="inlineStr">
        <is>
          <t>En vente</t>
        </is>
      </c>
      <c r="F143" s="18" t="n">
        <v>46309</v>
      </c>
      <c r="G143" s="18" t="n">
        <v>46309</v>
      </c>
      <c r="H143" s="18" t="n">
        <v>46310</v>
      </c>
      <c r="I143" s="18" t="n"/>
      <c r="J143" s="17">
        <f>IF(OR(ISNUMBER(F143),ISNUMBER(G143)),IF(ISNUMBER(I143),I143,H143)-IF(ISNUMBER(F143),F143,G143),"")</f>
        <v/>
      </c>
      <c r="K143" s="12" t="n">
        <v>19490</v>
      </c>
      <c r="L143" s="12" t="n">
        <v>19490</v>
      </c>
      <c r="M143" s="13">
        <f>IF(AND(ISNUMBER(K143),ISNUMBER(L143),K143&gt;0),1-L143/K143,"")</f>
        <v/>
      </c>
      <c r="N143" s="16" t="n">
        <v>0</v>
      </c>
      <c r="O143" s="12" t="n"/>
      <c r="P143" s="12" t="n"/>
      <c r="Q143" s="12" t="n"/>
      <c r="R143" s="14">
        <f>IF(AND(ISNUMBER(L143),ISNUMBER(P143),ISNUMBER(Q143)),L143/((P143+Q143)/2)-1,"")</f>
        <v/>
      </c>
      <c r="S143" s="10" t="n"/>
      <c r="T143" s="15" t="n">
        <v>139800</v>
      </c>
      <c r="U143" s="16" t="n">
        <v>2003</v>
      </c>
      <c r="V143" s="10" t="inlineStr">
        <is>
          <t>03/2003</t>
        </is>
      </c>
      <c r="W143" s="10" t="inlineStr">
        <is>
          <t>Essence</t>
        </is>
      </c>
      <c r="X143" s="10" t="inlineStr">
        <is>
          <t>Manuelle</t>
        </is>
      </c>
      <c r="Y143" s="16" t="n">
        <v>240</v>
      </c>
      <c r="Z143" s="16" t="n">
        <v>16</v>
      </c>
      <c r="AA143" s="10" t="inlineStr">
        <is>
          <t>Bleu</t>
        </is>
      </c>
      <c r="AB143" s="16" t="n">
        <v>2</v>
      </c>
      <c r="AC143" s="10" t="inlineStr">
        <is>
          <t>Cabriolet</t>
        </is>
      </c>
      <c r="AD143" s="10" t="n"/>
      <c r="AE143" s="10" t="n"/>
      <c r="AF143" s="10" t="inlineStr">
        <is>
          <t>Pro</t>
        </is>
      </c>
      <c r="AG143" s="10" t="inlineStr">
        <is>
          <t>Muret</t>
        </is>
      </c>
      <c r="AH143" s="10" t="inlineStr">
        <is>
          <t>31600</t>
        </is>
      </c>
      <c r="AI143" s="10" t="inlineStr">
        <is>
          <t>Haute-Garonne</t>
        </is>
      </c>
      <c r="AJ143" s="10" t="inlineStr">
        <is>
          <t>Midi-Pyrénées</t>
        </is>
      </c>
      <c r="AK143" s="16" t="n">
        <v>19</v>
      </c>
      <c r="AL143" s="10" t="n"/>
      <c r="AM143" s="10" t="inlineStr">
        <is>
          <t>Non</t>
        </is>
      </c>
      <c r="AN143" s="10" t="inlineStr">
        <is>
          <t xml:space="preserve">Honda S2000 2.0 IVTEC 240 réf 449, roadster, bleu, 16 cv, 2 portes, première mise en circulation le 04/03/2003. 2 places Equipements de sécurité ABS Antipatinage Assistance au freinage d'urgence ESP Lave-phares Equipements intérieur 4 haut-parleurs Air conditionné 1 zones Air conditionné aucun Système audio inclut DVD Equipements extérieur et châssis Ampoules de phares xénon Roue de secours Rétroviseurs extérieurs chauffants Véhicule disponible immédiatement. Visible du lundi au samedi, de 9h30 </t>
        </is>
      </c>
      <c r="AO143" s="10" t="inlineStr">
        <is>
          <t>Permis : Avec permis ; VO récent : false ; custom_ref : CLI_B80BF4 ; Importé : true ; spare_parts_availability : Non renseignée</t>
        </is>
      </c>
      <c r="AP143" s="19" t="inlineStr">
        <is>
          <t>Voir</t>
        </is>
      </c>
      <c r="AQ143" s="10" t="inlineStr">
        <is>
          <t>3288222772</t>
        </is>
      </c>
    </row>
    <row r="144">
      <c r="A144" s="10" t="inlineStr">
        <is>
          <t>Honda S2000</t>
        </is>
      </c>
      <c r="B144" s="10" t="inlineStr">
        <is>
          <t>S2000 1.5 / 2002 / 134900km</t>
        </is>
      </c>
      <c r="C144" s="10" t="n"/>
      <c r="D144" s="10" t="n"/>
      <c r="E144" s="10" t="inlineStr">
        <is>
          <t>En vente</t>
        </is>
      </c>
      <c r="F144" s="18" t="n">
        <v>46309</v>
      </c>
      <c r="G144" s="18" t="n">
        <v>46309</v>
      </c>
      <c r="H144" s="18" t="n">
        <v>46310</v>
      </c>
      <c r="I144" s="18" t="n"/>
      <c r="J144" s="17">
        <f>IF(OR(ISNUMBER(F144),ISNUMBER(G144)),IF(ISNUMBER(I144),I144,H144)-IF(ISNUMBER(F144),F144,G144),"")</f>
        <v/>
      </c>
      <c r="K144" s="12" t="n">
        <v>24990</v>
      </c>
      <c r="L144" s="12" t="n">
        <v>24990</v>
      </c>
      <c r="M144" s="13">
        <f>IF(AND(ISNUMBER(K144),ISNUMBER(L144),K144&gt;0),1-L144/K144,"")</f>
        <v/>
      </c>
      <c r="N144" s="16" t="n">
        <v>0</v>
      </c>
      <c r="O144" s="12" t="n"/>
      <c r="P144" s="12" t="n"/>
      <c r="Q144" s="12" t="n"/>
      <c r="R144" s="14">
        <f>IF(AND(ISNUMBER(L144),ISNUMBER(P144),ISNUMBER(Q144)),L144/((P144+Q144)/2)-1,"")</f>
        <v/>
      </c>
      <c r="S144" s="10" t="n"/>
      <c r="T144" s="15" t="n">
        <v>134900</v>
      </c>
      <c r="U144" s="16" t="n">
        <v>2002</v>
      </c>
      <c r="V144" s="10" t="inlineStr">
        <is>
          <t>02/2002</t>
        </is>
      </c>
      <c r="W144" s="10" t="inlineStr">
        <is>
          <t>Essence</t>
        </is>
      </c>
      <c r="X144" s="10" t="inlineStr">
        <is>
          <t>Manuelle</t>
        </is>
      </c>
      <c r="Y144" s="16" t="n">
        <v>240</v>
      </c>
      <c r="Z144" s="16" t="n">
        <v>16</v>
      </c>
      <c r="AA144" s="10" t="inlineStr">
        <is>
          <t>Gris</t>
        </is>
      </c>
      <c r="AB144" s="16" t="n">
        <v>2</v>
      </c>
      <c r="AC144" s="10" t="inlineStr">
        <is>
          <t>Cabriolet</t>
        </is>
      </c>
      <c r="AD144" s="10" t="inlineStr">
        <is>
          <t>Carnet d'entretien disponible, Factures disponibles, Véhicule non fumeur</t>
        </is>
      </c>
      <c r="AE144" s="10" t="n"/>
      <c r="AF144" s="10" t="inlineStr">
        <is>
          <t>Particulier</t>
        </is>
      </c>
      <c r="AG144" s="10" t="inlineStr">
        <is>
          <t>Guignen</t>
        </is>
      </c>
      <c r="AH144" s="10" t="inlineStr">
        <is>
          <t>35580</t>
        </is>
      </c>
      <c r="AI144" s="10" t="inlineStr">
        <is>
          <t>Ille-et-Vilaine</t>
        </is>
      </c>
      <c r="AJ144" s="10" t="inlineStr">
        <is>
          <t>Bretagne</t>
        </is>
      </c>
      <c r="AK144" s="16" t="n">
        <v>3</v>
      </c>
      <c r="AL144" s="10" t="n"/>
      <c r="AM144" s="10" t="inlineStr">
        <is>
          <t>Non</t>
        </is>
      </c>
      <c r="AN144" s="10" t="inlineStr">
        <is>
          <t>Magnifique et intemporelle Honda S2000 Dernier CT 0 faute 4 jantes OZ Allerggerita 17" Jantes origines dispo Ligne après cata origine HKS Suspensions BCRacing récentes Pneus Michelin ps5 neufs Freins récents Entretien Ok Carnet entretien / toutes les factures + de détails me contacter</t>
        </is>
      </c>
      <c r="AO144" s="10" t="inlineStr">
        <is>
          <t>vehicle_technical_inspection_valid : Oui ; Contrôle technique : 2028 ; Dommages : Bon état général ; Sellerie : Cuir partiel ; Permis : Avec permis ; Importé : false ; vehicle_history_teaser_critair : 3 ; vehicle_history_teaser_owners : 7 ; vehicle_history_teaser_expertises : false ; vehicle_history_teaser_special_uses : false ; vehicle_history_teaser_atypical_operations : false ; vehicle_history_teaser_importations : false</t>
        </is>
      </c>
      <c r="AP144" s="19" t="inlineStr">
        <is>
          <t>Voir</t>
        </is>
      </c>
      <c r="AQ144" s="10" t="inlineStr">
        <is>
          <t>3288343679</t>
        </is>
      </c>
    </row>
    <row r="145">
      <c r="A145" s="10" t="inlineStr">
        <is>
          <t>Honda S2000</t>
        </is>
      </c>
      <c r="B145" s="10" t="inlineStr">
        <is>
          <t>HONDA S2000 ph2.5 RHD</t>
        </is>
      </c>
      <c r="C145" s="10" t="n"/>
      <c r="D145" s="10" t="n"/>
      <c r="E145" s="10" t="inlineStr">
        <is>
          <t>En vente</t>
        </is>
      </c>
      <c r="F145" s="18" t="n">
        <v>46310</v>
      </c>
      <c r="G145" s="18" t="n">
        <v>46310</v>
      </c>
      <c r="H145" s="18" t="n">
        <v>46310</v>
      </c>
      <c r="I145" s="18" t="n"/>
      <c r="J145" s="17">
        <f>IF(OR(ISNUMBER(F145),ISNUMBER(G145)),IF(ISNUMBER(I145),I145,H145)-IF(ISNUMBER(F145),F145,G145),"")</f>
        <v/>
      </c>
      <c r="K145" s="12" t="n">
        <v>27000</v>
      </c>
      <c r="L145" s="12" t="n">
        <v>27000</v>
      </c>
      <c r="M145" s="13">
        <f>IF(AND(ISNUMBER(K145),ISNUMBER(L145),K145&gt;0),1-L145/K145,"")</f>
        <v/>
      </c>
      <c r="N145" s="16" t="n">
        <v>0</v>
      </c>
      <c r="O145" s="12" t="n"/>
      <c r="P145" s="12" t="n"/>
      <c r="Q145" s="12" t="n"/>
      <c r="R145" s="14">
        <f>IF(AND(ISNUMBER(L145),ISNUMBER(P145),ISNUMBER(Q145)),L145/((P145+Q145)/2)-1,"")</f>
        <v/>
      </c>
      <c r="S145" s="10" t="n"/>
      <c r="T145" s="15" t="n">
        <v>126000</v>
      </c>
      <c r="U145" s="16" t="n">
        <v>2007</v>
      </c>
      <c r="V145" s="10" t="inlineStr">
        <is>
          <t>07/2007</t>
        </is>
      </c>
      <c r="W145" s="10" t="inlineStr">
        <is>
          <t>Essence</t>
        </is>
      </c>
      <c r="X145" s="10" t="inlineStr">
        <is>
          <t>Manuelle</t>
        </is>
      </c>
      <c r="Y145" s="16" t="n">
        <v>240</v>
      </c>
      <c r="Z145" s="16" t="n">
        <v>16</v>
      </c>
      <c r="AA145" s="10" t="inlineStr">
        <is>
          <t>Autre</t>
        </is>
      </c>
      <c r="AB145" s="16" t="n">
        <v>2</v>
      </c>
      <c r="AC145" s="10" t="inlineStr">
        <is>
          <t>Cabriolet</t>
        </is>
      </c>
      <c r="AD145" s="10" t="n"/>
      <c r="AE145" s="10" t="n"/>
      <c r="AF145" s="10" t="inlineStr">
        <is>
          <t>Particulier</t>
        </is>
      </c>
      <c r="AG145" s="10" t="inlineStr">
        <is>
          <t>Fresse-sur-Moselle</t>
        </is>
      </c>
      <c r="AH145" s="10" t="inlineStr">
        <is>
          <t>88160</t>
        </is>
      </c>
      <c r="AI145" s="10" t="inlineStr">
        <is>
          <t>Vosges</t>
        </is>
      </c>
      <c r="AJ145" s="10" t="inlineStr">
        <is>
          <t>Lorraine</t>
        </is>
      </c>
      <c r="AK145" s="16" t="n">
        <v>3</v>
      </c>
      <c r="AL145" s="10" t="n"/>
      <c r="AM145" s="10" t="inlineStr">
        <is>
          <t>Non</t>
        </is>
      </c>
      <c r="AN145" s="10" t="inlineStr">
        <is>
          <t xml:space="preserve">Prévente Honda s2000 AP1 pH2.5 RHD Année 2007 Moteur origine 2.0 ap1 240ch Couleur gris moonrock Actuellement sous covering Aapa blanc nacré bleu/violet/rose Dernier frais - vidange - joint de cache culbuteur - joint de puits de bougie Nombreuse factures ainsi que l’historique et facture d’Angleterre Équipé - hard-top OEM - lame avant OEM - siège recaro SR4 dc5 monté sur rails bride RO réglable - jantes forgé König countergram Hyperchrome montage asymétrique - cooling plate carbone - béquet OEM </t>
        </is>
      </c>
      <c r="AO145" s="10" t="inlineStr">
        <is>
          <t>Permis : Avec permis ; ad_warranty_type : essential ; Importé : false</t>
        </is>
      </c>
      <c r="AP145" s="19" t="inlineStr">
        <is>
          <t>Voir</t>
        </is>
      </c>
      <c r="AQ145" s="10" t="inlineStr">
        <is>
          <t>3288636961</t>
        </is>
      </c>
    </row>
    <row r="146">
      <c r="A146" s="10" t="inlineStr">
        <is>
          <t>Honda S2000</t>
        </is>
      </c>
      <c r="B146" s="10" t="inlineStr">
        <is>
          <t>Nissan 350z roadster 3.5 v6 280 pack</t>
        </is>
      </c>
      <c r="C146" s="10" t="n"/>
      <c r="D146" s="10" t="n"/>
      <c r="E146" s="10" t="inlineStr">
        <is>
          <t>En vente</t>
        </is>
      </c>
      <c r="F146" s="18" t="n">
        <v>46101</v>
      </c>
      <c r="G146" s="18" t="n">
        <v>46101</v>
      </c>
      <c r="H146" s="18" t="n">
        <v>46296</v>
      </c>
      <c r="I146" s="18" t="n"/>
      <c r="J146" s="17">
        <f>IF(OR(ISNUMBER(F146),ISNUMBER(G146)),IF(ISNUMBER(I146),I146,H146)-IF(ISNUMBER(F146),F146,G146),"")</f>
        <v/>
      </c>
      <c r="K146" s="12" t="n">
        <v>18990</v>
      </c>
      <c r="L146" s="12" t="n">
        <v>18990</v>
      </c>
      <c r="M146" s="13">
        <f>IF(AND(ISNUMBER(K146),ISNUMBER(L146),K146&gt;0),1-L146/K146,"")</f>
        <v/>
      </c>
      <c r="N146" s="16" t="n">
        <v>0</v>
      </c>
      <c r="O146" s="12" t="n"/>
      <c r="P146" s="12" t="n"/>
      <c r="Q146" s="12" t="n"/>
      <c r="R146" s="14">
        <f>IF(AND(ISNUMBER(L146),ISNUMBER(P146),ISNUMBER(Q146)),L146/((P146+Q146)/2)-1,"")</f>
        <v/>
      </c>
      <c r="S146" s="10" t="n"/>
      <c r="T146" s="15" t="n">
        <v>71000</v>
      </c>
      <c r="U146" s="16" t="n">
        <v>2005</v>
      </c>
      <c r="V146" s="10" t="n"/>
      <c r="W146" s="10" t="inlineStr">
        <is>
          <t>Essence</t>
        </is>
      </c>
      <c r="X146" s="10" t="inlineStr">
        <is>
          <t>Manuelle</t>
        </is>
      </c>
      <c r="Y146" s="16" t="n">
        <v>270</v>
      </c>
      <c r="Z146" s="16" t="n">
        <v>20</v>
      </c>
      <c r="AA146" s="10" t="inlineStr">
        <is>
          <t>Noir</t>
        </is>
      </c>
      <c r="AB146" s="16" t="n">
        <v>2</v>
      </c>
      <c r="AC146" s="10" t="inlineStr">
        <is>
          <t>Cabriolet</t>
        </is>
      </c>
      <c r="AD146" s="10" t="n"/>
      <c r="AE146" s="10" t="n"/>
      <c r="AF146" s="10" t="inlineStr">
        <is>
          <t>Pro</t>
        </is>
      </c>
      <c r="AG146" s="10" t="inlineStr">
        <is>
          <t>Pont-l'Évêque</t>
        </is>
      </c>
      <c r="AH146" s="10" t="inlineStr">
        <is>
          <t>14130</t>
        </is>
      </c>
      <c r="AI146" s="10" t="inlineStr">
        <is>
          <t>Calvados</t>
        </is>
      </c>
      <c r="AJ146" s="10" t="inlineStr">
        <is>
          <t>Basse-Normandie</t>
        </is>
      </c>
      <c r="AK146" s="16" t="n"/>
      <c r="AL146" s="10" t="n"/>
      <c r="AM146" s="10" t="n"/>
      <c r="AN146" s="10" t="n"/>
      <c r="AO146" s="10" t="n"/>
      <c r="AP146" s="19" t="inlineStr">
        <is>
          <t>Voir</t>
        </is>
      </c>
      <c r="AQ146" s="10" t="inlineStr">
        <is>
          <t>3165194701</t>
        </is>
      </c>
    </row>
    <row r="147">
      <c r="A147" s="10" t="inlineStr">
        <is>
          <t>Honda S2000</t>
        </is>
      </c>
      <c r="B147" s="10" t="inlineStr">
        <is>
          <t>Audi tt 1.8 180 coupe</t>
        </is>
      </c>
      <c r="C147" s="10" t="n"/>
      <c r="D147" s="10" t="n"/>
      <c r="E147" s="10" t="inlineStr">
        <is>
          <t>En vente</t>
        </is>
      </c>
      <c r="F147" s="18" t="n">
        <v>46132</v>
      </c>
      <c r="G147" s="18" t="n">
        <v>46132</v>
      </c>
      <c r="H147" s="18" t="n">
        <v>46296</v>
      </c>
      <c r="I147" s="18" t="n"/>
      <c r="J147" s="17">
        <f>IF(OR(ISNUMBER(F147),ISNUMBER(G147)),IF(ISNUMBER(I147),I147,H147)-IF(ISNUMBER(F147),F147,G147),"")</f>
        <v/>
      </c>
      <c r="K147" s="12" t="n">
        <v>7990</v>
      </c>
      <c r="L147" s="12" t="n">
        <v>7990</v>
      </c>
      <c r="M147" s="13">
        <f>IF(AND(ISNUMBER(K147),ISNUMBER(L147),K147&gt;0),1-L147/K147,"")</f>
        <v/>
      </c>
      <c r="N147" s="16" t="n">
        <v>0</v>
      </c>
      <c r="O147" s="12" t="n"/>
      <c r="P147" s="12" t="n"/>
      <c r="Q147" s="12" t="n"/>
      <c r="R147" s="14">
        <f>IF(AND(ISNUMBER(L147),ISNUMBER(P147),ISNUMBER(Q147)),L147/((P147+Q147)/2)-1,"")</f>
        <v/>
      </c>
      <c r="S147" s="10" t="n"/>
      <c r="T147" s="15" t="n">
        <v>220000</v>
      </c>
      <c r="U147" s="16" t="n">
        <v>1999</v>
      </c>
      <c r="V147" s="10" t="n"/>
      <c r="W147" s="10" t="inlineStr">
        <is>
          <t>Essence</t>
        </is>
      </c>
      <c r="X147" s="10" t="inlineStr">
        <is>
          <t>Manuelle</t>
        </is>
      </c>
      <c r="Y147" s="16" t="n">
        <v>180</v>
      </c>
      <c r="Z147" s="16" t="n">
        <v>11</v>
      </c>
      <c r="AA147" s="10" t="inlineStr">
        <is>
          <t>Argent</t>
        </is>
      </c>
      <c r="AB147" s="16" t="n">
        <v>3</v>
      </c>
      <c r="AC147" s="10" t="inlineStr">
        <is>
          <t>Citadine</t>
        </is>
      </c>
      <c r="AD147" s="10" t="n"/>
      <c r="AE147" s="10" t="n"/>
      <c r="AF147" s="10" t="inlineStr">
        <is>
          <t>Pro</t>
        </is>
      </c>
      <c r="AG147" s="10" t="inlineStr">
        <is>
          <t>Sausheim</t>
        </is>
      </c>
      <c r="AH147" s="10" t="inlineStr">
        <is>
          <t>68390</t>
        </is>
      </c>
      <c r="AI147" s="10" t="inlineStr">
        <is>
          <t>Haut-Rhin</t>
        </is>
      </c>
      <c r="AJ147" s="10" t="inlineStr">
        <is>
          <t>Alsace</t>
        </is>
      </c>
      <c r="AK147" s="16" t="n"/>
      <c r="AL147" s="10" t="n"/>
      <c r="AM147" s="10" t="n"/>
      <c r="AN147" s="10" t="n"/>
      <c r="AO147" s="10" t="n"/>
      <c r="AP147" s="19" t="inlineStr">
        <is>
          <t>Voir</t>
        </is>
      </c>
      <c r="AQ147" s="10" t="inlineStr">
        <is>
          <t>3183271891</t>
        </is>
      </c>
    </row>
    <row r="148">
      <c r="A148" s="10" t="inlineStr">
        <is>
          <t>Honda S2000</t>
        </is>
      </c>
      <c r="B148" s="10" t="inlineStr">
        <is>
          <t>Honda S 2000 Porsche Japonaise</t>
        </is>
      </c>
      <c r="C148" s="10" t="n"/>
      <c r="D148" s="10" t="n"/>
      <c r="E148" s="10" t="inlineStr">
        <is>
          <t>En vente</t>
        </is>
      </c>
      <c r="F148" s="18" t="n">
        <v>46281</v>
      </c>
      <c r="G148" s="18" t="n">
        <v>46281</v>
      </c>
      <c r="H148" s="18" t="n">
        <v>46296</v>
      </c>
      <c r="I148" s="18" t="n"/>
      <c r="J148" s="17">
        <f>IF(OR(ISNUMBER(F148),ISNUMBER(G148)),IF(ISNUMBER(I148),I148,H148)-IF(ISNUMBER(F148),F148,G148),"")</f>
        <v/>
      </c>
      <c r="K148" s="12" t="n">
        <v>19999</v>
      </c>
      <c r="L148" s="12" t="n">
        <v>19999</v>
      </c>
      <c r="M148" s="13">
        <f>IF(AND(ISNUMBER(K148),ISNUMBER(L148),K148&gt;0),1-L148/K148,"")</f>
        <v/>
      </c>
      <c r="N148" s="16" t="n">
        <v>0</v>
      </c>
      <c r="O148" s="12" t="n"/>
      <c r="P148" s="12" t="n"/>
      <c r="Q148" s="12" t="n"/>
      <c r="R148" s="14">
        <f>IF(AND(ISNUMBER(L148),ISNUMBER(P148),ISNUMBER(Q148)),L148/((P148+Q148)/2)-1,"")</f>
        <v/>
      </c>
      <c r="S148" s="10" t="n"/>
      <c r="T148" s="15" t="n">
        <v>151000</v>
      </c>
      <c r="U148" s="16" t="n">
        <v>2001</v>
      </c>
      <c r="V148" s="10" t="n"/>
      <c r="W148" s="10" t="inlineStr">
        <is>
          <t>Essence</t>
        </is>
      </c>
      <c r="X148" s="10" t="inlineStr">
        <is>
          <t>Manuelle</t>
        </is>
      </c>
      <c r="Y148" s="16" t="n">
        <v>240</v>
      </c>
      <c r="Z148" s="16" t="n">
        <v>16</v>
      </c>
      <c r="AA148" s="10" t="inlineStr">
        <is>
          <t>Noir</t>
        </is>
      </c>
      <c r="AB148" s="16" t="n">
        <v>2</v>
      </c>
      <c r="AC148" s="10" t="inlineStr">
        <is>
          <t>Cabriolet</t>
        </is>
      </c>
      <c r="AD148" s="10" t="n"/>
      <c r="AE148" s="10" t="n"/>
      <c r="AF148" s="10" t="inlineStr">
        <is>
          <t>Particulier</t>
        </is>
      </c>
      <c r="AG148" s="10" t="inlineStr">
        <is>
          <t>Vidauban</t>
        </is>
      </c>
      <c r="AH148" s="10" t="inlineStr">
        <is>
          <t>83550</t>
        </is>
      </c>
      <c r="AI148" s="10" t="inlineStr">
        <is>
          <t>Var</t>
        </is>
      </c>
      <c r="AJ148" s="10" t="inlineStr">
        <is>
          <t>Provence-Alpes-Côte d'Azur</t>
        </is>
      </c>
      <c r="AK148" s="16" t="n"/>
      <c r="AL148" s="10" t="n"/>
      <c r="AM148" s="10" t="n"/>
      <c r="AN148" s="10" t="n"/>
      <c r="AO148" s="10" t="n"/>
      <c r="AP148" s="19" t="inlineStr">
        <is>
          <t>Voir</t>
        </is>
      </c>
      <c r="AQ148" s="10" t="inlineStr">
        <is>
          <t>3185838540</t>
        </is>
      </c>
    </row>
    <row r="149">
      <c r="A149" s="10" t="inlineStr">
        <is>
          <t>Honda S2000</t>
        </is>
      </c>
      <c r="B149" s="10" t="inlineStr">
        <is>
          <t>Honda s2000</t>
        </is>
      </c>
      <c r="C149" s="10" t="n"/>
      <c r="D149" s="10" t="n"/>
      <c r="E149" s="10" t="inlineStr">
        <is>
          <t>En vente</t>
        </is>
      </c>
      <c r="F149" s="18" t="n">
        <v>46236</v>
      </c>
      <c r="G149" s="18" t="n">
        <v>46236</v>
      </c>
      <c r="H149" s="18" t="n">
        <v>46296</v>
      </c>
      <c r="I149" s="18" t="n"/>
      <c r="J149" s="17">
        <f>IF(OR(ISNUMBER(F149),ISNUMBER(G149)),IF(ISNUMBER(I149),I149,H149)-IF(ISNUMBER(F149),F149,G149),"")</f>
        <v/>
      </c>
      <c r="K149" s="12" t="n">
        <v>12500</v>
      </c>
      <c r="L149" s="12" t="n">
        <v>12500</v>
      </c>
      <c r="M149" s="13">
        <f>IF(AND(ISNUMBER(K149),ISNUMBER(L149),K149&gt;0),1-L149/K149,"")</f>
        <v/>
      </c>
      <c r="N149" s="16" t="n">
        <v>0</v>
      </c>
      <c r="O149" s="12" t="n"/>
      <c r="P149" s="12" t="n"/>
      <c r="Q149" s="12" t="n"/>
      <c r="R149" s="14">
        <f>IF(AND(ISNUMBER(L149),ISNUMBER(P149),ISNUMBER(Q149)),L149/((P149+Q149)/2)-1,"")</f>
        <v/>
      </c>
      <c r="S149" s="10" t="n"/>
      <c r="T149" s="15" t="n">
        <v>243000</v>
      </c>
      <c r="U149" s="16" t="n">
        <v>2002</v>
      </c>
      <c r="V149" s="10" t="n"/>
      <c r="W149" s="10" t="inlineStr">
        <is>
          <t>Essence</t>
        </is>
      </c>
      <c r="X149" s="10" t="inlineStr">
        <is>
          <t>Manuelle</t>
        </is>
      </c>
      <c r="Y149" s="16" t="n">
        <v>240</v>
      </c>
      <c r="Z149" s="16" t="n">
        <v>16</v>
      </c>
      <c r="AA149" s="10" t="inlineStr">
        <is>
          <t>Noir</t>
        </is>
      </c>
      <c r="AB149" s="16" t="n">
        <v>2</v>
      </c>
      <c r="AC149" s="10" t="inlineStr">
        <is>
          <t>Cabriolet</t>
        </is>
      </c>
      <c r="AD149" s="10" t="n"/>
      <c r="AE149" s="10" t="n"/>
      <c r="AF149" s="10" t="inlineStr">
        <is>
          <t>Particulier</t>
        </is>
      </c>
      <c r="AG149" s="10" t="inlineStr">
        <is>
          <t>Béziers</t>
        </is>
      </c>
      <c r="AH149" s="10" t="inlineStr">
        <is>
          <t>34500</t>
        </is>
      </c>
      <c r="AI149" s="10" t="inlineStr">
        <is>
          <t>Hérault</t>
        </is>
      </c>
      <c r="AJ149" s="10" t="inlineStr">
        <is>
          <t>Languedoc-Roussillon</t>
        </is>
      </c>
      <c r="AK149" s="16" t="n"/>
      <c r="AL149" s="10" t="n"/>
      <c r="AM149" s="10" t="n"/>
      <c r="AN149" s="10" t="n"/>
      <c r="AO149" s="10" t="n"/>
      <c r="AP149" s="19" t="inlineStr">
        <is>
          <t>Voir</t>
        </is>
      </c>
      <c r="AQ149" s="10" t="inlineStr">
        <is>
          <t>3243670260</t>
        </is>
      </c>
    </row>
    <row r="150">
      <c r="A150" s="10" t="inlineStr">
        <is>
          <t>Honda S2000</t>
        </is>
      </c>
      <c r="B150" s="10" t="inlineStr">
        <is>
          <t>HONDA S2000 (AP) 2.0 i VTEC Roadster 240cv</t>
        </is>
      </c>
      <c r="C150" s="10" t="n"/>
      <c r="D150" s="10" t="n"/>
      <c r="E150" s="10" t="inlineStr">
        <is>
          <t>En vente</t>
        </is>
      </c>
      <c r="F150" s="18" t="n">
        <v>46244</v>
      </c>
      <c r="G150" s="18" t="n">
        <v>46244</v>
      </c>
      <c r="H150" s="18" t="n">
        <v>46296</v>
      </c>
      <c r="I150" s="18" t="n"/>
      <c r="J150" s="17">
        <f>IF(OR(ISNUMBER(F150),ISNUMBER(G150)),IF(ISNUMBER(I150),I150,H150)-IF(ISNUMBER(F150),F150,G150),"")</f>
        <v/>
      </c>
      <c r="K150" s="12" t="n">
        <v>46990</v>
      </c>
      <c r="L150" s="12" t="n">
        <v>46990</v>
      </c>
      <c r="M150" s="13">
        <f>IF(AND(ISNUMBER(K150),ISNUMBER(L150),K150&gt;0),1-L150/K150,"")</f>
        <v/>
      </c>
      <c r="N150" s="16" t="n">
        <v>0</v>
      </c>
      <c r="O150" s="12" t="n"/>
      <c r="P150" s="12" t="n"/>
      <c r="Q150" s="12" t="n"/>
      <c r="R150" s="14">
        <f>IF(AND(ISNUMBER(L150),ISNUMBER(P150),ISNUMBER(Q150)),L150/((P150+Q150)/2)-1,"")</f>
        <v/>
      </c>
      <c r="S150" s="10" t="n"/>
      <c r="T150" s="15" t="n">
        <v>33320</v>
      </c>
      <c r="U150" s="16" t="n">
        <v>2005</v>
      </c>
      <c r="V150" s="10" t="n"/>
      <c r="W150" s="10" t="inlineStr">
        <is>
          <t>Essence</t>
        </is>
      </c>
      <c r="X150" s="10" t="inlineStr">
        <is>
          <t>Manuelle</t>
        </is>
      </c>
      <c r="Y150" s="16" t="n">
        <v>240</v>
      </c>
      <c r="Z150" s="16" t="n">
        <v>16</v>
      </c>
      <c r="AA150" s="10" t="inlineStr">
        <is>
          <t>Gris</t>
        </is>
      </c>
      <c r="AB150" s="16" t="n">
        <v>2</v>
      </c>
      <c r="AC150" s="10" t="inlineStr">
        <is>
          <t>Cabriolet</t>
        </is>
      </c>
      <c r="AD150" s="10" t="n"/>
      <c r="AE150" s="10" t="n"/>
      <c r="AF150" s="10" t="inlineStr">
        <is>
          <t>Pro</t>
        </is>
      </c>
      <c r="AG150" s="10" t="inlineStr">
        <is>
          <t>Bastia</t>
        </is>
      </c>
      <c r="AH150" s="10" t="inlineStr">
        <is>
          <t>20600</t>
        </is>
      </c>
      <c r="AI150" s="10" t="n"/>
      <c r="AJ150" s="10" t="inlineStr">
        <is>
          <t>Corse</t>
        </is>
      </c>
      <c r="AK150" s="16" t="n"/>
      <c r="AL150" s="10" t="n"/>
      <c r="AM150" s="10" t="n"/>
      <c r="AN150" s="10" t="n"/>
      <c r="AO150" s="10" t="n"/>
      <c r="AP150" s="19" t="inlineStr">
        <is>
          <t>Voir</t>
        </is>
      </c>
      <c r="AQ150" s="10" t="inlineStr">
        <is>
          <t>3247698308</t>
        </is>
      </c>
    </row>
    <row r="151">
      <c r="A151" s="10" t="inlineStr">
        <is>
          <t>Honda S2000</t>
        </is>
      </c>
      <c r="B151" s="10" t="inlineStr">
        <is>
          <t>Honda S2000 LHD 2.0 VTEC 2002</t>
        </is>
      </c>
      <c r="C151" s="10" t="n"/>
      <c r="D151" s="10" t="n"/>
      <c r="E151" s="10" t="inlineStr">
        <is>
          <t>En vente</t>
        </is>
      </c>
      <c r="F151" s="18" t="n">
        <v>46248</v>
      </c>
      <c r="G151" s="18" t="n">
        <v>46248</v>
      </c>
      <c r="H151" s="18" t="n">
        <v>46296</v>
      </c>
      <c r="I151" s="18" t="n"/>
      <c r="J151" s="17">
        <f>IF(OR(ISNUMBER(F151),ISNUMBER(G151)),IF(ISNUMBER(I151),I151,H151)-IF(ISNUMBER(F151),F151,G151),"")</f>
        <v/>
      </c>
      <c r="K151" s="12" t="n">
        <v>26800</v>
      </c>
      <c r="L151" s="12" t="n">
        <v>26800</v>
      </c>
      <c r="M151" s="13">
        <f>IF(AND(ISNUMBER(K151),ISNUMBER(L151),K151&gt;0),1-L151/K151,"")</f>
        <v/>
      </c>
      <c r="N151" s="16" t="n">
        <v>0</v>
      </c>
      <c r="O151" s="12" t="n"/>
      <c r="P151" s="12" t="n"/>
      <c r="Q151" s="12" t="n"/>
      <c r="R151" s="14">
        <f>IF(AND(ISNUMBER(L151),ISNUMBER(P151),ISNUMBER(Q151)),L151/((P151+Q151)/2)-1,"")</f>
        <v/>
      </c>
      <c r="S151" s="10" t="n"/>
      <c r="T151" s="15" t="n">
        <v>113000</v>
      </c>
      <c r="U151" s="16" t="n">
        <v>2002</v>
      </c>
      <c r="V151" s="10" t="n"/>
      <c r="W151" s="10" t="inlineStr">
        <is>
          <t>Essence</t>
        </is>
      </c>
      <c r="X151" s="10" t="inlineStr">
        <is>
          <t>Manuelle</t>
        </is>
      </c>
      <c r="Y151" s="16" t="n">
        <v>240</v>
      </c>
      <c r="Z151" s="16" t="n">
        <v>16</v>
      </c>
      <c r="AA151" s="10" t="inlineStr">
        <is>
          <t>Gris</t>
        </is>
      </c>
      <c r="AB151" s="16" t="n">
        <v>2</v>
      </c>
      <c r="AC151" s="10" t="inlineStr">
        <is>
          <t>Cabriolet</t>
        </is>
      </c>
      <c r="AD151" s="10" t="n"/>
      <c r="AE151" s="10" t="n"/>
      <c r="AF151" s="10" t="inlineStr">
        <is>
          <t>Pro</t>
        </is>
      </c>
      <c r="AG151" s="10" t="inlineStr">
        <is>
          <t>Balma</t>
        </is>
      </c>
      <c r="AH151" s="10" t="inlineStr">
        <is>
          <t>31130</t>
        </is>
      </c>
      <c r="AI151" s="10" t="inlineStr">
        <is>
          <t>Haute-Garonne</t>
        </is>
      </c>
      <c r="AJ151" s="10" t="inlineStr">
        <is>
          <t>Midi-Pyrénées</t>
        </is>
      </c>
      <c r="AK151" s="16" t="n"/>
      <c r="AL151" s="10" t="n"/>
      <c r="AM151" s="10" t="n"/>
      <c r="AN151" s="10" t="n"/>
      <c r="AO151" s="10" t="n"/>
      <c r="AP151" s="19" t="inlineStr">
        <is>
          <t>Voir</t>
        </is>
      </c>
      <c r="AQ151" s="10" t="inlineStr">
        <is>
          <t>3249751722</t>
        </is>
      </c>
    </row>
    <row r="152">
      <c r="A152" s="10" t="inlineStr">
        <is>
          <t>Honda S2000</t>
        </is>
      </c>
      <c r="B152" s="10" t="inlineStr">
        <is>
          <t>Audi tt décapotable 225cv quattro</t>
        </is>
      </c>
      <c r="C152" s="10" t="n"/>
      <c r="D152" s="10" t="n"/>
      <c r="E152" s="10" t="inlineStr">
        <is>
          <t>En vente</t>
        </is>
      </c>
      <c r="F152" s="18" t="n">
        <v>46281</v>
      </c>
      <c r="G152" s="18" t="n">
        <v>46281</v>
      </c>
      <c r="H152" s="18" t="n">
        <v>46296</v>
      </c>
      <c r="I152" s="18" t="n"/>
      <c r="J152" s="17">
        <f>IF(OR(ISNUMBER(F152),ISNUMBER(G152)),IF(ISNUMBER(I152),I152,H152)-IF(ISNUMBER(F152),F152,G152),"")</f>
        <v/>
      </c>
      <c r="K152" s="12" t="n">
        <v>9000</v>
      </c>
      <c r="L152" s="12" t="n">
        <v>9000</v>
      </c>
      <c r="M152" s="13">
        <f>IF(AND(ISNUMBER(K152),ISNUMBER(L152),K152&gt;0),1-L152/K152,"")</f>
        <v/>
      </c>
      <c r="N152" s="16" t="n">
        <v>0</v>
      </c>
      <c r="O152" s="12" t="n"/>
      <c r="P152" s="12" t="n"/>
      <c r="Q152" s="12" t="n"/>
      <c r="R152" s="14">
        <f>IF(AND(ISNUMBER(L152),ISNUMBER(P152),ISNUMBER(Q152)),L152/((P152+Q152)/2)-1,"")</f>
        <v/>
      </c>
      <c r="S152" s="10" t="n"/>
      <c r="T152" s="15" t="n">
        <v>194500</v>
      </c>
      <c r="U152" s="16" t="n">
        <v>2002</v>
      </c>
      <c r="V152" s="10" t="n"/>
      <c r="W152" s="10" t="inlineStr">
        <is>
          <t>Essence</t>
        </is>
      </c>
      <c r="X152" s="10" t="inlineStr">
        <is>
          <t>Manuelle</t>
        </is>
      </c>
      <c r="Y152" s="16" t="n">
        <v>225</v>
      </c>
      <c r="Z152" s="16" t="n">
        <v>15</v>
      </c>
      <c r="AA152" s="10" t="inlineStr">
        <is>
          <t>Gris</t>
        </is>
      </c>
      <c r="AB152" s="16" t="n">
        <v>2</v>
      </c>
      <c r="AC152" s="10" t="inlineStr">
        <is>
          <t>Autre</t>
        </is>
      </c>
      <c r="AD152" s="10" t="n"/>
      <c r="AE152" s="10" t="inlineStr"/>
      <c r="AF152" s="10" t="inlineStr">
        <is>
          <t>Particulier</t>
        </is>
      </c>
      <c r="AG152" s="10" t="inlineStr">
        <is>
          <t>Paris</t>
        </is>
      </c>
      <c r="AH152" s="10" t="inlineStr">
        <is>
          <t>75001</t>
        </is>
      </c>
      <c r="AI152" s="10" t="inlineStr">
        <is>
          <t>Paris</t>
        </is>
      </c>
      <c r="AJ152" s="10" t="inlineStr">
        <is>
          <t>Ile-de-France</t>
        </is>
      </c>
      <c r="AK152" s="16" t="n"/>
      <c r="AL152" s="10" t="n"/>
      <c r="AM152" s="10" t="n"/>
      <c r="AN152" s="10" t="n"/>
      <c r="AO152" s="10" t="n"/>
      <c r="AP152" s="19" t="inlineStr">
        <is>
          <t>Voir</t>
        </is>
      </c>
      <c r="AQ152" s="10" t="inlineStr">
        <is>
          <t>3270657423</t>
        </is>
      </c>
    </row>
    <row r="153">
      <c r="A153" s="10" t="inlineStr">
        <is>
          <t>Honda S2000</t>
        </is>
      </c>
      <c r="B153" s="10" t="inlineStr">
        <is>
          <t>Honda S2000</t>
        </is>
      </c>
      <c r="C153" s="10" t="n"/>
      <c r="D153" s="10" t="n"/>
      <c r="E153" s="10" t="inlineStr">
        <is>
          <t>En vente</t>
        </is>
      </c>
      <c r="F153" s="18" t="n">
        <v>46288</v>
      </c>
      <c r="G153" s="18" t="n">
        <v>46288</v>
      </c>
      <c r="H153" s="18" t="n">
        <v>46296</v>
      </c>
      <c r="I153" s="18" t="n"/>
      <c r="J153" s="17">
        <f>IF(OR(ISNUMBER(F153),ISNUMBER(G153)),IF(ISNUMBER(I153),I153,H153)-IF(ISNUMBER(F153),F153,G153),"")</f>
        <v/>
      </c>
      <c r="K153" s="12" t="n">
        <v>21500</v>
      </c>
      <c r="L153" s="12" t="n">
        <v>21500</v>
      </c>
      <c r="M153" s="13">
        <f>IF(AND(ISNUMBER(K153),ISNUMBER(L153),K153&gt;0),1-L153/K153,"")</f>
        <v/>
      </c>
      <c r="N153" s="16" t="n">
        <v>0</v>
      </c>
      <c r="O153" s="12" t="n"/>
      <c r="P153" s="12" t="n"/>
      <c r="Q153" s="12" t="n"/>
      <c r="R153" s="14">
        <f>IF(AND(ISNUMBER(L153),ISNUMBER(P153),ISNUMBER(Q153)),L153/((P153+Q153)/2)-1,"")</f>
        <v/>
      </c>
      <c r="S153" s="10" t="n"/>
      <c r="T153" s="15" t="n">
        <v>166000</v>
      </c>
      <c r="U153" s="16" t="n">
        <v>2002</v>
      </c>
      <c r="V153" s="10" t="n"/>
      <c r="W153" s="10" t="inlineStr">
        <is>
          <t>Essence</t>
        </is>
      </c>
      <c r="X153" s="10" t="inlineStr">
        <is>
          <t>Manuelle</t>
        </is>
      </c>
      <c r="Y153" s="16" t="n">
        <v>240</v>
      </c>
      <c r="Z153" s="16" t="n">
        <v>16</v>
      </c>
      <c r="AA153" s="10" t="inlineStr">
        <is>
          <t>Noir</t>
        </is>
      </c>
      <c r="AB153" s="16" t="n">
        <v>2</v>
      </c>
      <c r="AC153" s="10" t="inlineStr">
        <is>
          <t>Cabriolet</t>
        </is>
      </c>
      <c r="AD153" s="10" t="n"/>
      <c r="AE153" s="10" t="n"/>
      <c r="AF153" s="10" t="inlineStr">
        <is>
          <t>Particulier</t>
        </is>
      </c>
      <c r="AG153" s="10" t="inlineStr">
        <is>
          <t>Saint-Péray</t>
        </is>
      </c>
      <c r="AH153" s="10" t="inlineStr">
        <is>
          <t>07130</t>
        </is>
      </c>
      <c r="AI153" s="10" t="inlineStr">
        <is>
          <t>Ardèche</t>
        </is>
      </c>
      <c r="AJ153" s="10" t="inlineStr">
        <is>
          <t>Rhône-Alpes</t>
        </is>
      </c>
      <c r="AK153" s="16" t="n"/>
      <c r="AL153" s="10" t="n"/>
      <c r="AM153" s="10" t="n"/>
      <c r="AN153" s="10" t="n"/>
      <c r="AO153" s="10" t="n"/>
      <c r="AP153" s="19" t="inlineStr">
        <is>
          <t>Voir</t>
        </is>
      </c>
      <c r="AQ153" s="10" t="inlineStr">
        <is>
          <t>3275414023</t>
        </is>
      </c>
    </row>
    <row r="154">
      <c r="A154" s="10" t="inlineStr">
        <is>
          <t>Honda S2000</t>
        </is>
      </c>
      <c r="B154" s="10" t="inlineStr">
        <is>
          <t>Honda s2000</t>
        </is>
      </c>
      <c r="C154" s="10" t="n"/>
      <c r="D154" s="10" t="n"/>
      <c r="E154" s="10" t="inlineStr">
        <is>
          <t>En vente</t>
        </is>
      </c>
      <c r="F154" s="18" t="n">
        <v>46289</v>
      </c>
      <c r="G154" s="18" t="n">
        <v>46289</v>
      </c>
      <c r="H154" s="18" t="n">
        <v>46296</v>
      </c>
      <c r="I154" s="18" t="n"/>
      <c r="J154" s="17">
        <f>IF(OR(ISNUMBER(F154),ISNUMBER(G154)),IF(ISNUMBER(I154),I154,H154)-IF(ISNUMBER(F154),F154,G154),"")</f>
        <v/>
      </c>
      <c r="K154" s="12" t="n">
        <v>37990</v>
      </c>
      <c r="L154" s="12" t="n">
        <v>37990</v>
      </c>
      <c r="M154" s="13">
        <f>IF(AND(ISNUMBER(K154),ISNUMBER(L154),K154&gt;0),1-L154/K154,"")</f>
        <v/>
      </c>
      <c r="N154" s="16" t="n">
        <v>0</v>
      </c>
      <c r="O154" s="12" t="n"/>
      <c r="P154" s="12" t="n"/>
      <c r="Q154" s="12" t="n"/>
      <c r="R154" s="14">
        <f>IF(AND(ISNUMBER(L154),ISNUMBER(P154),ISNUMBER(Q154)),L154/((P154+Q154)/2)-1,"")</f>
        <v/>
      </c>
      <c r="S154" s="10" t="n"/>
      <c r="T154" s="15" t="n">
        <v>116000</v>
      </c>
      <c r="U154" s="16" t="n">
        <v>2006</v>
      </c>
      <c r="V154" s="10" t="n"/>
      <c r="W154" s="10" t="inlineStr">
        <is>
          <t>Essence</t>
        </is>
      </c>
      <c r="X154" s="10" t="inlineStr">
        <is>
          <t>Manuelle</t>
        </is>
      </c>
      <c r="Y154" s="16" t="n">
        <v>240</v>
      </c>
      <c r="Z154" s="16" t="n">
        <v>16</v>
      </c>
      <c r="AA154" s="10" t="inlineStr">
        <is>
          <t>Noir</t>
        </is>
      </c>
      <c r="AB154" s="16" t="n">
        <v>2</v>
      </c>
      <c r="AC154" s="10" t="inlineStr">
        <is>
          <t>Cabriolet</t>
        </is>
      </c>
      <c r="AD154" s="10" t="n"/>
      <c r="AE154" s="10" t="n"/>
      <c r="AF154" s="10" t="inlineStr">
        <is>
          <t>Particulier</t>
        </is>
      </c>
      <c r="AG154" s="10" t="inlineStr">
        <is>
          <t>Breuillet</t>
        </is>
      </c>
      <c r="AH154" s="10" t="inlineStr">
        <is>
          <t>91650</t>
        </is>
      </c>
      <c r="AI154" s="10" t="inlineStr">
        <is>
          <t>Essonne</t>
        </is>
      </c>
      <c r="AJ154" s="10" t="inlineStr">
        <is>
          <t>Ile-de-France</t>
        </is>
      </c>
      <c r="AK154" s="16" t="n"/>
      <c r="AL154" s="10" t="n"/>
      <c r="AM154" s="10" t="n"/>
      <c r="AN154" s="10" t="n"/>
      <c r="AO154" s="10" t="n"/>
      <c r="AP154" s="19" t="inlineStr">
        <is>
          <t>Voir</t>
        </is>
      </c>
      <c r="AQ154" s="10" t="inlineStr">
        <is>
          <t>3275889267</t>
        </is>
      </c>
    </row>
    <row r="155">
      <c r="A155" s="10" t="inlineStr">
        <is>
          <t>Honda S2000</t>
        </is>
      </c>
      <c r="B155" s="10" t="inlineStr">
        <is>
          <t>Honda S2000 AP1</t>
        </is>
      </c>
      <c r="C155" s="10" t="n"/>
      <c r="D155" s="10" t="n"/>
      <c r="E155" s="10" t="inlineStr">
        <is>
          <t>En vente</t>
        </is>
      </c>
      <c r="F155" s="18" t="n">
        <v>46294</v>
      </c>
      <c r="G155" s="18" t="n">
        <v>46294</v>
      </c>
      <c r="H155" s="18" t="n">
        <v>46296</v>
      </c>
      <c r="I155" s="18" t="n"/>
      <c r="J155" s="17">
        <f>IF(OR(ISNUMBER(F155),ISNUMBER(G155)),IF(ISNUMBER(I155),I155,H155)-IF(ISNUMBER(F155),F155,G155),"")</f>
        <v/>
      </c>
      <c r="K155" s="12" t="n">
        <v>15000</v>
      </c>
      <c r="L155" s="12" t="n">
        <v>15000</v>
      </c>
      <c r="M155" s="13">
        <f>IF(AND(ISNUMBER(K155),ISNUMBER(L155),K155&gt;0),1-L155/K155,"")</f>
        <v/>
      </c>
      <c r="N155" s="16" t="n">
        <v>0</v>
      </c>
      <c r="O155" s="12" t="n"/>
      <c r="P155" s="12" t="n"/>
      <c r="Q155" s="12" t="n"/>
      <c r="R155" s="14">
        <f>IF(AND(ISNUMBER(L155),ISNUMBER(P155),ISNUMBER(Q155)),L155/((P155+Q155)/2)-1,"")</f>
        <v/>
      </c>
      <c r="S155" s="10" t="n"/>
      <c r="T155" s="15" t="n">
        <v>154000</v>
      </c>
      <c r="U155" s="16" t="n">
        <v>2000</v>
      </c>
      <c r="V155" s="10" t="n"/>
      <c r="W155" s="10" t="inlineStr">
        <is>
          <t>Essence</t>
        </is>
      </c>
      <c r="X155" s="10" t="inlineStr">
        <is>
          <t>Manuelle</t>
        </is>
      </c>
      <c r="Y155" s="16" t="n">
        <v>240</v>
      </c>
      <c r="Z155" s="16" t="n">
        <v>16</v>
      </c>
      <c r="AA155" s="10" t="inlineStr">
        <is>
          <t>Rouge</t>
        </is>
      </c>
      <c r="AB155" s="16" t="n">
        <v>2</v>
      </c>
      <c r="AC155" s="10" t="inlineStr">
        <is>
          <t>Cabriolet</t>
        </is>
      </c>
      <c r="AD155" s="10" t="n"/>
      <c r="AE155" s="10" t="n"/>
      <c r="AF155" s="10" t="inlineStr">
        <is>
          <t>Particulier</t>
        </is>
      </c>
      <c r="AG155" s="10" t="inlineStr">
        <is>
          <t>Doubs</t>
        </is>
      </c>
      <c r="AH155" s="10" t="inlineStr">
        <is>
          <t>25300</t>
        </is>
      </c>
      <c r="AI155" s="10" t="inlineStr">
        <is>
          <t>Doubs</t>
        </is>
      </c>
      <c r="AJ155" s="10" t="inlineStr">
        <is>
          <t>Franche-Comté</t>
        </is>
      </c>
      <c r="AK155" s="16" t="n"/>
      <c r="AL155" s="10" t="n"/>
      <c r="AM155" s="10" t="n"/>
      <c r="AN155" s="10" t="n"/>
      <c r="AO155" s="10" t="n"/>
      <c r="AP155" s="19" t="inlineStr">
        <is>
          <t>Voir</t>
        </is>
      </c>
      <c r="AQ155" s="10" t="inlineStr">
        <is>
          <t>3278735968</t>
        </is>
      </c>
    </row>
    <row r="156">
      <c r="A156" s="10" t="inlineStr">
        <is>
          <t>Honda S2000</t>
        </is>
      </c>
      <c r="B156" s="10" t="inlineStr">
        <is>
          <t>Honda S2000 2.0 IVTEC 240 réf 446</t>
        </is>
      </c>
      <c r="C156" s="10" t="n"/>
      <c r="D156" s="10" t="n"/>
      <c r="E156" s="10" t="inlineStr">
        <is>
          <t>En vente</t>
        </is>
      </c>
      <c r="F156" s="18" t="n">
        <v>46294</v>
      </c>
      <c r="G156" s="18" t="n">
        <v>46294</v>
      </c>
      <c r="H156" s="18" t="n">
        <v>46296</v>
      </c>
      <c r="I156" s="18" t="n"/>
      <c r="J156" s="17">
        <f>IF(OR(ISNUMBER(F156),ISNUMBER(G156)),IF(ISNUMBER(I156),I156,H156)-IF(ISNUMBER(F156),F156,G156),"")</f>
        <v/>
      </c>
      <c r="K156" s="12" t="n">
        <v>19490</v>
      </c>
      <c r="L156" s="12" t="n">
        <v>19490</v>
      </c>
      <c r="M156" s="13">
        <f>IF(AND(ISNUMBER(K156),ISNUMBER(L156),K156&gt;0),1-L156/K156,"")</f>
        <v/>
      </c>
      <c r="N156" s="16" t="n">
        <v>0</v>
      </c>
      <c r="O156" s="12" t="n"/>
      <c r="P156" s="12" t="n"/>
      <c r="Q156" s="12" t="n"/>
      <c r="R156" s="14">
        <f>IF(AND(ISNUMBER(L156),ISNUMBER(P156),ISNUMBER(Q156)),L156/((P156+Q156)/2)-1,"")</f>
        <v/>
      </c>
      <c r="S156" s="10" t="n"/>
      <c r="T156" s="15" t="n">
        <v>139800</v>
      </c>
      <c r="U156" s="16" t="n">
        <v>2003</v>
      </c>
      <c r="V156" s="10" t="n"/>
      <c r="W156" s="10" t="inlineStr">
        <is>
          <t>Essence</t>
        </is>
      </c>
      <c r="X156" s="10" t="inlineStr">
        <is>
          <t>Manuelle</t>
        </is>
      </c>
      <c r="Y156" s="16" t="n">
        <v>240</v>
      </c>
      <c r="Z156" s="16" t="n">
        <v>16</v>
      </c>
      <c r="AA156" s="10" t="inlineStr">
        <is>
          <t>Bleu</t>
        </is>
      </c>
      <c r="AB156" s="16" t="n">
        <v>2</v>
      </c>
      <c r="AC156" s="10" t="inlineStr">
        <is>
          <t>Cabriolet</t>
        </is>
      </c>
      <c r="AD156" s="10" t="n"/>
      <c r="AE156" s="10" t="n"/>
      <c r="AF156" s="10" t="inlineStr">
        <is>
          <t>Pro</t>
        </is>
      </c>
      <c r="AG156" s="10" t="inlineStr">
        <is>
          <t>Muret</t>
        </is>
      </c>
      <c r="AH156" s="10" t="inlineStr">
        <is>
          <t>31600</t>
        </is>
      </c>
      <c r="AI156" s="10" t="inlineStr">
        <is>
          <t>Haute-Garonne</t>
        </is>
      </c>
      <c r="AJ156" s="10" t="inlineStr">
        <is>
          <t>Midi-Pyrénées</t>
        </is>
      </c>
      <c r="AK156" s="16" t="n"/>
      <c r="AL156" s="10" t="n"/>
      <c r="AM156" s="10" t="n"/>
      <c r="AN156" s="10" t="n"/>
      <c r="AO156" s="10" t="n"/>
      <c r="AP156" s="19" t="inlineStr">
        <is>
          <t>Voir</t>
        </is>
      </c>
      <c r="AQ156" s="10" t="inlineStr">
        <is>
          <t>3278871252</t>
        </is>
      </c>
    </row>
    <row r="157">
      <c r="A157" s="10" t="inlineStr">
        <is>
          <t>Honda S2000</t>
        </is>
      </c>
      <c r="B157" s="10" t="inlineStr">
        <is>
          <t>Honda S2000 2.0 Essence 240 ch</t>
        </is>
      </c>
      <c r="C157" s="10" t="n"/>
      <c r="D157" s="10" t="n"/>
      <c r="E157" s="10" t="inlineStr">
        <is>
          <t>En vente</t>
        </is>
      </c>
      <c r="F157" s="18" t="n">
        <v>46296</v>
      </c>
      <c r="G157" s="18" t="n">
        <v>46296</v>
      </c>
      <c r="H157" s="18" t="n">
        <v>46296</v>
      </c>
      <c r="I157" s="18" t="n"/>
      <c r="J157" s="17">
        <f>IF(OR(ISNUMBER(F157),ISNUMBER(G157)),IF(ISNUMBER(I157),I157,H157)-IF(ISNUMBER(F157),F157,G157),"")</f>
        <v/>
      </c>
      <c r="K157" s="12" t="n">
        <v>10500</v>
      </c>
      <c r="L157" s="12" t="n">
        <v>10500</v>
      </c>
      <c r="M157" s="13">
        <f>IF(AND(ISNUMBER(K157),ISNUMBER(L157),K157&gt;0),1-L157/K157,"")</f>
        <v/>
      </c>
      <c r="N157" s="16" t="n">
        <v>0</v>
      </c>
      <c r="O157" s="12" t="n"/>
      <c r="P157" s="12" t="n"/>
      <c r="Q157" s="12" t="n"/>
      <c r="R157" s="14">
        <f>IF(AND(ISNUMBER(L157),ISNUMBER(P157),ISNUMBER(Q157)),L157/((P157+Q157)/2)-1,"")</f>
        <v/>
      </c>
      <c r="S157" s="10" t="n"/>
      <c r="T157" s="15" t="n">
        <v>175000</v>
      </c>
      <c r="U157" s="16" t="n">
        <v>1999</v>
      </c>
      <c r="V157" s="10" t="n"/>
      <c r="W157" s="10" t="inlineStr">
        <is>
          <t>Essence</t>
        </is>
      </c>
      <c r="X157" s="10" t="inlineStr">
        <is>
          <t>Manuelle</t>
        </is>
      </c>
      <c r="Y157" s="16" t="n">
        <v>240</v>
      </c>
      <c r="Z157" s="16" t="n">
        <v>16</v>
      </c>
      <c r="AA157" s="10" t="inlineStr">
        <is>
          <t>Gris</t>
        </is>
      </c>
      <c r="AB157" s="16" t="n">
        <v>2</v>
      </c>
      <c r="AC157" s="10" t="inlineStr">
        <is>
          <t>Cabriolet</t>
        </is>
      </c>
      <c r="AD157" s="10" t="n"/>
      <c r="AE157" s="10" t="n"/>
      <c r="AF157" s="10" t="inlineStr">
        <is>
          <t>Particulier</t>
        </is>
      </c>
      <c r="AG157" s="10" t="inlineStr">
        <is>
          <t>Lons-le-Saunier</t>
        </is>
      </c>
      <c r="AH157" s="10" t="inlineStr">
        <is>
          <t>39000</t>
        </is>
      </c>
      <c r="AI157" s="10" t="inlineStr">
        <is>
          <t>Jura</t>
        </is>
      </c>
      <c r="AJ157" s="10" t="inlineStr">
        <is>
          <t>Franche-Comté</t>
        </is>
      </c>
      <c r="AK157" s="16" t="n"/>
      <c r="AL157" s="10" t="n"/>
      <c r="AM157" s="10" t="n"/>
      <c r="AN157" s="10" t="n"/>
      <c r="AO157" s="10" t="n"/>
      <c r="AP157" s="19" t="inlineStr">
        <is>
          <t>Voir</t>
        </is>
      </c>
      <c r="AQ157" s="10" t="inlineStr">
        <is>
          <t>3280188594</t>
        </is>
      </c>
    </row>
    <row r="158">
      <c r="A158" s="10" t="inlineStr">
        <is>
          <t>Mazda MX-5 NA</t>
        </is>
      </c>
      <c r="B158" s="10" t="inlineStr">
        <is>
          <t>Mazda mx5</t>
        </is>
      </c>
      <c r="C158" s="10" t="n"/>
      <c r="D158" s="10" t="n"/>
      <c r="E158" s="10" t="inlineStr">
        <is>
          <t>En vente</t>
        </is>
      </c>
      <c r="F158" s="18" t="n">
        <v>46307</v>
      </c>
      <c r="G158" s="18" t="n">
        <v>46307</v>
      </c>
      <c r="H158" s="18" t="n">
        <v>46310</v>
      </c>
      <c r="I158" s="18" t="n"/>
      <c r="J158" s="17">
        <f>IF(OR(ISNUMBER(F158),ISNUMBER(G158)),IF(ISNUMBER(I158),I158,H158)-IF(ISNUMBER(F158),F158,G158),"")</f>
        <v/>
      </c>
      <c r="K158" s="12" t="n">
        <v>12990</v>
      </c>
      <c r="L158" s="12" t="n">
        <v>12990</v>
      </c>
      <c r="M158" s="13">
        <f>IF(AND(ISNUMBER(K158),ISNUMBER(L158),K158&gt;0),1-L158/K158,"")</f>
        <v/>
      </c>
      <c r="N158" s="16" t="n">
        <v>0</v>
      </c>
      <c r="O158" s="12" t="n">
        <v>13800</v>
      </c>
      <c r="P158" s="12" t="n"/>
      <c r="Q158" s="12" t="n"/>
      <c r="R158" s="14">
        <f>IF(AND(ISNUMBER(L158),ISNUMBER(P158),ISNUMBER(Q158)),L158/((P158+Q158)/2)-1,"")</f>
        <v/>
      </c>
      <c r="S158" s="10" t="n"/>
      <c r="T158" s="15" t="n">
        <v>149400</v>
      </c>
      <c r="U158" s="16" t="n">
        <v>1990</v>
      </c>
      <c r="V158" s="10" t="inlineStr">
        <is>
          <t>10/1990</t>
        </is>
      </c>
      <c r="W158" s="10" t="inlineStr">
        <is>
          <t>Essence</t>
        </is>
      </c>
      <c r="X158" s="10" t="inlineStr">
        <is>
          <t>Manuelle</t>
        </is>
      </c>
      <c r="Y158" s="16" t="n">
        <v>115</v>
      </c>
      <c r="Z158" s="16" t="n">
        <v>8</v>
      </c>
      <c r="AA158" s="10" t="inlineStr">
        <is>
          <t>Rouge</t>
        </is>
      </c>
      <c r="AB158" s="16" t="n">
        <v>2</v>
      </c>
      <c r="AC158" s="10" t="inlineStr">
        <is>
          <t>Cabriolet</t>
        </is>
      </c>
      <c r="AD158" s="10" t="n"/>
      <c r="AE158" s="10" t="n"/>
      <c r="AF158" s="10" t="inlineStr">
        <is>
          <t>Pro</t>
        </is>
      </c>
      <c r="AG158" s="10" t="inlineStr">
        <is>
          <t>Damazan</t>
        </is>
      </c>
      <c r="AH158" s="10" t="inlineStr">
        <is>
          <t>47160</t>
        </is>
      </c>
      <c r="AI158" s="10" t="inlineStr">
        <is>
          <t>Lot-et-Garonne</t>
        </is>
      </c>
      <c r="AJ158" s="10" t="inlineStr">
        <is>
          <t>Aquitaine</t>
        </is>
      </c>
      <c r="AK158" s="16" t="n">
        <v>11</v>
      </c>
      <c r="AL158" s="10" t="n"/>
      <c r="AM158" s="10" t="inlineStr">
        <is>
          <t>Non</t>
        </is>
      </c>
      <c r="AN158" s="10" t="inlineStr">
        <is>
          <t>Je vends ma Mazda MX-5 de 1990, un cabriolet sportif et agile. Véritable youngtimer - Marque : Mazda - Modèle : MX-5 - Année : 1990 - Kilométrage : 149 400 km - Motorisation : 115 Ch - Carburant : Essence - Boîte de vitesses : Manuelle - Nombre de portes : 2 - Nombre de sièges : 2 - Couleur : Rouge Révision pour la vente avec 4 pneus neuf. N'hésitez pas à me contacter pour plus d'informations ou pour organiser un essai.</t>
        </is>
      </c>
      <c r="AO158" s="10" t="inlineStr">
        <is>
          <t>vehicle_technical_inspection_valid : Non ; Dommages : Bon état général ; Sellerie : Tissu ; Équipements intérieurs : Jantes en alliage, Roue de secours ; Permis : Avec permis ; Vente en LOA/LLD : Non ; VO récent : false ; vehicle_commercial_warranty : Non ; vehicle_manufacturer_warranty : Non ; Importé : false ; vehicle_history_report_status : visible ; spare_parts_availability : Non renseignée</t>
        </is>
      </c>
      <c r="AP158" s="19" t="inlineStr">
        <is>
          <t>Voir</t>
        </is>
      </c>
      <c r="AQ158" s="10" t="inlineStr">
        <is>
          <t>3191632844</t>
        </is>
      </c>
    </row>
    <row r="159">
      <c r="A159" s="10" t="inlineStr">
        <is>
          <t>Mazda MX-5 NA</t>
        </is>
      </c>
      <c r="B159" s="10" t="inlineStr">
        <is>
          <t>MAZDA MX5/ NA/1995/65000km D‘ORIGINE/ TBE 15500E</t>
        </is>
      </c>
      <c r="C159" s="10" t="n"/>
      <c r="D159" s="10" t="n"/>
      <c r="E159" s="10" t="inlineStr">
        <is>
          <t>En vente</t>
        </is>
      </c>
      <c r="F159" s="18" t="n">
        <v>46282</v>
      </c>
      <c r="G159" s="18" t="n">
        <v>46282</v>
      </c>
      <c r="H159" s="18" t="n">
        <v>46310</v>
      </c>
      <c r="I159" s="18" t="n"/>
      <c r="J159" s="17">
        <f>IF(OR(ISNUMBER(F159),ISNUMBER(G159)),IF(ISNUMBER(I159),I159,H159)-IF(ISNUMBER(F159),F159,G159),"")</f>
        <v/>
      </c>
      <c r="K159" s="12" t="n">
        <v>15500</v>
      </c>
      <c r="L159" s="12" t="n">
        <v>15500</v>
      </c>
      <c r="M159" s="13">
        <f>IF(AND(ISNUMBER(K159),ISNUMBER(L159),K159&gt;0),1-L159/K159,"")</f>
        <v/>
      </c>
      <c r="N159" s="16" t="n">
        <v>0</v>
      </c>
      <c r="O159" s="12" t="n"/>
      <c r="P159" s="12" t="n"/>
      <c r="Q159" s="12" t="n"/>
      <c r="R159" s="14">
        <f>IF(AND(ISNUMBER(L159),ISNUMBER(P159),ISNUMBER(Q159)),L159/((P159+Q159)/2)-1,"")</f>
        <v/>
      </c>
      <c r="S159" s="10" t="n"/>
      <c r="T159" s="15" t="n">
        <v>65000</v>
      </c>
      <c r="U159" s="16" t="n">
        <v>1995</v>
      </c>
      <c r="V159" s="10" t="inlineStr">
        <is>
          <t>04/1995</t>
        </is>
      </c>
      <c r="W159" s="10" t="inlineStr">
        <is>
          <t>Essence</t>
        </is>
      </c>
      <c r="X159" s="10" t="inlineStr">
        <is>
          <t>Manuelle</t>
        </is>
      </c>
      <c r="Y159" s="16" t="n">
        <v>90</v>
      </c>
      <c r="Z159" s="16" t="n">
        <v>8</v>
      </c>
      <c r="AA159" s="10" t="inlineStr">
        <is>
          <t>Jaune</t>
        </is>
      </c>
      <c r="AB159" s="16" t="n">
        <v>2</v>
      </c>
      <c r="AC159" s="10" t="inlineStr">
        <is>
          <t>Cabriolet</t>
        </is>
      </c>
      <c r="AD159" s="10" t="n"/>
      <c r="AE159" s="10" t="n"/>
      <c r="AF159" s="10" t="inlineStr">
        <is>
          <t>Particulier</t>
        </is>
      </c>
      <c r="AG159" s="10" t="inlineStr">
        <is>
          <t>Rive-de-Gier</t>
        </is>
      </c>
      <c r="AH159" s="10" t="inlineStr">
        <is>
          <t>42800</t>
        </is>
      </c>
      <c r="AI159" s="10" t="inlineStr">
        <is>
          <t>Loire</t>
        </is>
      </c>
      <c r="AJ159" s="10" t="inlineStr">
        <is>
          <t>Rhône-Alpes</t>
        </is>
      </c>
      <c r="AK159" s="16" t="n">
        <v>3</v>
      </c>
      <c r="AL159" s="10" t="n"/>
      <c r="AM159" s="10" t="inlineStr">
        <is>
          <t>Non</t>
        </is>
      </c>
      <c r="AN159" s="10" t="inlineStr">
        <is>
          <t>Magnifique Mazda MX5 NA 1.6 I 90cv 8cv fiscaux De avril 1995 65000 km d origine certifiés Comme neuve Direction assistée Jantes aluminium 4 pneus comme neuf Capote impeccable Cache capote Sièges alcantara + cuir Cd alpine Double de clefs Très belle couleur peu d exemplaires….. Dans un garage toute l année Plus de photos sur demande Vidange et filtres seront fait pour la vente. Bien à vous</t>
        </is>
      </c>
      <c r="AO159" s="10" t="inlineStr">
        <is>
          <t>Dommages : Excellent état (proche du neuf) ; Sellerie : Alcantara ; Permis : Avec permis ; Importé : false</t>
        </is>
      </c>
      <c r="AP159" s="19" t="inlineStr">
        <is>
          <t>Voir</t>
        </is>
      </c>
      <c r="AQ159" s="10" t="inlineStr">
        <is>
          <t>3198496140</t>
        </is>
      </c>
    </row>
    <row r="160">
      <c r="A160" s="10" t="inlineStr">
        <is>
          <t>Mazda MX-5 NA</t>
        </is>
      </c>
      <c r="B160" s="10" t="inlineStr">
        <is>
          <t>MAZDA MX5 Mazda Mx5 de 1991</t>
        </is>
      </c>
      <c r="C160" s="10" t="inlineStr">
        <is>
          <t>MX-5 1.8</t>
        </is>
      </c>
      <c r="D160" s="10" t="inlineStr">
        <is>
          <t>Base</t>
        </is>
      </c>
      <c r="E160" s="10" t="inlineStr">
        <is>
          <t>En vente</t>
        </is>
      </c>
      <c r="F160" s="18" t="n">
        <v>45955</v>
      </c>
      <c r="G160" s="18" t="n">
        <v>45955</v>
      </c>
      <c r="H160" s="18" t="n">
        <v>46310</v>
      </c>
      <c r="I160" s="18" t="n"/>
      <c r="J160" s="17">
        <f>IF(OR(ISNUMBER(F160),ISNUMBER(G160)),IF(ISNUMBER(I160),I160,H160)-IF(ISNUMBER(F160),F160,G160),"")</f>
        <v/>
      </c>
      <c r="K160" s="12" t="n">
        <v>11980</v>
      </c>
      <c r="L160" s="12" t="n">
        <v>11980</v>
      </c>
      <c r="M160" s="13">
        <f>IF(AND(ISNUMBER(K160),ISNUMBER(L160),K160&gt;0),1-L160/K160,"")</f>
        <v/>
      </c>
      <c r="N160" s="16" t="n">
        <v>0</v>
      </c>
      <c r="O160" s="12" t="n"/>
      <c r="P160" s="12" t="n"/>
      <c r="Q160" s="12" t="n"/>
      <c r="R160" s="14">
        <f>IF(AND(ISNUMBER(L160),ISNUMBER(P160),ISNUMBER(Q160)),L160/((P160+Q160)/2)-1,"")</f>
        <v/>
      </c>
      <c r="S160" s="10" t="n"/>
      <c r="T160" s="15" t="n">
        <v>146000</v>
      </c>
      <c r="U160" s="16" t="n">
        <v>1991</v>
      </c>
      <c r="V160" s="10" t="inlineStr">
        <is>
          <t>03/1991</t>
        </is>
      </c>
      <c r="W160" s="10" t="inlineStr">
        <is>
          <t>Essence</t>
        </is>
      </c>
      <c r="X160" s="10" t="inlineStr">
        <is>
          <t>Manuelle</t>
        </is>
      </c>
      <c r="Y160" s="16" t="n">
        <v>115</v>
      </c>
      <c r="Z160" s="16" t="n">
        <v>8</v>
      </c>
      <c r="AA160" s="10" t="inlineStr">
        <is>
          <t>Rouge</t>
        </is>
      </c>
      <c r="AB160" s="16" t="n"/>
      <c r="AC160" s="10" t="inlineStr">
        <is>
          <t>Cabriolet</t>
        </is>
      </c>
      <c r="AD160" s="10" t="n"/>
      <c r="AE160" s="10" t="n"/>
      <c r="AF160" s="10" t="inlineStr">
        <is>
          <t>Pro</t>
        </is>
      </c>
      <c r="AG160" s="10" t="inlineStr">
        <is>
          <t>Avrainville</t>
        </is>
      </c>
      <c r="AH160" s="10" t="inlineStr">
        <is>
          <t>91630</t>
        </is>
      </c>
      <c r="AI160" s="10" t="inlineStr">
        <is>
          <t>Essonne</t>
        </is>
      </c>
      <c r="AJ160" s="10" t="inlineStr">
        <is>
          <t>Ile-de-France</t>
        </is>
      </c>
      <c r="AK160" s="16" t="n">
        <v>26</v>
      </c>
      <c r="AL160" s="10" t="inlineStr">
        <is>
          <t>Oui</t>
        </is>
      </c>
      <c r="AM160" s="10" t="inlineStr">
        <is>
          <t>Non</t>
        </is>
      </c>
      <c r="AN160" s="10" t="inlineStr">
        <is>
          <t>Mazda Miata 1.6 – Cabriolet (1991 – Marché Europe) Catégorie : Roadster / Cabriolet 2 portes Version : AUNA02 – Adaptée au marché européen Date de fabrication : 20 septembre 1990 Année modèle : 1991 Carburant : Essence Transmission : Manuelle 5 rapports Cylindrée : 1 600 cm³ Moteur : 4 cylindres en ligne – Double arbre à cames en tête (DOHC) Puissance estimée : env. 115 ch Traction : Propulsion (RWD) Différentiel : autobloquant (L.S. Diff) Freinage : 4 freins à disques ABS : Non équipé (W/O A. L</t>
        </is>
      </c>
      <c r="AO160" s="10" t="inlineStr">
        <is>
          <t>Équipements intérieurs : Climatisation, Vitres électriques arrières ; VO récent : false ; custom_ref : 393768 ; Importé : true ; vehicle_history_report_status : broken ; spare_parts_availability : Non renseignée</t>
        </is>
      </c>
      <c r="AP160" s="19" t="inlineStr">
        <is>
          <t>Voir</t>
        </is>
      </c>
      <c r="AQ160" s="10" t="inlineStr">
        <is>
          <t>3199317557</t>
        </is>
      </c>
    </row>
    <row r="161">
      <c r="A161" s="10" t="inlineStr">
        <is>
          <t>Mazda MX-5 NA</t>
        </is>
      </c>
      <c r="B161" s="10" t="inlineStr">
        <is>
          <t>Mazda mx5 na 1.6l 116ch 1991</t>
        </is>
      </c>
      <c r="C161" s="10" t="n"/>
      <c r="D161" s="10" t="n"/>
      <c r="E161" s="10" t="inlineStr">
        <is>
          <t>En vente</t>
        </is>
      </c>
      <c r="F161" s="18" t="n">
        <v>46286</v>
      </c>
      <c r="G161" s="18" t="n">
        <v>46286</v>
      </c>
      <c r="H161" s="18" t="n">
        <v>46310</v>
      </c>
      <c r="I161" s="18" t="n"/>
      <c r="J161" s="17">
        <f>IF(OR(ISNUMBER(F161),ISNUMBER(G161)),IF(ISNUMBER(I161),I161,H161)-IF(ISNUMBER(F161),F161,G161),"")</f>
        <v/>
      </c>
      <c r="K161" s="12" t="n">
        <v>14000</v>
      </c>
      <c r="L161" s="12" t="n">
        <v>14000</v>
      </c>
      <c r="M161" s="13">
        <f>IF(AND(ISNUMBER(K161),ISNUMBER(L161),K161&gt;0),1-L161/K161,"")</f>
        <v/>
      </c>
      <c r="N161" s="16" t="n">
        <v>0</v>
      </c>
      <c r="O161" s="12" t="n">
        <v>16500</v>
      </c>
      <c r="P161" s="12" t="n"/>
      <c r="Q161" s="12" t="n"/>
      <c r="R161" s="14">
        <f>IF(AND(ISNUMBER(L161),ISNUMBER(P161),ISNUMBER(Q161)),L161/((P161+Q161)/2)-1,"")</f>
        <v/>
      </c>
      <c r="S161" s="10" t="n"/>
      <c r="T161" s="15" t="n">
        <v>152600</v>
      </c>
      <c r="U161" s="16" t="n">
        <v>1993</v>
      </c>
      <c r="V161" s="10" t="inlineStr">
        <is>
          <t>05/1993</t>
        </is>
      </c>
      <c r="W161" s="10" t="inlineStr">
        <is>
          <t>Essence</t>
        </is>
      </c>
      <c r="X161" s="10" t="inlineStr">
        <is>
          <t>Manuelle</t>
        </is>
      </c>
      <c r="Y161" s="16" t="n">
        <v>116</v>
      </c>
      <c r="Z161" s="16" t="n">
        <v>6</v>
      </c>
      <c r="AA161" s="10" t="inlineStr">
        <is>
          <t>Rouge</t>
        </is>
      </c>
      <c r="AB161" s="16" t="n">
        <v>2</v>
      </c>
      <c r="AC161" s="10" t="inlineStr">
        <is>
          <t>Cabriolet</t>
        </is>
      </c>
      <c r="AD161" s="10" t="n"/>
      <c r="AE161" s="10" t="n"/>
      <c r="AF161" s="10" t="inlineStr">
        <is>
          <t>Particulier</t>
        </is>
      </c>
      <c r="AG161" s="10" t="inlineStr">
        <is>
          <t>Brion-près-Thouet</t>
        </is>
      </c>
      <c r="AH161" s="10" t="inlineStr">
        <is>
          <t>79290</t>
        </is>
      </c>
      <c r="AI161" s="10" t="inlineStr">
        <is>
          <t>Deux-Sèvres</t>
        </is>
      </c>
      <c r="AJ161" s="10" t="inlineStr">
        <is>
          <t>Poitou-Charentes</t>
        </is>
      </c>
      <c r="AK161" s="16" t="n">
        <v>3</v>
      </c>
      <c r="AL161" s="10" t="n"/>
      <c r="AM161" s="10" t="inlineStr">
        <is>
          <t>Non</t>
        </is>
      </c>
      <c r="AN161" s="10" t="inlineStr">
        <is>
          <t>Je vends ma Mazda MX-5 NA de 1991, un cabriolet sportif et agile. - Marque : Mazda - Modèle : MX-5 - Année : 1991 - Kilométrage : 152 600 km - Motorisation : 1.6L 116 ch - Carburant : Essence - Boîte de vitesses : Manuelle - Nombre de portes : 2 - Nombre de sièges : 2 - Puissance fiscale : 6 CV - Couleur : Rouge - Contrôle technique : Valide jusqu'en 10/2026 N'hésitez pas à me contacter pour plus d'informations ou pour organiser un essai ! Prix à débattre dans la limite du raisonnable.</t>
        </is>
      </c>
      <c r="AO161" s="10" t="inlineStr">
        <is>
          <t>Sellerie : Tissu ; Équipements intérieurs : Phares anti-brouillard ; Permis : Avec permis ; Importé : false</t>
        </is>
      </c>
      <c r="AP161" s="19" t="inlineStr">
        <is>
          <t>Voir</t>
        </is>
      </c>
      <c r="AQ161" s="10" t="inlineStr">
        <is>
          <t>3203841842</t>
        </is>
      </c>
    </row>
    <row r="162">
      <c r="A162" s="10" t="inlineStr">
        <is>
          <t>Mazda MX-5 NA</t>
        </is>
      </c>
      <c r="B162" s="10" t="inlineStr">
        <is>
          <t>MAZDA MX5 NA 1992 restaurée peinture neuve</t>
        </is>
      </c>
      <c r="C162" s="10" t="n"/>
      <c r="D162" s="10" t="n"/>
      <c r="E162" s="10" t="inlineStr">
        <is>
          <t>En vente</t>
        </is>
      </c>
      <c r="F162" s="18" t="n">
        <v>46300</v>
      </c>
      <c r="G162" s="18" t="n">
        <v>46300</v>
      </c>
      <c r="H162" s="18" t="n">
        <v>46310</v>
      </c>
      <c r="I162" s="18" t="n"/>
      <c r="J162" s="17">
        <f>IF(OR(ISNUMBER(F162),ISNUMBER(G162)),IF(ISNUMBER(I162),I162,H162)-IF(ISNUMBER(F162),F162,G162),"")</f>
        <v/>
      </c>
      <c r="K162" s="12" t="n">
        <v>10900</v>
      </c>
      <c r="L162" s="12" t="n">
        <v>10900</v>
      </c>
      <c r="M162" s="13">
        <f>IF(AND(ISNUMBER(K162),ISNUMBER(L162),K162&gt;0),1-L162/K162,"")</f>
        <v/>
      </c>
      <c r="N162" s="16" t="n">
        <v>0</v>
      </c>
      <c r="O162" s="12" t="n">
        <v>11900</v>
      </c>
      <c r="P162" s="12" t="n"/>
      <c r="Q162" s="12" t="n"/>
      <c r="R162" s="14">
        <f>IF(AND(ISNUMBER(L162),ISNUMBER(P162),ISNUMBER(Q162)),L162/((P162+Q162)/2)-1,"")</f>
        <v/>
      </c>
      <c r="S162" s="10" t="n"/>
      <c r="T162" s="15" t="n">
        <v>170000</v>
      </c>
      <c r="U162" s="16" t="n">
        <v>1992</v>
      </c>
      <c r="V162" s="10" t="inlineStr">
        <is>
          <t>02/1992</t>
        </is>
      </c>
      <c r="W162" s="10" t="inlineStr">
        <is>
          <t>Essence</t>
        </is>
      </c>
      <c r="X162" s="10" t="inlineStr">
        <is>
          <t>Manuelle</t>
        </is>
      </c>
      <c r="Y162" s="16" t="n">
        <v>116</v>
      </c>
      <c r="Z162" s="16" t="n">
        <v>8</v>
      </c>
      <c r="AA162" s="10" t="inlineStr">
        <is>
          <t>Blanc</t>
        </is>
      </c>
      <c r="AB162" s="16" t="n">
        <v>2</v>
      </c>
      <c r="AC162" s="10" t="inlineStr">
        <is>
          <t>Cabriolet</t>
        </is>
      </c>
      <c r="AD162" s="10" t="n"/>
      <c r="AE162" s="10" t="n"/>
      <c r="AF162" s="10" t="inlineStr">
        <is>
          <t>Particulier</t>
        </is>
      </c>
      <c r="AG162" s="10" t="inlineStr">
        <is>
          <t>Auch</t>
        </is>
      </c>
      <c r="AH162" s="10" t="inlineStr">
        <is>
          <t>32000</t>
        </is>
      </c>
      <c r="AI162" s="10" t="inlineStr">
        <is>
          <t>Gers</t>
        </is>
      </c>
      <c r="AJ162" s="10" t="inlineStr">
        <is>
          <t>Midi-Pyrénées</t>
        </is>
      </c>
      <c r="AK162" s="16" t="n">
        <v>3</v>
      </c>
      <c r="AL162" s="10" t="n"/>
      <c r="AM162" s="10" t="inlineStr">
        <is>
          <t>Non</t>
        </is>
      </c>
      <c r="AN162" s="10" t="inlineStr">
        <is>
          <t xml:space="preserve">Je vends ce MX5 de janvier 1992 restaurée jusqu'à la peinture neuve qui date de décembre 2024, donc pas de corrosion Peinture intégrale faite avec intérieur des portes, intérieur coffre et capot moteur (photos sur demande) Couche garage, très peu roulée depuis la nouvelle peinture Kilométrage très faiblement évolutif Très rare en blanc Voiture achetée en 2009 à 130 000 km. Pas d'historique d'entretien avant cela. Le véhicule a été amélioré au niveau performances avec un volant moteur allégé (le </t>
        </is>
      </c>
      <c r="AO162" s="10" t="inlineStr">
        <is>
          <t>vehicle_technical_inspection_valid : Non ; Dommages : Bon état général ; Sellerie : Tissu ; Équipements intérieurs : Jantes en alliage ; Permis : Avec permis ; Importé : false</t>
        </is>
      </c>
      <c r="AP162" s="19" t="inlineStr">
        <is>
          <t>Voir</t>
        </is>
      </c>
      <c r="AQ162" s="10" t="inlineStr">
        <is>
          <t>3208752836</t>
        </is>
      </c>
    </row>
    <row r="163">
      <c r="A163" s="10" t="inlineStr">
        <is>
          <t>Mazda MX-5 NA</t>
        </is>
      </c>
      <c r="B163" s="10" t="inlineStr">
        <is>
          <t>Mazda MX5</t>
        </is>
      </c>
      <c r="C163" s="10" t="n"/>
      <c r="D163" s="10" t="n"/>
      <c r="E163" s="10" t="inlineStr">
        <is>
          <t>En vente</t>
        </is>
      </c>
      <c r="F163" s="18" t="n">
        <v>46268</v>
      </c>
      <c r="G163" s="18" t="n">
        <v>46268</v>
      </c>
      <c r="H163" s="18" t="n">
        <v>46310</v>
      </c>
      <c r="I163" s="18" t="n"/>
      <c r="J163" s="17">
        <f>IF(OR(ISNUMBER(F163),ISNUMBER(G163)),IF(ISNUMBER(I163),I163,H163)-IF(ISNUMBER(F163),F163,G163),"")</f>
        <v/>
      </c>
      <c r="K163" s="12" t="n">
        <v>15500</v>
      </c>
      <c r="L163" s="12" t="n">
        <v>15500</v>
      </c>
      <c r="M163" s="13">
        <f>IF(AND(ISNUMBER(K163),ISNUMBER(L163),K163&gt;0),1-L163/K163,"")</f>
        <v/>
      </c>
      <c r="N163" s="16" t="n">
        <v>0</v>
      </c>
      <c r="O163" s="12" t="n"/>
      <c r="P163" s="12" t="n"/>
      <c r="Q163" s="12" t="n"/>
      <c r="R163" s="14">
        <f>IF(AND(ISNUMBER(L163),ISNUMBER(P163),ISNUMBER(Q163)),L163/((P163+Q163)/2)-1,"")</f>
        <v/>
      </c>
      <c r="S163" s="10" t="n"/>
      <c r="T163" s="15" t="n">
        <v>94000</v>
      </c>
      <c r="U163" s="16" t="n">
        <v>1992</v>
      </c>
      <c r="V163" s="10" t="inlineStr">
        <is>
          <t>01/1992</t>
        </is>
      </c>
      <c r="W163" s="10" t="inlineStr">
        <is>
          <t>Essence</t>
        </is>
      </c>
      <c r="X163" s="10" t="inlineStr">
        <is>
          <t>Manuelle</t>
        </is>
      </c>
      <c r="Y163" s="16" t="n">
        <v>116</v>
      </c>
      <c r="Z163" s="16" t="n">
        <v>8</v>
      </c>
      <c r="AA163" s="10" t="inlineStr">
        <is>
          <t>Rouge</t>
        </is>
      </c>
      <c r="AB163" s="16" t="n">
        <v>2</v>
      </c>
      <c r="AC163" s="10" t="inlineStr">
        <is>
          <t>Cabriolet</t>
        </is>
      </c>
      <c r="AD163" s="10" t="n"/>
      <c r="AE163" s="10" t="n"/>
      <c r="AF163" s="10" t="inlineStr">
        <is>
          <t>Particulier</t>
        </is>
      </c>
      <c r="AG163" s="10" t="inlineStr">
        <is>
          <t>Bonrepos-sur-Aussonnelle</t>
        </is>
      </c>
      <c r="AH163" s="10" t="inlineStr">
        <is>
          <t>31470</t>
        </is>
      </c>
      <c r="AI163" s="10" t="inlineStr">
        <is>
          <t>Haute-Garonne</t>
        </is>
      </c>
      <c r="AJ163" s="10" t="inlineStr">
        <is>
          <t>Midi-Pyrénées</t>
        </is>
      </c>
      <c r="AK163" s="16" t="n">
        <v>5</v>
      </c>
      <c r="AL163" s="10" t="n"/>
      <c r="AM163" s="10" t="inlineStr">
        <is>
          <t>Non</t>
        </is>
      </c>
      <c r="AN163" s="10" t="inlineStr">
        <is>
          <t>Je vends ma Mazda MX-5 de 1992. Excellent ÉTAT EXTÉRIEUR &amp; Intérieur. Capote Neuve Distribution Neuve Batterie et pneu neufs Révision faites le 2/07/2026 - Marque : Mazda - Modèle : MX-5 - Année : 1992 - Kilométrage : 94 000 km - Motorisation : 116 Ch - Carburant : Essence - Boîte de vitesses : Manuelle - Couleur : Rouge - Type de véhicule : Cabriolet - Nombre de portes : 2 - Puissance fiscale : 8 Cv - Immatriculation : CV-785-GE N'hésitez pas à me contacter pour plus d'informations ou pour conv</t>
        </is>
      </c>
      <c r="AO163" s="10" t="inlineStr">
        <is>
          <t>Sellerie : Tissu ; Permis : Avec permis ; Importé : false</t>
        </is>
      </c>
      <c r="AP163" s="19" t="inlineStr">
        <is>
          <t>Voir</t>
        </is>
      </c>
      <c r="AQ163" s="10" t="inlineStr">
        <is>
          <t>3227901009</t>
        </is>
      </c>
    </row>
    <row r="164">
      <c r="A164" s="10" t="inlineStr">
        <is>
          <t>Mazda MX-5 NA</t>
        </is>
      </c>
      <c r="B164" s="10" t="inlineStr">
        <is>
          <t>Magnifique cabriolet MAZDA MX5</t>
        </is>
      </c>
      <c r="C164" s="10" t="n"/>
      <c r="D164" s="10" t="n"/>
      <c r="E164" s="10" t="inlineStr">
        <is>
          <t>En vente</t>
        </is>
      </c>
      <c r="F164" s="18" t="n">
        <v>46294</v>
      </c>
      <c r="G164" s="18" t="n">
        <v>46294</v>
      </c>
      <c r="H164" s="18" t="n">
        <v>46310</v>
      </c>
      <c r="I164" s="18" t="n"/>
      <c r="J164" s="17">
        <f>IF(OR(ISNUMBER(F164),ISNUMBER(G164)),IF(ISNUMBER(I164),I164,H164)-IF(ISNUMBER(F164),F164,G164),"")</f>
        <v/>
      </c>
      <c r="K164" s="12" t="n">
        <v>10990</v>
      </c>
      <c r="L164" s="12" t="n">
        <v>10990</v>
      </c>
      <c r="M164" s="13">
        <f>IF(AND(ISNUMBER(K164),ISNUMBER(L164),K164&gt;0),1-L164/K164,"")</f>
        <v/>
      </c>
      <c r="N164" s="16" t="n">
        <v>0</v>
      </c>
      <c r="O164" s="12" t="n"/>
      <c r="P164" s="12" t="n"/>
      <c r="Q164" s="12" t="n"/>
      <c r="R164" s="14">
        <f>IF(AND(ISNUMBER(L164),ISNUMBER(P164),ISNUMBER(Q164)),L164/((P164+Q164)/2)-1,"")</f>
        <v/>
      </c>
      <c r="S164" s="10" t="n"/>
      <c r="T164" s="15" t="n">
        <v>127000</v>
      </c>
      <c r="U164" s="16" t="n">
        <v>1997</v>
      </c>
      <c r="V164" s="10" t="inlineStr">
        <is>
          <t>07/1997</t>
        </is>
      </c>
      <c r="W164" s="10" t="inlineStr">
        <is>
          <t>Essence</t>
        </is>
      </c>
      <c r="X164" s="10" t="inlineStr">
        <is>
          <t>Manuelle</t>
        </is>
      </c>
      <c r="Y164" s="16" t="n">
        <v>90</v>
      </c>
      <c r="Z164" s="16" t="n">
        <v>8</v>
      </c>
      <c r="AA164" s="10" t="inlineStr">
        <is>
          <t>Vert</t>
        </is>
      </c>
      <c r="AB164" s="16" t="n">
        <v>2</v>
      </c>
      <c r="AC164" s="10" t="inlineStr">
        <is>
          <t>Cabriolet</t>
        </is>
      </c>
      <c r="AD164" s="10" t="n"/>
      <c r="AE164" s="10" t="n"/>
      <c r="AF164" s="10" t="inlineStr">
        <is>
          <t>Particulier</t>
        </is>
      </c>
      <c r="AG164" s="10" t="inlineStr">
        <is>
          <t>Pontcharra</t>
        </is>
      </c>
      <c r="AH164" s="10" t="inlineStr">
        <is>
          <t>38530</t>
        </is>
      </c>
      <c r="AI164" s="10" t="inlineStr">
        <is>
          <t>Isère</t>
        </is>
      </c>
      <c r="AJ164" s="10" t="inlineStr">
        <is>
          <t>Rhône-Alpes</t>
        </is>
      </c>
      <c r="AK164" s="16" t="n">
        <v>3</v>
      </c>
      <c r="AL164" s="10" t="n"/>
      <c r="AM164" s="10" t="inlineStr">
        <is>
          <t>Non</t>
        </is>
      </c>
      <c r="AN164" s="10" t="inlineStr">
        <is>
          <t>Magnifique cabriolet MAZDA MX5 Bel état général, contrôle technique OK 1,6 L / 8CV 1ère immatriculation : 24/07/97 Kilométrage : 127 000 Km Date de fin de validité du contrôle technique : 21/05/2027 Batterie neuve + pompes à eau neuve A voir à proximité, vers Pontcharra Tarif = 10 990 €</t>
        </is>
      </c>
      <c r="AO164" s="10" t="inlineStr">
        <is>
          <t>vehicle_technical_inspection_valid : Non ; Dommages : Bon état général ; Sellerie : Tissu ; Équipements intérieurs : Toit ouvrant / Toit panoramique ; Permis : Avec permis ; Importé : false</t>
        </is>
      </c>
      <c r="AP164" s="19" t="inlineStr">
        <is>
          <t>Voir</t>
        </is>
      </c>
      <c r="AQ164" s="10" t="inlineStr">
        <is>
          <t>3232034023</t>
        </is>
      </c>
    </row>
    <row r="165">
      <c r="A165" s="10" t="inlineStr">
        <is>
          <t>Mazda MX-5 NA</t>
        </is>
      </c>
      <c r="B165" s="10" t="inlineStr">
        <is>
          <t>Mazda mx5 na</t>
        </is>
      </c>
      <c r="C165" s="10" t="n"/>
      <c r="D165" s="10" t="n"/>
      <c r="E165" s="10" t="inlineStr">
        <is>
          <t>En vente</t>
        </is>
      </c>
      <c r="F165" s="18" t="n">
        <v>46281</v>
      </c>
      <c r="G165" s="18" t="n">
        <v>46281</v>
      </c>
      <c r="H165" s="18" t="n">
        <v>46310</v>
      </c>
      <c r="I165" s="18" t="n"/>
      <c r="J165" s="17">
        <f>IF(OR(ISNUMBER(F165),ISNUMBER(G165)),IF(ISNUMBER(I165),I165,H165)-IF(ISNUMBER(F165),F165,G165),"")</f>
        <v/>
      </c>
      <c r="K165" s="12" t="n">
        <v>6500</v>
      </c>
      <c r="L165" s="12" t="n">
        <v>6500</v>
      </c>
      <c r="M165" s="13">
        <f>IF(AND(ISNUMBER(K165),ISNUMBER(L165),K165&gt;0),1-L165/K165,"")</f>
        <v/>
      </c>
      <c r="N165" s="16" t="n">
        <v>0</v>
      </c>
      <c r="O165" s="12" t="n"/>
      <c r="P165" s="12" t="n"/>
      <c r="Q165" s="12" t="n"/>
      <c r="R165" s="14">
        <f>IF(AND(ISNUMBER(L165),ISNUMBER(P165),ISNUMBER(Q165)),L165/((P165+Q165)/2)-1,"")</f>
        <v/>
      </c>
      <c r="S165" s="10" t="n"/>
      <c r="T165" s="15" t="n">
        <v>215000</v>
      </c>
      <c r="U165" s="16" t="n">
        <v>1995</v>
      </c>
      <c r="V165" s="10" t="inlineStr">
        <is>
          <t>07/1995</t>
        </is>
      </c>
      <c r="W165" s="10" t="inlineStr">
        <is>
          <t>Essence</t>
        </is>
      </c>
      <c r="X165" s="10" t="inlineStr">
        <is>
          <t>Manuelle</t>
        </is>
      </c>
      <c r="Y165" s="16" t="n">
        <v>90</v>
      </c>
      <c r="Z165" s="16" t="n">
        <v>8</v>
      </c>
      <c r="AA165" s="10" t="inlineStr">
        <is>
          <t>Blanc</t>
        </is>
      </c>
      <c r="AB165" s="16" t="n">
        <v>2</v>
      </c>
      <c r="AC165" s="10" t="inlineStr">
        <is>
          <t>Cabriolet</t>
        </is>
      </c>
      <c r="AD165" s="10" t="n"/>
      <c r="AE165" s="10" t="n"/>
      <c r="AF165" s="10" t="inlineStr">
        <is>
          <t>Particulier</t>
        </is>
      </c>
      <c r="AG165" s="10" t="inlineStr">
        <is>
          <t>Villeneuve-d'Ascq</t>
        </is>
      </c>
      <c r="AH165" s="10" t="inlineStr">
        <is>
          <t>59650</t>
        </is>
      </c>
      <c r="AI165" s="10" t="inlineStr">
        <is>
          <t>Nord</t>
        </is>
      </c>
      <c r="AJ165" s="10" t="inlineStr">
        <is>
          <t>Nord-Pas-de-Calais</t>
        </is>
      </c>
      <c r="AK165" s="16" t="n">
        <v>2</v>
      </c>
      <c r="AL165" s="10" t="n"/>
      <c r="AM165" s="10" t="inlineStr">
        <is>
          <t>Non</t>
        </is>
      </c>
      <c r="AN165" s="10" t="inlineStr">
        <is>
          <t>Bonjour, Je vend ma mazda mx5 na avec quelle que frais prévoir sans contrôle technique, pour plus d’informations n’hésitez pas à me contacter.</t>
        </is>
      </c>
      <c r="AO165" s="10" t="inlineStr">
        <is>
          <t>Dommages : Réparations mineures à prévoir ; Sellerie : Cuir partiel ; Permis : Avec permis ; Importé : false</t>
        </is>
      </c>
      <c r="AP165" s="19" t="inlineStr">
        <is>
          <t>Voir</t>
        </is>
      </c>
      <c r="AQ165" s="10" t="inlineStr">
        <is>
          <t>3234020888</t>
        </is>
      </c>
    </row>
    <row r="166">
      <c r="A166" s="10" t="inlineStr">
        <is>
          <t>Mazda MX-5 NA</t>
        </is>
      </c>
      <c r="B166" s="10" t="inlineStr">
        <is>
          <t>Mazda mx5 Na</t>
        </is>
      </c>
      <c r="C166" s="10" t="inlineStr">
        <is>
          <t>Base_MX-5 1.6</t>
        </is>
      </c>
      <c r="D166" s="10" t="inlineStr">
        <is>
          <t>Base</t>
        </is>
      </c>
      <c r="E166" s="10" t="inlineStr">
        <is>
          <t>En vente</t>
        </is>
      </c>
      <c r="F166" s="18" t="n">
        <v>46282</v>
      </c>
      <c r="G166" s="18" t="n">
        <v>46282</v>
      </c>
      <c r="H166" s="18" t="n">
        <v>46310</v>
      </c>
      <c r="I166" s="18" t="n"/>
      <c r="J166" s="17">
        <f>IF(OR(ISNUMBER(F166),ISNUMBER(G166)),IF(ISNUMBER(I166),I166,H166)-IF(ISNUMBER(F166),F166,G166),"")</f>
        <v/>
      </c>
      <c r="K166" s="12" t="n">
        <v>7500</v>
      </c>
      <c r="L166" s="12" t="n">
        <v>7500</v>
      </c>
      <c r="M166" s="13">
        <f>IF(AND(ISNUMBER(K166),ISNUMBER(L166),K166&gt;0),1-L166/K166,"")</f>
        <v/>
      </c>
      <c r="N166" s="16" t="n">
        <v>0</v>
      </c>
      <c r="O166" s="12" t="n">
        <v>8500</v>
      </c>
      <c r="P166" s="12" t="n"/>
      <c r="Q166" s="12" t="n"/>
      <c r="R166" s="14">
        <f>IF(AND(ISNUMBER(L166),ISNUMBER(P166),ISNUMBER(Q166)),L166/((P166+Q166)/2)-1,"")</f>
        <v/>
      </c>
      <c r="S166" s="10" t="n"/>
      <c r="T166" s="15" t="n">
        <v>173000</v>
      </c>
      <c r="U166" s="16" t="n">
        <v>1990</v>
      </c>
      <c r="V166" s="10" t="inlineStr">
        <is>
          <t>08/1990</t>
        </is>
      </c>
      <c r="W166" s="10" t="inlineStr">
        <is>
          <t>Essence</t>
        </is>
      </c>
      <c r="X166" s="10" t="inlineStr">
        <is>
          <t>Manuelle</t>
        </is>
      </c>
      <c r="Y166" s="16" t="n">
        <v>115</v>
      </c>
      <c r="Z166" s="16" t="n">
        <v>8</v>
      </c>
      <c r="AA166" s="10" t="inlineStr">
        <is>
          <t>Noir</t>
        </is>
      </c>
      <c r="AB166" s="16" t="n">
        <v>2</v>
      </c>
      <c r="AC166" s="10" t="inlineStr">
        <is>
          <t>Cabriolet</t>
        </is>
      </c>
      <c r="AD166" s="10" t="n"/>
      <c r="AE166" s="10" t="n"/>
      <c r="AF166" s="10" t="inlineStr">
        <is>
          <t>Particulier</t>
        </is>
      </c>
      <c r="AG166" s="10" t="inlineStr">
        <is>
          <t>Alençon</t>
        </is>
      </c>
      <c r="AH166" s="10" t="inlineStr">
        <is>
          <t>61000</t>
        </is>
      </c>
      <c r="AI166" s="10" t="inlineStr">
        <is>
          <t>Orne</t>
        </is>
      </c>
      <c r="AJ166" s="10" t="inlineStr">
        <is>
          <t>Basse-Normandie</t>
        </is>
      </c>
      <c r="AK166" s="16" t="n">
        <v>3</v>
      </c>
      <c r="AL166" s="10" t="n"/>
      <c r="AM166" s="10" t="inlineStr">
        <is>
          <t>Non</t>
        </is>
      </c>
      <c r="AN166" s="10" t="inlineStr">
        <is>
          <t>Je propose à la vente ma mazda mx5 Na que je possède depuis plusieurs années. J’ai très peu roulé avec depuis son achat. C’est donc une Na avec un kit postert ( pare choc avant, arrière et extension en fibre ainsi que le petit aileron. ) kit assez rare que je possède en double. Rouille présente aux endroits habituels ( bas d’aile avant gauche et droite, bas d’aile arrière gauche et droite ) derrière les extensions donc pas faciles à prendre en photo Les jantes sont en très bon etats. La capote e</t>
        </is>
      </c>
      <c r="AO166" s="10" t="inlineStr">
        <is>
          <t>Dommages : Réparations majeures à prévoir ; Sellerie : Tissu ; Permis : Avec permis ; Importé : false</t>
        </is>
      </c>
      <c r="AP166" s="19" t="inlineStr">
        <is>
          <t>Voir</t>
        </is>
      </c>
      <c r="AQ166" s="10" t="inlineStr">
        <is>
          <t>3235292026</t>
        </is>
      </c>
    </row>
    <row r="167">
      <c r="A167" s="10" t="inlineStr">
        <is>
          <t>Mazda MX-5 NA</t>
        </is>
      </c>
      <c r="B167" s="10" t="inlineStr">
        <is>
          <t>Mazda MX5 na Roadster Pro Cup</t>
        </is>
      </c>
      <c r="C167" s="10" t="n"/>
      <c r="D167" s="10" t="n"/>
      <c r="E167" s="10" t="inlineStr">
        <is>
          <t>En vente</t>
        </is>
      </c>
      <c r="F167" s="18" t="n">
        <v>46282</v>
      </c>
      <c r="G167" s="18" t="n">
        <v>46282</v>
      </c>
      <c r="H167" s="18" t="n">
        <v>46310</v>
      </c>
      <c r="I167" s="18" t="n"/>
      <c r="J167" s="17">
        <f>IF(OR(ISNUMBER(F167),ISNUMBER(G167)),IF(ISNUMBER(I167),I167,H167)-IF(ISNUMBER(F167),F167,G167),"")</f>
        <v/>
      </c>
      <c r="K167" s="12" t="n">
        <v>12500</v>
      </c>
      <c r="L167" s="12" t="n">
        <v>12500</v>
      </c>
      <c r="M167" s="13">
        <f>IF(AND(ISNUMBER(K167),ISNUMBER(L167),K167&gt;0),1-L167/K167,"")</f>
        <v/>
      </c>
      <c r="N167" s="16" t="n">
        <v>0</v>
      </c>
      <c r="O167" s="12" t="n"/>
      <c r="P167" s="12" t="n"/>
      <c r="Q167" s="12" t="n"/>
      <c r="R167" s="14">
        <f>IF(AND(ISNUMBER(L167),ISNUMBER(P167),ISNUMBER(Q167)),L167/((P167+Q167)/2)-1,"")</f>
        <v/>
      </c>
      <c r="S167" s="10" t="n"/>
      <c r="T167" s="15" t="n">
        <v>100000</v>
      </c>
      <c r="U167" s="16" t="n">
        <v>1991</v>
      </c>
      <c r="V167" s="10" t="inlineStr">
        <is>
          <t>01/1991</t>
        </is>
      </c>
      <c r="W167" s="10" t="inlineStr">
        <is>
          <t>Essence</t>
        </is>
      </c>
      <c r="X167" s="10" t="inlineStr">
        <is>
          <t>Manuelle</t>
        </is>
      </c>
      <c r="Y167" s="16" t="n">
        <v>115</v>
      </c>
      <c r="Z167" s="16" t="n">
        <v>6</v>
      </c>
      <c r="AA167" s="10" t="inlineStr">
        <is>
          <t>Bleu</t>
        </is>
      </c>
      <c r="AB167" s="16" t="n">
        <v>2</v>
      </c>
      <c r="AC167" s="10" t="inlineStr">
        <is>
          <t>Berline</t>
        </is>
      </c>
      <c r="AD167" s="10" t="n"/>
      <c r="AE167" s="10" t="n"/>
      <c r="AF167" s="10" t="inlineStr">
        <is>
          <t>Particulier</t>
        </is>
      </c>
      <c r="AG167" s="10" t="inlineStr">
        <is>
          <t>L'Isle-Jourdain</t>
        </is>
      </c>
      <c r="AH167" s="10" t="inlineStr">
        <is>
          <t>32600</t>
        </is>
      </c>
      <c r="AI167" s="10" t="inlineStr">
        <is>
          <t>Gers</t>
        </is>
      </c>
      <c r="AJ167" s="10" t="inlineStr">
        <is>
          <t>Midi-Pyrénées</t>
        </is>
      </c>
      <c r="AK167" s="16" t="n">
        <v>3</v>
      </c>
      <c r="AL167" s="10" t="n"/>
      <c r="AM167" s="10" t="inlineStr">
        <is>
          <t>Non</t>
        </is>
      </c>
      <c r="AN167" s="10" t="inlineStr">
        <is>
          <t>Vends Mazda MX5 na Roadster Pro Cup 1.6L 115 ch boite à vitesse révisée (0 course) avec lot de pièces d’origine (1 siège, 1 portière droite, 1 boite, roue de secours, catadioptre, visserie, ampoules, etc ) et consommables, de l’huile moteur, boite, pont, liquide de refroidissement, liquide de frein, plaquette AV et AR siège valide jusqu’en 2029 harnais valide jusqu’en 2028</t>
        </is>
      </c>
      <c r="AO167" s="10" t="inlineStr">
        <is>
          <t>vehicle_technical_inspection_valid : Non ; Permis : Avec permis ; Importé : false</t>
        </is>
      </c>
      <c r="AP167" s="19" t="inlineStr">
        <is>
          <t>Voir</t>
        </is>
      </c>
      <c r="AQ167" s="10" t="inlineStr">
        <is>
          <t>3235335116</t>
        </is>
      </c>
    </row>
    <row r="168">
      <c r="A168" s="10" t="inlineStr">
        <is>
          <t>Mazda MX-5 NA</t>
        </is>
      </c>
      <c r="B168" s="10" t="inlineStr">
        <is>
          <t>Mazda mx5 na</t>
        </is>
      </c>
      <c r="C168" s="10" t="inlineStr">
        <is>
          <t>MX-5 1.6 Hard Top</t>
        </is>
      </c>
      <c r="D168" s="10" t="inlineStr">
        <is>
          <t>Hard Top</t>
        </is>
      </c>
      <c r="E168" s="10" t="inlineStr">
        <is>
          <t>En vente</t>
        </is>
      </c>
      <c r="F168" s="18" t="n">
        <v>46293</v>
      </c>
      <c r="G168" s="18" t="n">
        <v>46293</v>
      </c>
      <c r="H168" s="18" t="n">
        <v>46310</v>
      </c>
      <c r="I168" s="18" t="n"/>
      <c r="J168" s="17">
        <f>IF(OR(ISNUMBER(F168),ISNUMBER(G168)),IF(ISNUMBER(I168),I168,H168)-IF(ISNUMBER(F168),F168,G168),"")</f>
        <v/>
      </c>
      <c r="K168" s="12" t="n">
        <v>12000</v>
      </c>
      <c r="L168" s="12" t="n">
        <v>12000</v>
      </c>
      <c r="M168" s="13">
        <f>IF(AND(ISNUMBER(K168),ISNUMBER(L168),K168&gt;0),1-L168/K168,"")</f>
        <v/>
      </c>
      <c r="N168" s="16" t="n">
        <v>0</v>
      </c>
      <c r="O168" s="12" t="n">
        <v>12500</v>
      </c>
      <c r="P168" s="12" t="n"/>
      <c r="Q168" s="12" t="n"/>
      <c r="R168" s="14">
        <f>IF(AND(ISNUMBER(L168),ISNUMBER(P168),ISNUMBER(Q168)),L168/((P168+Q168)/2)-1,"")</f>
        <v/>
      </c>
      <c r="S168" s="10" t="n"/>
      <c r="T168" s="15" t="n">
        <v>289000</v>
      </c>
      <c r="U168" s="16" t="n">
        <v>1992</v>
      </c>
      <c r="V168" s="10" t="inlineStr">
        <is>
          <t>09/1992</t>
        </is>
      </c>
      <c r="W168" s="10" t="inlineStr">
        <is>
          <t>Essence</t>
        </is>
      </c>
      <c r="X168" s="10" t="inlineStr">
        <is>
          <t>Manuelle</t>
        </is>
      </c>
      <c r="Y168" s="16" t="n">
        <v>116</v>
      </c>
      <c r="Z168" s="16" t="n">
        <v>8</v>
      </c>
      <c r="AA168" s="10" t="inlineStr">
        <is>
          <t>Autre</t>
        </is>
      </c>
      <c r="AB168" s="16" t="n">
        <v>2</v>
      </c>
      <c r="AC168" s="10" t="inlineStr">
        <is>
          <t>Cabriolet</t>
        </is>
      </c>
      <c r="AD168" s="10" t="n"/>
      <c r="AE168" s="10" t="n"/>
      <c r="AF168" s="10" t="inlineStr">
        <is>
          <t>Particulier</t>
        </is>
      </c>
      <c r="AG168" s="10" t="inlineStr">
        <is>
          <t>Sainte-Marie-la-Mer</t>
        </is>
      </c>
      <c r="AH168" s="10" t="inlineStr">
        <is>
          <t>66470</t>
        </is>
      </c>
      <c r="AI168" s="10" t="inlineStr">
        <is>
          <t>Pyrénées-Orientales</t>
        </is>
      </c>
      <c r="AJ168" s="10" t="inlineStr">
        <is>
          <t>Languedoc-Roussillon</t>
        </is>
      </c>
      <c r="AK168" s="16" t="n">
        <v>3</v>
      </c>
      <c r="AL168" s="10" t="n"/>
      <c r="AM168" s="10" t="inlineStr">
        <is>
          <t>Non</t>
        </is>
      </c>
      <c r="AN168" s="10" t="inlineStr">
        <is>
          <t xml:space="preserve">Bonjour, Je vends ma Mazda MX-5 NA 1.6 de 1992, de couleur grise, afin de financer un nouveau projet. Il s'agit d'un modèle devenu collector, toujours entretenu avec le plus grand soin. Malgré ses 280 000 km, la voiture est en excellent état mécanique et roule parfaitement. Elle peut effectuer toutes distances sans aucun souci. Le véhicule est très sain, avec un historique complet et l'ensemble des factures disponibles depuis son acquisition. Le contrôle technique est OK. Le moteur, la boîte de </t>
        </is>
      </c>
      <c r="AO168" s="10" t="inlineStr">
        <is>
          <t>Dommages : Bon état général ; Sellerie : Autre ; Équipements intérieurs : Sièges sport ; Permis : Avec permis ; Importé : false</t>
        </is>
      </c>
      <c r="AP168" s="19" t="inlineStr">
        <is>
          <t>Voir</t>
        </is>
      </c>
      <c r="AQ168" s="10" t="inlineStr">
        <is>
          <t>3236647415</t>
        </is>
      </c>
    </row>
    <row r="169">
      <c r="A169" s="10" t="inlineStr">
        <is>
          <t>Mazda MX-5 NA</t>
        </is>
      </c>
      <c r="B169" s="10" t="inlineStr">
        <is>
          <t>Mazda MX5 NA 1.8l</t>
        </is>
      </c>
      <c r="C169" s="10" t="inlineStr">
        <is>
          <t>Base_MX-5 1.8 130ch</t>
        </is>
      </c>
      <c r="D169" s="10" t="inlineStr">
        <is>
          <t>Base</t>
        </is>
      </c>
      <c r="E169" s="10" t="inlineStr">
        <is>
          <t>En vente</t>
        </is>
      </c>
      <c r="F169" s="18" t="n">
        <v>46285</v>
      </c>
      <c r="G169" s="18" t="n">
        <v>46285</v>
      </c>
      <c r="H169" s="18" t="n">
        <v>46310</v>
      </c>
      <c r="I169" s="18" t="n"/>
      <c r="J169" s="17">
        <f>IF(OR(ISNUMBER(F169),ISNUMBER(G169)),IF(ISNUMBER(I169),I169,H169)-IF(ISNUMBER(F169),F169,G169),"")</f>
        <v/>
      </c>
      <c r="K169" s="12" t="n">
        <v>12500</v>
      </c>
      <c r="L169" s="12" t="n">
        <v>12500</v>
      </c>
      <c r="M169" s="13">
        <f>IF(AND(ISNUMBER(K169),ISNUMBER(L169),K169&gt;0),1-L169/K169,"")</f>
        <v/>
      </c>
      <c r="N169" s="16" t="n">
        <v>0</v>
      </c>
      <c r="O169" s="12" t="n">
        <v>13000</v>
      </c>
      <c r="P169" s="12" t="n"/>
      <c r="Q169" s="12" t="n"/>
      <c r="R169" s="14">
        <f>IF(AND(ISNUMBER(L169),ISNUMBER(P169),ISNUMBER(Q169)),L169/((P169+Q169)/2)-1,"")</f>
        <v/>
      </c>
      <c r="S169" s="10" t="n"/>
      <c r="T169" s="15" t="n">
        <v>233000</v>
      </c>
      <c r="U169" s="16" t="n">
        <v>1995</v>
      </c>
      <c r="V169" s="10" t="inlineStr">
        <is>
          <t>04/1995</t>
        </is>
      </c>
      <c r="W169" s="10" t="inlineStr">
        <is>
          <t>Essence</t>
        </is>
      </c>
      <c r="X169" s="10" t="inlineStr">
        <is>
          <t>Manuelle</t>
        </is>
      </c>
      <c r="Y169" s="16" t="n">
        <v>130</v>
      </c>
      <c r="Z169" s="16" t="n">
        <v>10</v>
      </c>
      <c r="AA169" s="10" t="inlineStr">
        <is>
          <t>Noir</t>
        </is>
      </c>
      <c r="AB169" s="16" t="n">
        <v>2</v>
      </c>
      <c r="AC169" s="10" t="inlineStr">
        <is>
          <t>Cabriolet</t>
        </is>
      </c>
      <c r="AD169" s="10" t="n"/>
      <c r="AE169" s="10" t="n"/>
      <c r="AF169" s="10" t="inlineStr">
        <is>
          <t>Particulier</t>
        </is>
      </c>
      <c r="AG169" s="10" t="inlineStr">
        <is>
          <t>Tilly-sur-Seulles</t>
        </is>
      </c>
      <c r="AH169" s="10" t="inlineStr">
        <is>
          <t>14250</t>
        </is>
      </c>
      <c r="AI169" s="10" t="inlineStr">
        <is>
          <t>Calvados</t>
        </is>
      </c>
      <c r="AJ169" s="10" t="inlineStr">
        <is>
          <t>Basse-Normandie</t>
        </is>
      </c>
      <c r="AK169" s="16" t="n">
        <v>3</v>
      </c>
      <c r="AL169" s="10" t="n"/>
      <c r="AM169" s="10" t="inlineStr">
        <is>
          <t>Non</t>
        </is>
      </c>
      <c r="AN169" s="10" t="inlineStr">
        <is>
          <t>Je vends ma Mazda MX-5 NA de 1995 en ma possession depuis maintenant 10 ans, elle a toujours dormis en garage. Pour commencer la voiture à été traité pour sa plus grande maladie, la rouille des bas de caisse arrière, première chose que j'ai faite lors de son achat (je dispose des photos) Côté moteur rien à signaler elle ne présente pas de fuite et j'ai assuré des vidanges rapproché tous les 5 à 7 mille km. Côté carrosserie elle est presque parfaite, aucune rayures majeur. La capotte d'origine en</t>
        </is>
      </c>
      <c r="AO169" s="10" t="inlineStr">
        <is>
          <t>Sellerie : Tout cuir ; Permis : Avec permis ; Importé : false</t>
        </is>
      </c>
      <c r="AP169" s="19" t="inlineStr">
        <is>
          <t>Voir</t>
        </is>
      </c>
      <c r="AQ169" s="10" t="inlineStr">
        <is>
          <t>3237501387</t>
        </is>
      </c>
    </row>
    <row r="170">
      <c r="A170" s="10" t="inlineStr">
        <is>
          <t>Mazda MX-5 NA</t>
        </is>
      </c>
      <c r="B170" s="10" t="inlineStr">
        <is>
          <t>Mazda MX5 NA 1.6 90cv 1996</t>
        </is>
      </c>
      <c r="C170" s="10" t="n"/>
      <c r="D170" s="10" t="n"/>
      <c r="E170" s="10" t="inlineStr">
        <is>
          <t>En vente</t>
        </is>
      </c>
      <c r="F170" s="18" t="n">
        <v>46298</v>
      </c>
      <c r="G170" s="18" t="n">
        <v>46298</v>
      </c>
      <c r="H170" s="18" t="n">
        <v>46310</v>
      </c>
      <c r="I170" s="18" t="n"/>
      <c r="J170" s="17">
        <f>IF(OR(ISNUMBER(F170),ISNUMBER(G170)),IF(ISNUMBER(I170),I170,H170)-IF(ISNUMBER(F170),F170,G170),"")</f>
        <v/>
      </c>
      <c r="K170" s="12" t="n">
        <v>10000</v>
      </c>
      <c r="L170" s="12" t="n">
        <v>10000</v>
      </c>
      <c r="M170" s="13">
        <f>IF(AND(ISNUMBER(K170),ISNUMBER(L170),K170&gt;0),1-L170/K170,"")</f>
        <v/>
      </c>
      <c r="N170" s="16" t="n">
        <v>0</v>
      </c>
      <c r="O170" s="12" t="n">
        <v>10500</v>
      </c>
      <c r="P170" s="12" t="n"/>
      <c r="Q170" s="12" t="n"/>
      <c r="R170" s="14">
        <f>IF(AND(ISNUMBER(L170),ISNUMBER(P170),ISNUMBER(Q170)),L170/((P170+Q170)/2)-1,"")</f>
        <v/>
      </c>
      <c r="S170" s="10" t="n"/>
      <c r="T170" s="15" t="n">
        <v>175553</v>
      </c>
      <c r="U170" s="16" t="n">
        <v>1996</v>
      </c>
      <c r="V170" s="10" t="inlineStr">
        <is>
          <t>09/1996</t>
        </is>
      </c>
      <c r="W170" s="10" t="inlineStr">
        <is>
          <t>Essence</t>
        </is>
      </c>
      <c r="X170" s="10" t="inlineStr">
        <is>
          <t>Manuelle</t>
        </is>
      </c>
      <c r="Y170" s="16" t="n">
        <v>90</v>
      </c>
      <c r="Z170" s="16" t="n">
        <v>8</v>
      </c>
      <c r="AA170" s="10" t="inlineStr">
        <is>
          <t>Autre</t>
        </is>
      </c>
      <c r="AB170" s="16" t="n">
        <v>2</v>
      </c>
      <c r="AC170" s="10" t="inlineStr">
        <is>
          <t>Cabriolet</t>
        </is>
      </c>
      <c r="AD170" s="10" t="inlineStr">
        <is>
          <t>Factures disponibles, Véhicule non fumeur</t>
        </is>
      </c>
      <c r="AE170" s="10" t="n"/>
      <c r="AF170" s="10" t="inlineStr">
        <is>
          <t>Particulier</t>
        </is>
      </c>
      <c r="AG170" s="10" t="inlineStr">
        <is>
          <t>Saint-Marcellin</t>
        </is>
      </c>
      <c r="AH170" s="10" t="inlineStr">
        <is>
          <t>38160</t>
        </is>
      </c>
      <c r="AI170" s="10" t="inlineStr">
        <is>
          <t>Isère</t>
        </is>
      </c>
      <c r="AJ170" s="10" t="inlineStr">
        <is>
          <t>Rhône-Alpes</t>
        </is>
      </c>
      <c r="AK170" s="16" t="n">
        <v>3</v>
      </c>
      <c r="AL170" s="10" t="n"/>
      <c r="AM170" s="10" t="inlineStr">
        <is>
          <t>Non</t>
        </is>
      </c>
      <c r="AN170" s="10" t="inlineStr">
        <is>
          <t>Je vends ma Mazda MX-5 NA de 1996 -tout les disques, étriers, plaquettes, durites et liquide de frein -Volant Momo avec airbag -vidange moteur moins de 5000km -de gros travaux de carrosseries ont été réalisé sur l'arrière par Rabatel à St Marcellin la rouille a été traité en profondeur (photos dispo) -4 pneus neufs et géométrie -Combiné fileté BC racing -bougies neuves -filtre a air, filtre a huile et filtre a essence -biellettes neuves -lève vitre conducteur neuf (soucis de contact sur la vitre</t>
        </is>
      </c>
      <c r="AO170" s="10" t="inlineStr">
        <is>
          <t>vehicle_technical_inspection_valid : Oui ; Contrôle technique : 2028 ; Dommages : Traces d’usure normales ; Sellerie : Tissu ; Permis : Avec permis ; Importé : false</t>
        </is>
      </c>
      <c r="AP170" s="19" t="inlineStr">
        <is>
          <t>Voir</t>
        </is>
      </c>
      <c r="AQ170" s="10" t="inlineStr">
        <is>
          <t>3244010388</t>
        </is>
      </c>
    </row>
    <row r="171">
      <c r="A171" s="10" t="inlineStr">
        <is>
          <t>Mazda MX-5 NA</t>
        </is>
      </c>
      <c r="B171" s="10" t="inlineStr">
        <is>
          <t>Mazda MX5</t>
        </is>
      </c>
      <c r="C171" s="10" t="inlineStr">
        <is>
          <t>Base_MX-5 1.6 110ch</t>
        </is>
      </c>
      <c r="D171" s="10" t="inlineStr">
        <is>
          <t>Base</t>
        </is>
      </c>
      <c r="E171" s="10" t="inlineStr">
        <is>
          <t>En vente</t>
        </is>
      </c>
      <c r="F171" s="18" t="n">
        <v>46265</v>
      </c>
      <c r="G171" s="18" t="n">
        <v>46265</v>
      </c>
      <c r="H171" s="18" t="n">
        <v>46310</v>
      </c>
      <c r="I171" s="18" t="n"/>
      <c r="J171" s="17">
        <f>IF(OR(ISNUMBER(F171),ISNUMBER(G171)),IF(ISNUMBER(I171),I171,H171)-IF(ISNUMBER(F171),F171,G171),"")</f>
        <v/>
      </c>
      <c r="K171" s="12" t="n">
        <v>11500</v>
      </c>
      <c r="L171" s="12" t="n">
        <v>11500</v>
      </c>
      <c r="M171" s="13">
        <f>IF(AND(ISNUMBER(K171),ISNUMBER(L171),K171&gt;0),1-L171/K171,"")</f>
        <v/>
      </c>
      <c r="N171" s="16" t="n">
        <v>0</v>
      </c>
      <c r="O171" s="12" t="n"/>
      <c r="P171" s="12" t="n"/>
      <c r="Q171" s="12" t="n"/>
      <c r="R171" s="14">
        <f>IF(AND(ISNUMBER(L171),ISNUMBER(P171),ISNUMBER(Q171)),L171/((P171+Q171)/2)-1,"")</f>
        <v/>
      </c>
      <c r="S171" s="10" t="n"/>
      <c r="T171" s="15" t="n">
        <v>164000</v>
      </c>
      <c r="U171" s="16" t="n">
        <v>1998</v>
      </c>
      <c r="V171" s="10" t="inlineStr">
        <is>
          <t>07/1998</t>
        </is>
      </c>
      <c r="W171" s="10" t="inlineStr">
        <is>
          <t>Essence</t>
        </is>
      </c>
      <c r="X171" s="10" t="inlineStr">
        <is>
          <t>Manuelle</t>
        </is>
      </c>
      <c r="Y171" s="16" t="n">
        <v>110</v>
      </c>
      <c r="Z171" s="16" t="n">
        <v>8</v>
      </c>
      <c r="AA171" s="10" t="inlineStr">
        <is>
          <t>Vert</t>
        </is>
      </c>
      <c r="AB171" s="16" t="n">
        <v>2</v>
      </c>
      <c r="AC171" s="10" t="inlineStr">
        <is>
          <t>Cabriolet</t>
        </is>
      </c>
      <c r="AD171" s="10" t="inlineStr">
        <is>
          <t>Carnet d'entretien disponible, Factures disponibles, Réparations utiles déjà faites</t>
        </is>
      </c>
      <c r="AE171" s="10" t="n"/>
      <c r="AF171" s="10" t="inlineStr">
        <is>
          <t>Particulier</t>
        </is>
      </c>
      <c r="AG171" s="10" t="inlineStr">
        <is>
          <t>Renaison</t>
        </is>
      </c>
      <c r="AH171" s="10" t="inlineStr">
        <is>
          <t>42370</t>
        </is>
      </c>
      <c r="AI171" s="10" t="inlineStr">
        <is>
          <t>Loire</t>
        </is>
      </c>
      <c r="AJ171" s="10" t="inlineStr">
        <is>
          <t>Rhône-Alpes</t>
        </is>
      </c>
      <c r="AK171" s="16" t="n">
        <v>3</v>
      </c>
      <c r="AL171" s="10" t="n"/>
      <c r="AM171" s="10" t="inlineStr">
        <is>
          <t>Non</t>
        </is>
      </c>
      <c r="AN171" s="10" t="inlineStr">
        <is>
          <t>Vends Mazda MX5 totalisant 164000km. Très bon état carroserie et intérieur. Embrayage MAZDA neuf. 4 pneus très récents. Le CT sera passé pour la vente.</t>
        </is>
      </c>
      <c r="AO171" s="10" t="inlineStr">
        <is>
          <t>vehicle_technical_inspection_valid : Oui ; Sellerie : Tissu ; Permis : Avec permis ; Importé : false</t>
        </is>
      </c>
      <c r="AP171" s="19" t="inlineStr">
        <is>
          <t>Voir</t>
        </is>
      </c>
      <c r="AQ171" s="10" t="inlineStr">
        <is>
          <t>3260415699</t>
        </is>
      </c>
    </row>
    <row r="172">
      <c r="A172" s="10" t="inlineStr">
        <is>
          <t>Mazda MX-5 NA</t>
        </is>
      </c>
      <c r="B172" s="10" t="inlineStr">
        <is>
          <t>A vendre mazda mx5</t>
        </is>
      </c>
      <c r="C172" s="10" t="n"/>
      <c r="D172" s="10" t="n"/>
      <c r="E172" s="10" t="inlineStr">
        <is>
          <t>En vente</t>
        </is>
      </c>
      <c r="F172" s="18" t="n">
        <v>46269</v>
      </c>
      <c r="G172" s="18" t="n">
        <v>46269</v>
      </c>
      <c r="H172" s="18" t="n">
        <v>46310</v>
      </c>
      <c r="I172" s="18" t="n"/>
      <c r="J172" s="17">
        <f>IF(OR(ISNUMBER(F172),ISNUMBER(G172)),IF(ISNUMBER(I172),I172,H172)-IF(ISNUMBER(F172),F172,G172),"")</f>
        <v/>
      </c>
      <c r="K172" s="12" t="n">
        <v>16000</v>
      </c>
      <c r="L172" s="12" t="n">
        <v>16000</v>
      </c>
      <c r="M172" s="13">
        <f>IF(AND(ISNUMBER(K172),ISNUMBER(L172),K172&gt;0),1-L172/K172,"")</f>
        <v/>
      </c>
      <c r="N172" s="16" t="n">
        <v>0</v>
      </c>
      <c r="O172" s="12" t="n"/>
      <c r="P172" s="12" t="n"/>
      <c r="Q172" s="12" t="n"/>
      <c r="R172" s="14">
        <f>IF(AND(ISNUMBER(L172),ISNUMBER(P172),ISNUMBER(Q172)),L172/((P172+Q172)/2)-1,"")</f>
        <v/>
      </c>
      <c r="S172" s="10" t="n"/>
      <c r="T172" s="15" t="n">
        <v>162600</v>
      </c>
      <c r="U172" s="16" t="n">
        <v>1991</v>
      </c>
      <c r="V172" s="10" t="inlineStr">
        <is>
          <t>02/1991</t>
        </is>
      </c>
      <c r="W172" s="10" t="inlineStr">
        <is>
          <t>Essence</t>
        </is>
      </c>
      <c r="X172" s="10" t="inlineStr">
        <is>
          <t>Manuelle</t>
        </is>
      </c>
      <c r="Y172" s="16" t="n">
        <v>116</v>
      </c>
      <c r="Z172" s="16" t="n">
        <v>8</v>
      </c>
      <c r="AA172" s="10" t="inlineStr">
        <is>
          <t>Rouge</t>
        </is>
      </c>
      <c r="AB172" s="16" t="n">
        <v>2</v>
      </c>
      <c r="AC172" s="10" t="inlineStr">
        <is>
          <t>Cabriolet</t>
        </is>
      </c>
      <c r="AD172" s="10" t="n"/>
      <c r="AE172" s="10" t="n"/>
      <c r="AF172" s="10" t="inlineStr">
        <is>
          <t>Particulier</t>
        </is>
      </c>
      <c r="AG172" s="10" t="inlineStr">
        <is>
          <t>Saint-Tropez</t>
        </is>
      </c>
      <c r="AH172" s="10" t="inlineStr">
        <is>
          <t>83990</t>
        </is>
      </c>
      <c r="AI172" s="10" t="inlineStr">
        <is>
          <t>Var</t>
        </is>
      </c>
      <c r="AJ172" s="10" t="inlineStr">
        <is>
          <t>Provence-Alpes-Côte d'Azur</t>
        </is>
      </c>
      <c r="AK172" s="16" t="n">
        <v>3</v>
      </c>
      <c r="AL172" s="10" t="n"/>
      <c r="AM172" s="10" t="inlineStr">
        <is>
          <t>Non</t>
        </is>
      </c>
      <c r="AN172" s="10" t="inlineStr">
        <is>
          <t>Bonjour je vends ma Mazda MX5 cabriolé de 1991 . En parfait état Véhicule visible sur Saint Tropez Pour plus de renseignement me contacter</t>
        </is>
      </c>
      <c r="AO172" s="10" t="inlineStr">
        <is>
          <t>Dommages : Bon état général ; Sellerie : Tissu ; Permis : Avec permis ; Importé : false ; vehicle_history_report_status : visible</t>
        </is>
      </c>
      <c r="AP172" s="19" t="inlineStr">
        <is>
          <t>Voir</t>
        </is>
      </c>
      <c r="AQ172" s="10" t="inlineStr">
        <is>
          <t>3262698527</t>
        </is>
      </c>
    </row>
    <row r="173">
      <c r="A173" s="10" t="inlineStr">
        <is>
          <t>Mazda MX-5 NA</t>
        </is>
      </c>
      <c r="B173" s="10" t="inlineStr">
        <is>
          <t>1990 Mazda MX5 BBR Turbo</t>
        </is>
      </c>
      <c r="C173" s="10" t="n"/>
      <c r="D173" s="10" t="n"/>
      <c r="E173" s="10" t="inlineStr">
        <is>
          <t>En vente</t>
        </is>
      </c>
      <c r="F173" s="18" t="n">
        <v>46272</v>
      </c>
      <c r="G173" s="18" t="n">
        <v>46272</v>
      </c>
      <c r="H173" s="18" t="n">
        <v>46310</v>
      </c>
      <c r="I173" s="18" t="n"/>
      <c r="J173" s="17">
        <f>IF(OR(ISNUMBER(F173),ISNUMBER(G173)),IF(ISNUMBER(I173),I173,H173)-IF(ISNUMBER(F173),F173,G173),"")</f>
        <v/>
      </c>
      <c r="K173" s="12" t="n">
        <v>17990</v>
      </c>
      <c r="L173" s="12" t="n">
        <v>17990</v>
      </c>
      <c r="M173" s="13">
        <f>IF(AND(ISNUMBER(K173),ISNUMBER(L173),K173&gt;0),1-L173/K173,"")</f>
        <v/>
      </c>
      <c r="N173" s="16" t="n">
        <v>0</v>
      </c>
      <c r="O173" s="12" t="n"/>
      <c r="P173" s="12" t="n"/>
      <c r="Q173" s="12" t="n"/>
      <c r="R173" s="14">
        <f>IF(AND(ISNUMBER(L173),ISNUMBER(P173),ISNUMBER(Q173)),L173/((P173+Q173)/2)-1,"")</f>
        <v/>
      </c>
      <c r="S173" s="10" t="n"/>
      <c r="T173" s="15" t="n">
        <v>205000</v>
      </c>
      <c r="U173" s="16" t="n">
        <v>1990</v>
      </c>
      <c r="V173" s="10" t="inlineStr">
        <is>
          <t>01/1990</t>
        </is>
      </c>
      <c r="W173" s="10" t="inlineStr">
        <is>
          <t>Essence</t>
        </is>
      </c>
      <c r="X173" s="10" t="inlineStr">
        <is>
          <t>Manuelle</t>
        </is>
      </c>
      <c r="Y173" s="16" t="n">
        <v>150</v>
      </c>
      <c r="Z173" s="16" t="n">
        <v>10</v>
      </c>
      <c r="AA173" s="10" t="inlineStr">
        <is>
          <t>Rouge</t>
        </is>
      </c>
      <c r="AB173" s="16" t="n">
        <v>2</v>
      </c>
      <c r="AC173" s="10" t="inlineStr">
        <is>
          <t>Cabriolet</t>
        </is>
      </c>
      <c r="AD173" s="10" t="n"/>
      <c r="AE173" s="10" t="n"/>
      <c r="AF173" s="10" t="inlineStr">
        <is>
          <t>Particulier</t>
        </is>
      </c>
      <c r="AG173" s="10" t="inlineStr">
        <is>
          <t>Palaiseau</t>
        </is>
      </c>
      <c r="AH173" s="10" t="inlineStr">
        <is>
          <t>91120</t>
        </is>
      </c>
      <c r="AI173" s="10" t="inlineStr">
        <is>
          <t>Essonne</t>
        </is>
      </c>
      <c r="AJ173" s="10" t="inlineStr">
        <is>
          <t>Ile-de-France</t>
        </is>
      </c>
      <c r="AK173" s="16" t="n">
        <v>3</v>
      </c>
      <c r="AL173" s="10" t="n"/>
      <c r="AM173" s="10" t="inlineStr">
        <is>
          <t>Non</t>
        </is>
      </c>
      <c r="AN173" s="10" t="inlineStr">
        <is>
          <t>Bonjour, je me prépare à vendre ma voiture une fois les papiers français à jour. Mazda MX5 BBR Turbo, le kit a été monté en 1992 par Brodie Britain Racing, ce qui en fait une des (environ) 850 édition officielle. D'ici peu elle recevra des nouvelles jantes et pneus neufs, freins et purge, vidanges moteur boîte pont. Elle parcours déjà toute distance et fonctionne très bien. Contactez moi pour plus d'informations, l'annonce changera une fois la voiture prête, un dossier photo et vidéo complet ser</t>
        </is>
      </c>
      <c r="AO173" s="10" t="inlineStr">
        <is>
          <t>Permis : Avec permis ; Importé : false</t>
        </is>
      </c>
      <c r="AP173" s="19" t="inlineStr">
        <is>
          <t>Voir</t>
        </is>
      </c>
      <c r="AQ173" s="10" t="inlineStr">
        <is>
          <t>3265533307</t>
        </is>
      </c>
    </row>
    <row r="174">
      <c r="A174" s="10" t="inlineStr">
        <is>
          <t>Mazda MX-5 NA</t>
        </is>
      </c>
      <c r="B174" s="10" t="inlineStr">
        <is>
          <t>Mazda mx5 BBR turbo</t>
        </is>
      </c>
      <c r="C174" s="10" t="n"/>
      <c r="D174" s="10" t="n"/>
      <c r="E174" s="10" t="inlineStr">
        <is>
          <t>En vente</t>
        </is>
      </c>
      <c r="F174" s="18" t="n">
        <v>46276</v>
      </c>
      <c r="G174" s="18" t="n">
        <v>46276</v>
      </c>
      <c r="H174" s="18" t="n">
        <v>46310</v>
      </c>
      <c r="I174" s="18" t="n"/>
      <c r="J174" s="17">
        <f>IF(OR(ISNUMBER(F174),ISNUMBER(G174)),IF(ISNUMBER(I174),I174,H174)-IF(ISNUMBER(F174),F174,G174),"")</f>
        <v/>
      </c>
      <c r="K174" s="12" t="n">
        <v>10550</v>
      </c>
      <c r="L174" s="12" t="n">
        <v>10550</v>
      </c>
      <c r="M174" s="13">
        <f>IF(AND(ISNUMBER(K174),ISNUMBER(L174),K174&gt;0),1-L174/K174,"")</f>
        <v/>
      </c>
      <c r="N174" s="16" t="n">
        <v>0</v>
      </c>
      <c r="O174" s="12" t="n">
        <v>12400</v>
      </c>
      <c r="P174" s="12" t="n"/>
      <c r="Q174" s="12" t="n"/>
      <c r="R174" s="14">
        <f>IF(AND(ISNUMBER(L174),ISNUMBER(P174),ISNUMBER(Q174)),L174/((P174+Q174)/2)-1,"")</f>
        <v/>
      </c>
      <c r="S174" s="10" t="n"/>
      <c r="T174" s="15" t="n">
        <v>157000</v>
      </c>
      <c r="U174" s="16" t="n">
        <v>1994</v>
      </c>
      <c r="V174" s="10" t="n"/>
      <c r="W174" s="10" t="inlineStr">
        <is>
          <t>Essence</t>
        </is>
      </c>
      <c r="X174" s="10" t="inlineStr">
        <is>
          <t>Manuelle</t>
        </is>
      </c>
      <c r="Y174" s="16" t="n"/>
      <c r="Z174" s="16" t="n"/>
      <c r="AA174" s="10" t="n"/>
      <c r="AB174" s="16" t="n"/>
      <c r="AC174" s="10" t="n"/>
      <c r="AD174" s="10" t="n"/>
      <c r="AE174" s="10" t="n"/>
      <c r="AF174" s="10" t="inlineStr">
        <is>
          <t>Pro</t>
        </is>
      </c>
      <c r="AG174" s="10" t="inlineStr">
        <is>
          <t>Paris</t>
        </is>
      </c>
      <c r="AH174" s="10" t="inlineStr">
        <is>
          <t>75001</t>
        </is>
      </c>
      <c r="AI174" s="10" t="inlineStr">
        <is>
          <t>Paris</t>
        </is>
      </c>
      <c r="AJ174" s="10" t="inlineStr">
        <is>
          <t>Ile-de-France</t>
        </is>
      </c>
      <c r="AK174" s="16" t="n">
        <v>5</v>
      </c>
      <c r="AL174" s="10" t="n"/>
      <c r="AM174" s="10" t="inlineStr">
        <is>
          <t>Non</t>
        </is>
      </c>
      <c r="AN174" s="10" t="inlineStr">
        <is>
          <t>CARGEEK EXPORTS vous propose cette superbe Mazda MX5 BBR Marque : Mazda Modèle : MX5 Date de première mise en circulation : 19/02/1994 Cv : 150 Cv fiscaux : 10 Conduite à droite (RHD) Miles: 97,600 KM: 157,000 Commentaires : Une très rare Mazda Mx5 BBR Turbo d’Origine ( série limité à 800 exemplaire ) Démarre et roule parfaitement. Historique d’entretien complet avec certificat BBR et son manuel d’origine BBR. Hard-top d’origine inclu, et capote en bon état. Frais récent : Thermostat Filtre &amp; Vi</t>
        </is>
      </c>
      <c r="AO174" s="10" t="inlineStr">
        <is>
          <t>Permis : Avec permis ; VO récent : false ; vehicle_commercial_warranty : Non ; vehicle_manufacturer_warranty : Non ; Importé : false ; spare_parts_availability : Non renseignée</t>
        </is>
      </c>
      <c r="AP174" s="19" t="inlineStr">
        <is>
          <t>Voir</t>
        </is>
      </c>
      <c r="AQ174" s="10" t="inlineStr">
        <is>
          <t>3267479895</t>
        </is>
      </c>
    </row>
    <row r="175">
      <c r="A175" s="10" t="inlineStr">
        <is>
          <t>Mazda MX-5 NA</t>
        </is>
      </c>
      <c r="B175" s="10" t="inlineStr">
        <is>
          <t>Mazda MX5 NA</t>
        </is>
      </c>
      <c r="C175" s="10" t="n"/>
      <c r="D175" s="10" t="n"/>
      <c r="E175" s="10" t="inlineStr">
        <is>
          <t>En vente</t>
        </is>
      </c>
      <c r="F175" s="18" t="n">
        <v>46278</v>
      </c>
      <c r="G175" s="18" t="n">
        <v>46278</v>
      </c>
      <c r="H175" s="18" t="n">
        <v>46310</v>
      </c>
      <c r="I175" s="18" t="n"/>
      <c r="J175" s="17">
        <f>IF(OR(ISNUMBER(F175),ISNUMBER(G175)),IF(ISNUMBER(I175),I175,H175)-IF(ISNUMBER(F175),F175,G175),"")</f>
        <v/>
      </c>
      <c r="K175" s="12" t="n">
        <v>14000</v>
      </c>
      <c r="L175" s="12" t="n">
        <v>14000</v>
      </c>
      <c r="M175" s="13">
        <f>IF(AND(ISNUMBER(K175),ISNUMBER(L175),K175&gt;0),1-L175/K175,"")</f>
        <v/>
      </c>
      <c r="N175" s="16" t="n">
        <v>0</v>
      </c>
      <c r="O175" s="12" t="n"/>
      <c r="P175" s="12" t="n"/>
      <c r="Q175" s="12" t="n"/>
      <c r="R175" s="14">
        <f>IF(AND(ISNUMBER(L175),ISNUMBER(P175),ISNUMBER(Q175)),L175/((P175+Q175)/2)-1,"")</f>
        <v/>
      </c>
      <c r="S175" s="10" t="n"/>
      <c r="T175" s="15" t="n">
        <v>120000</v>
      </c>
      <c r="U175" s="16" t="n">
        <v>1995</v>
      </c>
      <c r="V175" s="10" t="inlineStr">
        <is>
          <t>08/1995</t>
        </is>
      </c>
      <c r="W175" s="10" t="inlineStr">
        <is>
          <t>Essence</t>
        </is>
      </c>
      <c r="X175" s="10" t="inlineStr">
        <is>
          <t>Manuelle</t>
        </is>
      </c>
      <c r="Y175" s="16" t="n">
        <v>90</v>
      </c>
      <c r="Z175" s="16" t="n">
        <v>8</v>
      </c>
      <c r="AA175" s="10" t="inlineStr">
        <is>
          <t>Vert</t>
        </is>
      </c>
      <c r="AB175" s="16" t="n">
        <v>2</v>
      </c>
      <c r="AC175" s="10" t="inlineStr">
        <is>
          <t>Cabriolet</t>
        </is>
      </c>
      <c r="AD175" s="10" t="inlineStr">
        <is>
          <t>Carnet d'entretien disponible</t>
        </is>
      </c>
      <c r="AE175" s="10" t="n"/>
      <c r="AF175" s="10" t="inlineStr">
        <is>
          <t>Particulier</t>
        </is>
      </c>
      <c r="AG175" s="10" t="inlineStr">
        <is>
          <t>Le Mans</t>
        </is>
      </c>
      <c r="AH175" s="10" t="inlineStr">
        <is>
          <t>72000</t>
        </is>
      </c>
      <c r="AI175" s="10" t="inlineStr">
        <is>
          <t>Sarthe</t>
        </is>
      </c>
      <c r="AJ175" s="10" t="inlineStr">
        <is>
          <t>Pays de la Loire</t>
        </is>
      </c>
      <c r="AK175" s="16" t="n">
        <v>3</v>
      </c>
      <c r="AL175" s="10" t="n"/>
      <c r="AM175" s="10" t="inlineStr">
        <is>
          <t>Non</t>
        </is>
      </c>
      <c r="AN175" s="10" t="inlineStr">
        <is>
          <t>Titre : Mazda MX-5 NA (Phase 1) 1.6 90ch – 120 000 km Description : Vends Mazda MX-5 première génération (NA, Phase 1), mise en circulation le 30/08/1995. Motorisation 1.6L de 90 chevaux, boîte manuelle 5 rapports, conduite à gauche d'origine (LHD). Caractéristiques principales : Kilométrage : 120 000 km (évolutif, usage régulier) Mise en circulation : 30/08/1995 Couleur : Vert Anglais (code 3C) État du véhicule : Châssis : aucune trace de rouille, longerons et bas de caisse sains, véhicule touj</t>
        </is>
      </c>
      <c r="AO175" s="10" t="inlineStr">
        <is>
          <t>vehicle_technical_inspection_valid : Non ; Dommages : Bon état général ; Sellerie : Cuir partiel ; Permis : Avec permis ; Importé : false</t>
        </is>
      </c>
      <c r="AP175" s="19" t="inlineStr">
        <is>
          <t>Voir</t>
        </is>
      </c>
      <c r="AQ175" s="10" t="inlineStr">
        <is>
          <t>3268572356</t>
        </is>
      </c>
    </row>
    <row r="176">
      <c r="A176" s="10" t="inlineStr">
        <is>
          <t>Mazda MX-5 NA</t>
        </is>
      </c>
      <c r="B176" s="10" t="inlineStr">
        <is>
          <t>Mazda MX5 NA</t>
        </is>
      </c>
      <c r="C176" s="10" t="inlineStr">
        <is>
          <t>Base_MX-5 1.6</t>
        </is>
      </c>
      <c r="D176" s="10" t="inlineStr">
        <is>
          <t>Base</t>
        </is>
      </c>
      <c r="E176" s="10" t="inlineStr">
        <is>
          <t>En vente</t>
        </is>
      </c>
      <c r="F176" s="18" t="n">
        <v>46278</v>
      </c>
      <c r="G176" s="18" t="n">
        <v>46278</v>
      </c>
      <c r="H176" s="18" t="n">
        <v>46310</v>
      </c>
      <c r="I176" s="18" t="n"/>
      <c r="J176" s="17">
        <f>IF(OR(ISNUMBER(F176),ISNUMBER(G176)),IF(ISNUMBER(I176),I176,H176)-IF(ISNUMBER(F176),F176,G176),"")</f>
        <v/>
      </c>
      <c r="K176" s="12" t="n">
        <v>6000</v>
      </c>
      <c r="L176" s="12" t="n">
        <v>6000</v>
      </c>
      <c r="M176" s="13">
        <f>IF(AND(ISNUMBER(K176),ISNUMBER(L176),K176&gt;0),1-L176/K176,"")</f>
        <v/>
      </c>
      <c r="N176" s="16" t="n">
        <v>0</v>
      </c>
      <c r="O176" s="12" t="n"/>
      <c r="P176" s="12" t="n"/>
      <c r="Q176" s="12" t="n"/>
      <c r="R176" s="14">
        <f>IF(AND(ISNUMBER(L176),ISNUMBER(P176),ISNUMBER(Q176)),L176/((P176+Q176)/2)-1,"")</f>
        <v/>
      </c>
      <c r="S176" s="10" t="n"/>
      <c r="T176" s="15" t="n">
        <v>124100</v>
      </c>
      <c r="U176" s="16" t="n">
        <v>1991</v>
      </c>
      <c r="V176" s="10" t="inlineStr">
        <is>
          <t>02/1991</t>
        </is>
      </c>
      <c r="W176" s="10" t="inlineStr">
        <is>
          <t>Essence</t>
        </is>
      </c>
      <c r="X176" s="10" t="inlineStr">
        <is>
          <t>Manuelle</t>
        </is>
      </c>
      <c r="Y176" s="16" t="n">
        <v>116</v>
      </c>
      <c r="Z176" s="16" t="n">
        <v>8</v>
      </c>
      <c r="AA176" s="10" t="inlineStr">
        <is>
          <t>Rouge</t>
        </is>
      </c>
      <c r="AB176" s="16" t="n">
        <v>2</v>
      </c>
      <c r="AC176" s="10" t="inlineStr">
        <is>
          <t>Cabriolet</t>
        </is>
      </c>
      <c r="AD176" s="10" t="n"/>
      <c r="AE176" s="10" t="n"/>
      <c r="AF176" s="10" t="inlineStr">
        <is>
          <t>Particulier</t>
        </is>
      </c>
      <c r="AG176" s="10" t="inlineStr">
        <is>
          <t>Binic-Étables-sur-Mer</t>
        </is>
      </c>
      <c r="AH176" s="10" t="inlineStr">
        <is>
          <t>22680</t>
        </is>
      </c>
      <c r="AI176" s="10" t="inlineStr">
        <is>
          <t>Côtes-d'Armor</t>
        </is>
      </c>
      <c r="AJ176" s="10" t="inlineStr">
        <is>
          <t>Bretagne</t>
        </is>
      </c>
      <c r="AK176" s="16" t="n">
        <v>3</v>
      </c>
      <c r="AL176" s="10" t="n"/>
      <c r="AM176" s="10" t="inlineStr">
        <is>
          <t>Non</t>
        </is>
      </c>
      <c r="AN176" s="10" t="inlineStr">
        <is>
          <t>Mazda MX5, type NA, MEC 21 O2 1991. Vendu pour autre projet Vendu avec porte bagages chrome, et embrayage neuf sous emballage. Joli projet de renovation.</t>
        </is>
      </c>
      <c r="AO176" s="10" t="inlineStr">
        <is>
          <t>Dommages : Non roulant ; Sellerie : Tissu ; Permis : Avec permis ; Importé : false</t>
        </is>
      </c>
      <c r="AP176" s="19" t="inlineStr">
        <is>
          <t>Voir</t>
        </is>
      </c>
      <c r="AQ176" s="10" t="inlineStr">
        <is>
          <t>3268726676</t>
        </is>
      </c>
    </row>
    <row r="177">
      <c r="A177" s="10" t="inlineStr">
        <is>
          <t>Mazda MX-5 NA</t>
        </is>
      </c>
      <c r="B177" s="10" t="inlineStr">
        <is>
          <t>Mazda MX5 NA 1.6 115 "CUP"</t>
        </is>
      </c>
      <c r="C177" s="10" t="n"/>
      <c r="D177" s="10" t="n"/>
      <c r="E177" s="10" t="inlineStr">
        <is>
          <t>En vente</t>
        </is>
      </c>
      <c r="F177" s="18" t="n">
        <v>46278</v>
      </c>
      <c r="G177" s="18" t="n">
        <v>46278</v>
      </c>
      <c r="H177" s="18" t="n">
        <v>46310</v>
      </c>
      <c r="I177" s="18" t="n"/>
      <c r="J177" s="17">
        <f>IF(OR(ISNUMBER(F177),ISNUMBER(G177)),IF(ISNUMBER(I177),I177,H177)-IF(ISNUMBER(F177),F177,G177),"")</f>
        <v/>
      </c>
      <c r="K177" s="12" t="n">
        <v>16000</v>
      </c>
      <c r="L177" s="12" t="n">
        <v>16000</v>
      </c>
      <c r="M177" s="13">
        <f>IF(AND(ISNUMBER(K177),ISNUMBER(L177),K177&gt;0),1-L177/K177,"")</f>
        <v/>
      </c>
      <c r="N177" s="16" t="n">
        <v>0</v>
      </c>
      <c r="O177" s="12" t="n">
        <v>17500</v>
      </c>
      <c r="P177" s="12" t="n"/>
      <c r="Q177" s="12" t="n"/>
      <c r="R177" s="14">
        <f>IF(AND(ISNUMBER(L177),ISNUMBER(P177),ISNUMBER(Q177)),L177/((P177+Q177)/2)-1,"")</f>
        <v/>
      </c>
      <c r="S177" s="10" t="n"/>
      <c r="T177" s="15" t="n">
        <v>87500</v>
      </c>
      <c r="U177" s="16" t="n">
        <v>1990</v>
      </c>
      <c r="V177" s="10" t="inlineStr">
        <is>
          <t>10/1990</t>
        </is>
      </c>
      <c r="W177" s="10" t="inlineStr">
        <is>
          <t>Essence</t>
        </is>
      </c>
      <c r="X177" s="10" t="inlineStr">
        <is>
          <t>Manuelle</t>
        </is>
      </c>
      <c r="Y177" s="16" t="n">
        <v>116</v>
      </c>
      <c r="Z177" s="16" t="n">
        <v>8</v>
      </c>
      <c r="AA177" s="10" t="inlineStr">
        <is>
          <t>Rouge</t>
        </is>
      </c>
      <c r="AB177" s="16" t="n">
        <v>2</v>
      </c>
      <c r="AC177" s="10" t="inlineStr">
        <is>
          <t>Cabriolet</t>
        </is>
      </c>
      <c r="AD177" s="10" t="inlineStr">
        <is>
          <t>Factures disponibles, Réparations utiles déjà faites</t>
        </is>
      </c>
      <c r="AE177" s="10" t="n"/>
      <c r="AF177" s="10" t="inlineStr">
        <is>
          <t>Particulier</t>
        </is>
      </c>
      <c r="AG177" s="10" t="inlineStr">
        <is>
          <t>Soyons</t>
        </is>
      </c>
      <c r="AH177" s="10" t="inlineStr">
        <is>
          <t>07130</t>
        </is>
      </c>
      <c r="AI177" s="10" t="inlineStr">
        <is>
          <t>Ardèche</t>
        </is>
      </c>
      <c r="AJ177" s="10" t="inlineStr">
        <is>
          <t>Rhône-Alpes</t>
        </is>
      </c>
      <c r="AK177" s="16" t="n">
        <v>3</v>
      </c>
      <c r="AL177" s="10" t="n"/>
      <c r="AM177" s="10" t="inlineStr">
        <is>
          <t>Non</t>
        </is>
      </c>
      <c r="AN177" s="10" t="inlineStr">
        <is>
          <t xml:space="preserve">Voiture française, j'en suis la 3eme propriétaire Je l'ai depuis 3 ans, j'ai fait environ 15.000 kms avec. La voiture est équipée de la même manière qu'une Roadster Pro Cup, à savoir : - Combinés filetés 2 voies ST Suspensions ( moins de 3.000 kms) - Radiateur alu Cobalt - Faisceau de bougies Cobalt - Demi ligne inox Cobalt avec suppression de catalyseur - Durites de freins aviation avec plaquettes EBC vertes - Jantes Révolution 7x15" alu - Différentiel autobloquant - Embrayage LUK - Liquide de </t>
        </is>
      </c>
      <c r="AO177" s="10" t="inlineStr">
        <is>
          <t>Dommages : Excellent état (proche du neuf) ; Sellerie : Tissu ; Équipements intérieurs : Bluetooth, Chargeurs USB, Jantes en alliage, Suspension sport / adaptative ; Permis : Avec permis ; Importé : false</t>
        </is>
      </c>
      <c r="AP177" s="19" t="inlineStr">
        <is>
          <t>Voir</t>
        </is>
      </c>
      <c r="AQ177" s="10" t="inlineStr">
        <is>
          <t>3269035649</t>
        </is>
      </c>
    </row>
    <row r="178">
      <c r="A178" s="10" t="inlineStr">
        <is>
          <t>Mazda MX-5 NA</t>
        </is>
      </c>
      <c r="B178" s="10" t="inlineStr">
        <is>
          <t>MAZDA MX5 NA 1.6L 90CV Montego blue</t>
        </is>
      </c>
      <c r="C178" s="10" t="inlineStr">
        <is>
          <t>MX-5 1.6 90ch</t>
        </is>
      </c>
      <c r="D178" s="10" t="inlineStr">
        <is>
          <t>Base</t>
        </is>
      </c>
      <c r="E178" s="10" t="inlineStr">
        <is>
          <t>En vente</t>
        </is>
      </c>
      <c r="F178" s="18" t="n">
        <v>46280</v>
      </c>
      <c r="G178" s="18" t="n">
        <v>46280</v>
      </c>
      <c r="H178" s="18" t="n">
        <v>46310</v>
      </c>
      <c r="I178" s="18" t="n"/>
      <c r="J178" s="17">
        <f>IF(OR(ISNUMBER(F178),ISNUMBER(G178)),IF(ISNUMBER(I178),I178,H178)-IF(ISNUMBER(F178),F178,G178),"")</f>
        <v/>
      </c>
      <c r="K178" s="12" t="n">
        <v>8750</v>
      </c>
      <c r="L178" s="12" t="n">
        <v>8750</v>
      </c>
      <c r="M178" s="13">
        <f>IF(AND(ISNUMBER(K178),ISNUMBER(L178),K178&gt;0),1-L178/K178,"")</f>
        <v/>
      </c>
      <c r="N178" s="16" t="n">
        <v>0</v>
      </c>
      <c r="O178" s="12" t="n"/>
      <c r="P178" s="12" t="n"/>
      <c r="Q178" s="12" t="n"/>
      <c r="R178" s="14">
        <f>IF(AND(ISNUMBER(L178),ISNUMBER(P178),ISNUMBER(Q178)),L178/((P178+Q178)/2)-1,"")</f>
        <v/>
      </c>
      <c r="S178" s="10" t="n"/>
      <c r="T178" s="15" t="n">
        <v>203200</v>
      </c>
      <c r="U178" s="16" t="n">
        <v>1996</v>
      </c>
      <c r="V178" s="10" t="inlineStr">
        <is>
          <t>05/1996</t>
        </is>
      </c>
      <c r="W178" s="10" t="inlineStr">
        <is>
          <t>Essence</t>
        </is>
      </c>
      <c r="X178" s="10" t="inlineStr">
        <is>
          <t>Manuelle</t>
        </is>
      </c>
      <c r="Y178" s="16" t="n">
        <v>90</v>
      </c>
      <c r="Z178" s="16" t="n">
        <v>8</v>
      </c>
      <c r="AA178" s="10" t="inlineStr">
        <is>
          <t>Bleu</t>
        </is>
      </c>
      <c r="AB178" s="16" t="n">
        <v>2</v>
      </c>
      <c r="AC178" s="10" t="inlineStr">
        <is>
          <t>Cabriolet</t>
        </is>
      </c>
      <c r="AD178" s="10" t="inlineStr">
        <is>
          <t>Factures disponibles</t>
        </is>
      </c>
      <c r="AE178" s="10" t="inlineStr">
        <is>
          <t>Véhicule importé</t>
        </is>
      </c>
      <c r="AF178" s="10" t="inlineStr">
        <is>
          <t>Pro</t>
        </is>
      </c>
      <c r="AG178" s="10" t="inlineStr">
        <is>
          <t>Vallières-sur-Fier</t>
        </is>
      </c>
      <c r="AH178" s="10" t="inlineStr">
        <is>
          <t>74150</t>
        </is>
      </c>
      <c r="AI178" s="10" t="inlineStr">
        <is>
          <t>Haute-Savoie</t>
        </is>
      </c>
      <c r="AJ178" s="10" t="inlineStr">
        <is>
          <t>Rhône-Alpes</t>
        </is>
      </c>
      <c r="AK178" s="16" t="n">
        <v>5</v>
      </c>
      <c r="AL178" s="10" t="n"/>
      <c r="AM178" s="10" t="inlineStr">
        <is>
          <t>Non</t>
        </is>
      </c>
      <c r="AN178" s="10" t="inlineStr">
        <is>
          <t xml:space="preserve">MX5 HERITAGE, spécialiste MX5, vous propose : Mazda MX-5 Version : NA origine Suisse Mise en circulation : 08/05/1996 Motorisation : 1.6 90 CV Boite : Manuelle 5 vitesses Kilométrage : 203 250 Intérieur : Semi cuir noir Coloris : Montego blue Garantie : 6 mois(moteur, boite pont) Équipements - Direction assistée - Capote vinyle état moyen mais étanche - Sièges semi cuir noir ( Très bon état ) - Tapis de sol - Vitre électriques - Autoradio Bluetooth Blaupunkt - Saut de vent - Feux antibrouillard </t>
        </is>
      </c>
      <c r="AO178" s="10" t="inlineStr">
        <is>
          <t>vehicle_technical_inspection_valid : Non ; Dommages : Traces d’usure normales ; Sellerie : Cuir partiel ; Équipements intérieurs : Bluetooth, Jantes en alliage, Roue de secours ; Permis : Avec permis ; Vente en LOA/LLD : Non ; VO récent : false ; vehicle_commercial_warranty : Oui ; vehicle_commercial_warranty_duration : 6 mois ; vehicle_commercial_warranty_extendable : Non ; vehicle_manufacturer_warranty : Non ; custom_ref : 169 ; Importé : false ; vehicle_history_report_status : visible ; vehicle_history_teaser_critair : 0 ; vehicle_history_teaser_owners : 3 ; vehicle_history_teaser_expertises : false ; vehicle_history_teaser_special_uses : false ; vehicle_history_teaser_atypical_operations : true ; vehicle_history_teaser_importations : true ; spare_parts_availability : Non renseignée</t>
        </is>
      </c>
      <c r="AP178" s="19" t="inlineStr">
        <is>
          <t>Voir</t>
        </is>
      </c>
      <c r="AQ178" s="10" t="inlineStr">
        <is>
          <t>3269876574</t>
        </is>
      </c>
    </row>
    <row r="179">
      <c r="A179" s="10" t="inlineStr">
        <is>
          <t>Mazda MX-5 NA</t>
        </is>
      </c>
      <c r="B179" s="10" t="inlineStr">
        <is>
          <t>Mazda mx5 na 1.6 115cv hard top</t>
        </is>
      </c>
      <c r="C179" s="10" t="n"/>
      <c r="D179" s="10" t="n"/>
      <c r="E179" s="10" t="inlineStr">
        <is>
          <t>En vente</t>
        </is>
      </c>
      <c r="F179" s="18" t="n">
        <v>46280</v>
      </c>
      <c r="G179" s="18" t="n">
        <v>46280</v>
      </c>
      <c r="H179" s="18" t="n">
        <v>46310</v>
      </c>
      <c r="I179" s="18" t="n"/>
      <c r="J179" s="17">
        <f>IF(OR(ISNUMBER(F179),ISNUMBER(G179)),IF(ISNUMBER(I179),I179,H179)-IF(ISNUMBER(F179),F179,G179),"")</f>
        <v/>
      </c>
      <c r="K179" s="12" t="n">
        <v>15900</v>
      </c>
      <c r="L179" s="12" t="n">
        <v>15900</v>
      </c>
      <c r="M179" s="13">
        <f>IF(AND(ISNUMBER(K179),ISNUMBER(L179),K179&gt;0),1-L179/K179,"")</f>
        <v/>
      </c>
      <c r="N179" s="16" t="n">
        <v>0</v>
      </c>
      <c r="O179" s="12" t="n"/>
      <c r="P179" s="12" t="n"/>
      <c r="Q179" s="12" t="n"/>
      <c r="R179" s="14">
        <f>IF(AND(ISNUMBER(L179),ISNUMBER(P179),ISNUMBER(Q179)),L179/((P179+Q179)/2)-1,"")</f>
        <v/>
      </c>
      <c r="S179" s="10" t="n"/>
      <c r="T179" s="15" t="n">
        <v>138200</v>
      </c>
      <c r="U179" s="16" t="n">
        <v>1992</v>
      </c>
      <c r="V179" s="10" t="inlineStr">
        <is>
          <t>05/1992</t>
        </is>
      </c>
      <c r="W179" s="10" t="inlineStr">
        <is>
          <t>Essence</t>
        </is>
      </c>
      <c r="X179" s="10" t="inlineStr">
        <is>
          <t>Manuelle</t>
        </is>
      </c>
      <c r="Y179" s="16" t="n">
        <v>115</v>
      </c>
      <c r="Z179" s="16" t="n">
        <v>8</v>
      </c>
      <c r="AA179" s="10" t="inlineStr">
        <is>
          <t>Noir</t>
        </is>
      </c>
      <c r="AB179" s="16" t="n">
        <v>2</v>
      </c>
      <c r="AC179" s="10" t="inlineStr">
        <is>
          <t>Cabriolet</t>
        </is>
      </c>
      <c r="AD179" s="10" t="inlineStr">
        <is>
          <t>Factures disponibles</t>
        </is>
      </c>
      <c r="AE179" s="10" t="inlineStr">
        <is>
          <t>Véhicule importé</t>
        </is>
      </c>
      <c r="AF179" s="10" t="inlineStr">
        <is>
          <t>Pro</t>
        </is>
      </c>
      <c r="AG179" s="10" t="inlineStr">
        <is>
          <t>Vallières-sur-Fier</t>
        </is>
      </c>
      <c r="AH179" s="10" t="inlineStr">
        <is>
          <t>74150</t>
        </is>
      </c>
      <c r="AI179" s="10" t="inlineStr">
        <is>
          <t>Haute-Savoie</t>
        </is>
      </c>
      <c r="AJ179" s="10" t="inlineStr">
        <is>
          <t>Rhône-Alpes</t>
        </is>
      </c>
      <c r="AK179" s="16" t="n">
        <v>5</v>
      </c>
      <c r="AL179" s="10" t="n"/>
      <c r="AM179" s="10" t="inlineStr">
        <is>
          <t>Non</t>
        </is>
      </c>
      <c r="AN179" s="10" t="inlineStr">
        <is>
          <t>MX5 HERITAGE, spécialiste MX5, vous propose en dépôt vente: Mazda MX-5 Version : NA origine Belgique Mise en circulation : 20/05/1992 Motorisation : 1.6 115 CV Boite : Manuelle 5 vitesses Kilométrage : 138 200 Intérieur : Cuir havane Coloris : Noir brillant Garantie : 6 mois(moteur, boite pont) Équipements - Hard top très bon état - Direction non assistée - Volant cuir origine Momo - Capote vinyle état neuf avec ZIP - Sièges cuir havane - Vitres manuelles - Seuil de portes chromés - Autoradio Bl</t>
        </is>
      </c>
      <c r="AO179" s="10" t="inlineStr">
        <is>
          <t>vehicle_technical_inspection_valid : Oui ; Contrôle technique : 2028 ; Dommages : Bon état général ; Sellerie : Tout cuir ; Équipements intérieurs : Bluetooth, Jantes en alliage ; Permis : Avec permis ; VO récent : false ; vehicle_commercial_warranty : Oui ; vehicle_commercial_warranty_duration : 6 mois ; vehicle_commercial_warranty_extendable : Non ; custom_ref : 170 ; Importé : false ; vehicle_history_report_status : visible ; vehicle_history_teaser_critair : 0 ; vehicle_history_teaser_owners : 3 ; vehicle_history_teaser_expertises : false ; vehicle_history_teaser_special_uses : false ; vehicle_history_teaser_atypical_operations : true ; vehicle_history_teaser_importations : true ; spare_parts_availability : Non renseignée</t>
        </is>
      </c>
      <c r="AP179" s="19" t="inlineStr">
        <is>
          <t>Voir</t>
        </is>
      </c>
      <c r="AQ179" s="10" t="inlineStr">
        <is>
          <t>3269880037</t>
        </is>
      </c>
    </row>
    <row r="180">
      <c r="A180" s="10" t="inlineStr">
        <is>
          <t>Mazda MX-5 NA</t>
        </is>
      </c>
      <c r="B180" s="10" t="inlineStr">
        <is>
          <t>Mazda mx5 na 1.8l 130cv</t>
        </is>
      </c>
      <c r="C180" s="10" t="inlineStr">
        <is>
          <t>MX-5 1.8 130ch</t>
        </is>
      </c>
      <c r="D180" s="10" t="inlineStr">
        <is>
          <t>Base</t>
        </is>
      </c>
      <c r="E180" s="10" t="inlineStr">
        <is>
          <t>En vente</t>
        </is>
      </c>
      <c r="F180" s="18" t="n">
        <v>46280</v>
      </c>
      <c r="G180" s="18" t="n">
        <v>46280</v>
      </c>
      <c r="H180" s="18" t="n">
        <v>46310</v>
      </c>
      <c r="I180" s="18" t="n"/>
      <c r="J180" s="17">
        <f>IF(OR(ISNUMBER(F180),ISNUMBER(G180)),IF(ISNUMBER(I180),I180,H180)-IF(ISNUMBER(F180),F180,G180),"")</f>
        <v/>
      </c>
      <c r="K180" s="12" t="n">
        <v>15990</v>
      </c>
      <c r="L180" s="12" t="n">
        <v>15990</v>
      </c>
      <c r="M180" s="13">
        <f>IF(AND(ISNUMBER(K180),ISNUMBER(L180),K180&gt;0),1-L180/K180,"")</f>
        <v/>
      </c>
      <c r="N180" s="16" t="n">
        <v>0</v>
      </c>
      <c r="O180" s="12" t="n"/>
      <c r="P180" s="12" t="n"/>
      <c r="Q180" s="12" t="n"/>
      <c r="R180" s="14">
        <f>IF(AND(ISNUMBER(L180),ISNUMBER(P180),ISNUMBER(Q180)),L180/((P180+Q180)/2)-1,"")</f>
        <v/>
      </c>
      <c r="S180" s="10" t="n"/>
      <c r="T180" s="15" t="n">
        <v>151800</v>
      </c>
      <c r="U180" s="16" t="n">
        <v>1995</v>
      </c>
      <c r="V180" s="10" t="inlineStr">
        <is>
          <t>03/1995</t>
        </is>
      </c>
      <c r="W180" s="10" t="inlineStr">
        <is>
          <t>Essence</t>
        </is>
      </c>
      <c r="X180" s="10" t="inlineStr">
        <is>
          <t>Manuelle</t>
        </is>
      </c>
      <c r="Y180" s="16" t="n">
        <v>130</v>
      </c>
      <c r="Z180" s="16" t="n">
        <v>10</v>
      </c>
      <c r="AA180" s="10" t="inlineStr">
        <is>
          <t>Rouge</t>
        </is>
      </c>
      <c r="AB180" s="16" t="n">
        <v>2</v>
      </c>
      <c r="AC180" s="10" t="inlineStr">
        <is>
          <t>Cabriolet</t>
        </is>
      </c>
      <c r="AD180" s="10" t="inlineStr">
        <is>
          <t>Factures disponibles</t>
        </is>
      </c>
      <c r="AE180" s="10" t="n"/>
      <c r="AF180" s="10" t="inlineStr">
        <is>
          <t>Pro</t>
        </is>
      </c>
      <c r="AG180" s="10" t="inlineStr">
        <is>
          <t>Vallières-sur-Fier</t>
        </is>
      </c>
      <c r="AH180" s="10" t="inlineStr">
        <is>
          <t>74150</t>
        </is>
      </c>
      <c r="AI180" s="10" t="inlineStr">
        <is>
          <t>Haute-Savoie</t>
        </is>
      </c>
      <c r="AJ180" s="10" t="inlineStr">
        <is>
          <t>Rhône-Alpes</t>
        </is>
      </c>
      <c r="AK180" s="16" t="n">
        <v>5</v>
      </c>
      <c r="AL180" s="10" t="n"/>
      <c r="AM180" s="10" t="inlineStr">
        <is>
          <t>Non</t>
        </is>
      </c>
      <c r="AN180" s="10" t="inlineStr">
        <is>
          <t>MX5 HERITAGE, spécialiste MX5, vous propose en dépôt vente: Mazda MX-5 Version : NA origine Allemagne Mise en circulation : 02/03/1995 Motorisation : 1.8 130 CV Boite : Manuelle 5 vitesses Kilométrage : 151 800 Intérieur : Tissu noir Coloris : Rouge Garantie : 6 mois(moteur, boite pont) Équipements - Direction assistée - Volant en bois Momo - Capote tissu état neuf avec ZIP - Sièges tissu - Tapis de sol - Vitre et rétroviseurs électriques - Seuil de portes chromés - Autoradio K7 look vintage - F</t>
        </is>
      </c>
      <c r="AO180" s="10" t="inlineStr">
        <is>
          <t>vehicle_technical_inspection_valid : Oui ; Contrôle technique : 2028 ; Dommages : Bon état général ; Sellerie : Tissu ; Équipements intérieurs : Jantes en alliage ; Permis : Avec permis ; VO récent : false ; vehicle_commercial_warranty : Oui ; vehicle_commercial_warranty_duration : 6 mois ; vehicle_commercial_warranty_extendable : Non ; custom_ref : 165 ; Importé : false ; vehicle_history_report_status : visible ; vehicle_history_teaser_critair : 0 ; vehicle_history_teaser_owners : 4 ; vehicle_history_teaser_expertises : false ; vehicle_history_teaser_special_uses : false ; vehicle_history_teaser_atypical_operations : true ; vehicle_history_teaser_importations : true ; spare_parts_availability : Non renseignée</t>
        </is>
      </c>
      <c r="AP180" s="19" t="inlineStr">
        <is>
          <t>Voir</t>
        </is>
      </c>
      <c r="AQ180" s="10" t="inlineStr">
        <is>
          <t>3269883180</t>
        </is>
      </c>
    </row>
    <row r="181">
      <c r="A181" s="10" t="inlineStr">
        <is>
          <t>Mazda MX-5 NA</t>
        </is>
      </c>
      <c r="B181" s="10" t="inlineStr">
        <is>
          <t>Mazda Mx5 NA</t>
        </is>
      </c>
      <c r="C181" s="10" t="inlineStr">
        <is>
          <t>MX-5 1.6 90ch</t>
        </is>
      </c>
      <c r="D181" s="10" t="inlineStr">
        <is>
          <t>Base</t>
        </is>
      </c>
      <c r="E181" s="10" t="inlineStr">
        <is>
          <t>En vente</t>
        </is>
      </c>
      <c r="F181" s="18" t="n">
        <v>46280</v>
      </c>
      <c r="G181" s="18" t="n">
        <v>46280</v>
      </c>
      <c r="H181" s="18" t="n">
        <v>46310</v>
      </c>
      <c r="I181" s="18" t="n"/>
      <c r="J181" s="17">
        <f>IF(OR(ISNUMBER(F181),ISNUMBER(G181)),IF(ISNUMBER(I181),I181,H181)-IF(ISNUMBER(F181),F181,G181),"")</f>
        <v/>
      </c>
      <c r="K181" s="12" t="n">
        <v>7000</v>
      </c>
      <c r="L181" s="12" t="n">
        <v>7000</v>
      </c>
      <c r="M181" s="13">
        <f>IF(AND(ISNUMBER(K181),ISNUMBER(L181),K181&gt;0),1-L181/K181,"")</f>
        <v/>
      </c>
      <c r="N181" s="16" t="n">
        <v>0</v>
      </c>
      <c r="O181" s="12" t="n"/>
      <c r="P181" s="12" t="n"/>
      <c r="Q181" s="12" t="n"/>
      <c r="R181" s="14">
        <f>IF(AND(ISNUMBER(L181),ISNUMBER(P181),ISNUMBER(Q181)),L181/((P181+Q181)/2)-1,"")</f>
        <v/>
      </c>
      <c r="S181" s="10" t="n"/>
      <c r="T181" s="15" t="n">
        <v>175000</v>
      </c>
      <c r="U181" s="16" t="n">
        <v>1997</v>
      </c>
      <c r="V181" s="10" t="inlineStr">
        <is>
          <t>05/1997</t>
        </is>
      </c>
      <c r="W181" s="10" t="inlineStr">
        <is>
          <t>Essence</t>
        </is>
      </c>
      <c r="X181" s="10" t="inlineStr">
        <is>
          <t>Manuelle</t>
        </is>
      </c>
      <c r="Y181" s="16" t="n">
        <v>90</v>
      </c>
      <c r="Z181" s="16" t="n">
        <v>8</v>
      </c>
      <c r="AA181" s="10" t="inlineStr">
        <is>
          <t>Autre</t>
        </is>
      </c>
      <c r="AB181" s="16" t="n">
        <v>2</v>
      </c>
      <c r="AC181" s="10" t="inlineStr">
        <is>
          <t>Cabriolet</t>
        </is>
      </c>
      <c r="AD181" s="10" t="inlineStr">
        <is>
          <t>Factures disponibles</t>
        </is>
      </c>
      <c r="AE181" s="10" t="n"/>
      <c r="AF181" s="10" t="inlineStr">
        <is>
          <t>Particulier</t>
        </is>
      </c>
      <c r="AG181" s="10" t="inlineStr">
        <is>
          <t>Faverges-Seythenex</t>
        </is>
      </c>
      <c r="AH181" s="10" t="inlineStr">
        <is>
          <t>74210</t>
        </is>
      </c>
      <c r="AI181" s="10" t="inlineStr">
        <is>
          <t>Haute-Savoie</t>
        </is>
      </c>
      <c r="AJ181" s="10" t="inlineStr">
        <is>
          <t>Rhône-Alpes</t>
        </is>
      </c>
      <c r="AK181" s="16" t="n">
        <v>3</v>
      </c>
      <c r="AL181" s="10" t="n"/>
      <c r="AM181" s="10" t="inlineStr">
        <is>
          <t>Non</t>
        </is>
      </c>
      <c r="AN181" s="10" t="inlineStr">
        <is>
          <t>Mise en vente Mazda Mx5 NA 1997 avec 175000kms Mécaniquement tout fonctionne. A très peu roulée depuis le contrôle technique. Bonne base de restauration pour une voiture de YoungTimer. Je n'ai plus le temps de rouler et de m'en occuper. C'est donc pour cela que je la mets en vente. Faire un heureux ,de cette voiture plaisir. Travaux a prévoir pour la rendre superbe, pour ensuite avoir la banane.</t>
        </is>
      </c>
      <c r="AO181" s="10" t="inlineStr">
        <is>
          <t>vehicle_technical_inspection_valid : Non ; Dommages : Réparations mineures à prévoir ; Sellerie : Autre, Cuir partiel ; Permis : Avec permis ; Importé : false</t>
        </is>
      </c>
      <c r="AP181" s="19" t="inlineStr">
        <is>
          <t>Voir</t>
        </is>
      </c>
      <c r="AQ181" s="10" t="inlineStr">
        <is>
          <t>3270203905</t>
        </is>
      </c>
    </row>
    <row r="182">
      <c r="A182" s="10" t="inlineStr">
        <is>
          <t>Mazda MX-5 NA</t>
        </is>
      </c>
      <c r="B182" s="10" t="inlineStr">
        <is>
          <t>Mazda mx5, mx-5,</t>
        </is>
      </c>
      <c r="C182" s="10" t="n"/>
      <c r="D182" s="10" t="n"/>
      <c r="E182" s="10" t="inlineStr">
        <is>
          <t>En vente</t>
        </is>
      </c>
      <c r="F182" s="18" t="n">
        <v>46280</v>
      </c>
      <c r="G182" s="18" t="n">
        <v>46280</v>
      </c>
      <c r="H182" s="18" t="n">
        <v>46310</v>
      </c>
      <c r="I182" s="18" t="n"/>
      <c r="J182" s="17">
        <f>IF(OR(ISNUMBER(F182),ISNUMBER(G182)),IF(ISNUMBER(I182),I182,H182)-IF(ISNUMBER(F182),F182,G182),"")</f>
        <v/>
      </c>
      <c r="K182" s="12" t="n">
        <v>6200</v>
      </c>
      <c r="L182" s="12" t="n">
        <v>6200</v>
      </c>
      <c r="M182" s="13">
        <f>IF(AND(ISNUMBER(K182),ISNUMBER(L182),K182&gt;0),1-L182/K182,"")</f>
        <v/>
      </c>
      <c r="N182" s="16" t="n">
        <v>0</v>
      </c>
      <c r="O182" s="12" t="n"/>
      <c r="P182" s="12" t="n"/>
      <c r="Q182" s="12" t="n"/>
      <c r="R182" s="14">
        <f>IF(AND(ISNUMBER(L182),ISNUMBER(P182),ISNUMBER(Q182)),L182/((P182+Q182)/2)-1,"")</f>
        <v/>
      </c>
      <c r="S182" s="10" t="n"/>
      <c r="T182" s="15" t="n">
        <v>182000</v>
      </c>
      <c r="U182" s="16" t="n">
        <v>1998</v>
      </c>
      <c r="V182" s="10" t="inlineStr">
        <is>
          <t>12/1998</t>
        </is>
      </c>
      <c r="W182" s="10" t="inlineStr">
        <is>
          <t>Essence</t>
        </is>
      </c>
      <c r="X182" s="10" t="inlineStr">
        <is>
          <t>Manuelle</t>
        </is>
      </c>
      <c r="Y182" s="16" t="n">
        <v>80</v>
      </c>
      <c r="Z182" s="16" t="n"/>
      <c r="AA182" s="10" t="inlineStr">
        <is>
          <t>Blanc</t>
        </is>
      </c>
      <c r="AB182" s="16" t="n">
        <v>2</v>
      </c>
      <c r="AC182" s="10" t="inlineStr">
        <is>
          <t>Cabriolet</t>
        </is>
      </c>
      <c r="AD182" s="10" t="n"/>
      <c r="AE182" s="10" t="n"/>
      <c r="AF182" s="10" t="inlineStr">
        <is>
          <t>Particulier</t>
        </is>
      </c>
      <c r="AG182" s="10" t="inlineStr">
        <is>
          <t>Saint-Alban-Leysse</t>
        </is>
      </c>
      <c r="AH182" s="10" t="inlineStr">
        <is>
          <t>73230</t>
        </is>
      </c>
      <c r="AI182" s="10" t="inlineStr">
        <is>
          <t>Savoie</t>
        </is>
      </c>
      <c r="AJ182" s="10" t="inlineStr">
        <is>
          <t>Rhône-Alpes</t>
        </is>
      </c>
      <c r="AK182" s="16" t="n">
        <v>5</v>
      </c>
      <c r="AL182" s="10" t="n"/>
      <c r="AM182" s="10" t="inlineStr">
        <is>
          <t>Non</t>
        </is>
      </c>
      <c r="AN182" s="10" t="inlineStr">
        <is>
          <t>Véhicule qui donne le sourire à chaque sortie, suivi par des passionnés de mécanique, voiture peu honéreuse, carnet d'entretien à disposition....susceptible de ne pas perdre de valeur.</t>
        </is>
      </c>
      <c r="AO182" s="10" t="inlineStr">
        <is>
          <t>vehicle_technical_inspection_valid : Oui ; Contrôle technique : 2028 ; Sellerie : Tissu ; Permis : Avec permis ; Importé : false</t>
        </is>
      </c>
      <c r="AP182" s="19" t="inlineStr">
        <is>
          <t>Voir</t>
        </is>
      </c>
      <c r="AQ182" s="10" t="inlineStr">
        <is>
          <t>3270232311</t>
        </is>
      </c>
    </row>
    <row r="183">
      <c r="A183" s="10" t="inlineStr">
        <is>
          <t>Mazda MX-5 NA</t>
        </is>
      </c>
      <c r="B183" s="10" t="inlineStr">
        <is>
          <t>Mazda MX5 NA 115 CV 🔴</t>
        </is>
      </c>
      <c r="C183" s="10" t="n"/>
      <c r="D183" s="10" t="n"/>
      <c r="E183" s="10" t="inlineStr">
        <is>
          <t>En vente</t>
        </is>
      </c>
      <c r="F183" s="18" t="n">
        <v>46281</v>
      </c>
      <c r="G183" s="18" t="n">
        <v>46281</v>
      </c>
      <c r="H183" s="18" t="n">
        <v>46310</v>
      </c>
      <c r="I183" s="18" t="n"/>
      <c r="J183" s="17">
        <f>IF(OR(ISNUMBER(F183),ISNUMBER(G183)),IF(ISNUMBER(I183),I183,H183)-IF(ISNUMBER(F183),F183,G183),"")</f>
        <v/>
      </c>
      <c r="K183" s="12" t="n">
        <v>9500</v>
      </c>
      <c r="L183" s="12" t="n">
        <v>9500</v>
      </c>
      <c r="M183" s="13">
        <f>IF(AND(ISNUMBER(K183),ISNUMBER(L183),K183&gt;0),1-L183/K183,"")</f>
        <v/>
      </c>
      <c r="N183" s="16" t="n">
        <v>0</v>
      </c>
      <c r="O183" s="12" t="n"/>
      <c r="P183" s="12" t="n"/>
      <c r="Q183" s="12" t="n"/>
      <c r="R183" s="14">
        <f>IF(AND(ISNUMBER(L183),ISNUMBER(P183),ISNUMBER(Q183)),L183/((P183+Q183)/2)-1,"")</f>
        <v/>
      </c>
      <c r="S183" s="10" t="n"/>
      <c r="T183" s="15" t="n">
        <v>238000</v>
      </c>
      <c r="U183" s="16" t="n">
        <v>1992</v>
      </c>
      <c r="V183" s="10" t="inlineStr">
        <is>
          <t>03/1992</t>
        </is>
      </c>
      <c r="W183" s="10" t="inlineStr">
        <is>
          <t>Essence</t>
        </is>
      </c>
      <c r="X183" s="10" t="inlineStr">
        <is>
          <t>Manuelle</t>
        </is>
      </c>
      <c r="Y183" s="16" t="n">
        <v>116</v>
      </c>
      <c r="Z183" s="16" t="n">
        <v>8</v>
      </c>
      <c r="AA183" s="10" t="inlineStr">
        <is>
          <t>Rouge</t>
        </is>
      </c>
      <c r="AB183" s="16" t="n">
        <v>2</v>
      </c>
      <c r="AC183" s="10" t="inlineStr">
        <is>
          <t>Cabriolet</t>
        </is>
      </c>
      <c r="AD183" s="10" t="inlineStr">
        <is>
          <t>Factures disponibles, Véhicule non fumeur, Réparations utiles déjà faites</t>
        </is>
      </c>
      <c r="AE183" s="10" t="inlineStr">
        <is>
          <t>Véhicule importé</t>
        </is>
      </c>
      <c r="AF183" s="10" t="inlineStr">
        <is>
          <t>Particulier</t>
        </is>
      </c>
      <c r="AG183" s="10" t="inlineStr">
        <is>
          <t>Dieulouard</t>
        </is>
      </c>
      <c r="AH183" s="10" t="inlineStr">
        <is>
          <t>54380</t>
        </is>
      </c>
      <c r="AI183" s="10" t="inlineStr">
        <is>
          <t>Meurthe-et-Moselle</t>
        </is>
      </c>
      <c r="AJ183" s="10" t="inlineStr">
        <is>
          <t>Lorraine</t>
        </is>
      </c>
      <c r="AK183" s="16" t="n">
        <v>3</v>
      </c>
      <c r="AL183" s="10" t="n"/>
      <c r="AM183" s="10" t="inlineStr">
        <is>
          <t>Non</t>
        </is>
      </c>
      <c r="AN183" s="10" t="inlineStr">
        <is>
          <t>Mazda MX-5 NA 1.6L 115CV de 1992 rouge à vendre ! #️⃣ 238 000 km (compteur) ✅ Contrôle technique fait le 09/2026 (corrosions de surfaces notamment et flexible de freins) valable jusqu'en 2031 ➕ Voiture vendue avec un stock de pièces de MX-5 NA d'une valeur d'environ 500€ ! ⚪ C'est un véhicule en très bon état général, avec un intérieur sobre et d'origine (sauf filet coupe vent NB). Elle dispose de quelques options de l'époque : - Volant Momo - Couvre capote en cuir noir - Roue de secours avec sa</t>
        </is>
      </c>
      <c r="AO183" s="10" t="inlineStr">
        <is>
          <t>vehicle_technical_inspection_valid : Oui ; Contrôle technique : 2031 ; Dommages : Bon état général ; Sellerie : Tissu ; Permis : Avec permis ; Importé : false</t>
        </is>
      </c>
      <c r="AP183" s="19" t="inlineStr">
        <is>
          <t>Voir</t>
        </is>
      </c>
      <c r="AQ183" s="10" t="inlineStr">
        <is>
          <t>3270565112</t>
        </is>
      </c>
    </row>
    <row r="184">
      <c r="A184" s="10" t="inlineStr">
        <is>
          <t>Mazda MX-5 NA</t>
        </is>
      </c>
      <c r="B184" s="10" t="inlineStr">
        <is>
          <t>Splendide Cabriolet mazda mx5</t>
        </is>
      </c>
      <c r="C184" s="10" t="n"/>
      <c r="D184" s="10" t="n"/>
      <c r="E184" s="10" t="inlineStr">
        <is>
          <t>En vente</t>
        </is>
      </c>
      <c r="F184" s="18" t="n">
        <v>46282</v>
      </c>
      <c r="G184" s="18" t="n">
        <v>46282</v>
      </c>
      <c r="H184" s="18" t="n">
        <v>46310</v>
      </c>
      <c r="I184" s="18" t="n"/>
      <c r="J184" s="17">
        <f>IF(OR(ISNUMBER(F184),ISNUMBER(G184)),IF(ISNUMBER(I184),I184,H184)-IF(ISNUMBER(F184),F184,G184),"")</f>
        <v/>
      </c>
      <c r="K184" s="12" t="n">
        <v>12900</v>
      </c>
      <c r="L184" s="12" t="n">
        <v>12900</v>
      </c>
      <c r="M184" s="13">
        <f>IF(AND(ISNUMBER(K184),ISNUMBER(L184),K184&gt;0),1-L184/K184,"")</f>
        <v/>
      </c>
      <c r="N184" s="16" t="n">
        <v>0</v>
      </c>
      <c r="O184" s="12" t="n"/>
      <c r="P184" s="12" t="n"/>
      <c r="Q184" s="12" t="n"/>
      <c r="R184" s="14">
        <f>IF(AND(ISNUMBER(L184),ISNUMBER(P184),ISNUMBER(Q184)),L184/((P184+Q184)/2)-1,"")</f>
        <v/>
      </c>
      <c r="S184" s="10" t="n"/>
      <c r="T184" s="15" t="n">
        <v>190800</v>
      </c>
      <c r="U184" s="16" t="n">
        <v>1991</v>
      </c>
      <c r="V184" s="10" t="inlineStr">
        <is>
          <t>04/1991</t>
        </is>
      </c>
      <c r="W184" s="10" t="inlineStr">
        <is>
          <t>Essence</t>
        </is>
      </c>
      <c r="X184" s="10" t="inlineStr">
        <is>
          <t>Manuelle</t>
        </is>
      </c>
      <c r="Y184" s="16" t="n">
        <v>116</v>
      </c>
      <c r="Z184" s="16" t="n">
        <v>8</v>
      </c>
      <c r="AA184" s="10" t="inlineStr">
        <is>
          <t>Rouge</t>
        </is>
      </c>
      <c r="AB184" s="16" t="n">
        <v>2</v>
      </c>
      <c r="AC184" s="10" t="inlineStr">
        <is>
          <t>Cabriolet</t>
        </is>
      </c>
      <c r="AD184" s="10" t="inlineStr">
        <is>
          <t>Véhicule non fumeur, Factures disponibles</t>
        </is>
      </c>
      <c r="AE184" s="10" t="n"/>
      <c r="AF184" s="10" t="inlineStr">
        <is>
          <t>Particulier</t>
        </is>
      </c>
      <c r="AG184" s="10" t="inlineStr">
        <is>
          <t>Séreilhac</t>
        </is>
      </c>
      <c r="AH184" s="10" t="inlineStr">
        <is>
          <t>87620</t>
        </is>
      </c>
      <c r="AI184" s="10" t="inlineStr">
        <is>
          <t>Haute-Vienne</t>
        </is>
      </c>
      <c r="AJ184" s="10" t="inlineStr">
        <is>
          <t>Limousin</t>
        </is>
      </c>
      <c r="AK184" s="16" t="n">
        <v>3</v>
      </c>
      <c r="AL184" s="10" t="n"/>
      <c r="AM184" s="10" t="inlineStr">
        <is>
          <t>Non</t>
        </is>
      </c>
      <c r="AN184" s="10" t="inlineStr">
        <is>
          <t>Je vends ce splendide Mazda MX-5 de 1991, un cabriolet mythique et intemporel pour les amateurs de sensations en parfait etat - Marque : Mazda - Modèle : MX-5 - Année : 1991 - Kilométrage : 190 800 km - Motorisation : 1.6 116 ch - Puissance fiscale : 8 Cv - Carburant : Essence - Boîte de vitesses : Manuelle - Couleur : Rouge - Type de véhicule : Cabriolet - Nombre de sièges : 2 - Nombre de portes : 2 - Contrôle technique : Valide jusqu'en 06/2027 N'hésitez pas à me contacter pour plus d'informat</t>
        </is>
      </c>
      <c r="AO184" s="10" t="inlineStr">
        <is>
          <t>vehicle_technical_inspection_valid : Oui ; Contrôle technique : 2027 ; Sellerie : Tissu ; Permis : Avec permis ; Importé : false</t>
        </is>
      </c>
      <c r="AP184" s="19" t="inlineStr">
        <is>
          <t>Voir</t>
        </is>
      </c>
      <c r="AQ184" s="10" t="inlineStr">
        <is>
          <t>3271672291</t>
        </is>
      </c>
    </row>
    <row r="185">
      <c r="A185" s="10" t="inlineStr">
        <is>
          <t>Mazda MX-5 NA</t>
        </is>
      </c>
      <c r="B185" s="10" t="inlineStr">
        <is>
          <t>Mazda MX5 NA</t>
        </is>
      </c>
      <c r="C185" s="10" t="n"/>
      <c r="D185" s="10" t="n"/>
      <c r="E185" s="10" t="inlineStr">
        <is>
          <t>En vente</t>
        </is>
      </c>
      <c r="F185" s="18" t="n">
        <v>46283</v>
      </c>
      <c r="G185" s="18" t="n">
        <v>46283</v>
      </c>
      <c r="H185" s="18" t="n">
        <v>46310</v>
      </c>
      <c r="I185" s="18" t="n"/>
      <c r="J185" s="17">
        <f>IF(OR(ISNUMBER(F185),ISNUMBER(G185)),IF(ISNUMBER(I185),I185,H185)-IF(ISNUMBER(F185),F185,G185),"")</f>
        <v/>
      </c>
      <c r="K185" s="12" t="n">
        <v>11000</v>
      </c>
      <c r="L185" s="12" t="n">
        <v>10000</v>
      </c>
      <c r="M185" s="13">
        <f>IF(AND(ISNUMBER(K185),ISNUMBER(L185),K185&gt;0),1-L185/K185,"")</f>
        <v/>
      </c>
      <c r="N185" s="16" t="n">
        <v>1</v>
      </c>
      <c r="O185" s="12" t="n">
        <v>11000</v>
      </c>
      <c r="P185" s="12" t="n"/>
      <c r="Q185" s="12" t="n"/>
      <c r="R185" s="14">
        <f>IF(AND(ISNUMBER(L185),ISNUMBER(P185),ISNUMBER(Q185)),L185/((P185+Q185)/2)-1,"")</f>
        <v/>
      </c>
      <c r="S185" s="10" t="n"/>
      <c r="T185" s="15" t="n">
        <v>175800</v>
      </c>
      <c r="U185" s="16" t="n">
        <v>1991</v>
      </c>
      <c r="V185" s="10" t="n"/>
      <c r="W185" s="10" t="inlineStr">
        <is>
          <t>Essence</t>
        </is>
      </c>
      <c r="X185" s="10" t="inlineStr">
        <is>
          <t>Manuelle</t>
        </is>
      </c>
      <c r="Y185" s="16" t="n"/>
      <c r="Z185" s="16" t="n">
        <v>9</v>
      </c>
      <c r="AA185" s="10" t="inlineStr">
        <is>
          <t>Blanc</t>
        </is>
      </c>
      <c r="AB185" s="16" t="n">
        <v>2</v>
      </c>
      <c r="AC185" s="10" t="inlineStr">
        <is>
          <t>Cabriolet</t>
        </is>
      </c>
      <c r="AD185" s="10" t="n"/>
      <c r="AE185" s="10" t="n"/>
      <c r="AF185" s="10" t="inlineStr">
        <is>
          <t>Particulier</t>
        </is>
      </c>
      <c r="AG185" s="10" t="inlineStr">
        <is>
          <t>Boulay-Moselle</t>
        </is>
      </c>
      <c r="AH185" s="10" t="inlineStr">
        <is>
          <t>57220</t>
        </is>
      </c>
      <c r="AI185" s="10" t="inlineStr">
        <is>
          <t>Moselle</t>
        </is>
      </c>
      <c r="AJ185" s="10" t="inlineStr">
        <is>
          <t>Lorraine</t>
        </is>
      </c>
      <c r="AK185" s="16" t="n">
        <v>3</v>
      </c>
      <c r="AL185" s="10" t="n"/>
      <c r="AM185" s="10" t="inlineStr">
        <is>
          <t>Oui</t>
        </is>
      </c>
      <c r="AN185" s="10" t="inlineStr">
        <is>
          <t xml:space="preserve">Mazda MX5 NA de 1991 Vends ou échange ( étudi toute proposition ) 1.6 i Roadster 90cv Travaux effectués : Distribution+ pompe à eau + thermostat Bougie Vidange+ filtre à huile + huile Filtre à air Embrayage + buté d'embrayage+ vidange de boîte de vitesse Vidange pont arrière Disque et plaquettes bon état Pneu bon etat Capote alpaca neuve Compteur vitesse en Miles et kilomètres comme vous le voyez sur la photo 3, sur le compteur c'est en Miles, c'est pour cela que le chiffre ne correspond pas au </t>
        </is>
      </c>
      <c r="AO185" s="10" t="inlineStr">
        <is>
          <t>vehicle_technical_inspection_valid : Non ; Dommages : Excellent état (proche du neuf) ; Sellerie : Tout cuir ; Permis : Avec permis ; Importé : false ; vehicle_history_report_status : visible</t>
        </is>
      </c>
      <c r="AP185" s="19" t="inlineStr">
        <is>
          <t>Voir</t>
        </is>
      </c>
      <c r="AQ185" s="10" t="inlineStr">
        <is>
          <t>3272203068</t>
        </is>
      </c>
    </row>
    <row r="186">
      <c r="A186" s="10" t="inlineStr">
        <is>
          <t>Mazda MX-5 NA</t>
        </is>
      </c>
      <c r="B186" s="10" t="inlineStr">
        <is>
          <t>Mazda MX5</t>
        </is>
      </c>
      <c r="C186" s="10" t="n"/>
      <c r="D186" s="10" t="n"/>
      <c r="E186" s="10" t="inlineStr">
        <is>
          <t>En vente</t>
        </is>
      </c>
      <c r="F186" s="18" t="n">
        <v>46285</v>
      </c>
      <c r="G186" s="18" t="n">
        <v>46285</v>
      </c>
      <c r="H186" s="18" t="n">
        <v>46310</v>
      </c>
      <c r="I186" s="18" t="n"/>
      <c r="J186" s="17">
        <f>IF(OR(ISNUMBER(F186),ISNUMBER(G186)),IF(ISNUMBER(I186),I186,H186)-IF(ISNUMBER(F186),F186,G186),"")</f>
        <v/>
      </c>
      <c r="K186" s="12" t="n">
        <v>8500</v>
      </c>
      <c r="L186" s="12" t="n">
        <v>8500</v>
      </c>
      <c r="M186" s="13">
        <f>IF(AND(ISNUMBER(K186),ISNUMBER(L186),K186&gt;0),1-L186/K186,"")</f>
        <v/>
      </c>
      <c r="N186" s="16" t="n">
        <v>0</v>
      </c>
      <c r="O186" s="12" t="n"/>
      <c r="P186" s="12" t="n"/>
      <c r="Q186" s="12" t="n"/>
      <c r="R186" s="14">
        <f>IF(AND(ISNUMBER(L186),ISNUMBER(P186),ISNUMBER(Q186)),L186/((P186+Q186)/2)-1,"")</f>
        <v/>
      </c>
      <c r="S186" s="10" t="n"/>
      <c r="T186" s="15" t="n">
        <v>145195</v>
      </c>
      <c r="U186" s="16" t="n">
        <v>1998</v>
      </c>
      <c r="V186" s="10" t="inlineStr">
        <is>
          <t>05/1998</t>
        </is>
      </c>
      <c r="W186" s="10" t="inlineStr">
        <is>
          <t>Essence</t>
        </is>
      </c>
      <c r="X186" s="10" t="inlineStr">
        <is>
          <t>Manuelle</t>
        </is>
      </c>
      <c r="Y186" s="16" t="n">
        <v>110</v>
      </c>
      <c r="Z186" s="16" t="n">
        <v>8</v>
      </c>
      <c r="AA186" s="10" t="inlineStr">
        <is>
          <t>Gris</t>
        </is>
      </c>
      <c r="AB186" s="16" t="n">
        <v>2</v>
      </c>
      <c r="AC186" s="10" t="inlineStr">
        <is>
          <t>Cabriolet</t>
        </is>
      </c>
      <c r="AD186" s="10" t="n"/>
      <c r="AE186" s="10" t="n"/>
      <c r="AF186" s="10" t="inlineStr">
        <is>
          <t>Particulier</t>
        </is>
      </c>
      <c r="AG186" s="10" t="inlineStr">
        <is>
          <t>Plaisance-du-Touch</t>
        </is>
      </c>
      <c r="AH186" s="10" t="inlineStr">
        <is>
          <t>31830</t>
        </is>
      </c>
      <c r="AI186" s="10" t="inlineStr">
        <is>
          <t>Haute-Garonne</t>
        </is>
      </c>
      <c r="AJ186" s="10" t="inlineStr">
        <is>
          <t>Midi-Pyrénées</t>
        </is>
      </c>
      <c r="AK186" s="16" t="n">
        <v>3</v>
      </c>
      <c r="AL186" s="10" t="n"/>
      <c r="AM186" s="10" t="inlineStr">
        <is>
          <t>Non</t>
        </is>
      </c>
      <c r="AN186" s="10" t="inlineStr">
        <is>
          <t>Mazda, très bon état carrosserie, peinture entièrement refaite Capo neuve, filtre, bougies vidange frein fait à jour Vente cause Retraite.</t>
        </is>
      </c>
      <c r="AO186" s="10" t="inlineStr">
        <is>
          <t>Sellerie : Tout cuir ; Permis : Avec permis ; Importé : false</t>
        </is>
      </c>
      <c r="AP186" s="19" t="inlineStr">
        <is>
          <t>Voir</t>
        </is>
      </c>
      <c r="AQ186" s="10" t="inlineStr">
        <is>
          <t>3273479241</t>
        </is>
      </c>
    </row>
    <row r="187">
      <c r="A187" s="10" t="inlineStr">
        <is>
          <t>Mazda MX-5 NA</t>
        </is>
      </c>
      <c r="B187" s="10" t="inlineStr">
        <is>
          <t>Mazda MX5 Roadster Pro Cup</t>
        </is>
      </c>
      <c r="C187" s="10" t="n"/>
      <c r="D187" s="10" t="n"/>
      <c r="E187" s="10" t="inlineStr">
        <is>
          <t>En vente</t>
        </is>
      </c>
      <c r="F187" s="18" t="n">
        <v>46288</v>
      </c>
      <c r="G187" s="18" t="n">
        <v>46288</v>
      </c>
      <c r="H187" s="18" t="n">
        <v>46310</v>
      </c>
      <c r="I187" s="18" t="n"/>
      <c r="J187" s="17">
        <f>IF(OR(ISNUMBER(F187),ISNUMBER(G187)),IF(ISNUMBER(I187),I187,H187)-IF(ISNUMBER(F187),F187,G187),"")</f>
        <v/>
      </c>
      <c r="K187" s="12" t="n">
        <v>13000</v>
      </c>
      <c r="L187" s="12" t="n">
        <v>13000</v>
      </c>
      <c r="M187" s="13">
        <f>IF(AND(ISNUMBER(K187),ISNUMBER(L187),K187&gt;0),1-L187/K187,"")</f>
        <v/>
      </c>
      <c r="N187" s="16" t="n">
        <v>0</v>
      </c>
      <c r="O187" s="12" t="n"/>
      <c r="P187" s="12" t="n"/>
      <c r="Q187" s="12" t="n"/>
      <c r="R187" s="14">
        <f>IF(AND(ISNUMBER(L187),ISNUMBER(P187),ISNUMBER(Q187)),L187/((P187+Q187)/2)-1,"")</f>
        <v/>
      </c>
      <c r="S187" s="10" t="n"/>
      <c r="T187" s="15" t="n">
        <v>60000</v>
      </c>
      <c r="U187" s="16" t="n">
        <v>1991</v>
      </c>
      <c r="V187" s="10" t="inlineStr">
        <is>
          <t>01/1991</t>
        </is>
      </c>
      <c r="W187" s="10" t="inlineStr">
        <is>
          <t>Essence</t>
        </is>
      </c>
      <c r="X187" s="10" t="inlineStr">
        <is>
          <t>Manuelle</t>
        </is>
      </c>
      <c r="Y187" s="16" t="n">
        <v>115</v>
      </c>
      <c r="Z187" s="16" t="n"/>
      <c r="AA187" s="10" t="inlineStr">
        <is>
          <t>Rouge</t>
        </is>
      </c>
      <c r="AB187" s="16" t="n">
        <v>2</v>
      </c>
      <c r="AC187" s="10" t="inlineStr">
        <is>
          <t>Cabriolet</t>
        </is>
      </c>
      <c r="AD187" s="10" t="n"/>
      <c r="AE187" s="10" t="n"/>
      <c r="AF187" s="10" t="inlineStr">
        <is>
          <t>Particulier</t>
        </is>
      </c>
      <c r="AG187" s="10" t="inlineStr">
        <is>
          <t>Pigny</t>
        </is>
      </c>
      <c r="AH187" s="10" t="inlineStr">
        <is>
          <t>18110</t>
        </is>
      </c>
      <c r="AI187" s="10" t="inlineStr">
        <is>
          <t>Cher</t>
        </is>
      </c>
      <c r="AJ187" s="10" t="inlineStr">
        <is>
          <t>Centre</t>
        </is>
      </c>
      <c r="AK187" s="16" t="n">
        <v>3</v>
      </c>
      <c r="AL187" s="10" t="n"/>
      <c r="AM187" s="10" t="inlineStr">
        <is>
          <t>Non</t>
        </is>
      </c>
      <c r="AN187" s="10" t="inlineStr">
        <is>
          <t xml:space="preserve">🚗 Modèle : Mazda MX5 NA 📅 Année : 1991 ⚙️ Motorisation : 1600 115cv 🛠 Boîte de vitesses : Manuelle 🎨 Couleur : Rouge 🛋 Équipements : Siège bacquet sur glissière / Harnais Homologué et valide / Quick Release 📌 Autres infos : Moteur en cote réparation 0.25 / Set de jantes + pneu en plus / Élément de carrosserie changé au complet / Pièces + Boîte de vitesse / Extincteur valide. 💰 Prix : 13000 📍 Localisation : Bourges / France Véhicule en excellent état, toujours entretenu avec soin. Prêt à </t>
        </is>
      </c>
      <c r="AO187" s="10" t="inlineStr">
        <is>
          <t>vehicle_technical_inspection_valid : Non ; Permis : Avec permis ; Importé : false</t>
        </is>
      </c>
      <c r="AP187" s="19" t="inlineStr">
        <is>
          <t>Voir</t>
        </is>
      </c>
      <c r="AQ187" s="10" t="inlineStr">
        <is>
          <t>3275326732</t>
        </is>
      </c>
    </row>
    <row r="188">
      <c r="A188" s="10" t="inlineStr">
        <is>
          <t>Mazda MX-5 NA</t>
        </is>
      </c>
      <c r="B188" s="10" t="inlineStr">
        <is>
          <t>Mazda mx5 na 1993</t>
        </is>
      </c>
      <c r="C188" s="10" t="n"/>
      <c r="D188" s="10" t="n"/>
      <c r="E188" s="10" t="inlineStr">
        <is>
          <t>En vente</t>
        </is>
      </c>
      <c r="F188" s="18" t="n">
        <v>46290</v>
      </c>
      <c r="G188" s="18" t="n">
        <v>46290</v>
      </c>
      <c r="H188" s="18" t="n">
        <v>46310</v>
      </c>
      <c r="I188" s="18" t="n"/>
      <c r="J188" s="17">
        <f>IF(OR(ISNUMBER(F188),ISNUMBER(G188)),IF(ISNUMBER(I188),I188,H188)-IF(ISNUMBER(F188),F188,G188),"")</f>
        <v/>
      </c>
      <c r="K188" s="12" t="n">
        <v>12000</v>
      </c>
      <c r="L188" s="12" t="n">
        <v>12000</v>
      </c>
      <c r="M188" s="13">
        <f>IF(AND(ISNUMBER(K188),ISNUMBER(L188),K188&gt;0),1-L188/K188,"")</f>
        <v/>
      </c>
      <c r="N188" s="16" t="n">
        <v>0</v>
      </c>
      <c r="O188" s="12" t="n"/>
      <c r="P188" s="12" t="n"/>
      <c r="Q188" s="12" t="n"/>
      <c r="R188" s="14">
        <f>IF(AND(ISNUMBER(L188),ISNUMBER(P188),ISNUMBER(Q188)),L188/((P188+Q188)/2)-1,"")</f>
        <v/>
      </c>
      <c r="S188" s="10" t="n"/>
      <c r="T188" s="15" t="n">
        <v>240000</v>
      </c>
      <c r="U188" s="16" t="n">
        <v>1993</v>
      </c>
      <c r="V188" s="10" t="inlineStr">
        <is>
          <t>12/1993</t>
        </is>
      </c>
      <c r="W188" s="10" t="inlineStr">
        <is>
          <t>Essence</t>
        </is>
      </c>
      <c r="X188" s="10" t="inlineStr">
        <is>
          <t>Manuelle</t>
        </is>
      </c>
      <c r="Y188" s="16" t="n">
        <v>116</v>
      </c>
      <c r="Z188" s="16" t="n">
        <v>8</v>
      </c>
      <c r="AA188" s="10" t="inlineStr">
        <is>
          <t>Bleu</t>
        </is>
      </c>
      <c r="AB188" s="16" t="n">
        <v>2</v>
      </c>
      <c r="AC188" s="10" t="inlineStr">
        <is>
          <t>Cabriolet</t>
        </is>
      </c>
      <c r="AD188" s="10" t="inlineStr">
        <is>
          <t>Réparations utiles déjà faites</t>
        </is>
      </c>
      <c r="AE188" s="10" t="n"/>
      <c r="AF188" s="10" t="inlineStr">
        <is>
          <t>Particulier</t>
        </is>
      </c>
      <c r="AG188" s="10" t="inlineStr">
        <is>
          <t>Aix-les-Bains</t>
        </is>
      </c>
      <c r="AH188" s="10" t="inlineStr">
        <is>
          <t>73100</t>
        </is>
      </c>
      <c r="AI188" s="10" t="inlineStr">
        <is>
          <t>Savoie</t>
        </is>
      </c>
      <c r="AJ188" s="10" t="inlineStr">
        <is>
          <t>Rhône-Alpes</t>
        </is>
      </c>
      <c r="AK188" s="16" t="n">
        <v>1</v>
      </c>
      <c r="AL188" s="10" t="n"/>
      <c r="AM188" s="10" t="inlineStr">
        <is>
          <t>Non</t>
        </is>
      </c>
      <c r="AN188" s="10" t="inlineStr">
        <is>
          <t>Je vends ou échange ma Mazda MX-5 NA de 1993, un cabriolet sportif et emblématique. - Marque : Mazda - Modèle : MX-5 NA - Année : 1993 - Kilométrage : 240 000 km - Motorisation : 1.6 116 ch - Carburant : Essence - Boîte de vitesses : Manuelle - Couleur : Bleu - Type de véhicule : Cabriolet - Nombre de sièges : 2 - Nombre de portes : 2 - Puissance fiscale : 8 Cv - Date de mise en circulation : 12/1993 N'hésitez pas à me contacter pour plus d'informations ou pour organiser un essai.</t>
        </is>
      </c>
      <c r="AO188" s="10" t="inlineStr">
        <is>
          <t>Dommages : Bon état général ; Sellerie : Cuir partiel ; Équipements intérieurs : Bluetooth, Chargeurs USB ; Permis : Avec permis ; Importé : false</t>
        </is>
      </c>
      <c r="AP188" s="19" t="inlineStr">
        <is>
          <t>Voir</t>
        </is>
      </c>
      <c r="AQ188" s="10" t="inlineStr">
        <is>
          <t>3276609067</t>
        </is>
      </c>
    </row>
    <row r="189">
      <c r="A189" s="10" t="inlineStr">
        <is>
          <t>Mazda MX-5 NA</t>
        </is>
      </c>
      <c r="B189" s="10" t="inlineStr">
        <is>
          <t>Mazda mx5 NA 1.6 édition limitée</t>
        </is>
      </c>
      <c r="C189" s="10" t="n"/>
      <c r="D189" s="10" t="n"/>
      <c r="E189" s="10" t="inlineStr">
        <is>
          <t>En vente</t>
        </is>
      </c>
      <c r="F189" s="18" t="n">
        <v>46291</v>
      </c>
      <c r="G189" s="18" t="n">
        <v>46291</v>
      </c>
      <c r="H189" s="18" t="n">
        <v>46310</v>
      </c>
      <c r="I189" s="18" t="n"/>
      <c r="J189" s="17">
        <f>IF(OR(ISNUMBER(F189),ISNUMBER(G189)),IF(ISNUMBER(I189),I189,H189)-IF(ISNUMBER(F189),F189,G189),"")</f>
        <v/>
      </c>
      <c r="K189" s="12" t="n">
        <v>13500</v>
      </c>
      <c r="L189" s="12" t="n">
        <v>13500</v>
      </c>
      <c r="M189" s="13">
        <f>IF(AND(ISNUMBER(K189),ISNUMBER(L189),K189&gt;0),1-L189/K189,"")</f>
        <v/>
      </c>
      <c r="N189" s="16" t="n">
        <v>0</v>
      </c>
      <c r="O189" s="12" t="n"/>
      <c r="P189" s="12" t="n"/>
      <c r="Q189" s="12" t="n"/>
      <c r="R189" s="14">
        <f>IF(AND(ISNUMBER(L189),ISNUMBER(P189),ISNUMBER(Q189)),L189/((P189+Q189)/2)-1,"")</f>
        <v/>
      </c>
      <c r="S189" s="10" t="n"/>
      <c r="T189" s="15" t="n">
        <v>122000</v>
      </c>
      <c r="U189" s="16" t="n">
        <v>1996</v>
      </c>
      <c r="V189" s="10" t="inlineStr">
        <is>
          <t>04/1996</t>
        </is>
      </c>
      <c r="W189" s="10" t="inlineStr">
        <is>
          <t>Essence</t>
        </is>
      </c>
      <c r="X189" s="10" t="inlineStr">
        <is>
          <t>Manuelle</t>
        </is>
      </c>
      <c r="Y189" s="16" t="n">
        <v>90</v>
      </c>
      <c r="Z189" s="16" t="n">
        <v>8</v>
      </c>
      <c r="AA189" s="10" t="inlineStr">
        <is>
          <t>Autre</t>
        </is>
      </c>
      <c r="AB189" s="16" t="n">
        <v>2</v>
      </c>
      <c r="AC189" s="10" t="inlineStr">
        <is>
          <t>Cabriolet</t>
        </is>
      </c>
      <c r="AD189" s="10" t="n"/>
      <c r="AE189" s="10" t="n"/>
      <c r="AF189" s="10" t="inlineStr">
        <is>
          <t>Particulier</t>
        </is>
      </c>
      <c r="AG189" s="10" t="inlineStr">
        <is>
          <t>Valmont</t>
        </is>
      </c>
      <c r="AH189" s="10" t="inlineStr">
        <is>
          <t>57730</t>
        </is>
      </c>
      <c r="AI189" s="10" t="inlineStr">
        <is>
          <t>Moselle</t>
        </is>
      </c>
      <c r="AJ189" s="10" t="inlineStr">
        <is>
          <t>Lorraine</t>
        </is>
      </c>
      <c r="AK189" s="16" t="n">
        <v>3</v>
      </c>
      <c r="AL189" s="10" t="n"/>
      <c r="AM189" s="10" t="inlineStr">
        <is>
          <t>Non</t>
        </is>
      </c>
      <c r="AN189" s="10" t="inlineStr">
        <is>
          <t>Mazda MX-5 Miata Cosmo – 1996 – 122 000 km À vendre Mazda MX-5 Miata édition Cosmo de 1996, une série recherchée 530 exemplaires seulement, état exceptionnel . Voiture toujours entreposé dans un garage au sec. Caractéristiques : * Année : 1996 * Moteur : 1.6 – 90 ch * Boîte manuelle 5 vitesses * Kilométrage : 122 000 km * Couleur : Violet * Intérieur beige en très bon état État : * Carrosserie irréprochable, sans corrosion * Capote parfaitement étanche et en excellent état * Intérieur beige très</t>
        </is>
      </c>
      <c r="AO189" s="10" t="inlineStr">
        <is>
          <t>Permis : Avec permis ; Importé : false</t>
        </is>
      </c>
      <c r="AP189" s="19" t="inlineStr">
        <is>
          <t>Voir</t>
        </is>
      </c>
      <c r="AQ189" s="10" t="inlineStr">
        <is>
          <t>3277088692</t>
        </is>
      </c>
    </row>
    <row r="190">
      <c r="A190" s="10" t="inlineStr">
        <is>
          <t>Mazda MX-5 NA</t>
        </is>
      </c>
      <c r="B190" s="10" t="inlineStr">
        <is>
          <t>Mazda mx5 na 1,8l</t>
        </is>
      </c>
      <c r="C190" s="10" t="n"/>
      <c r="D190" s="10" t="n"/>
      <c r="E190" s="10" t="inlineStr">
        <is>
          <t>En vente</t>
        </is>
      </c>
      <c r="F190" s="18" t="n">
        <v>46291</v>
      </c>
      <c r="G190" s="18" t="n">
        <v>46291</v>
      </c>
      <c r="H190" s="18" t="n">
        <v>46310</v>
      </c>
      <c r="I190" s="18" t="n"/>
      <c r="J190" s="17">
        <f>IF(OR(ISNUMBER(F190),ISNUMBER(G190)),IF(ISNUMBER(I190),I190,H190)-IF(ISNUMBER(F190),F190,G190),"")</f>
        <v/>
      </c>
      <c r="K190" s="12" t="n">
        <v>16990</v>
      </c>
      <c r="L190" s="12" t="n">
        <v>15500</v>
      </c>
      <c r="M190" s="13">
        <f>IF(AND(ISNUMBER(K190),ISNUMBER(L190),K190&gt;0),1-L190/K190,"")</f>
        <v/>
      </c>
      <c r="N190" s="16" t="n">
        <v>1</v>
      </c>
      <c r="O190" s="12" t="n">
        <v>16990</v>
      </c>
      <c r="P190" s="12" t="n"/>
      <c r="Q190" s="12" t="n"/>
      <c r="R190" s="14">
        <f>IF(AND(ISNUMBER(L190),ISNUMBER(P190),ISNUMBER(Q190)),L190/((P190+Q190)/2)-1,"")</f>
        <v/>
      </c>
      <c r="S190" s="10" t="n"/>
      <c r="T190" s="15" t="n">
        <v>151587</v>
      </c>
      <c r="U190" s="16" t="n">
        <v>1994</v>
      </c>
      <c r="V190" s="10" t="inlineStr">
        <is>
          <t>06/1994</t>
        </is>
      </c>
      <c r="W190" s="10" t="inlineStr">
        <is>
          <t>Essence</t>
        </is>
      </c>
      <c r="X190" s="10" t="inlineStr">
        <is>
          <t>Manuelle</t>
        </is>
      </c>
      <c r="Y190" s="16" t="n">
        <v>130</v>
      </c>
      <c r="Z190" s="16" t="n">
        <v>10</v>
      </c>
      <c r="AA190" s="10" t="inlineStr">
        <is>
          <t>Autre</t>
        </is>
      </c>
      <c r="AB190" s="16" t="n">
        <v>2</v>
      </c>
      <c r="AC190" s="10" t="inlineStr">
        <is>
          <t>Cabriolet</t>
        </is>
      </c>
      <c r="AD190" s="10" t="n"/>
      <c r="AE190" s="10" t="n"/>
      <c r="AF190" s="10" t="inlineStr">
        <is>
          <t>Particulier</t>
        </is>
      </c>
      <c r="AG190" s="10" t="inlineStr">
        <is>
          <t>Villefranche-sur-Saône</t>
        </is>
      </c>
      <c r="AH190" s="10" t="inlineStr">
        <is>
          <t>69400</t>
        </is>
      </c>
      <c r="AI190" s="10" t="inlineStr">
        <is>
          <t>Rhône</t>
        </is>
      </c>
      <c r="AJ190" s="10" t="inlineStr">
        <is>
          <t>Rhône-Alpes</t>
        </is>
      </c>
      <c r="AK190" s="16" t="n">
        <v>10</v>
      </c>
      <c r="AL190" s="10" t="n"/>
      <c r="AM190" s="10" t="inlineStr">
        <is>
          <t>Non</t>
        </is>
      </c>
      <c r="AN190" s="10" t="inlineStr">
        <is>
          <t>Bonjour, Je vends ma Mx-5 NA qui est une 1.8 litres 130ch de couleur "British green Racing" qui totalise 151 587 kilomètres, C'est une des premières phases de 1.8l avec cata court et sans airbag, elle a aussi l’autobloquant d’origine, ainsi que les vitres et rétroviseurs électrique. Concernant le châssis : Au niveau de la corrosion, qui est un peu le nerf de la guerre sur ces voitures. Les trains roulants et berceau ont été intégralement refait (sablé jusqu’au métal puis peint à l’époxy, Idem po</t>
        </is>
      </c>
      <c r="AO190" s="10" t="inlineStr">
        <is>
          <t>Permis : Avec permis ; Importé : false ; vehicle_history_report_status : visible</t>
        </is>
      </c>
      <c r="AP190" s="19" t="inlineStr">
        <is>
          <t>Voir</t>
        </is>
      </c>
      <c r="AQ190" s="10" t="inlineStr">
        <is>
          <t>3277280211</t>
        </is>
      </c>
    </row>
    <row r="191">
      <c r="A191" s="10" t="inlineStr">
        <is>
          <t>Mazda MX-5 NA</t>
        </is>
      </c>
      <c r="B191" s="10" t="inlineStr">
        <is>
          <t>Mazda Mx5 NA 1.6 90ch</t>
        </is>
      </c>
      <c r="C191" s="10" t="inlineStr">
        <is>
          <t>MX-5 1.6 90ch</t>
        </is>
      </c>
      <c r="D191" s="10" t="inlineStr">
        <is>
          <t>Base</t>
        </is>
      </c>
      <c r="E191" s="10" t="inlineStr">
        <is>
          <t>En vente</t>
        </is>
      </c>
      <c r="F191" s="18" t="n">
        <v>46295</v>
      </c>
      <c r="G191" s="18" t="n">
        <v>46295</v>
      </c>
      <c r="H191" s="18" t="n">
        <v>46310</v>
      </c>
      <c r="I191" s="18" t="n"/>
      <c r="J191" s="17">
        <f>IF(OR(ISNUMBER(F191),ISNUMBER(G191)),IF(ISNUMBER(I191),I191,H191)-IF(ISNUMBER(F191),F191,G191),"")</f>
        <v/>
      </c>
      <c r="K191" s="12" t="n">
        <v>10500</v>
      </c>
      <c r="L191" s="12" t="n">
        <v>10500</v>
      </c>
      <c r="M191" s="13">
        <f>IF(AND(ISNUMBER(K191),ISNUMBER(L191),K191&gt;0),1-L191/K191,"")</f>
        <v/>
      </c>
      <c r="N191" s="16" t="n">
        <v>0</v>
      </c>
      <c r="O191" s="12" t="n"/>
      <c r="P191" s="12" t="n"/>
      <c r="Q191" s="12" t="n"/>
      <c r="R191" s="14">
        <f>IF(AND(ISNUMBER(L191),ISNUMBER(P191),ISNUMBER(Q191)),L191/((P191+Q191)/2)-1,"")</f>
        <v/>
      </c>
      <c r="S191" s="10" t="n"/>
      <c r="T191" s="15" t="n">
        <v>198000</v>
      </c>
      <c r="U191" s="16" t="n">
        <v>1997</v>
      </c>
      <c r="V191" s="10" t="inlineStr">
        <is>
          <t>06/1997</t>
        </is>
      </c>
      <c r="W191" s="10" t="inlineStr">
        <is>
          <t>Essence</t>
        </is>
      </c>
      <c r="X191" s="10" t="inlineStr">
        <is>
          <t>Manuelle</t>
        </is>
      </c>
      <c r="Y191" s="16" t="n">
        <v>90</v>
      </c>
      <c r="Z191" s="16" t="n">
        <v>8</v>
      </c>
      <c r="AA191" s="10" t="inlineStr">
        <is>
          <t>Vert</t>
        </is>
      </c>
      <c r="AB191" s="16" t="n">
        <v>2</v>
      </c>
      <c r="AC191" s="10" t="inlineStr">
        <is>
          <t>Cabriolet</t>
        </is>
      </c>
      <c r="AD191" s="10" t="inlineStr">
        <is>
          <t>Factures disponibles</t>
        </is>
      </c>
      <c r="AE191" s="10" t="n"/>
      <c r="AF191" s="10" t="inlineStr">
        <is>
          <t>Particulier</t>
        </is>
      </c>
      <c r="AG191" s="10" t="inlineStr">
        <is>
          <t>Savigny-sur-Orge</t>
        </is>
      </c>
      <c r="AH191" s="10" t="inlineStr">
        <is>
          <t>91600</t>
        </is>
      </c>
      <c r="AI191" s="10" t="inlineStr">
        <is>
          <t>Essonne</t>
        </is>
      </c>
      <c r="AJ191" s="10" t="inlineStr">
        <is>
          <t>Ile-de-France</t>
        </is>
      </c>
      <c r="AK191" s="16" t="n">
        <v>3</v>
      </c>
      <c r="AL191" s="10" t="n"/>
      <c r="AM191" s="10" t="inlineStr">
        <is>
          <t>Non</t>
        </is>
      </c>
      <c r="AN191" s="10" t="inlineStr">
        <is>
          <t xml:space="preserve">Mazda MX-5 NA 1.6 90 ch – 1997 – British Racing Green Je vends ma Mazda MX-5 NA 1.6 90 ch de 1997, en British Racing Green, affichant 198 000 km. Petite sportive légère et plaisir, avec plusieurs améliorations réalisées dans l’esprit de la voiture. Équipements / modifications : • Phares, clignotants et veilleuses passés en noir • Filtre à air mousse Pipercross • Barre anti-rapprochement • Volant Momo Prototipo • Collecteur HKS 4-2-1 • Décatalyseur Malian • Ligne avec intermédiaire et silencieux </t>
        </is>
      </c>
      <c r="AO191" s="10" t="inlineStr">
        <is>
          <t>Dommages : Bon état général ; Permis : Avec permis ; Importé : false</t>
        </is>
      </c>
      <c r="AP191" s="19" t="inlineStr">
        <is>
          <t>Voir</t>
        </is>
      </c>
      <c r="AQ191" s="10" t="inlineStr">
        <is>
          <t>3279515840</t>
        </is>
      </c>
    </row>
    <row r="192">
      <c r="A192" s="10" t="inlineStr">
        <is>
          <t>Mazda MX-5 NA</t>
        </is>
      </c>
      <c r="B192" s="10" t="inlineStr">
        <is>
          <t>Mazda MX5 - NA</t>
        </is>
      </c>
      <c r="C192" s="10" t="n"/>
      <c r="D192" s="10" t="n"/>
      <c r="E192" s="10" t="inlineStr">
        <is>
          <t>En vente</t>
        </is>
      </c>
      <c r="F192" s="18" t="n">
        <v>46301</v>
      </c>
      <c r="G192" s="18" t="n">
        <v>46301</v>
      </c>
      <c r="H192" s="18" t="n">
        <v>46310</v>
      </c>
      <c r="I192" s="18" t="n"/>
      <c r="J192" s="17">
        <f>IF(OR(ISNUMBER(F192),ISNUMBER(G192)),IF(ISNUMBER(I192),I192,H192)-IF(ISNUMBER(F192),F192,G192),"")</f>
        <v/>
      </c>
      <c r="K192" s="12" t="n">
        <v>12500</v>
      </c>
      <c r="L192" s="12" t="n">
        <v>12500</v>
      </c>
      <c r="M192" s="13">
        <f>IF(AND(ISNUMBER(K192),ISNUMBER(L192),K192&gt;0),1-L192/K192,"")</f>
        <v/>
      </c>
      <c r="N192" s="16" t="n">
        <v>0</v>
      </c>
      <c r="O192" s="12" t="n"/>
      <c r="P192" s="12" t="n"/>
      <c r="Q192" s="12" t="n"/>
      <c r="R192" s="14">
        <f>IF(AND(ISNUMBER(L192),ISNUMBER(P192),ISNUMBER(Q192)),L192/((P192+Q192)/2)-1,"")</f>
        <v/>
      </c>
      <c r="S192" s="10" t="n"/>
      <c r="T192" s="15" t="n">
        <v>200000</v>
      </c>
      <c r="U192" s="16" t="n">
        <v>1991</v>
      </c>
      <c r="V192" s="10" t="inlineStr">
        <is>
          <t>01/1991</t>
        </is>
      </c>
      <c r="W192" s="10" t="inlineStr">
        <is>
          <t>Essence</t>
        </is>
      </c>
      <c r="X192" s="10" t="inlineStr">
        <is>
          <t>Manuelle</t>
        </is>
      </c>
      <c r="Y192" s="16" t="n">
        <v>116</v>
      </c>
      <c r="Z192" s="16" t="n"/>
      <c r="AA192" s="10" t="inlineStr">
        <is>
          <t>Gris</t>
        </is>
      </c>
      <c r="AB192" s="16" t="n">
        <v>2</v>
      </c>
      <c r="AC192" s="10" t="inlineStr">
        <is>
          <t>Cabriolet</t>
        </is>
      </c>
      <c r="AD192" s="10" t="n"/>
      <c r="AE192" s="10" t="n"/>
      <c r="AF192" s="10" t="inlineStr">
        <is>
          <t>Particulier</t>
        </is>
      </c>
      <c r="AG192" s="10" t="inlineStr">
        <is>
          <t>Les Andelys</t>
        </is>
      </c>
      <c r="AH192" s="10" t="inlineStr">
        <is>
          <t>27700</t>
        </is>
      </c>
      <c r="AI192" s="10" t="inlineStr">
        <is>
          <t>Eure</t>
        </is>
      </c>
      <c r="AJ192" s="10" t="inlineStr">
        <is>
          <t>Haute-Normandie</t>
        </is>
      </c>
      <c r="AK192" s="16" t="n">
        <v>3</v>
      </c>
      <c r="AL192" s="10" t="n"/>
      <c r="AM192" s="10" t="inlineStr">
        <is>
          <t>Non</t>
        </is>
      </c>
      <c r="AN192" s="10" t="inlineStr">
        <is>
          <t>Bonjour, Je vends ma Mazda MX-5 NA de 1991. - Marque : Mazda - Modèle : MX-5 - Année : 1991 - Kilométrage : 200 000 km - Motorisation : 116 Ch - Carburant : Essence - Boîte de vitesses : Manuelle - Type de véhicule : Cabriolet - Couleur : Gris - Nombre de sièges : 2 - Nombre de portes : 2 Rien à prévoir, la voiture est en très bonne état. N'hésitez pas à me contacter pour plus d'informations, photos etc…</t>
        </is>
      </c>
      <c r="AO192" s="10" t="inlineStr">
        <is>
          <t>Dommages : Bon état général ; Permis : Avec permis ; Importé : false</t>
        </is>
      </c>
      <c r="AP192" s="19" t="inlineStr">
        <is>
          <t>Voir</t>
        </is>
      </c>
      <c r="AQ192" s="10" t="inlineStr">
        <is>
          <t>3283621612</t>
        </is>
      </c>
    </row>
    <row r="193">
      <c r="A193" s="10" t="inlineStr">
        <is>
          <t>Mazda MX-5 NA</t>
        </is>
      </c>
      <c r="B193" s="10" t="inlineStr">
        <is>
          <t>Mazda MX5</t>
        </is>
      </c>
      <c r="C193" s="10" t="n"/>
      <c r="D193" s="10" t="n"/>
      <c r="E193" s="10" t="inlineStr">
        <is>
          <t>En vente</t>
        </is>
      </c>
      <c r="F193" s="18" t="n">
        <v>46304</v>
      </c>
      <c r="G193" s="18" t="n">
        <v>46304</v>
      </c>
      <c r="H193" s="18" t="n">
        <v>46310</v>
      </c>
      <c r="I193" s="18" t="n"/>
      <c r="J193" s="17">
        <f>IF(OR(ISNUMBER(F193),ISNUMBER(G193)),IF(ISNUMBER(I193),I193,H193)-IF(ISNUMBER(F193),F193,G193),"")</f>
        <v/>
      </c>
      <c r="K193" s="12" t="n">
        <v>6000</v>
      </c>
      <c r="L193" s="12" t="n">
        <v>6000</v>
      </c>
      <c r="M193" s="13">
        <f>IF(AND(ISNUMBER(K193),ISNUMBER(L193),K193&gt;0),1-L193/K193,"")</f>
        <v/>
      </c>
      <c r="N193" s="16" t="n">
        <v>0</v>
      </c>
      <c r="O193" s="12" t="n"/>
      <c r="P193" s="12" t="n"/>
      <c r="Q193" s="12" t="n"/>
      <c r="R193" s="14">
        <f>IF(AND(ISNUMBER(L193),ISNUMBER(P193),ISNUMBER(Q193)),L193/((P193+Q193)/2)-1,"")</f>
        <v/>
      </c>
      <c r="S193" s="10" t="n"/>
      <c r="T193" s="15" t="n">
        <v>203000</v>
      </c>
      <c r="U193" s="16" t="n">
        <v>1991</v>
      </c>
      <c r="V193" s="10" t="inlineStr">
        <is>
          <t>07/1991</t>
        </is>
      </c>
      <c r="W193" s="10" t="inlineStr">
        <is>
          <t>Essence</t>
        </is>
      </c>
      <c r="X193" s="10" t="inlineStr">
        <is>
          <t>Manuelle</t>
        </is>
      </c>
      <c r="Y193" s="16" t="n">
        <v>90</v>
      </c>
      <c r="Z193" s="16" t="n">
        <v>8</v>
      </c>
      <c r="AA193" s="10" t="inlineStr">
        <is>
          <t>Rouge</t>
        </is>
      </c>
      <c r="AB193" s="16" t="n">
        <v>2</v>
      </c>
      <c r="AC193" s="10" t="inlineStr">
        <is>
          <t>Cabriolet</t>
        </is>
      </c>
      <c r="AD193" s="10" t="inlineStr">
        <is>
          <t>Factures disponibles</t>
        </is>
      </c>
      <c r="AE193" s="10" t="inlineStr">
        <is>
          <t>Première main</t>
        </is>
      </c>
      <c r="AF193" s="10" t="inlineStr">
        <is>
          <t>Particulier</t>
        </is>
      </c>
      <c r="AG193" s="10" t="inlineStr">
        <is>
          <t>La Clisse</t>
        </is>
      </c>
      <c r="AH193" s="10" t="inlineStr">
        <is>
          <t>17600</t>
        </is>
      </c>
      <c r="AI193" s="10" t="inlineStr">
        <is>
          <t>Charente-Maritime</t>
        </is>
      </c>
      <c r="AJ193" s="10" t="inlineStr">
        <is>
          <t>Poitou-Charentes</t>
        </is>
      </c>
      <c r="AK193" s="16" t="n">
        <v>10</v>
      </c>
      <c r="AL193" s="10" t="inlineStr">
        <is>
          <t>Oui</t>
        </is>
      </c>
      <c r="AM193" s="10" t="inlineStr">
        <is>
          <t>Non</t>
        </is>
      </c>
      <c r="AN193" s="10" t="inlineStr">
        <is>
          <t>Voiture de collection de 1991, achetée en 2020 aux parents de l'un de mes amis qui l'ont parfaitement entretenue. Mécanique parfaite, très agréable à conduire, système audio très agréable diffusée dans les appuis tête. L'intérieur mérite d'être rafraichit. Le contrôle technique est ok mais cependant des travaux liés à la corrosion sont à prévoir. Elle est livrée avec un hard top et un porte bagages. Je suis amenée à la vendre car en retraite depuis quelques temps, nous avons déménagé et disposon</t>
        </is>
      </c>
      <c r="AO193" s="10" t="inlineStr">
        <is>
          <t>vehicle_technical_inspection_valid : Non ; Dommages : Traces d’usure normales ; Sellerie : Tissu ; Permis : Avec permis ; Importé : false ; vehicle_history_teaser_critair : 0 ; vehicle_history_teaser_owners : 5 ; vehicle_history_teaser_expertises : false ; vehicle_history_teaser_special_uses : false ; vehicle_history_teaser_atypical_operations : false ; vehicle_history_teaser_importations : false</t>
        </is>
      </c>
      <c r="AP193" s="19" t="inlineStr">
        <is>
          <t>Voir</t>
        </is>
      </c>
      <c r="AQ193" s="10" t="inlineStr">
        <is>
          <t>3285038445</t>
        </is>
      </c>
    </row>
    <row r="194">
      <c r="A194" s="10" t="inlineStr">
        <is>
          <t>Mazda MX-5 NA</t>
        </is>
      </c>
      <c r="B194" s="10" t="inlineStr">
        <is>
          <t>Mazda Mx5 NA sans CT( à restaurer ou pièce)</t>
        </is>
      </c>
      <c r="C194" s="10" t="n"/>
      <c r="D194" s="10" t="n"/>
      <c r="E194" s="10" t="inlineStr">
        <is>
          <t>En vente</t>
        </is>
      </c>
      <c r="F194" s="18" t="n">
        <v>46307</v>
      </c>
      <c r="G194" s="18" t="n">
        <v>46307</v>
      </c>
      <c r="H194" s="18" t="n">
        <v>46310</v>
      </c>
      <c r="I194" s="18" t="n"/>
      <c r="J194" s="17">
        <f>IF(OR(ISNUMBER(F194),ISNUMBER(G194)),IF(ISNUMBER(I194),I194,H194)-IF(ISNUMBER(F194),F194,G194),"")</f>
        <v/>
      </c>
      <c r="K194" s="12" t="n">
        <v>3000</v>
      </c>
      <c r="L194" s="12" t="n">
        <v>3000</v>
      </c>
      <c r="M194" s="13">
        <f>IF(AND(ISNUMBER(K194),ISNUMBER(L194),K194&gt;0),1-L194/K194,"")</f>
        <v/>
      </c>
      <c r="N194" s="16" t="n">
        <v>0</v>
      </c>
      <c r="O194" s="12" t="n"/>
      <c r="P194" s="12" t="n"/>
      <c r="Q194" s="12" t="n"/>
      <c r="R194" s="14">
        <f>IF(AND(ISNUMBER(L194),ISNUMBER(P194),ISNUMBER(Q194)),L194/((P194+Q194)/2)-1,"")</f>
        <v/>
      </c>
      <c r="S194" s="10" t="n"/>
      <c r="T194" s="15" t="n">
        <v>205344</v>
      </c>
      <c r="U194" s="16" t="n">
        <v>1997</v>
      </c>
      <c r="V194" s="10" t="inlineStr">
        <is>
          <t>05/1997</t>
        </is>
      </c>
      <c r="W194" s="10" t="inlineStr">
        <is>
          <t>Essence</t>
        </is>
      </c>
      <c r="X194" s="10" t="inlineStr">
        <is>
          <t>Manuelle</t>
        </is>
      </c>
      <c r="Y194" s="16" t="n">
        <v>90</v>
      </c>
      <c r="Z194" s="16" t="n">
        <v>8</v>
      </c>
      <c r="AA194" s="10" t="inlineStr">
        <is>
          <t>Bleu</t>
        </is>
      </c>
      <c r="AB194" s="16" t="n">
        <v>2</v>
      </c>
      <c r="AC194" s="10" t="inlineStr">
        <is>
          <t>Cabriolet</t>
        </is>
      </c>
      <c r="AD194" s="10" t="inlineStr">
        <is>
          <t>Véhicule non fumeur, Factures disponibles</t>
        </is>
      </c>
      <c r="AE194" s="10" t="inlineStr">
        <is>
          <t>Véhicule importé</t>
        </is>
      </c>
      <c r="AF194" s="10" t="inlineStr">
        <is>
          <t>Particulier</t>
        </is>
      </c>
      <c r="AG194" s="10" t="inlineStr">
        <is>
          <t>Les Villages Vovéens</t>
        </is>
      </c>
      <c r="AH194" s="10" t="inlineStr">
        <is>
          <t>28150</t>
        </is>
      </c>
      <c r="AI194" s="10" t="inlineStr">
        <is>
          <t>Eure-et-Loir</t>
        </is>
      </c>
      <c r="AJ194" s="10" t="inlineStr">
        <is>
          <t>Centre</t>
        </is>
      </c>
      <c r="AK194" s="16" t="n">
        <v>3</v>
      </c>
      <c r="AL194" s="10" t="n"/>
      <c r="AM194" s="10" t="inlineStr">
        <is>
          <t>Non</t>
        </is>
      </c>
      <c r="AN194" s="10" t="inlineStr">
        <is>
          <t>Je vends ma Mazda MX-5 de 1997. - Marque : Mazda - Modèle : MX-5 - Année : 1997 - Kilométrage : 205 344 km - Motorisation : 90 Ch - Carburant : Essence - Boîte de vitesses : Manuelle - Couleur : Bleu - Type : Cabriolet - Nombre de portes : 2 - Puissance fiscale : 8 Cv N'hésitez pas à me contacter pour plus d'informations ou pour organiser une visite.</t>
        </is>
      </c>
      <c r="AO194" s="10" t="inlineStr">
        <is>
          <t>vehicle_technical_inspection_valid : Non ; Dommages : Non roulant ; Sellerie : Cuir partiel ; Permis : Avec permis ; Importé : false</t>
        </is>
      </c>
      <c r="AP194" s="19" t="inlineStr">
        <is>
          <t>Voir</t>
        </is>
      </c>
      <c r="AQ194" s="10" t="inlineStr">
        <is>
          <t>3287100326</t>
        </is>
      </c>
    </row>
    <row r="195">
      <c r="A195" s="10" t="inlineStr">
        <is>
          <t>Mazda MX-5 NA</t>
        </is>
      </c>
      <c r="B195" s="10" t="inlineStr">
        <is>
          <t>Mazda mx5</t>
        </is>
      </c>
      <c r="C195" s="10" t="n"/>
      <c r="D195" s="10" t="n"/>
      <c r="E195" s="10" t="inlineStr">
        <is>
          <t>En vente</t>
        </is>
      </c>
      <c r="F195" s="18" t="n">
        <v>46308</v>
      </c>
      <c r="G195" s="18" t="n">
        <v>46308</v>
      </c>
      <c r="H195" s="18" t="n">
        <v>46310</v>
      </c>
      <c r="I195" s="18" t="n"/>
      <c r="J195" s="17">
        <f>IF(OR(ISNUMBER(F195),ISNUMBER(G195)),IF(ISNUMBER(I195),I195,H195)-IF(ISNUMBER(F195),F195,G195),"")</f>
        <v/>
      </c>
      <c r="K195" s="12" t="n">
        <v>7000</v>
      </c>
      <c r="L195" s="12" t="n">
        <v>7000</v>
      </c>
      <c r="M195" s="13">
        <f>IF(AND(ISNUMBER(K195),ISNUMBER(L195),K195&gt;0),1-L195/K195,"")</f>
        <v/>
      </c>
      <c r="N195" s="16" t="n">
        <v>0</v>
      </c>
      <c r="O195" s="12" t="n"/>
      <c r="P195" s="12" t="n"/>
      <c r="Q195" s="12" t="n"/>
      <c r="R195" s="14">
        <f>IF(AND(ISNUMBER(L195),ISNUMBER(P195),ISNUMBER(Q195)),L195/((P195+Q195)/2)-1,"")</f>
        <v/>
      </c>
      <c r="S195" s="10" t="n"/>
      <c r="T195" s="15" t="n">
        <v>126500</v>
      </c>
      <c r="U195" s="16" t="n">
        <v>1998</v>
      </c>
      <c r="V195" s="10" t="inlineStr">
        <is>
          <t>05/1998</t>
        </is>
      </c>
      <c r="W195" s="10" t="inlineStr">
        <is>
          <t>Essence</t>
        </is>
      </c>
      <c r="X195" s="10" t="inlineStr">
        <is>
          <t>Manuelle</t>
        </is>
      </c>
      <c r="Y195" s="16" t="n">
        <v>110</v>
      </c>
      <c r="Z195" s="16" t="n">
        <v>8</v>
      </c>
      <c r="AA195" s="10" t="inlineStr">
        <is>
          <t>Bleu</t>
        </is>
      </c>
      <c r="AB195" s="16" t="n">
        <v>2</v>
      </c>
      <c r="AC195" s="10" t="inlineStr">
        <is>
          <t>Cabriolet</t>
        </is>
      </c>
      <c r="AD195" s="10" t="n"/>
      <c r="AE195" s="10" t="n"/>
      <c r="AF195" s="10" t="inlineStr">
        <is>
          <t>Particulier</t>
        </is>
      </c>
      <c r="AG195" s="10" t="inlineStr">
        <is>
          <t>Segré-en-Anjou Bleu</t>
        </is>
      </c>
      <c r="AH195" s="10" t="inlineStr">
        <is>
          <t>49500</t>
        </is>
      </c>
      <c r="AI195" s="10" t="inlineStr">
        <is>
          <t>Maine-et-Loire</t>
        </is>
      </c>
      <c r="AJ195" s="10" t="inlineStr">
        <is>
          <t>Pays de la Loire</t>
        </is>
      </c>
      <c r="AK195" s="16" t="n">
        <v>6</v>
      </c>
      <c r="AL195" s="10" t="n"/>
      <c r="AM195" s="10" t="inlineStr">
        <is>
          <t>Non</t>
        </is>
      </c>
      <c r="AN195" s="10" t="inlineStr">
        <is>
          <t>Je vous propose cette Mazda mx5 de 1998 Pour plus de renseignements me laisser un message Bonne journée</t>
        </is>
      </c>
      <c r="AO195" s="10" t="inlineStr">
        <is>
          <t>vehicle_technical_inspection_valid : Non ; Sellerie : Tissu ; Permis : Avec permis ; Importé : false ; vehicle_history_teaser_critair : 3 ; vehicle_history_teaser_owners : 6 ; vehicle_history_teaser_expertises : false ; vehicle_history_teaser_special_uses : false ; vehicle_history_teaser_atypical_operations : false ; vehicle_history_teaser_importations : false</t>
        </is>
      </c>
      <c r="AP195" s="19" t="inlineStr">
        <is>
          <t>Voir</t>
        </is>
      </c>
      <c r="AQ195" s="10" t="inlineStr">
        <is>
          <t>3287607190</t>
        </is>
      </c>
    </row>
    <row r="196">
      <c r="A196" s="10" t="inlineStr">
        <is>
          <t>Mazda MX-5 NA</t>
        </is>
      </c>
      <c r="B196" s="10" t="inlineStr">
        <is>
          <t>Mazda mx5</t>
        </is>
      </c>
      <c r="C196" s="10" t="n"/>
      <c r="D196" s="10" t="n"/>
      <c r="E196" s="10" t="inlineStr">
        <is>
          <t>En vente</t>
        </is>
      </c>
      <c r="F196" s="18" t="n">
        <v>46257</v>
      </c>
      <c r="G196" s="18" t="n">
        <v>46257</v>
      </c>
      <c r="H196" s="18" t="n">
        <v>46296</v>
      </c>
      <c r="I196" s="18" t="n"/>
      <c r="J196" s="17">
        <f>IF(OR(ISNUMBER(F196),ISNUMBER(G196)),IF(ISNUMBER(I196),I196,H196)-IF(ISNUMBER(F196),F196,G196),"")</f>
        <v/>
      </c>
      <c r="K196" s="12" t="n">
        <v>9500</v>
      </c>
      <c r="L196" s="12" t="n">
        <v>9500</v>
      </c>
      <c r="M196" s="13">
        <f>IF(AND(ISNUMBER(K196),ISNUMBER(L196),K196&gt;0),1-L196/K196,"")</f>
        <v/>
      </c>
      <c r="N196" s="16" t="n">
        <v>0</v>
      </c>
      <c r="O196" s="12" t="n"/>
      <c r="P196" s="12" t="n"/>
      <c r="Q196" s="12" t="n"/>
      <c r="R196" s="14">
        <f>IF(AND(ISNUMBER(L196),ISNUMBER(P196),ISNUMBER(Q196)),L196/((P196+Q196)/2)-1,"")</f>
        <v/>
      </c>
      <c r="S196" s="10" t="n"/>
      <c r="T196" s="15" t="n">
        <v>120000</v>
      </c>
      <c r="U196" s="16" t="n">
        <v>1990</v>
      </c>
      <c r="V196" s="10" t="n"/>
      <c r="W196" s="10" t="inlineStr">
        <is>
          <t>Essence</t>
        </is>
      </c>
      <c r="X196" s="10" t="inlineStr">
        <is>
          <t>Manuelle</t>
        </is>
      </c>
      <c r="Y196" s="16" t="n">
        <v>116</v>
      </c>
      <c r="Z196" s="16" t="n">
        <v>8</v>
      </c>
      <c r="AA196" s="10" t="inlineStr">
        <is>
          <t>Autre</t>
        </is>
      </c>
      <c r="AB196" s="16" t="n">
        <v>2</v>
      </c>
      <c r="AC196" s="10" t="inlineStr">
        <is>
          <t>Cabriolet</t>
        </is>
      </c>
      <c r="AD196" s="10" t="n"/>
      <c r="AE196" s="10" t="n"/>
      <c r="AF196" s="10" t="inlineStr">
        <is>
          <t>Particulier</t>
        </is>
      </c>
      <c r="AG196" s="10" t="inlineStr">
        <is>
          <t>Aumagne</t>
        </is>
      </c>
      <c r="AH196" s="10" t="inlineStr">
        <is>
          <t>17770</t>
        </is>
      </c>
      <c r="AI196" s="10" t="inlineStr">
        <is>
          <t>Charente-Maritime</t>
        </is>
      </c>
      <c r="AJ196" s="10" t="inlineStr">
        <is>
          <t>Poitou-Charentes</t>
        </is>
      </c>
      <c r="AK196" s="16" t="n"/>
      <c r="AL196" s="10" t="n"/>
      <c r="AM196" s="10" t="n"/>
      <c r="AN196" s="10" t="inlineStr">
        <is>
          <t>Je vends ma mx5, il y a une capote à refaire (vitre arrière cassée) je la vends comme ça elle ne sera pas fait pour la vente, elle reste négociable, si vous souhaitez plus d’informations il ne faut pas hésiter</t>
        </is>
      </c>
      <c r="AO196" s="10" t="n"/>
      <c r="AP196" s="19" t="inlineStr">
        <is>
          <t>Voir</t>
        </is>
      </c>
      <c r="AQ196" s="10" t="inlineStr">
        <is>
          <t>3255091039</t>
        </is>
      </c>
    </row>
    <row r="197">
      <c r="A197" s="10" t="inlineStr">
        <is>
          <t>Mazda MX-5 NA</t>
        </is>
      </c>
      <c r="B197" s="10" t="inlineStr">
        <is>
          <t>Mazda Mx5 miata na</t>
        </is>
      </c>
      <c r="C197" s="10" t="n"/>
      <c r="D197" s="10" t="n"/>
      <c r="E197" s="10" t="inlineStr">
        <is>
          <t>En vente</t>
        </is>
      </c>
      <c r="F197" s="18" t="n">
        <v>46265</v>
      </c>
      <c r="G197" s="18" t="n">
        <v>46265</v>
      </c>
      <c r="H197" s="18" t="n">
        <v>46296</v>
      </c>
      <c r="I197" s="18" t="n"/>
      <c r="J197" s="17">
        <f>IF(OR(ISNUMBER(F197),ISNUMBER(G197)),IF(ISNUMBER(I197),I197,H197)-IF(ISNUMBER(F197),F197,G197),"")</f>
        <v/>
      </c>
      <c r="K197" s="12" t="n">
        <v>11500</v>
      </c>
      <c r="L197" s="12" t="n">
        <v>11500</v>
      </c>
      <c r="M197" s="13">
        <f>IF(AND(ISNUMBER(K197),ISNUMBER(L197),K197&gt;0),1-L197/K197,"")</f>
        <v/>
      </c>
      <c r="N197" s="16" t="n">
        <v>0</v>
      </c>
      <c r="O197" s="12" t="n"/>
      <c r="P197" s="12" t="n"/>
      <c r="Q197" s="12" t="n"/>
      <c r="R197" s="14">
        <f>IF(AND(ISNUMBER(L197),ISNUMBER(P197),ISNUMBER(Q197)),L197/((P197+Q197)/2)-1,"")</f>
        <v/>
      </c>
      <c r="S197" s="10" t="n"/>
      <c r="T197" s="15" t="n">
        <v>175000</v>
      </c>
      <c r="U197" s="16" t="n">
        <v>1997</v>
      </c>
      <c r="V197" s="10" t="n"/>
      <c r="W197" s="10" t="inlineStr">
        <is>
          <t>Essence</t>
        </is>
      </c>
      <c r="X197" s="10" t="inlineStr">
        <is>
          <t>Manuelle</t>
        </is>
      </c>
      <c r="Y197" s="16" t="n">
        <v>90</v>
      </c>
      <c r="Z197" s="16" t="n">
        <v>8</v>
      </c>
      <c r="AA197" s="10" t="inlineStr">
        <is>
          <t>Bleu</t>
        </is>
      </c>
      <c r="AB197" s="16" t="n">
        <v>2</v>
      </c>
      <c r="AC197" s="10" t="inlineStr">
        <is>
          <t>Cabriolet</t>
        </is>
      </c>
      <c r="AD197" s="10" t="n"/>
      <c r="AE197" s="10" t="n"/>
      <c r="AF197" s="10" t="inlineStr">
        <is>
          <t>Particulier</t>
        </is>
      </c>
      <c r="AG197" s="10" t="inlineStr">
        <is>
          <t>Orgelet</t>
        </is>
      </c>
      <c r="AH197" s="10" t="inlineStr">
        <is>
          <t>39270</t>
        </is>
      </c>
      <c r="AI197" s="10" t="inlineStr">
        <is>
          <t>Jura</t>
        </is>
      </c>
      <c r="AJ197" s="10" t="inlineStr">
        <is>
          <t>Franche-Comté</t>
        </is>
      </c>
      <c r="AK197" s="16" t="n"/>
      <c r="AL197" s="10" t="n"/>
      <c r="AM197" s="10" t="n"/>
      <c r="AN197" s="10" t="inlineStr">
        <is>
          <t>Je vends ma Mazda MX-5 Miata de 1997, un cabriolet de légende pour les amateurs de sensations. - Marque : Mazda - Modèle : MX-5 Miata - Année : 1997 - Kilométrage : 175 000 km - Motorisation : 1.6 essence 90 ch - Carburant : Essence - Boîte de vitesses : Manuelle - Couleur : Bleu - Type de véhicule : Cabriolet - Nombre de sièges : 2 - Nombre de portes : 2 - Puissance fiscale : 8 Cv - Contrôle technique : Valide jusqu'en 05/2028 Distribution changée 08/2026 Aucune rouille État parfait pour l’âge,</t>
        </is>
      </c>
      <c r="AO197" s="10" t="n"/>
      <c r="AP197" s="19" t="inlineStr">
        <is>
          <t>Voir</t>
        </is>
      </c>
      <c r="AQ197" s="10" t="inlineStr">
        <is>
          <t>3260654659</t>
        </is>
      </c>
    </row>
    <row r="198">
      <c r="A198" s="10" t="inlineStr">
        <is>
          <t>Mazda MX-5 NA</t>
        </is>
      </c>
      <c r="B198" s="10" t="inlineStr">
        <is>
          <t>Mazda Mx5 NBFL Hardtop</t>
        </is>
      </c>
      <c r="C198" s="10" t="n"/>
      <c r="D198" s="10" t="n"/>
      <c r="E198" s="10" t="inlineStr">
        <is>
          <t>En vente</t>
        </is>
      </c>
      <c r="F198" s="18" t="n">
        <v>46270</v>
      </c>
      <c r="G198" s="18" t="n">
        <v>46270</v>
      </c>
      <c r="H198" s="18" t="n">
        <v>46296</v>
      </c>
      <c r="I198" s="18" t="n"/>
      <c r="J198" s="17">
        <f>IF(OR(ISNUMBER(F198),ISNUMBER(G198)),IF(ISNUMBER(I198),I198,H198)-IF(ISNUMBER(F198),F198,G198),"")</f>
        <v/>
      </c>
      <c r="K198" s="12" t="n">
        <v>13000</v>
      </c>
      <c r="L198" s="12" t="n">
        <v>13000</v>
      </c>
      <c r="M198" s="13">
        <f>IF(AND(ISNUMBER(K198),ISNUMBER(L198),K198&gt;0),1-L198/K198,"")</f>
        <v/>
      </c>
      <c r="N198" s="16" t="n">
        <v>0</v>
      </c>
      <c r="O198" s="12" t="n"/>
      <c r="P198" s="12" t="n"/>
      <c r="Q198" s="12" t="n"/>
      <c r="R198" s="14">
        <f>IF(AND(ISNUMBER(L198),ISNUMBER(P198),ISNUMBER(Q198)),L198/((P198+Q198)/2)-1,"")</f>
        <v/>
      </c>
      <c r="S198" s="10" t="n"/>
      <c r="T198" s="15" t="n">
        <v>94000</v>
      </c>
      <c r="U198" s="16" t="n">
        <v>1998</v>
      </c>
      <c r="V198" s="10" t="n"/>
      <c r="W198" s="10" t="inlineStr">
        <is>
          <t>Essence</t>
        </is>
      </c>
      <c r="X198" s="10" t="inlineStr">
        <is>
          <t>Manuelle</t>
        </is>
      </c>
      <c r="Y198" s="16" t="n">
        <v>110</v>
      </c>
      <c r="Z198" s="16" t="n">
        <v>8</v>
      </c>
      <c r="AA198" s="10" t="inlineStr">
        <is>
          <t>Bleu</t>
        </is>
      </c>
      <c r="AB198" s="16" t="n">
        <v>2</v>
      </c>
      <c r="AC198" s="10" t="inlineStr">
        <is>
          <t>Cabriolet</t>
        </is>
      </c>
      <c r="AD198" s="10" t="n"/>
      <c r="AE198" s="10" t="inlineStr"/>
      <c r="AF198" s="10" t="inlineStr">
        <is>
          <t>Particulier</t>
        </is>
      </c>
      <c r="AG198" s="10" t="inlineStr">
        <is>
          <t>Orchies</t>
        </is>
      </c>
      <c r="AH198" s="10" t="inlineStr">
        <is>
          <t>59310</t>
        </is>
      </c>
      <c r="AI198" s="10" t="inlineStr">
        <is>
          <t>Nord</t>
        </is>
      </c>
      <c r="AJ198" s="10" t="inlineStr">
        <is>
          <t>Nord-Pas-de-Calais</t>
        </is>
      </c>
      <c r="AK198" s="16" t="n"/>
      <c r="AL198" s="10" t="n"/>
      <c r="AM198" s="10" t="n"/>
      <c r="AN198" s="10" t="inlineStr">
        <is>
          <t>Je vends ma Mazda MX-5 NBFL Hardtop de 1998, un cabriolet sportif et emblématique. - Marque : Mazda - Modèle : MX-5 NBFL - Année : 1998 - Kilométrage : 94 000 km - Motorisation : 110 Ch - Puissance fiscale : 8 Cv - Carburant : Essence - Boîte de vitesses : Manuelle - Couleur : Bleu - Type de véhicule : Cabriolet - Nombre de portes : 2 - Nombre de sièges : 2 - Contrôle technique : Valide jusqu'en 09/2028 - Équipement : Hardtop N'hésitez pas à me contacter pour plus d'informations ou pour convenir</t>
        </is>
      </c>
      <c r="AO198" s="10" t="n"/>
      <c r="AP198" s="19" t="inlineStr">
        <is>
          <t>Voir</t>
        </is>
      </c>
      <c r="AQ198" s="10" t="inlineStr">
        <is>
          <t>3263224799</t>
        </is>
      </c>
    </row>
    <row r="199">
      <c r="A199" s="10" t="inlineStr">
        <is>
          <t>Mazda MX-5 NA</t>
        </is>
      </c>
      <c r="B199" s="10" t="inlineStr">
        <is>
          <t>Mazda Mx5 Miata 1990</t>
        </is>
      </c>
      <c r="C199" s="10" t="n"/>
      <c r="D199" s="10" t="n"/>
      <c r="E199" s="10" t="inlineStr">
        <is>
          <t>En vente</t>
        </is>
      </c>
      <c r="F199" s="18" t="n">
        <v>46278</v>
      </c>
      <c r="G199" s="18" t="n">
        <v>46278</v>
      </c>
      <c r="H199" s="18" t="n">
        <v>46296</v>
      </c>
      <c r="I199" s="18" t="n"/>
      <c r="J199" s="17">
        <f>IF(OR(ISNUMBER(F199),ISNUMBER(G199)),IF(ISNUMBER(I199),I199,H199)-IF(ISNUMBER(F199),F199,G199),"")</f>
        <v/>
      </c>
      <c r="K199" s="12" t="n">
        <v>9200</v>
      </c>
      <c r="L199" s="12" t="n">
        <v>9200</v>
      </c>
      <c r="M199" s="13">
        <f>IF(AND(ISNUMBER(K199),ISNUMBER(L199),K199&gt;0),1-L199/K199,"")</f>
        <v/>
      </c>
      <c r="N199" s="16" t="n">
        <v>0</v>
      </c>
      <c r="O199" s="12" t="n"/>
      <c r="P199" s="12" t="n"/>
      <c r="Q199" s="12" t="n"/>
      <c r="R199" s="14">
        <f>IF(AND(ISNUMBER(L199),ISNUMBER(P199),ISNUMBER(Q199)),L199/((P199+Q199)/2)-1,"")</f>
        <v/>
      </c>
      <c r="S199" s="10" t="n"/>
      <c r="T199" s="15" t="n">
        <v>110000</v>
      </c>
      <c r="U199" s="16" t="n">
        <v>1990</v>
      </c>
      <c r="V199" s="10" t="n"/>
      <c r="W199" s="10" t="inlineStr">
        <is>
          <t>Essence</t>
        </is>
      </c>
      <c r="X199" s="10" t="inlineStr">
        <is>
          <t>Manuelle</t>
        </is>
      </c>
      <c r="Y199" s="16" t="n">
        <v>115</v>
      </c>
      <c r="Z199" s="16" t="n">
        <v>8</v>
      </c>
      <c r="AA199" s="10" t="inlineStr">
        <is>
          <t>Rouge</t>
        </is>
      </c>
      <c r="AB199" s="16" t="n">
        <v>2</v>
      </c>
      <c r="AC199" s="10" t="inlineStr">
        <is>
          <t>Cabriolet</t>
        </is>
      </c>
      <c r="AD199" s="10" t="n"/>
      <c r="AE199" s="10" t="n"/>
      <c r="AF199" s="10" t="inlineStr">
        <is>
          <t>Particulier</t>
        </is>
      </c>
      <c r="AG199" s="10" t="inlineStr">
        <is>
          <t>Noisy-le-Sec</t>
        </is>
      </c>
      <c r="AH199" s="10" t="inlineStr">
        <is>
          <t>93130</t>
        </is>
      </c>
      <c r="AI199" s="10" t="inlineStr">
        <is>
          <t>Seine-Saint-Denis</t>
        </is>
      </c>
      <c r="AJ199" s="10" t="inlineStr">
        <is>
          <t>Ile-de-France</t>
        </is>
      </c>
      <c r="AK199" s="16" t="n"/>
      <c r="AL199" s="10" t="inlineStr">
        <is>
          <t>Oui</t>
        </is>
      </c>
      <c r="AM199" s="10" t="n"/>
      <c r="AN199" s="10" t="inlineStr">
        <is>
          <t>Jolie Mx5 très bon état, premier modèle Démarre au quart de tour Peinture neuve Clim/cuir Distribution pompe à eau faite Vidange moteur /boite /pont Bougies Durites remplacées en préventif Véhicule qui avait pas roulé pendant 10 ans</t>
        </is>
      </c>
      <c r="AO199" s="10" t="n"/>
      <c r="AP199" s="19" t="inlineStr">
        <is>
          <t>Voir</t>
        </is>
      </c>
      <c r="AQ199" s="10" t="inlineStr">
        <is>
          <t>3269222663</t>
        </is>
      </c>
    </row>
    <row r="200">
      <c r="A200" s="10" t="inlineStr">
        <is>
          <t>Mazda MX-5 NA</t>
        </is>
      </c>
      <c r="B200" s="10" t="inlineStr">
        <is>
          <t>Mazda MX5 décapotable vintage CT</t>
        </is>
      </c>
      <c r="C200" s="10" t="n"/>
      <c r="D200" s="10" t="n"/>
      <c r="E200" s="10" t="inlineStr">
        <is>
          <t>En vente</t>
        </is>
      </c>
      <c r="F200" s="18" t="n">
        <v>46280</v>
      </c>
      <c r="G200" s="18" t="n">
        <v>46280</v>
      </c>
      <c r="H200" s="18" t="n">
        <v>46296</v>
      </c>
      <c r="I200" s="18" t="n"/>
      <c r="J200" s="17">
        <f>IF(OR(ISNUMBER(F200),ISNUMBER(G200)),IF(ISNUMBER(I200),I200,H200)-IF(ISNUMBER(F200),F200,G200),"")</f>
        <v/>
      </c>
      <c r="K200" s="12" t="n">
        <v>3990</v>
      </c>
      <c r="L200" s="12" t="n">
        <v>3990</v>
      </c>
      <c r="M200" s="13">
        <f>IF(AND(ISNUMBER(K200),ISNUMBER(L200),K200&gt;0),1-L200/K200,"")</f>
        <v/>
      </c>
      <c r="N200" s="16" t="n">
        <v>0</v>
      </c>
      <c r="O200" s="12" t="n"/>
      <c r="P200" s="12" t="n"/>
      <c r="Q200" s="12" t="n"/>
      <c r="R200" s="14">
        <f>IF(AND(ISNUMBER(L200),ISNUMBER(P200),ISNUMBER(Q200)),L200/((P200+Q200)/2)-1,"")</f>
        <v/>
      </c>
      <c r="S200" s="10" t="n"/>
      <c r="T200" s="15" t="n">
        <v>198000</v>
      </c>
      <c r="U200" s="16" t="n">
        <v>1998</v>
      </c>
      <c r="V200" s="10" t="n"/>
      <c r="W200" s="10" t="inlineStr">
        <is>
          <t>Essence</t>
        </is>
      </c>
      <c r="X200" s="10" t="inlineStr">
        <is>
          <t>Manuelle</t>
        </is>
      </c>
      <c r="Y200" s="16" t="n">
        <v>110</v>
      </c>
      <c r="Z200" s="16" t="n">
        <v>8</v>
      </c>
      <c r="AA200" s="10" t="inlineStr">
        <is>
          <t>Autre</t>
        </is>
      </c>
      <c r="AB200" s="16" t="n">
        <v>2</v>
      </c>
      <c r="AC200" s="10" t="inlineStr">
        <is>
          <t>Cabriolet</t>
        </is>
      </c>
      <c r="AD200" s="10" t="n"/>
      <c r="AE200" s="10" t="n"/>
      <c r="AF200" s="10" t="inlineStr">
        <is>
          <t>Particulier</t>
        </is>
      </c>
      <c r="AG200" s="10" t="inlineStr">
        <is>
          <t>Pontarlier</t>
        </is>
      </c>
      <c r="AH200" s="10" t="inlineStr">
        <is>
          <t>25300</t>
        </is>
      </c>
      <c r="AI200" s="10" t="inlineStr">
        <is>
          <t>Doubs</t>
        </is>
      </c>
      <c r="AJ200" s="10" t="inlineStr">
        <is>
          <t>Franche-Comté</t>
        </is>
      </c>
      <c r="AK200" s="16" t="n"/>
      <c r="AL200" s="10" t="n"/>
      <c r="AM200" s="10" t="n"/>
      <c r="AN200" s="10" t="inlineStr">
        <is>
          <t>Petite Mazda MX5 de 1998. Roule tous les jours de plus ou moins grands trajets sans danger. 198000 km évolutif, avec un CT jusqu'au 9 novembre 2026. Quelques options. Elle ne passe pas le CT pour de la corrosion sue les deux longerons avant à refaire, et le deux bords de dessous ou il y a un trou d'environ 3cm. Mais malgré tout un non état général. Un peu de rouille sur le côté gauche du coffre levant. Petit problème d'environ 10 secondes qui donne des à coups après 2 minutes de roulage ( filtre</t>
        </is>
      </c>
      <c r="AO200" s="10" t="n"/>
      <c r="AP200" s="19" t="inlineStr">
        <is>
          <t>Voir</t>
        </is>
      </c>
      <c r="AQ200" s="10" t="inlineStr">
        <is>
          <t>3270050795</t>
        </is>
      </c>
    </row>
    <row r="201">
      <c r="A201" s="10" t="inlineStr">
        <is>
          <t>Mazda MX-5 NA</t>
        </is>
      </c>
      <c r="B201" s="10" t="inlineStr">
        <is>
          <t>Mazda MX5 na</t>
        </is>
      </c>
      <c r="C201" s="10" t="n"/>
      <c r="D201" s="10" t="n"/>
      <c r="E201" s="10" t="inlineStr">
        <is>
          <t>En vente</t>
        </is>
      </c>
      <c r="F201" s="18" t="n">
        <v>46280</v>
      </c>
      <c r="G201" s="18" t="n">
        <v>46280</v>
      </c>
      <c r="H201" s="18" t="n">
        <v>46296</v>
      </c>
      <c r="I201" s="18" t="n"/>
      <c r="J201" s="17">
        <f>IF(OR(ISNUMBER(F201),ISNUMBER(G201)),IF(ISNUMBER(I201),I201,H201)-IF(ISNUMBER(F201),F201,G201),"")</f>
        <v/>
      </c>
      <c r="K201" s="12" t="n">
        <v>12500</v>
      </c>
      <c r="L201" s="12" t="n">
        <v>12500</v>
      </c>
      <c r="M201" s="13">
        <f>IF(AND(ISNUMBER(K201),ISNUMBER(L201),K201&gt;0),1-L201/K201,"")</f>
        <v/>
      </c>
      <c r="N201" s="16" t="n">
        <v>0</v>
      </c>
      <c r="O201" s="12" t="n"/>
      <c r="P201" s="12" t="n"/>
      <c r="Q201" s="12" t="n"/>
      <c r="R201" s="14">
        <f>IF(AND(ISNUMBER(L201),ISNUMBER(P201),ISNUMBER(Q201)),L201/((P201+Q201)/2)-1,"")</f>
        <v/>
      </c>
      <c r="S201" s="10" t="n"/>
      <c r="T201" s="15" t="n">
        <v>200000</v>
      </c>
      <c r="U201" s="16" t="n">
        <v>1991</v>
      </c>
      <c r="V201" s="10" t="n"/>
      <c r="W201" s="10" t="inlineStr">
        <is>
          <t>Essence</t>
        </is>
      </c>
      <c r="X201" s="10" t="inlineStr">
        <is>
          <t>Manuelle</t>
        </is>
      </c>
      <c r="Y201" s="16" t="n">
        <v>116</v>
      </c>
      <c r="Z201" s="16" t="n">
        <v>8</v>
      </c>
      <c r="AA201" s="10" t="inlineStr">
        <is>
          <t>Gris</t>
        </is>
      </c>
      <c r="AB201" s="16" t="n">
        <v>2</v>
      </c>
      <c r="AC201" s="10" t="inlineStr">
        <is>
          <t>Cabriolet</t>
        </is>
      </c>
      <c r="AD201" s="10" t="n"/>
      <c r="AE201" s="10" t="n"/>
      <c r="AF201" s="10" t="inlineStr">
        <is>
          <t>Particulier</t>
        </is>
      </c>
      <c r="AG201" s="10" t="inlineStr">
        <is>
          <t>Les Andelys</t>
        </is>
      </c>
      <c r="AH201" s="10" t="inlineStr">
        <is>
          <t>27700</t>
        </is>
      </c>
      <c r="AI201" s="10" t="inlineStr">
        <is>
          <t>Eure</t>
        </is>
      </c>
      <c r="AJ201" s="10" t="inlineStr">
        <is>
          <t>Haute-Normandie</t>
        </is>
      </c>
      <c r="AK201" s="16" t="n"/>
      <c r="AL201" s="10" t="n"/>
      <c r="AM201" s="10" t="n"/>
      <c r="AN201" s="10" t="inlineStr">
        <is>
          <t>Bonjour, Je vends ma Mazda MX-5 de 1991. - Marque : Mazda - Modèle : MX-5 - Année : 1991 - Kilométrage : 200 000 km - Motorisation : 116 Ch - Carburant : Essence - Boîte de vitesses : Manuelle - Couleur : Gris - Type de véhicule : Cabriolet - Nombre de sièges : 2 - Nombre de portes : 2 La voiture est en super état. Il n’y a rien à prévoir. N'hésitez pas à me contacter pour plus d'informations, photos etc…</t>
        </is>
      </c>
      <c r="AO201" s="10" t="n"/>
      <c r="AP201" s="19" t="inlineStr">
        <is>
          <t>Voir</t>
        </is>
      </c>
      <c r="AQ201" s="10" t="inlineStr">
        <is>
          <t>3270458808</t>
        </is>
      </c>
    </row>
    <row r="202">
      <c r="A202" s="10" t="inlineStr">
        <is>
          <t>Mazda MX-5 NA</t>
        </is>
      </c>
      <c r="B202" s="10" t="inlineStr">
        <is>
          <t>Mazda MX5</t>
        </is>
      </c>
      <c r="C202" s="10" t="n"/>
      <c r="D202" s="10" t="n"/>
      <c r="E202" s="10" t="inlineStr">
        <is>
          <t>En vente</t>
        </is>
      </c>
      <c r="F202" s="18" t="n">
        <v>46296</v>
      </c>
      <c r="G202" s="18" t="n">
        <v>46296</v>
      </c>
      <c r="H202" s="18" t="n">
        <v>46296</v>
      </c>
      <c r="I202" s="18" t="n"/>
      <c r="J202" s="17">
        <f>IF(OR(ISNUMBER(F202),ISNUMBER(G202)),IF(ISNUMBER(I202),I202,H202)-IF(ISNUMBER(F202),F202,G202),"")</f>
        <v/>
      </c>
      <c r="K202" s="12" t="n">
        <v>11200</v>
      </c>
      <c r="L202" s="12" t="n">
        <v>11200</v>
      </c>
      <c r="M202" s="13">
        <f>IF(AND(ISNUMBER(K202),ISNUMBER(L202),K202&gt;0),1-L202/K202,"")</f>
        <v/>
      </c>
      <c r="N202" s="16" t="n">
        <v>0</v>
      </c>
      <c r="O202" s="12" t="n"/>
      <c r="P202" s="12" t="n"/>
      <c r="Q202" s="12" t="n"/>
      <c r="R202" s="14">
        <f>IF(AND(ISNUMBER(L202),ISNUMBER(P202),ISNUMBER(Q202)),L202/((P202+Q202)/2)-1,"")</f>
        <v/>
      </c>
      <c r="S202" s="10" t="n"/>
      <c r="T202" s="15" t="n">
        <v>173384</v>
      </c>
      <c r="U202" s="16" t="n">
        <v>1997</v>
      </c>
      <c r="V202" s="10" t="n"/>
      <c r="W202" s="10" t="inlineStr">
        <is>
          <t>Essence</t>
        </is>
      </c>
      <c r="X202" s="10" t="inlineStr">
        <is>
          <t>Manuelle</t>
        </is>
      </c>
      <c r="Y202" s="16" t="n">
        <v>130</v>
      </c>
      <c r="Z202" s="16" t="n">
        <v>10</v>
      </c>
      <c r="AA202" s="10" t="inlineStr">
        <is>
          <t>Bleu</t>
        </is>
      </c>
      <c r="AB202" s="16" t="n">
        <v>2</v>
      </c>
      <c r="AC202" s="10" t="inlineStr">
        <is>
          <t>Cabriolet</t>
        </is>
      </c>
      <c r="AD202" s="10" t="n"/>
      <c r="AE202" s="10" t="n"/>
      <c r="AF202" s="10" t="inlineStr">
        <is>
          <t>Particulier</t>
        </is>
      </c>
      <c r="AG202" s="10" t="inlineStr">
        <is>
          <t>Laval-sur-Doulon</t>
        </is>
      </c>
      <c r="AH202" s="10" t="inlineStr">
        <is>
          <t>43440</t>
        </is>
      </c>
      <c r="AI202" s="10" t="inlineStr">
        <is>
          <t>Haute-Loire</t>
        </is>
      </c>
      <c r="AJ202" s="10" t="inlineStr">
        <is>
          <t>Auvergne</t>
        </is>
      </c>
      <c r="AK202" s="16" t="n"/>
      <c r="AL202" s="10" t="n"/>
      <c r="AM202" s="10" t="n"/>
      <c r="AN202" s="10" t="inlineStr">
        <is>
          <t>A vendre Mazda MX-5 NA (1ère génération) 1.8L de 130 ch (10 CV fiscaux) mise en circulation en mars 1997. ​Véhicule volant à gauche (LHD) d'origine, carte grise française à jour. ​Kilométrage: 173 500 km évolutifs ​Contrôle Technique: Valide (moins de 6 mois) ​Motorisation: 1.8L essence 130 ch (version la plus recherchée, moteur sain et vif) ​Transmissions / Boîte: Manuelle 5 rapports ​État &amp; Entretien: ​Freins neufs (plaquettes / disques récents) ​Carrosserie très propre, lustrée et polie (très</t>
        </is>
      </c>
      <c r="AO202" s="10" t="n"/>
      <c r="AP202" s="19" t="inlineStr">
        <is>
          <t>Voir</t>
        </is>
      </c>
      <c r="AQ202" s="10" t="inlineStr">
        <is>
          <t>3280227190</t>
        </is>
      </c>
    </row>
    <row r="203">
      <c r="A203" s="10" t="inlineStr">
        <is>
          <t>Peugeot 205 GTI</t>
        </is>
      </c>
      <c r="B203" s="10" t="inlineStr">
        <is>
          <t>205 Gti 1l9 130cv</t>
        </is>
      </c>
      <c r="C203" s="10" t="n"/>
      <c r="D203" s="10" t="n"/>
      <c r="E203" s="10" t="inlineStr">
        <is>
          <t>En vente</t>
        </is>
      </c>
      <c r="F203" s="18" t="n">
        <v>46305</v>
      </c>
      <c r="G203" s="18" t="n">
        <v>46305</v>
      </c>
      <c r="H203" s="18" t="n">
        <v>46310</v>
      </c>
      <c r="I203" s="18" t="n"/>
      <c r="J203" s="17">
        <f>IF(OR(ISNUMBER(F203),ISNUMBER(G203)),IF(ISNUMBER(I203),I203,H203)-IF(ISNUMBER(F203),F203,G203),"")</f>
        <v/>
      </c>
      <c r="K203" s="12" t="n">
        <v>23500</v>
      </c>
      <c r="L203" s="12" t="n">
        <v>23500</v>
      </c>
      <c r="M203" s="13">
        <f>IF(AND(ISNUMBER(K203),ISNUMBER(L203),K203&gt;0),1-L203/K203,"")</f>
        <v/>
      </c>
      <c r="N203" s="16" t="n">
        <v>0</v>
      </c>
      <c r="O203" s="12" t="n"/>
      <c r="P203" s="12" t="n"/>
      <c r="Q203" s="12" t="n"/>
      <c r="R203" s="14">
        <f>IF(AND(ISNUMBER(L203),ISNUMBER(P203),ISNUMBER(Q203)),L203/((P203+Q203)/2)-1,"")</f>
        <v/>
      </c>
      <c r="S203" s="10" t="n"/>
      <c r="T203" s="15" t="n">
        <v>137000</v>
      </c>
      <c r="U203" s="16" t="n">
        <v>1989</v>
      </c>
      <c r="V203" s="10" t="inlineStr">
        <is>
          <t>01/1989</t>
        </is>
      </c>
      <c r="W203" s="10" t="inlineStr">
        <is>
          <t>Essence</t>
        </is>
      </c>
      <c r="X203" s="10" t="inlineStr">
        <is>
          <t>Manuelle</t>
        </is>
      </c>
      <c r="Y203" s="16" t="n">
        <v>130</v>
      </c>
      <c r="Z203" s="16" t="n"/>
      <c r="AA203" s="10" t="inlineStr">
        <is>
          <t>Rouge</t>
        </is>
      </c>
      <c r="AB203" s="16" t="n">
        <v>3</v>
      </c>
      <c r="AC203" s="10" t="inlineStr">
        <is>
          <t>Citadine</t>
        </is>
      </c>
      <c r="AD203" s="10" t="n"/>
      <c r="AE203" s="10" t="n"/>
      <c r="AF203" s="10" t="inlineStr">
        <is>
          <t>Particulier</t>
        </is>
      </c>
      <c r="AG203" s="10" t="inlineStr">
        <is>
          <t>Delle</t>
        </is>
      </c>
      <c r="AH203" s="10" t="inlineStr">
        <is>
          <t>90100</t>
        </is>
      </c>
      <c r="AI203" s="10" t="inlineStr">
        <is>
          <t>Territoire de Belfort</t>
        </is>
      </c>
      <c r="AJ203" s="10" t="inlineStr">
        <is>
          <t>Franche-Comté</t>
        </is>
      </c>
      <c r="AK203" s="16" t="n">
        <v>3</v>
      </c>
      <c r="AL203" s="10" t="n"/>
      <c r="AM203" s="10" t="inlineStr">
        <is>
          <t>Non</t>
        </is>
      </c>
      <c r="AN203" s="10" t="inlineStr">
        <is>
          <t>Vends 205 gti 1l9 130 cv 01/1987 centralisation,ja et pneus neufs,distribution changée,peinture tefaote à neuf...</t>
        </is>
      </c>
      <c r="AO203" s="10" t="inlineStr">
        <is>
          <t>vehicle_technical_inspection_valid : Non ; Permis : Avec permis ; Importé : false ; car_rotation_delay : 24</t>
        </is>
      </c>
      <c r="AP203" s="19" t="inlineStr">
        <is>
          <t>Voir</t>
        </is>
      </c>
      <c r="AQ203" s="10" t="inlineStr">
        <is>
          <t>2293375817</t>
        </is>
      </c>
    </row>
    <row r="204">
      <c r="A204" s="10" t="inlineStr">
        <is>
          <t>Peugeot 205 GTI</t>
        </is>
      </c>
      <c r="B204" s="10" t="inlineStr">
        <is>
          <t>Peugeot 205 Gti 1.9 vert sorrento 1991 moteur refait à neuf</t>
        </is>
      </c>
      <c r="C204" s="10" t="n"/>
      <c r="D204" s="10" t="n"/>
      <c r="E204" s="10" t="inlineStr">
        <is>
          <t>En vente</t>
        </is>
      </c>
      <c r="F204" s="18" t="n">
        <v>46251</v>
      </c>
      <c r="G204" s="18" t="n">
        <v>46251</v>
      </c>
      <c r="H204" s="18" t="n">
        <v>46310</v>
      </c>
      <c r="I204" s="18" t="n"/>
      <c r="J204" s="17">
        <f>IF(OR(ISNUMBER(F204),ISNUMBER(G204)),IF(ISNUMBER(I204),I204,H204)-IF(ISNUMBER(F204),F204,G204),"")</f>
        <v/>
      </c>
      <c r="K204" s="12" t="n">
        <v>21000</v>
      </c>
      <c r="L204" s="12" t="n">
        <v>21000</v>
      </c>
      <c r="M204" s="13">
        <f>IF(AND(ISNUMBER(K204),ISNUMBER(L204),K204&gt;0),1-L204/K204,"")</f>
        <v/>
      </c>
      <c r="N204" s="16" t="n">
        <v>0</v>
      </c>
      <c r="O204" s="12" t="n">
        <v>23990</v>
      </c>
      <c r="P204" s="12" t="n"/>
      <c r="Q204" s="12" t="n"/>
      <c r="R204" s="14">
        <f>IF(AND(ISNUMBER(L204),ISNUMBER(P204),ISNUMBER(Q204)),L204/((P204+Q204)/2)-1,"")</f>
        <v/>
      </c>
      <c r="S204" s="10" t="n"/>
      <c r="T204" s="15" t="n">
        <v>1000</v>
      </c>
      <c r="U204" s="16" t="n">
        <v>1991</v>
      </c>
      <c r="V204" s="10" t="inlineStr">
        <is>
          <t>04/1991</t>
        </is>
      </c>
      <c r="W204" s="10" t="inlineStr">
        <is>
          <t>Essence</t>
        </is>
      </c>
      <c r="X204" s="10" t="inlineStr">
        <is>
          <t>Manuelle</t>
        </is>
      </c>
      <c r="Y204" s="16" t="n">
        <v>130</v>
      </c>
      <c r="Z204" s="16" t="n">
        <v>9</v>
      </c>
      <c r="AA204" s="10" t="inlineStr">
        <is>
          <t>Vert</t>
        </is>
      </c>
      <c r="AB204" s="16" t="n">
        <v>3</v>
      </c>
      <c r="AC204" s="10" t="inlineStr">
        <is>
          <t>Citadine</t>
        </is>
      </c>
      <c r="AD204" s="10" t="n"/>
      <c r="AE204" s="10" t="n"/>
      <c r="AF204" s="10" t="inlineStr">
        <is>
          <t>Pro</t>
        </is>
      </c>
      <c r="AG204" s="10" t="inlineStr">
        <is>
          <t>La Rochelle</t>
        </is>
      </c>
      <c r="AH204" s="10" t="inlineStr">
        <is>
          <t>17000</t>
        </is>
      </c>
      <c r="AI204" s="10" t="inlineStr">
        <is>
          <t>Charente-Maritime</t>
        </is>
      </c>
      <c r="AJ204" s="10" t="inlineStr">
        <is>
          <t>Poitou-Charentes</t>
        </is>
      </c>
      <c r="AK204" s="16" t="n">
        <v>8</v>
      </c>
      <c r="AL204" s="10" t="inlineStr">
        <is>
          <t>Oui</t>
        </is>
      </c>
      <c r="AM204" s="10" t="inlineStr">
        <is>
          <t>Non</t>
        </is>
      </c>
      <c r="AN204" s="10" t="inlineStr">
        <is>
          <t>PEUGEOT 205 GTI 1.9 – 130 CH Vert Sorento • 3 portes • Toit ouvrant • Moteur refait à neuf Une véritable icône automobile française dans une configuration particulièrement séduisante. Cette Peugeot 205 GTI 1.9 de 130 ch, mise en circulation le 02/09/1991, se présente dans son emblématique teinte Vert Sorento et bénéficie d'un moteur entièrement refait à neuf. 🔥 MOTEUR &amp; TRAVAUX Moteur refait à neuf Environ 500 km depuis la réfection 8 000 € de travaux réalisés Facture disponible Liste détaillée</t>
        </is>
      </c>
      <c r="AO204" s="10" t="inlineStr">
        <is>
          <t>vehicle_technical_inspection_valid : Non ; Dommages : Bon état général ; Sellerie : Cuir partiel ; Permis : Avec permis ; Vente en LOA/LLD : Non ; VO récent : false ; vehicle_commercial_warranty : Non ; vehicle_manufacturer_warranty : Non ; Importé : false ; vehicle_history_report_status : visible ; spare_parts_availability : Non renseignée</t>
        </is>
      </c>
      <c r="AP204" s="19" t="inlineStr">
        <is>
          <t>Voir</t>
        </is>
      </c>
      <c r="AQ204" s="10" t="inlineStr">
        <is>
          <t>3175837683</t>
        </is>
      </c>
    </row>
    <row r="205">
      <c r="A205" s="10" t="inlineStr">
        <is>
          <t>Peugeot 205 GTI</t>
        </is>
      </c>
      <c r="B205" s="10" t="inlineStr">
        <is>
          <t>205 gti 1,6 1984</t>
        </is>
      </c>
      <c r="C205" s="10" t="n"/>
      <c r="D205" s="10" t="n"/>
      <c r="E205" s="10" t="inlineStr">
        <is>
          <t>En vente</t>
        </is>
      </c>
      <c r="F205" s="18" t="n">
        <v>46298</v>
      </c>
      <c r="G205" s="18" t="n">
        <v>46298</v>
      </c>
      <c r="H205" s="18" t="n">
        <v>46310</v>
      </c>
      <c r="I205" s="18" t="n"/>
      <c r="J205" s="17">
        <f>IF(OR(ISNUMBER(F205),ISNUMBER(G205)),IF(ISNUMBER(I205),I205,H205)-IF(ISNUMBER(F205),F205,G205),"")</f>
        <v/>
      </c>
      <c r="K205" s="12" t="n">
        <v>22000</v>
      </c>
      <c r="L205" s="12" t="n">
        <v>22000</v>
      </c>
      <c r="M205" s="13">
        <f>IF(AND(ISNUMBER(K205),ISNUMBER(L205),K205&gt;0),1-L205/K205,"")</f>
        <v/>
      </c>
      <c r="N205" s="16" t="n">
        <v>0</v>
      </c>
      <c r="O205" s="12" t="n">
        <v>23000</v>
      </c>
      <c r="P205" s="12" t="n"/>
      <c r="Q205" s="12" t="n"/>
      <c r="R205" s="14">
        <f>IF(AND(ISNUMBER(L205),ISNUMBER(P205),ISNUMBER(Q205)),L205/((P205+Q205)/2)-1,"")</f>
        <v/>
      </c>
      <c r="S205" s="10" t="n"/>
      <c r="T205" s="15" t="n">
        <v>232000</v>
      </c>
      <c r="U205" s="16" t="n">
        <v>1984</v>
      </c>
      <c r="V205" s="10" t="inlineStr">
        <is>
          <t>06/1984</t>
        </is>
      </c>
      <c r="W205" s="10" t="inlineStr">
        <is>
          <t>Essence</t>
        </is>
      </c>
      <c r="X205" s="10" t="inlineStr">
        <is>
          <t>Manuelle</t>
        </is>
      </c>
      <c r="Y205" s="16" t="n"/>
      <c r="Z205" s="16" t="n"/>
      <c r="AA205" s="10" t="inlineStr">
        <is>
          <t>Noir</t>
        </is>
      </c>
      <c r="AB205" s="16" t="n"/>
      <c r="AC205" s="10" t="n"/>
      <c r="AD205" s="10" t="n"/>
      <c r="AE205" s="10" t="n"/>
      <c r="AF205" s="10" t="inlineStr">
        <is>
          <t>Particulier</t>
        </is>
      </c>
      <c r="AG205" s="10" t="inlineStr">
        <is>
          <t>Bourbon-Lancy</t>
        </is>
      </c>
      <c r="AH205" s="10" t="inlineStr">
        <is>
          <t>71140</t>
        </is>
      </c>
      <c r="AI205" s="10" t="inlineStr">
        <is>
          <t>Saône-et-Loire</t>
        </is>
      </c>
      <c r="AJ205" s="10" t="inlineStr">
        <is>
          <t>Bourgogne</t>
        </is>
      </c>
      <c r="AK205" s="16" t="n">
        <v>3</v>
      </c>
      <c r="AL205" s="10" t="n"/>
      <c r="AM205" s="10" t="inlineStr">
        <is>
          <t>Non</t>
        </is>
      </c>
      <c r="AN205" s="10" t="inlineStr">
        <is>
          <t xml:space="preserve">Je vends ma Peugeot 205 GTI de 1984, une voiture de collection en excellent état. Parue dans le magazine GAZOLINE de janvier 2024 Entièrement d’origine Club 205 GTI - Marque : Peugeot - Modèle : 205 GTI - Année : 1984 - Kilométrage : 232 000 km - Motorisation : 1,6 L Essence - Boîte de vitesses : Manuelle - Couleur : Noir - Contrôle technique : Valide jusqu'en 01/2028 Peinture en bon état Intérieur refait à neuf Dernière révision en février 2025 Distribution , vidange, filtres etc N'hésitez pas </t>
        </is>
      </c>
      <c r="AO205" s="10" t="inlineStr">
        <is>
          <t>Dommages : Excellent état (proche du neuf) ; Sellerie : Tissu ; Permis : Avec permis ; Importé : false</t>
        </is>
      </c>
      <c r="AP205" s="19" t="inlineStr">
        <is>
          <t>Voir</t>
        </is>
      </c>
      <c r="AQ205" s="10" t="inlineStr">
        <is>
          <t>3206868741</t>
        </is>
      </c>
    </row>
    <row r="206">
      <c r="A206" s="10" t="inlineStr">
        <is>
          <t>Peugeot 205 GTI</t>
        </is>
      </c>
      <c r="B206" s="10" t="inlineStr">
        <is>
          <t>Peugeot 205 1.6 GTI 105CH</t>
        </is>
      </c>
      <c r="C206" s="10" t="inlineStr">
        <is>
          <t>205 1.6 Automatic 3p</t>
        </is>
      </c>
      <c r="D206" s="10" t="inlineStr">
        <is>
          <t>Automatic</t>
        </is>
      </c>
      <c r="E206" s="10" t="inlineStr">
        <is>
          <t>En vente</t>
        </is>
      </c>
      <c r="F206" s="18" t="n">
        <v>46285</v>
      </c>
      <c r="G206" s="18" t="n">
        <v>46285</v>
      </c>
      <c r="H206" s="18" t="n">
        <v>46310</v>
      </c>
      <c r="I206" s="18" t="n"/>
      <c r="J206" s="17">
        <f>IF(OR(ISNUMBER(F206),ISNUMBER(G206)),IF(ISNUMBER(I206),I206,H206)-IF(ISNUMBER(F206),F206,G206),"")</f>
        <v/>
      </c>
      <c r="K206" s="12" t="n">
        <v>12000</v>
      </c>
      <c r="L206" s="12" t="n">
        <v>12000</v>
      </c>
      <c r="M206" s="13">
        <f>IF(AND(ISNUMBER(K206),ISNUMBER(L206),K206&gt;0),1-L206/K206,"")</f>
        <v/>
      </c>
      <c r="N206" s="16" t="n">
        <v>0</v>
      </c>
      <c r="O206" s="12" t="n">
        <v>15000</v>
      </c>
      <c r="P206" s="12" t="n"/>
      <c r="Q206" s="12" t="n"/>
      <c r="R206" s="14">
        <f>IF(AND(ISNUMBER(L206),ISNUMBER(P206),ISNUMBER(Q206)),L206/((P206+Q206)/2)-1,"")</f>
        <v/>
      </c>
      <c r="S206" s="10" t="n"/>
      <c r="T206" s="15" t="n">
        <v>87105</v>
      </c>
      <c r="U206" s="16" t="n">
        <v>1986</v>
      </c>
      <c r="V206" s="10" t="inlineStr">
        <is>
          <t>05/1986</t>
        </is>
      </c>
      <c r="W206" s="10" t="inlineStr">
        <is>
          <t>Essence</t>
        </is>
      </c>
      <c r="X206" s="10" t="inlineStr">
        <is>
          <t>Manuelle</t>
        </is>
      </c>
      <c r="Y206" s="16" t="n">
        <v>105</v>
      </c>
      <c r="Z206" s="16" t="n"/>
      <c r="AA206" s="10" t="inlineStr">
        <is>
          <t>Blanc</t>
        </is>
      </c>
      <c r="AB206" s="16" t="n">
        <v>3</v>
      </c>
      <c r="AC206" s="10" t="inlineStr">
        <is>
          <t>Berline</t>
        </is>
      </c>
      <c r="AD206" s="10" t="n"/>
      <c r="AE206" s="10" t="n"/>
      <c r="AF206" s="10" t="inlineStr">
        <is>
          <t>Pro</t>
        </is>
      </c>
      <c r="AG206" s="10" t="inlineStr">
        <is>
          <t>Launaguet</t>
        </is>
      </c>
      <c r="AH206" s="10" t="inlineStr">
        <is>
          <t>31140</t>
        </is>
      </c>
      <c r="AI206" s="10" t="inlineStr">
        <is>
          <t>Haute-Garonne</t>
        </is>
      </c>
      <c r="AJ206" s="10" t="inlineStr">
        <is>
          <t>Midi-Pyrénées</t>
        </is>
      </c>
      <c r="AK206" s="16" t="n">
        <v>5</v>
      </c>
      <c r="AL206" s="10" t="inlineStr">
        <is>
          <t>Oui</t>
        </is>
      </c>
      <c r="AM206" s="10" t="inlineStr">
        <is>
          <t>Non</t>
        </is>
      </c>
      <c r="AN206" s="10" t="inlineStr">
        <is>
          <t>Peugeot 205 1.6 GTI 105CH, (Berline), BLANC, 0cv, 3 portes, mise en circulation le 15-05-1986. 4 places, couleur intérieur : NOIR, boîte de vitesse : manuelle OPTIONS ET EQUIPEMENTS : Autres équipements et informations : - VENDU SANS CT SANS GARANTIE DANS L'ETAT Kilométrage non garanti. Référence annonce : 892</t>
        </is>
      </c>
      <c r="AO206" s="10" t="inlineStr">
        <is>
          <t>Permis : Avec permis ; VO récent : false ; custom_ref : 892 ; Importé : true ; vehicle_history_report_status : visible ; spare_parts_availability : 10 ans</t>
        </is>
      </c>
      <c r="AP206" s="19" t="inlineStr">
        <is>
          <t>Voir</t>
        </is>
      </c>
      <c r="AQ206" s="10" t="inlineStr">
        <is>
          <t>3208497714</t>
        </is>
      </c>
    </row>
    <row r="207">
      <c r="A207" s="10" t="inlineStr">
        <is>
          <t>Peugeot 205 GTI</t>
        </is>
      </c>
      <c r="B207" s="10" t="inlineStr">
        <is>
          <t>205 gti</t>
        </is>
      </c>
      <c r="C207" s="10" t="n"/>
      <c r="D207" s="10" t="n"/>
      <c r="E207" s="10" t="inlineStr">
        <is>
          <t>En vente</t>
        </is>
      </c>
      <c r="F207" s="18" t="n">
        <v>46285</v>
      </c>
      <c r="G207" s="18" t="n">
        <v>46285</v>
      </c>
      <c r="H207" s="18" t="n">
        <v>46310</v>
      </c>
      <c r="I207" s="18" t="n"/>
      <c r="J207" s="17">
        <f>IF(OR(ISNUMBER(F207),ISNUMBER(G207)),IF(ISNUMBER(I207),I207,H207)-IF(ISNUMBER(F207),F207,G207),"")</f>
        <v/>
      </c>
      <c r="K207" s="12" t="n">
        <v>25000</v>
      </c>
      <c r="L207" s="12" t="n">
        <v>25000</v>
      </c>
      <c r="M207" s="13">
        <f>IF(AND(ISNUMBER(K207),ISNUMBER(L207),K207&gt;0),1-L207/K207,"")</f>
        <v/>
      </c>
      <c r="N207" s="16" t="n">
        <v>0</v>
      </c>
      <c r="O207" s="12" t="n"/>
      <c r="P207" s="12" t="n"/>
      <c r="Q207" s="12" t="n"/>
      <c r="R207" s="14">
        <f>IF(AND(ISNUMBER(L207),ISNUMBER(P207),ISNUMBER(Q207)),L207/((P207+Q207)/2)-1,"")</f>
        <v/>
      </c>
      <c r="S207" s="10" t="n"/>
      <c r="T207" s="15" t="n">
        <v>56217</v>
      </c>
      <c r="U207" s="16" t="n">
        <v>1992</v>
      </c>
      <c r="V207" s="10" t="inlineStr">
        <is>
          <t>10/1992</t>
        </is>
      </c>
      <c r="W207" s="10" t="inlineStr">
        <is>
          <t>Essence</t>
        </is>
      </c>
      <c r="X207" s="10" t="inlineStr">
        <is>
          <t>Manuelle</t>
        </is>
      </c>
      <c r="Y207" s="16" t="n">
        <v>60</v>
      </c>
      <c r="Z207" s="16" t="n">
        <v>5</v>
      </c>
      <c r="AA207" s="10" t="inlineStr">
        <is>
          <t>Vert</t>
        </is>
      </c>
      <c r="AB207" s="16" t="n">
        <v>3</v>
      </c>
      <c r="AC207" s="10" t="inlineStr">
        <is>
          <t>Berline</t>
        </is>
      </c>
      <c r="AD207" s="10" t="n"/>
      <c r="AE207" s="10" t="n"/>
      <c r="AF207" s="10" t="inlineStr">
        <is>
          <t>Particulier</t>
        </is>
      </c>
      <c r="AG207" s="10" t="inlineStr">
        <is>
          <t>Saint-Floxel</t>
        </is>
      </c>
      <c r="AH207" s="10" t="inlineStr">
        <is>
          <t>50310</t>
        </is>
      </c>
      <c r="AI207" s="10" t="inlineStr">
        <is>
          <t>Manche</t>
        </is>
      </c>
      <c r="AJ207" s="10" t="inlineStr">
        <is>
          <t>Basse-Normandie</t>
        </is>
      </c>
      <c r="AK207" s="16" t="n">
        <v>3</v>
      </c>
      <c r="AL207" s="10" t="n"/>
      <c r="AM207" s="10" t="inlineStr">
        <is>
          <t>Non</t>
        </is>
      </c>
      <c r="AN207" s="10" t="inlineStr">
        <is>
          <t>Vend 205 gti verte sorento Superbe état Sellerie ok</t>
        </is>
      </c>
      <c r="AO207" s="10" t="inlineStr">
        <is>
          <t>vehicle_technical_inspection_valid : Non ; Sellerie : Tout cuir ; Permis : Avec permis ; Importé : false</t>
        </is>
      </c>
      <c r="AP207" s="19" t="inlineStr">
        <is>
          <t>Voir</t>
        </is>
      </c>
      <c r="AQ207" s="10" t="inlineStr">
        <is>
          <t>3226018309</t>
        </is>
      </c>
    </row>
    <row r="208">
      <c r="A208" s="10" t="inlineStr">
        <is>
          <t>Peugeot 205 GTI</t>
        </is>
      </c>
      <c r="B208" s="10" t="inlineStr">
        <is>
          <t>205 gti 1l6</t>
        </is>
      </c>
      <c r="C208" s="10" t="n"/>
      <c r="D208" s="10" t="n"/>
      <c r="E208" s="10" t="inlineStr">
        <is>
          <t>En vente</t>
        </is>
      </c>
      <c r="F208" s="18" t="n">
        <v>46284</v>
      </c>
      <c r="G208" s="18" t="n">
        <v>46284</v>
      </c>
      <c r="H208" s="18" t="n">
        <v>46310</v>
      </c>
      <c r="I208" s="18" t="n"/>
      <c r="J208" s="17">
        <f>IF(OR(ISNUMBER(F208),ISNUMBER(G208)),IF(ISNUMBER(I208),I208,H208)-IF(ISNUMBER(F208),F208,G208),"")</f>
        <v/>
      </c>
      <c r="K208" s="12" t="n">
        <v>11500</v>
      </c>
      <c r="L208" s="12" t="n">
        <v>11500</v>
      </c>
      <c r="M208" s="13">
        <f>IF(AND(ISNUMBER(K208),ISNUMBER(L208),K208&gt;0),1-L208/K208,"")</f>
        <v/>
      </c>
      <c r="N208" s="16" t="n">
        <v>0</v>
      </c>
      <c r="O208" s="12" t="n"/>
      <c r="P208" s="12" t="n"/>
      <c r="Q208" s="12" t="n"/>
      <c r="R208" s="14">
        <f>IF(AND(ISNUMBER(L208),ISNUMBER(P208),ISNUMBER(Q208)),L208/((P208+Q208)/2)-1,"")</f>
        <v/>
      </c>
      <c r="S208" s="10" t="n"/>
      <c r="T208" s="15" t="n">
        <v>180000</v>
      </c>
      <c r="U208" s="16" t="n">
        <v>1986</v>
      </c>
      <c r="V208" s="10" t="n"/>
      <c r="W208" s="10" t="inlineStr">
        <is>
          <t>Essence</t>
        </is>
      </c>
      <c r="X208" s="10" t="inlineStr">
        <is>
          <t>Manuelle</t>
        </is>
      </c>
      <c r="Y208" s="16" t="n"/>
      <c r="Z208" s="16" t="n"/>
      <c r="AA208" s="10" t="inlineStr">
        <is>
          <t>Gris</t>
        </is>
      </c>
      <c r="AB208" s="16" t="n">
        <v>3</v>
      </c>
      <c r="AC208" s="10" t="inlineStr">
        <is>
          <t>Citadine</t>
        </is>
      </c>
      <c r="AD208" s="10" t="n"/>
      <c r="AE208" s="10" t="n"/>
      <c r="AF208" s="10" t="inlineStr">
        <is>
          <t>Particulier</t>
        </is>
      </c>
      <c r="AG208" s="10" t="inlineStr">
        <is>
          <t>La Roche-sur-Foron</t>
        </is>
      </c>
      <c r="AH208" s="10" t="inlineStr">
        <is>
          <t>74800</t>
        </is>
      </c>
      <c r="AI208" s="10" t="inlineStr">
        <is>
          <t>Haute-Savoie</t>
        </is>
      </c>
      <c r="AJ208" s="10" t="inlineStr">
        <is>
          <t>Rhône-Alpes</t>
        </is>
      </c>
      <c r="AK208" s="16" t="n">
        <v>3</v>
      </c>
      <c r="AL208" s="10" t="n"/>
      <c r="AM208" s="10" t="inlineStr">
        <is>
          <t>Non</t>
        </is>
      </c>
      <c r="AN208" s="10" t="inlineStr">
        <is>
          <t>Vends 205 gti 1l6 Pour plus d’informations contactez moi via la messagerie du bon coin ? Prix 11500euros Km180000</t>
        </is>
      </c>
      <c r="AO208" s="10" t="inlineStr">
        <is>
          <t>Sellerie : Tissu ; Permis : Avec permis ; Importé : false</t>
        </is>
      </c>
      <c r="AP208" s="19" t="inlineStr">
        <is>
          <t>Voir</t>
        </is>
      </c>
      <c r="AQ208" s="10" t="inlineStr">
        <is>
          <t>3236436226</t>
        </is>
      </c>
    </row>
    <row r="209">
      <c r="A209" s="10" t="inlineStr">
        <is>
          <t>Peugeot 205 GTI</t>
        </is>
      </c>
      <c r="B209" s="10" t="inlineStr">
        <is>
          <t>205 gti</t>
        </is>
      </c>
      <c r="C209" s="10" t="n"/>
      <c r="D209" s="10" t="n"/>
      <c r="E209" s="10" t="inlineStr">
        <is>
          <t>En vente</t>
        </is>
      </c>
      <c r="F209" s="18" t="n">
        <v>46263</v>
      </c>
      <c r="G209" s="18" t="n">
        <v>46263</v>
      </c>
      <c r="H209" s="18" t="n">
        <v>46310</v>
      </c>
      <c r="I209" s="18" t="n"/>
      <c r="J209" s="17">
        <f>IF(OR(ISNUMBER(F209),ISNUMBER(G209)),IF(ISNUMBER(I209),I209,H209)-IF(ISNUMBER(F209),F209,G209),"")</f>
        <v/>
      </c>
      <c r="K209" s="12" t="n">
        <v>17000</v>
      </c>
      <c r="L209" s="12" t="n">
        <v>15000</v>
      </c>
      <c r="M209" s="13">
        <f>IF(AND(ISNUMBER(K209),ISNUMBER(L209),K209&gt;0),1-L209/K209,"")</f>
        <v/>
      </c>
      <c r="N209" s="16" t="n">
        <v>1</v>
      </c>
      <c r="O209" s="12" t="n">
        <v>17000</v>
      </c>
      <c r="P209" s="12" t="n"/>
      <c r="Q209" s="12" t="n"/>
      <c r="R209" s="14">
        <f>IF(AND(ISNUMBER(L209),ISNUMBER(P209),ISNUMBER(Q209)),L209/((P209+Q209)/2)-1,"")</f>
        <v/>
      </c>
      <c r="S209" s="10" t="n"/>
      <c r="T209" s="15" t="n">
        <v>200000</v>
      </c>
      <c r="U209" s="16" t="n">
        <v>1985</v>
      </c>
      <c r="V209" s="10" t="n"/>
      <c r="W209" s="10" t="inlineStr">
        <is>
          <t>Essence</t>
        </is>
      </c>
      <c r="X209" s="10" t="inlineStr">
        <is>
          <t>Manuelle</t>
        </is>
      </c>
      <c r="Y209" s="16" t="n">
        <v>130</v>
      </c>
      <c r="Z209" s="16" t="n"/>
      <c r="AA209" s="10" t="inlineStr">
        <is>
          <t>Blanc</t>
        </is>
      </c>
      <c r="AB209" s="16" t="n">
        <v>3</v>
      </c>
      <c r="AC209" s="10" t="inlineStr">
        <is>
          <t>Citadine</t>
        </is>
      </c>
      <c r="AD209" s="10" t="n"/>
      <c r="AE209" s="10" t="n"/>
      <c r="AF209" s="10" t="inlineStr">
        <is>
          <t>Particulier</t>
        </is>
      </c>
      <c r="AG209" s="10" t="inlineStr">
        <is>
          <t>Les Fins</t>
        </is>
      </c>
      <c r="AH209" s="10" t="inlineStr">
        <is>
          <t>25500</t>
        </is>
      </c>
      <c r="AI209" s="10" t="inlineStr">
        <is>
          <t>Doubs</t>
        </is>
      </c>
      <c r="AJ209" s="10" t="inlineStr">
        <is>
          <t>Franche-Comté</t>
        </is>
      </c>
      <c r="AK209" s="16" t="n">
        <v>3</v>
      </c>
      <c r="AL209" s="10" t="n"/>
      <c r="AM209" s="10" t="inlineStr">
        <is>
          <t>Non</t>
        </is>
      </c>
      <c r="AN209" s="10" t="inlineStr">
        <is>
          <t>Bonjour, Je mets en vente ma 205 GTI, le véhicule a été restauré par l’ancien propriétaire , est en très bon état, la voiture n’a plus son moteur d’origine à la base c’est une 1,6 l L’ancien propriétaire la transformé en 1,9l Véhicule pas d’origine. Roule très bien , et stocker à l’abri dans un garage. Contact par téléphone uniquement s’il vous plaît.</t>
        </is>
      </c>
      <c r="AO209" s="10" t="inlineStr">
        <is>
          <t>Permis : Avec permis ; Importé : false</t>
        </is>
      </c>
      <c r="AP209" s="19" t="inlineStr">
        <is>
          <t>Voir</t>
        </is>
      </c>
      <c r="AQ209" s="10" t="inlineStr">
        <is>
          <t>3259144220</t>
        </is>
      </c>
    </row>
    <row r="210">
      <c r="A210" s="10" t="inlineStr">
        <is>
          <t>Peugeot 205 GTI</t>
        </is>
      </c>
      <c r="B210" s="10" t="inlineStr">
        <is>
          <t>205 gti</t>
        </is>
      </c>
      <c r="C210" s="10" t="n"/>
      <c r="D210" s="10" t="n"/>
      <c r="E210" s="10" t="inlineStr">
        <is>
          <t>En vente</t>
        </is>
      </c>
      <c r="F210" s="18" t="n">
        <v>46277</v>
      </c>
      <c r="G210" s="18" t="n">
        <v>46277</v>
      </c>
      <c r="H210" s="18" t="n">
        <v>46310</v>
      </c>
      <c r="I210" s="18" t="n"/>
      <c r="J210" s="17">
        <f>IF(OR(ISNUMBER(F210),ISNUMBER(G210)),IF(ISNUMBER(I210),I210,H210)-IF(ISNUMBER(F210),F210,G210),"")</f>
        <v/>
      </c>
      <c r="K210" s="12" t="n">
        <v>9999</v>
      </c>
      <c r="L210" s="12" t="n">
        <v>9990</v>
      </c>
      <c r="M210" s="13">
        <f>IF(AND(ISNUMBER(K210),ISNUMBER(L210),K210&gt;0),1-L210/K210,"")</f>
        <v/>
      </c>
      <c r="N210" s="16" t="n">
        <v>1</v>
      </c>
      <c r="O210" s="12" t="n"/>
      <c r="P210" s="12" t="n"/>
      <c r="Q210" s="12" t="n"/>
      <c r="R210" s="14">
        <f>IF(AND(ISNUMBER(L210),ISNUMBER(P210),ISNUMBER(Q210)),L210/((P210+Q210)/2)-1,"")</f>
        <v/>
      </c>
      <c r="S210" s="10" t="n"/>
      <c r="T210" s="15" t="n">
        <v>105650</v>
      </c>
      <c r="U210" s="16" t="n">
        <v>1993</v>
      </c>
      <c r="V210" s="10" t="inlineStr">
        <is>
          <t>10/1993</t>
        </is>
      </c>
      <c r="W210" s="10" t="inlineStr">
        <is>
          <t>Essence</t>
        </is>
      </c>
      <c r="X210" s="10" t="inlineStr">
        <is>
          <t>Manuelle</t>
        </is>
      </c>
      <c r="Y210" s="16" t="n">
        <v>130</v>
      </c>
      <c r="Z210" s="16" t="n">
        <v>9</v>
      </c>
      <c r="AA210" s="10" t="inlineStr">
        <is>
          <t>Vert</t>
        </is>
      </c>
      <c r="AB210" s="16" t="n">
        <v>3</v>
      </c>
      <c r="AC210" s="10" t="inlineStr">
        <is>
          <t>Berline</t>
        </is>
      </c>
      <c r="AD210" s="10" t="inlineStr">
        <is>
          <t>Factures disponibles</t>
        </is>
      </c>
      <c r="AE210" s="10" t="inlineStr">
        <is>
          <t>Véhicule importé</t>
        </is>
      </c>
      <c r="AF210" s="10" t="inlineStr">
        <is>
          <t>Particulier</t>
        </is>
      </c>
      <c r="AG210" s="10" t="inlineStr">
        <is>
          <t>Lambres-lez-Douai</t>
        </is>
      </c>
      <c r="AH210" s="10" t="inlineStr">
        <is>
          <t>59552</t>
        </is>
      </c>
      <c r="AI210" s="10" t="inlineStr">
        <is>
          <t>Nord</t>
        </is>
      </c>
      <c r="AJ210" s="10" t="inlineStr">
        <is>
          <t>Nord-Pas-de-Calais</t>
        </is>
      </c>
      <c r="AK210" s="16" t="n">
        <v>3</v>
      </c>
      <c r="AL210" s="10" t="n"/>
      <c r="AM210" s="10" t="inlineStr">
        <is>
          <t>Non</t>
        </is>
      </c>
      <c r="AN210" s="10" t="inlineStr">
        <is>
          <t>PEUGEOT 205 – CONFIGURATION COMPLÈTE GTI 1.9 130CH 5 portes Moteur d’origine caisse d’origine Histovec disponible avec suivie kilométrage Caisse provenant d’une 205 Griffe . 205 totalisant 105 550 km, entièrement montée en configuration GTI 1.9 130 ch : Toit ouvrant intacte ! * Moteur 1.9 GTI 130ch * Boîte GTI 1.9 * Ligne complète GTI 1.9 * Éléments et configuration GTI 1.9 * Jantes neuf avec pneus neufs * Carrosserie refaite à neuf avec factures &amp; Garantie * Contrôle technique de moins de 6 moi</t>
        </is>
      </c>
      <c r="AO210" s="10" t="inlineStr">
        <is>
          <t>Dommages : Bon état général ; Sellerie : Tissu ; Permis : Avec permis ; Importé : false ; vehicle_history_report_status : visible</t>
        </is>
      </c>
      <c r="AP210" s="19" t="inlineStr">
        <is>
          <t>Voir</t>
        </is>
      </c>
      <c r="AQ210" s="10" t="inlineStr">
        <is>
          <t>3267921242</t>
        </is>
      </c>
    </row>
    <row r="211">
      <c r="A211" s="10" t="inlineStr">
        <is>
          <t>Peugeot 205 GTI</t>
        </is>
      </c>
      <c r="B211" s="10" t="inlineStr">
        <is>
          <t>Peugeot 205 gti 1.6l 115 cv</t>
        </is>
      </c>
      <c r="C211" s="10" t="n"/>
      <c r="D211" s="10" t="n"/>
      <c r="E211" s="10" t="inlineStr">
        <is>
          <t>En vente</t>
        </is>
      </c>
      <c r="F211" s="18" t="n">
        <v>46272</v>
      </c>
      <c r="G211" s="18" t="n">
        <v>46272</v>
      </c>
      <c r="H211" s="18" t="n">
        <v>46310</v>
      </c>
      <c r="I211" s="18" t="n"/>
      <c r="J211" s="17">
        <f>IF(OR(ISNUMBER(F211),ISNUMBER(G211)),IF(ISNUMBER(I211),I211,H211)-IF(ISNUMBER(F211),F211,G211),"")</f>
        <v/>
      </c>
      <c r="K211" s="12" t="n">
        <v>19990</v>
      </c>
      <c r="L211" s="12" t="n">
        <v>19990</v>
      </c>
      <c r="M211" s="13">
        <f>IF(AND(ISNUMBER(K211),ISNUMBER(L211),K211&gt;0),1-L211/K211,"")</f>
        <v/>
      </c>
      <c r="N211" s="16" t="n">
        <v>0</v>
      </c>
      <c r="O211" s="12" t="n"/>
      <c r="P211" s="12" t="n"/>
      <c r="Q211" s="12" t="n"/>
      <c r="R211" s="14">
        <f>IF(AND(ISNUMBER(L211),ISNUMBER(P211),ISNUMBER(Q211)),L211/((P211+Q211)/2)-1,"")</f>
        <v/>
      </c>
      <c r="S211" s="10" t="n"/>
      <c r="T211" s="15" t="n">
        <v>230000</v>
      </c>
      <c r="U211" s="16" t="n">
        <v>1988</v>
      </c>
      <c r="V211" s="10" t="inlineStr">
        <is>
          <t>07/1988</t>
        </is>
      </c>
      <c r="W211" s="10" t="inlineStr">
        <is>
          <t>Essence</t>
        </is>
      </c>
      <c r="X211" s="10" t="inlineStr">
        <is>
          <t>Manuelle</t>
        </is>
      </c>
      <c r="Y211" s="16" t="n">
        <v>8</v>
      </c>
      <c r="Z211" s="16" t="n">
        <v>99</v>
      </c>
      <c r="AA211" s="10" t="inlineStr">
        <is>
          <t>Rouge</t>
        </is>
      </c>
      <c r="AB211" s="16" t="n">
        <v>3</v>
      </c>
      <c r="AC211" s="10" t="inlineStr">
        <is>
          <t>Citadine</t>
        </is>
      </c>
      <c r="AD211" s="10" t="n"/>
      <c r="AE211" s="10" t="n"/>
      <c r="AF211" s="10" t="inlineStr">
        <is>
          <t>Pro</t>
        </is>
      </c>
      <c r="AG211" s="10" t="inlineStr">
        <is>
          <t>Montceau-les-Mines</t>
        </is>
      </c>
      <c r="AH211" s="10" t="inlineStr">
        <is>
          <t>71300</t>
        </is>
      </c>
      <c r="AI211" s="10" t="inlineStr">
        <is>
          <t>Saône-et-Loire</t>
        </is>
      </c>
      <c r="AJ211" s="10" t="inlineStr">
        <is>
          <t>Bourgogne</t>
        </is>
      </c>
      <c r="AK211" s="16" t="n">
        <v>38</v>
      </c>
      <c r="AL211" s="10" t="inlineStr">
        <is>
          <t>Oui</t>
        </is>
      </c>
      <c r="AM211" s="10" t="inlineStr">
        <is>
          <t>Non</t>
        </is>
      </c>
      <c r="AN211" s="10" t="inlineStr">
        <is>
          <t>PEUGEOT 205 GTI 1.6L 115 CV, Rouge, 115CV, 3 portes, 29/07/1988 Peugeot 205 GTI 1.6 115 ch de 1988, une véritable icône des sportives françaises devenue aujourd’hui très recherchée. Cet exemplaire bénéficie d’une restauration complète moteur, carrosserie et sellerie, documentée par un dossier de près de 500 photos. Présentation soignée, contrôle technique vierge et quatre pneus neufs viennent compléter un dossier particulièrement valorisant. Une 205 GTI idéale pour passionné ou collectionneur re</t>
        </is>
      </c>
      <c r="AO211" s="10" t="inlineStr">
        <is>
          <t>VO récent : false ; custom_ref : 508623 ; Importé : true ; vehicle_history_report_status : visible ; spare_parts_availability : Non renseignée</t>
        </is>
      </c>
      <c r="AP211" s="19" t="inlineStr">
        <is>
          <t>Voir</t>
        </is>
      </c>
      <c r="AQ211" s="10" t="inlineStr">
        <is>
          <t>3270026235</t>
        </is>
      </c>
    </row>
    <row r="212">
      <c r="A212" s="10" t="inlineStr">
        <is>
          <t>Peugeot 205 GTI</t>
        </is>
      </c>
      <c r="B212" s="10" t="inlineStr">
        <is>
          <t>205 gti</t>
        </is>
      </c>
      <c r="C212" s="10" t="n"/>
      <c r="D212" s="10" t="n"/>
      <c r="E212" s="10" t="inlineStr">
        <is>
          <t>En vente</t>
        </is>
      </c>
      <c r="F212" s="18" t="n">
        <v>46282</v>
      </c>
      <c r="G212" s="18" t="n">
        <v>46282</v>
      </c>
      <c r="H212" s="18" t="n">
        <v>46310</v>
      </c>
      <c r="I212" s="18" t="n"/>
      <c r="J212" s="17">
        <f>IF(OR(ISNUMBER(F212),ISNUMBER(G212)),IF(ISNUMBER(I212),I212,H212)-IF(ISNUMBER(F212),F212,G212),"")</f>
        <v/>
      </c>
      <c r="K212" s="12" t="n">
        <v>17000</v>
      </c>
      <c r="L212" s="12" t="n">
        <v>17000</v>
      </c>
      <c r="M212" s="13">
        <f>IF(AND(ISNUMBER(K212),ISNUMBER(L212),K212&gt;0),1-L212/K212,"")</f>
        <v/>
      </c>
      <c r="N212" s="16" t="n">
        <v>0</v>
      </c>
      <c r="O212" s="12" t="n"/>
      <c r="P212" s="12" t="n"/>
      <c r="Q212" s="12" t="n"/>
      <c r="R212" s="14">
        <f>IF(AND(ISNUMBER(L212),ISNUMBER(P212),ISNUMBER(Q212)),L212/((P212+Q212)/2)-1,"")</f>
        <v/>
      </c>
      <c r="S212" s="10" t="n"/>
      <c r="T212" s="15" t="n">
        <v>170000</v>
      </c>
      <c r="U212" s="16" t="n">
        <v>1984</v>
      </c>
      <c r="V212" s="10" t="inlineStr">
        <is>
          <t>10/1984</t>
        </is>
      </c>
      <c r="W212" s="10" t="inlineStr">
        <is>
          <t>Essence</t>
        </is>
      </c>
      <c r="X212" s="10" t="inlineStr">
        <is>
          <t>Manuelle</t>
        </is>
      </c>
      <c r="Y212" s="16" t="n">
        <v>105</v>
      </c>
      <c r="Z212" s="16" t="n">
        <v>6</v>
      </c>
      <c r="AA212" s="10" t="inlineStr">
        <is>
          <t>Rouge</t>
        </is>
      </c>
      <c r="AB212" s="16" t="n">
        <v>3</v>
      </c>
      <c r="AC212" s="10" t="inlineStr">
        <is>
          <t>Autre</t>
        </is>
      </c>
      <c r="AD212" s="10" t="inlineStr">
        <is>
          <t>Réparations utiles déjà faites</t>
        </is>
      </c>
      <c r="AE212" s="10" t="n"/>
      <c r="AF212" s="10" t="inlineStr">
        <is>
          <t>Particulier</t>
        </is>
      </c>
      <c r="AG212" s="10" t="inlineStr">
        <is>
          <t>Ligueil</t>
        </is>
      </c>
      <c r="AH212" s="10" t="inlineStr">
        <is>
          <t>37240</t>
        </is>
      </c>
      <c r="AI212" s="10" t="inlineStr">
        <is>
          <t>Indre-et-Loire</t>
        </is>
      </c>
      <c r="AJ212" s="10" t="inlineStr">
        <is>
          <t>Centre</t>
        </is>
      </c>
      <c r="AK212" s="16" t="n">
        <v>3</v>
      </c>
      <c r="AL212" s="10" t="n"/>
      <c r="AM212" s="10" t="inlineStr">
        <is>
          <t>Non</t>
        </is>
      </c>
      <c r="AN212" s="10" t="inlineStr">
        <is>
          <t xml:space="preserve">Bonjour Je vends ma 205 GTi phase 1 1.6l 105cv ( les premiere ) pour un projet immobilier. Carte grise collection ( plaque noire et CT tout les 5 ans !!! ) Le véhicule a été remis en état en 2020, peinture complète réfection mécanique complète trains roulant. Intérieur en très bonne état type( Biarritz ) La voiture a 40 ans ne me demandez pas les factures depuis 84 !!! Elle n’est pas Matching number et le kilométrage est sûrement erroné sur histovec . Ne me contacter que si réellement intéressé </t>
        </is>
      </c>
      <c r="AO212" s="10" t="inlineStr">
        <is>
          <t>Dommages : Excellent état (proche du neuf) ; Sellerie : Tissu ; Équipements intérieurs : Jantes en alliage, Siège arrière rabattable, Sièges sport ; Permis : Avec permis ; Importé : false ; vehicle_history_report_status : visible</t>
        </is>
      </c>
      <c r="AP212" s="19" t="inlineStr">
        <is>
          <t>Voir</t>
        </is>
      </c>
      <c r="AQ212" s="10" t="inlineStr">
        <is>
          <t>3271423566</t>
        </is>
      </c>
    </row>
    <row r="213">
      <c r="A213" s="10" t="inlineStr">
        <is>
          <t>Peugeot 205 GTI</t>
        </is>
      </c>
      <c r="B213" s="10" t="inlineStr">
        <is>
          <t>205 Gti</t>
        </is>
      </c>
      <c r="C213" s="10" t="n"/>
      <c r="D213" s="10" t="n"/>
      <c r="E213" s="10" t="inlineStr">
        <is>
          <t>En vente</t>
        </is>
      </c>
      <c r="F213" s="18" t="n">
        <v>46283</v>
      </c>
      <c r="G213" s="18" t="n">
        <v>46283</v>
      </c>
      <c r="H213" s="18" t="n">
        <v>46310</v>
      </c>
      <c r="I213" s="18" t="n"/>
      <c r="J213" s="17">
        <f>IF(OR(ISNUMBER(F213),ISNUMBER(G213)),IF(ISNUMBER(I213),I213,H213)-IF(ISNUMBER(F213),F213,G213),"")</f>
        <v/>
      </c>
      <c r="K213" s="12" t="n">
        <v>18800</v>
      </c>
      <c r="L213" s="12" t="n">
        <v>18800</v>
      </c>
      <c r="M213" s="13">
        <f>IF(AND(ISNUMBER(K213),ISNUMBER(L213),K213&gt;0),1-L213/K213,"")</f>
        <v/>
      </c>
      <c r="N213" s="16" t="n">
        <v>0</v>
      </c>
      <c r="O213" s="12" t="n"/>
      <c r="P213" s="12" t="n"/>
      <c r="Q213" s="12" t="n"/>
      <c r="R213" s="14">
        <f>IF(AND(ISNUMBER(L213),ISNUMBER(P213),ISNUMBER(Q213)),L213/((P213+Q213)/2)-1,"")</f>
        <v/>
      </c>
      <c r="S213" s="10" t="n"/>
      <c r="T213" s="15" t="n">
        <v>222159</v>
      </c>
      <c r="U213" s="16" t="n">
        <v>1985</v>
      </c>
      <c r="V213" s="10" t="inlineStr">
        <is>
          <t>12/1985</t>
        </is>
      </c>
      <c r="W213" s="10" t="inlineStr">
        <is>
          <t>Essence</t>
        </is>
      </c>
      <c r="X213" s="10" t="inlineStr">
        <is>
          <t>Manuelle</t>
        </is>
      </c>
      <c r="Y213" s="16" t="n"/>
      <c r="Z213" s="16" t="n"/>
      <c r="AA213" s="10" t="n"/>
      <c r="AB213" s="16" t="n"/>
      <c r="AC213" s="10" t="n"/>
      <c r="AD213" s="10" t="n"/>
      <c r="AE213" s="10" t="n"/>
      <c r="AF213" s="10" t="inlineStr">
        <is>
          <t>Particulier</t>
        </is>
      </c>
      <c r="AG213" s="10" t="inlineStr">
        <is>
          <t>Saint-Chamond</t>
        </is>
      </c>
      <c r="AH213" s="10" t="inlineStr">
        <is>
          <t>42400</t>
        </is>
      </c>
      <c r="AI213" s="10" t="inlineStr">
        <is>
          <t>Loire</t>
        </is>
      </c>
      <c r="AJ213" s="10" t="inlineStr">
        <is>
          <t>Rhône-Alpes</t>
        </is>
      </c>
      <c r="AK213" s="16" t="n">
        <v>3</v>
      </c>
      <c r="AL213" s="10" t="n"/>
      <c r="AM213" s="10" t="inlineStr">
        <is>
          <t>Non</t>
        </is>
      </c>
      <c r="AN213" s="10" t="inlineStr">
        <is>
          <t>205 Gti 1,6 phase 1 105 cv En très bonne état Entièrement d origine historique connu Dossier complet de facture jusqu a la facture d achat neuve Toit ouvrant , fermeture centralisé , vitre électrique Restauration effectué en 2016 avec un dossier complet de photo disponible</t>
        </is>
      </c>
      <c r="AO213" s="10" t="inlineStr">
        <is>
          <t>Permis : Avec permis ; Importé : false ; vehicle_history_report_status : visible</t>
        </is>
      </c>
      <c r="AP213" s="19" t="inlineStr">
        <is>
          <t>Voir</t>
        </is>
      </c>
      <c r="AQ213" s="10" t="inlineStr">
        <is>
          <t>3272026247</t>
        </is>
      </c>
    </row>
    <row r="214">
      <c r="A214" s="10" t="inlineStr">
        <is>
          <t>Peugeot 205 GTI</t>
        </is>
      </c>
      <c r="B214" s="10" t="inlineStr">
        <is>
          <t>205 gti mi16</t>
        </is>
      </c>
      <c r="C214" s="10" t="n"/>
      <c r="D214" s="10" t="n"/>
      <c r="E214" s="10" t="inlineStr">
        <is>
          <t>En vente</t>
        </is>
      </c>
      <c r="F214" s="18" t="n">
        <v>46286</v>
      </c>
      <c r="G214" s="18" t="n">
        <v>46286</v>
      </c>
      <c r="H214" s="18" t="n">
        <v>46310</v>
      </c>
      <c r="I214" s="18" t="n"/>
      <c r="J214" s="17">
        <f>IF(OR(ISNUMBER(F214),ISNUMBER(G214)),IF(ISNUMBER(I214),I214,H214)-IF(ISNUMBER(F214),F214,G214),"")</f>
        <v/>
      </c>
      <c r="K214" s="12" t="n">
        <v>18000</v>
      </c>
      <c r="L214" s="12" t="n">
        <v>18000</v>
      </c>
      <c r="M214" s="13">
        <f>IF(AND(ISNUMBER(K214),ISNUMBER(L214),K214&gt;0),1-L214/K214,"")</f>
        <v/>
      </c>
      <c r="N214" s="16" t="n">
        <v>0</v>
      </c>
      <c r="O214" s="12" t="n"/>
      <c r="P214" s="12" t="n"/>
      <c r="Q214" s="12" t="n"/>
      <c r="R214" s="14">
        <f>IF(AND(ISNUMBER(L214),ISNUMBER(P214),ISNUMBER(Q214)),L214/((P214+Q214)/2)-1,"")</f>
        <v/>
      </c>
      <c r="S214" s="10" t="n"/>
      <c r="T214" s="15" t="n">
        <v>201600</v>
      </c>
      <c r="U214" s="16" t="n">
        <v>1992</v>
      </c>
      <c r="V214" s="10" t="inlineStr">
        <is>
          <t>05/1992</t>
        </is>
      </c>
      <c r="W214" s="10" t="inlineStr">
        <is>
          <t>Essence</t>
        </is>
      </c>
      <c r="X214" s="10" t="inlineStr">
        <is>
          <t>Manuelle</t>
        </is>
      </c>
      <c r="Y214" s="16" t="n"/>
      <c r="Z214" s="16" t="n"/>
      <c r="AA214" s="10" t="inlineStr">
        <is>
          <t>Vert</t>
        </is>
      </c>
      <c r="AB214" s="16" t="n">
        <v>3</v>
      </c>
      <c r="AC214" s="10" t="inlineStr">
        <is>
          <t>Coupé</t>
        </is>
      </c>
      <c r="AD214" s="10" t="n"/>
      <c r="AE214" s="10" t="n"/>
      <c r="AF214" s="10" t="inlineStr">
        <is>
          <t>Particulier</t>
        </is>
      </c>
      <c r="AG214" s="10" t="inlineStr">
        <is>
          <t>Morlaix</t>
        </is>
      </c>
      <c r="AH214" s="10" t="inlineStr">
        <is>
          <t>29600</t>
        </is>
      </c>
      <c r="AI214" s="10" t="inlineStr">
        <is>
          <t>Finistère</t>
        </is>
      </c>
      <c r="AJ214" s="10" t="inlineStr">
        <is>
          <t>Bretagne</t>
        </is>
      </c>
      <c r="AK214" s="16" t="n">
        <v>3</v>
      </c>
      <c r="AL214" s="10" t="n"/>
      <c r="AM214" s="10" t="inlineStr">
        <is>
          <t>Non</t>
        </is>
      </c>
      <c r="AN214" s="10" t="inlineStr">
        <is>
          <t>Vends 205 GTI sur la base d'une gentry avec moteur 405 MI16 ~180ch ( 150000km)pour cause d'handicap, ct OK, collecteur inox 4en1, silencieux Remus, entretien fait ( vidange, filtres, distribution), de nombreuses pièces neuves et récentes. Reste à faire, triangle de suspension av G, silent bloc moteur inférieur, petite fuite crémaillère de direction. Niveau carrosserie, quelques coups de portières du aux parkings, éventuellement remise en place d'un toit ouvrant rebouché par l'ancien propriétaire</t>
        </is>
      </c>
      <c r="AO214" s="10" t="inlineStr">
        <is>
          <t>vehicle_technical_inspection_valid : Oui ; Contrôle technique : 2028 ; Dommages : Réparations mineures à prévoir ; Sellerie : Tout cuir ; Permis : Avec permis ; Importé : false ; vehicle_history_report_status : visible</t>
        </is>
      </c>
      <c r="AP214" s="19" t="inlineStr">
        <is>
          <t>Voir</t>
        </is>
      </c>
      <c r="AQ214" s="10" t="inlineStr">
        <is>
          <t>3273983702</t>
        </is>
      </c>
    </row>
    <row r="215">
      <c r="A215" s="10" t="inlineStr">
        <is>
          <t>Peugeot 205 GTI</t>
        </is>
      </c>
      <c r="B215" s="10" t="inlineStr">
        <is>
          <t>205 gti 1,6l</t>
        </is>
      </c>
      <c r="C215" s="10" t="n"/>
      <c r="D215" s="10" t="n"/>
      <c r="E215" s="10" t="inlineStr">
        <is>
          <t>En vente</t>
        </is>
      </c>
      <c r="F215" s="18" t="n">
        <v>46287</v>
      </c>
      <c r="G215" s="18" t="n">
        <v>46287</v>
      </c>
      <c r="H215" s="18" t="n">
        <v>46310</v>
      </c>
      <c r="I215" s="18" t="n"/>
      <c r="J215" s="17">
        <f>IF(OR(ISNUMBER(F215),ISNUMBER(G215)),IF(ISNUMBER(I215),I215,H215)-IF(ISNUMBER(F215),F215,G215),"")</f>
        <v/>
      </c>
      <c r="K215" s="12" t="n">
        <v>20000</v>
      </c>
      <c r="L215" s="12" t="n">
        <v>20000</v>
      </c>
      <c r="M215" s="13">
        <f>IF(AND(ISNUMBER(K215),ISNUMBER(L215),K215&gt;0),1-L215/K215,"")</f>
        <v/>
      </c>
      <c r="N215" s="16" t="n">
        <v>0</v>
      </c>
      <c r="O215" s="12" t="n"/>
      <c r="P215" s="12" t="n"/>
      <c r="Q215" s="12" t="n"/>
      <c r="R215" s="14">
        <f>IF(AND(ISNUMBER(L215),ISNUMBER(P215),ISNUMBER(Q215)),L215/((P215+Q215)/2)-1,"")</f>
        <v/>
      </c>
      <c r="S215" s="10" t="n"/>
      <c r="T215" s="15" t="n">
        <v>153000</v>
      </c>
      <c r="U215" s="16" t="n">
        <v>1989</v>
      </c>
      <c r="V215" s="10" t="inlineStr">
        <is>
          <t>01/1989</t>
        </is>
      </c>
      <c r="W215" s="10" t="inlineStr">
        <is>
          <t>Essence</t>
        </is>
      </c>
      <c r="X215" s="10" t="inlineStr">
        <is>
          <t>Manuelle</t>
        </is>
      </c>
      <c r="Y215" s="16" t="n">
        <v>115</v>
      </c>
      <c r="Z215" s="16" t="n">
        <v>8</v>
      </c>
      <c r="AA215" s="10" t="inlineStr">
        <is>
          <t>Noir</t>
        </is>
      </c>
      <c r="AB215" s="16" t="n">
        <v>3</v>
      </c>
      <c r="AC215" s="10" t="inlineStr">
        <is>
          <t>Berline</t>
        </is>
      </c>
      <c r="AD215" s="10" t="n"/>
      <c r="AE215" s="10" t="n"/>
      <c r="AF215" s="10" t="inlineStr">
        <is>
          <t>Particulier</t>
        </is>
      </c>
      <c r="AG215" s="10" t="inlineStr">
        <is>
          <t>Bertincourt</t>
        </is>
      </c>
      <c r="AH215" s="10" t="inlineStr">
        <is>
          <t>62124</t>
        </is>
      </c>
      <c r="AI215" s="10" t="inlineStr">
        <is>
          <t>Pas-de-Calais</t>
        </is>
      </c>
      <c r="AJ215" s="10" t="inlineStr">
        <is>
          <t>Nord-Pas-de-Calais</t>
        </is>
      </c>
      <c r="AK215" s="16" t="n">
        <v>6</v>
      </c>
      <c r="AL215" s="10" t="n"/>
      <c r="AM215" s="10" t="inlineStr">
        <is>
          <t>Non</t>
        </is>
      </c>
      <c r="AN215" s="10" t="inlineStr">
        <is>
          <t>Je vends ma Peugeot 205 GTI 1.6L de 1989, une berline sportive et emblématique. - Marque : Peugeot - Modèle : 205 GTI - Année : 1989 - Kilométrage : 153 000 km - Motorisation : 1.6L 115 Ch - Puissance fiscale : 8 Cv - Carburant : Essence - Boîte de vitesses : Manuelle - Couleur : Noir - Type de véhicule : Berline - Nombre de portes : 3 - Nombre de sièges : 4 - Contrôle technique : Valide N'hésitez pas à me contacter pour plus d'informations ou pour organiser un essai.</t>
        </is>
      </c>
      <c r="AO215" s="10" t="inlineStr">
        <is>
          <t>vehicle_technical_inspection_valid : Oui ; Dommages : Excellent état (proche du neuf) ; Sellerie : Tissu ; Permis : Avec permis ; Importé : false ; vehicle_history_report_status : visible</t>
        </is>
      </c>
      <c r="AP215" s="19" t="inlineStr">
        <is>
          <t>Voir</t>
        </is>
      </c>
      <c r="AQ215" s="10" t="inlineStr">
        <is>
          <t>3274519093</t>
        </is>
      </c>
    </row>
    <row r="216">
      <c r="A216" s="10" t="inlineStr">
        <is>
          <t>Peugeot 205 GTI</t>
        </is>
      </c>
      <c r="B216" s="10" t="inlineStr">
        <is>
          <t>205 gti</t>
        </is>
      </c>
      <c r="C216" s="10" t="n"/>
      <c r="D216" s="10" t="n"/>
      <c r="E216" s="10" t="inlineStr">
        <is>
          <t>En vente</t>
        </is>
      </c>
      <c r="F216" s="18" t="n">
        <v>46290</v>
      </c>
      <c r="G216" s="18" t="n">
        <v>46290</v>
      </c>
      <c r="H216" s="18" t="n">
        <v>46310</v>
      </c>
      <c r="I216" s="18" t="n"/>
      <c r="J216" s="17">
        <f>IF(OR(ISNUMBER(F216),ISNUMBER(G216)),IF(ISNUMBER(I216),I216,H216)-IF(ISNUMBER(F216),F216,G216),"")</f>
        <v/>
      </c>
      <c r="K216" s="12" t="n">
        <v>14500</v>
      </c>
      <c r="L216" s="12" t="n">
        <v>14500</v>
      </c>
      <c r="M216" s="13">
        <f>IF(AND(ISNUMBER(K216),ISNUMBER(L216),K216&gt;0),1-L216/K216,"")</f>
        <v/>
      </c>
      <c r="N216" s="16" t="n">
        <v>0</v>
      </c>
      <c r="O216" s="12" t="n"/>
      <c r="P216" s="12" t="n"/>
      <c r="Q216" s="12" t="n"/>
      <c r="R216" s="14">
        <f>IF(AND(ISNUMBER(L216),ISNUMBER(P216),ISNUMBER(Q216)),L216/((P216+Q216)/2)-1,"")</f>
        <v/>
      </c>
      <c r="S216" s="10" t="n"/>
      <c r="T216" s="15" t="n">
        <v>245000</v>
      </c>
      <c r="U216" s="16" t="n">
        <v>1987</v>
      </c>
      <c r="V216" s="10" t="inlineStr">
        <is>
          <t>10/1987</t>
        </is>
      </c>
      <c r="W216" s="10" t="inlineStr">
        <is>
          <t>Essence</t>
        </is>
      </c>
      <c r="X216" s="10" t="inlineStr">
        <is>
          <t>Manuelle</t>
        </is>
      </c>
      <c r="Y216" s="16" t="n"/>
      <c r="Z216" s="16" t="n"/>
      <c r="AA216" s="10" t="n"/>
      <c r="AB216" s="16" t="n"/>
      <c r="AC216" s="10" t="n"/>
      <c r="AD216" s="10" t="n"/>
      <c r="AE216" s="10" t="n"/>
      <c r="AF216" s="10" t="inlineStr">
        <is>
          <t>Particulier</t>
        </is>
      </c>
      <c r="AG216" s="10" t="inlineStr">
        <is>
          <t>Saint-Prest</t>
        </is>
      </c>
      <c r="AH216" s="10" t="inlineStr">
        <is>
          <t>28300</t>
        </is>
      </c>
      <c r="AI216" s="10" t="inlineStr">
        <is>
          <t>Eure-et-Loir</t>
        </is>
      </c>
      <c r="AJ216" s="10" t="inlineStr">
        <is>
          <t>Centre</t>
        </is>
      </c>
      <c r="AK216" s="16" t="n">
        <v>3</v>
      </c>
      <c r="AL216" s="10" t="n"/>
      <c r="AM216" s="10" t="inlineStr">
        <is>
          <t>Non</t>
        </is>
      </c>
      <c r="AN216" s="10" t="inlineStr">
        <is>
          <t>205 gti comme neuve , mais est resté au garage pendant 6 mois sans démarrer, démarrer et roule sans soucis mais depuis brouté un peu, tableau de bord fissuré mais le restant nickel toute les photos et factures de la restauration, plus d'informations par téléphone</t>
        </is>
      </c>
      <c r="AO216" s="10" t="inlineStr">
        <is>
          <t>Permis : Avec permis ; Importé : false</t>
        </is>
      </c>
      <c r="AP216" s="19" t="inlineStr">
        <is>
          <t>Voir</t>
        </is>
      </c>
      <c r="AQ216" s="10" t="inlineStr">
        <is>
          <t>3276591709</t>
        </is>
      </c>
    </row>
    <row r="217">
      <c r="A217" s="10" t="inlineStr">
        <is>
          <t>Peugeot 205 GTI</t>
        </is>
      </c>
      <c r="B217" s="10" t="inlineStr">
        <is>
          <t>Peugeot 205 gti</t>
        </is>
      </c>
      <c r="C217" s="10" t="n"/>
      <c r="D217" s="10" t="n"/>
      <c r="E217" s="10" t="inlineStr">
        <is>
          <t>En vente</t>
        </is>
      </c>
      <c r="F217" s="18" t="n">
        <v>46293</v>
      </c>
      <c r="G217" s="18" t="n">
        <v>46293</v>
      </c>
      <c r="H217" s="18" t="n">
        <v>46310</v>
      </c>
      <c r="I217" s="18" t="n"/>
      <c r="J217" s="17">
        <f>IF(OR(ISNUMBER(F217),ISNUMBER(G217)),IF(ISNUMBER(I217),I217,H217)-IF(ISNUMBER(F217),F217,G217),"")</f>
        <v/>
      </c>
      <c r="K217" s="12" t="n">
        <v>12000</v>
      </c>
      <c r="L217" s="12" t="n">
        <v>12000</v>
      </c>
      <c r="M217" s="13">
        <f>IF(AND(ISNUMBER(K217),ISNUMBER(L217),K217&gt;0),1-L217/K217,"")</f>
        <v/>
      </c>
      <c r="N217" s="16" t="n">
        <v>0</v>
      </c>
      <c r="O217" s="12" t="n"/>
      <c r="P217" s="12" t="n"/>
      <c r="Q217" s="12" t="n"/>
      <c r="R217" s="14">
        <f>IF(AND(ISNUMBER(L217),ISNUMBER(P217),ISNUMBER(Q217)),L217/((P217+Q217)/2)-1,"")</f>
        <v/>
      </c>
      <c r="S217" s="10" t="n"/>
      <c r="T217" s="15" t="n">
        <v>211000</v>
      </c>
      <c r="U217" s="16" t="n">
        <v>1986</v>
      </c>
      <c r="V217" s="10" t="inlineStr">
        <is>
          <t>06/1986</t>
        </is>
      </c>
      <c r="W217" s="10" t="inlineStr">
        <is>
          <t>Essence</t>
        </is>
      </c>
      <c r="X217" s="10" t="inlineStr">
        <is>
          <t>Manuelle</t>
        </is>
      </c>
      <c r="Y217" s="16" t="n"/>
      <c r="Z217" s="16" t="n">
        <v>8</v>
      </c>
      <c r="AA217" s="10" t="inlineStr">
        <is>
          <t>Noir</t>
        </is>
      </c>
      <c r="AB217" s="16" t="n">
        <v>3</v>
      </c>
      <c r="AC217" s="10" t="inlineStr">
        <is>
          <t>Citadine</t>
        </is>
      </c>
      <c r="AD217" s="10" t="n"/>
      <c r="AE217" s="10" t="n"/>
      <c r="AF217" s="10" t="inlineStr">
        <is>
          <t>Particulier</t>
        </is>
      </c>
      <c r="AG217" s="10" t="inlineStr">
        <is>
          <t>Bully</t>
        </is>
      </c>
      <c r="AH217" s="10" t="inlineStr">
        <is>
          <t>76270</t>
        </is>
      </c>
      <c r="AI217" s="10" t="inlineStr">
        <is>
          <t>Seine-Maritime</t>
        </is>
      </c>
      <c r="AJ217" s="10" t="inlineStr">
        <is>
          <t>Haute-Normandie</t>
        </is>
      </c>
      <c r="AK217" s="16" t="n">
        <v>3</v>
      </c>
      <c r="AL217" s="10" t="n"/>
      <c r="AM217" s="10" t="inlineStr">
        <is>
          <t>Non</t>
        </is>
      </c>
      <c r="AN217" s="10" t="inlineStr">
        <is>
          <t>PEUGEOT 205 GTI 1,6 L Véhicule roulant avec CT Toit ouvrant d’origine Projet de restauration abandonné Autres photos sur demandes Prix négociable dans la limite du raisonnable</t>
        </is>
      </c>
      <c r="AO217" s="10" t="inlineStr">
        <is>
          <t>vehicle_technical_inspection_valid : Oui ; Contrôle technique : 2028 ; Dommages : Réparations mineures à prévoir ; Sellerie : Cuir partiel ; Équipements intérieurs : Toit ouvrant / Toit panoramique ; Permis : Avec permis ; Importé : false</t>
        </is>
      </c>
      <c r="AP217" s="19" t="inlineStr">
        <is>
          <t>Voir</t>
        </is>
      </c>
      <c r="AQ217" s="10" t="inlineStr">
        <is>
          <t>3278135099</t>
        </is>
      </c>
    </row>
    <row r="218">
      <c r="A218" s="10" t="inlineStr">
        <is>
          <t>Peugeot 205 GTI</t>
        </is>
      </c>
      <c r="B218" s="10" t="inlineStr">
        <is>
          <t>PEUGEOT 205 1.6i - 115 GTi 1989</t>
        </is>
      </c>
      <c r="C218" s="10" t="inlineStr">
        <is>
          <t>205 1.1 Mito 3p</t>
        </is>
      </c>
      <c r="D218" s="10" t="inlineStr">
        <is>
          <t>Mito</t>
        </is>
      </c>
      <c r="E218" s="10" t="inlineStr">
        <is>
          <t>En vente</t>
        </is>
      </c>
      <c r="F218" s="18" t="n">
        <v>46293</v>
      </c>
      <c r="G218" s="18" t="n">
        <v>46293</v>
      </c>
      <c r="H218" s="18" t="n">
        <v>46310</v>
      </c>
      <c r="I218" s="18" t="n"/>
      <c r="J218" s="17">
        <f>IF(OR(ISNUMBER(F218),ISNUMBER(G218)),IF(ISNUMBER(I218),I218,H218)-IF(ISNUMBER(F218),F218,G218),"")</f>
        <v/>
      </c>
      <c r="K218" s="12" t="n">
        <v>15899</v>
      </c>
      <c r="L218" s="12" t="n">
        <v>15899</v>
      </c>
      <c r="M218" s="13">
        <f>IF(AND(ISNUMBER(K218),ISNUMBER(L218),K218&gt;0),1-L218/K218,"")</f>
        <v/>
      </c>
      <c r="N218" s="16" t="n">
        <v>0</v>
      </c>
      <c r="O218" s="12" t="n"/>
      <c r="P218" s="12" t="n"/>
      <c r="Q218" s="12" t="n"/>
      <c r="R218" s="14">
        <f>IF(AND(ISNUMBER(L218),ISNUMBER(P218),ISNUMBER(Q218)),L218/((P218+Q218)/2)-1,"")</f>
        <v/>
      </c>
      <c r="S218" s="10" t="n"/>
      <c r="T218" s="15" t="n">
        <v>145145</v>
      </c>
      <c r="U218" s="16" t="n">
        <v>1989</v>
      </c>
      <c r="V218" s="10" t="inlineStr">
        <is>
          <t>04/1989</t>
        </is>
      </c>
      <c r="W218" s="10" t="inlineStr">
        <is>
          <t>Essence</t>
        </is>
      </c>
      <c r="X218" s="10" t="inlineStr">
        <is>
          <t>Manuelle</t>
        </is>
      </c>
      <c r="Y218" s="16" t="n">
        <v>115</v>
      </c>
      <c r="Z218" s="16" t="n">
        <v>8</v>
      </c>
      <c r="AA218" s="10" t="inlineStr">
        <is>
          <t>Gris</t>
        </is>
      </c>
      <c r="AB218" s="16" t="n"/>
      <c r="AC218" s="10" t="inlineStr">
        <is>
          <t>Berline</t>
        </is>
      </c>
      <c r="AD218" s="10" t="n"/>
      <c r="AE218" s="10" t="n"/>
      <c r="AF218" s="10" t="inlineStr">
        <is>
          <t>Pro</t>
        </is>
      </c>
      <c r="AG218" s="10" t="inlineStr">
        <is>
          <t>Élancourt</t>
        </is>
      </c>
      <c r="AH218" s="10" t="inlineStr">
        <is>
          <t>78990</t>
        </is>
      </c>
      <c r="AI218" s="10" t="inlineStr">
        <is>
          <t>Yvelines</t>
        </is>
      </c>
      <c r="AJ218" s="10" t="inlineStr">
        <is>
          <t>Ile-de-France</t>
        </is>
      </c>
      <c r="AK218" s="16" t="n">
        <v>16</v>
      </c>
      <c r="AL218" s="10" t="inlineStr">
        <is>
          <t>Oui</t>
        </is>
      </c>
      <c r="AM218" s="10" t="inlineStr">
        <is>
          <t>Non</t>
        </is>
      </c>
      <c r="AN218" s="10" t="inlineStr">
        <is>
          <t>AGENCY CAR Showroom automobile à Plaisir Depuis 2014, AGENCY CAR vous accompagne dans vos projets d’achat de véhicules d’occasion avec sérieux et transparence. Notre agence de Plaisir vous propose ce véhicule : PEUGEOT 205 GTI, GRIS CLAIR, 8 cv, 0 portes, première mise en circulation le 07-04-1989, garantie . Véhicule visible UNIQUEMENT SUR RDV à l'agence de Plaisir (78). Du mardi au vendredi 10h - 18h30 et le samedi de 9h30 à 17h. - Financement possible de 12 à 72 mois. - Possibilité d'extensio</t>
        </is>
      </c>
      <c r="AO218" s="10" t="inlineStr">
        <is>
          <t>Dommages : Bon état général ; Permis : Avec permis ; VO récent : false ; custom_ref : 1680-0000218 ; Importé : true ; vehicle_history_report_status : visible ; spare_parts_availability : Non renseignée</t>
        </is>
      </c>
      <c r="AP218" s="19" t="inlineStr">
        <is>
          <t>Voir</t>
        </is>
      </c>
      <c r="AQ218" s="10" t="inlineStr">
        <is>
          <t>3278388119</t>
        </is>
      </c>
    </row>
    <row r="219">
      <c r="A219" s="10" t="inlineStr">
        <is>
          <t>Peugeot 205 GTI</t>
        </is>
      </c>
      <c r="B219" s="10" t="inlineStr">
        <is>
          <t>Vend Peugeot 205 Gti</t>
        </is>
      </c>
      <c r="C219" s="10" t="n"/>
      <c r="D219" s="10" t="n"/>
      <c r="E219" s="10" t="inlineStr">
        <is>
          <t>En vente</t>
        </is>
      </c>
      <c r="F219" s="18" t="n">
        <v>46294</v>
      </c>
      <c r="G219" s="18" t="n">
        <v>46294</v>
      </c>
      <c r="H219" s="18" t="n">
        <v>46310</v>
      </c>
      <c r="I219" s="18" t="n"/>
      <c r="J219" s="17">
        <f>IF(OR(ISNUMBER(F219),ISNUMBER(G219)),IF(ISNUMBER(I219),I219,H219)-IF(ISNUMBER(F219),F219,G219),"")</f>
        <v/>
      </c>
      <c r="K219" s="12" t="n">
        <v>20000</v>
      </c>
      <c r="L219" s="12" t="n">
        <v>20000</v>
      </c>
      <c r="M219" s="13">
        <f>IF(AND(ISNUMBER(K219),ISNUMBER(L219),K219&gt;0),1-L219/K219,"")</f>
        <v/>
      </c>
      <c r="N219" s="16" t="n">
        <v>0</v>
      </c>
      <c r="O219" s="12" t="n"/>
      <c r="P219" s="12" t="n"/>
      <c r="Q219" s="12" t="n"/>
      <c r="R219" s="14">
        <f>IF(AND(ISNUMBER(L219),ISNUMBER(P219),ISNUMBER(Q219)),L219/((P219+Q219)/2)-1,"")</f>
        <v/>
      </c>
      <c r="S219" s="10" t="n"/>
      <c r="T219" s="15" t="n">
        <v>226000</v>
      </c>
      <c r="U219" s="16" t="n">
        <v>1991</v>
      </c>
      <c r="V219" s="10" t="inlineStr">
        <is>
          <t>07/1991</t>
        </is>
      </c>
      <c r="W219" s="10" t="inlineStr">
        <is>
          <t>Essence</t>
        </is>
      </c>
      <c r="X219" s="10" t="inlineStr">
        <is>
          <t>Manuelle</t>
        </is>
      </c>
      <c r="Y219" s="16" t="n">
        <v>115</v>
      </c>
      <c r="Z219" s="16" t="n">
        <v>5</v>
      </c>
      <c r="AA219" s="10" t="inlineStr">
        <is>
          <t>Vert</t>
        </is>
      </c>
      <c r="AB219" s="16" t="n">
        <v>3</v>
      </c>
      <c r="AC219" s="10" t="inlineStr">
        <is>
          <t>Berline</t>
        </is>
      </c>
      <c r="AD219" s="10" t="inlineStr">
        <is>
          <t>Carnet d'entretien disponible, Factures disponibles</t>
        </is>
      </c>
      <c r="AE219" s="10" t="n"/>
      <c r="AF219" s="10" t="inlineStr">
        <is>
          <t>Particulier</t>
        </is>
      </c>
      <c r="AG219" s="10" t="inlineStr">
        <is>
          <t>Lembach</t>
        </is>
      </c>
      <c r="AH219" s="10" t="inlineStr">
        <is>
          <t>67510</t>
        </is>
      </c>
      <c r="AI219" s="10" t="inlineStr">
        <is>
          <t>Bas-Rhin</t>
        </is>
      </c>
      <c r="AJ219" s="10" t="inlineStr">
        <is>
          <t>Alsace</t>
        </is>
      </c>
      <c r="AK219" s="16" t="n">
        <v>3</v>
      </c>
      <c r="AL219" s="10" t="n"/>
      <c r="AM219" s="10" t="inlineStr">
        <is>
          <t>Non</t>
        </is>
      </c>
      <c r="AN219" s="10" t="inlineStr">
        <is>
          <t>Je vends ma Peugeot 205 GTi de 1991, une berline sportive mythique et très recherchée des collectionneurs. - Marque : Peugeot - Modèle : 205 GTi - Année : 1991 - Kilométrage : 226 000 km - Motorisation : 115 Ch - Carburant : Essence - Boîte de vitesses : Manuelle - Couleur : Vert sorento - Type de véhicule : Berline - Nombre de portes : 3 - Puissance fiscale : 5 Cv -Moteur refait -Carnet d entretien du premier jour -Carte grise collection -Voiture expertisée N'hésitez pas à me contacter pour plu</t>
        </is>
      </c>
      <c r="AO219" s="10" t="inlineStr">
        <is>
          <t>Dommages : Excellent état (proche du neuf) ; Sellerie : Tout cuir ; Équipements intérieurs : Toit ouvrant / Toit panoramique ; Permis : Avec permis ; Importé : false</t>
        </is>
      </c>
      <c r="AP219" s="19" t="inlineStr">
        <is>
          <t>Voir</t>
        </is>
      </c>
      <c r="AQ219" s="10" t="inlineStr">
        <is>
          <t>3279074639</t>
        </is>
      </c>
    </row>
    <row r="220">
      <c r="A220" s="10" t="inlineStr">
        <is>
          <t>Peugeot 205 GTI</t>
        </is>
      </c>
      <c r="B220" s="10" t="inlineStr">
        <is>
          <t>Peugeot 205 GTI</t>
        </is>
      </c>
      <c r="C220" s="10" t="n"/>
      <c r="D220" s="10" t="n"/>
      <c r="E220" s="10" t="inlineStr">
        <is>
          <t>En vente</t>
        </is>
      </c>
      <c r="F220" s="18" t="n">
        <v>46294</v>
      </c>
      <c r="G220" s="18" t="n">
        <v>46294</v>
      </c>
      <c r="H220" s="18" t="n">
        <v>46310</v>
      </c>
      <c r="I220" s="18" t="n"/>
      <c r="J220" s="17">
        <f>IF(OR(ISNUMBER(F220),ISNUMBER(G220)),IF(ISNUMBER(I220),I220,H220)-IF(ISNUMBER(F220),F220,G220),"")</f>
        <v/>
      </c>
      <c r="K220" s="12" t="n">
        <v>26500</v>
      </c>
      <c r="L220" s="12" t="n">
        <v>26500</v>
      </c>
      <c r="M220" s="13">
        <f>IF(AND(ISNUMBER(K220),ISNUMBER(L220),K220&gt;0),1-L220/K220,"")</f>
        <v/>
      </c>
      <c r="N220" s="16" t="n">
        <v>0</v>
      </c>
      <c r="O220" s="12" t="n"/>
      <c r="P220" s="12" t="n"/>
      <c r="Q220" s="12" t="n"/>
      <c r="R220" s="14">
        <f>IF(AND(ISNUMBER(L220),ISNUMBER(P220),ISNUMBER(Q220)),L220/((P220+Q220)/2)-1,"")</f>
        <v/>
      </c>
      <c r="S220" s="10" t="n"/>
      <c r="T220" s="15" t="n">
        <v>300000</v>
      </c>
      <c r="U220" s="16" t="n">
        <v>1987</v>
      </c>
      <c r="V220" s="10" t="inlineStr">
        <is>
          <t>10/1987</t>
        </is>
      </c>
      <c r="W220" s="10" t="inlineStr">
        <is>
          <t>Essence</t>
        </is>
      </c>
      <c r="X220" s="10" t="inlineStr">
        <is>
          <t>Manuelle</t>
        </is>
      </c>
      <c r="Y220" s="16" t="n">
        <v>130</v>
      </c>
      <c r="Z220" s="16" t="n">
        <v>9</v>
      </c>
      <c r="AA220" s="10" t="inlineStr">
        <is>
          <t>Gris</t>
        </is>
      </c>
      <c r="AB220" s="16" t="n">
        <v>3</v>
      </c>
      <c r="AC220" s="10" t="inlineStr">
        <is>
          <t>Coupé</t>
        </is>
      </c>
      <c r="AD220" s="10" t="inlineStr">
        <is>
          <t>Réparations utiles déjà faites</t>
        </is>
      </c>
      <c r="AE220" s="10" t="n"/>
      <c r="AF220" s="10" t="inlineStr">
        <is>
          <t>Particulier</t>
        </is>
      </c>
      <c r="AG220" s="10" t="inlineStr">
        <is>
          <t>Bouchemaine</t>
        </is>
      </c>
      <c r="AH220" s="10" t="inlineStr">
        <is>
          <t>49080</t>
        </is>
      </c>
      <c r="AI220" s="10" t="inlineStr">
        <is>
          <t>Maine-et-Loire</t>
        </is>
      </c>
      <c r="AJ220" s="10" t="inlineStr">
        <is>
          <t>Pays de la Loire</t>
        </is>
      </c>
      <c r="AK220" s="16" t="n">
        <v>3</v>
      </c>
      <c r="AL220" s="10" t="n"/>
      <c r="AM220" s="10" t="inlineStr">
        <is>
          <t>Non</t>
        </is>
      </c>
      <c r="AN220" s="10" t="inlineStr">
        <is>
          <t>205 GTI 1l9 entièrement rénové Version rare de 1987 (série 1) 130cv Moteur, embrayage , frein AV et AR, amortisseurs, train AV et AR, etc refait à neuf Toit ouvrant Intérieur rénové Mousses de sièges et revêtement neuf La caisse a été entièrement restauré et protégé Je suis à disposition pour tout renseignements supplémentaires par téléphone Je ne réponds pas aux mails</t>
        </is>
      </c>
      <c r="AO220" s="10" t="inlineStr">
        <is>
          <t>vehicle_technical_inspection_valid : Non ; Dommages : Excellent état (proche du neuf) ; Sellerie : Cuir partiel ; Permis : Avec permis ; Importé : false</t>
        </is>
      </c>
      <c r="AP220" s="19" t="inlineStr">
        <is>
          <t>Voir</t>
        </is>
      </c>
      <c r="AQ220" s="10" t="inlineStr">
        <is>
          <t>3279249484</t>
        </is>
      </c>
    </row>
    <row r="221">
      <c r="A221" s="10" t="inlineStr">
        <is>
          <t>Peugeot 205 GTI</t>
        </is>
      </c>
      <c r="B221" s="10" t="inlineStr">
        <is>
          <t>205 gti dimma</t>
        </is>
      </c>
      <c r="C221" s="10" t="n"/>
      <c r="D221" s="10" t="n"/>
      <c r="E221" s="10" t="inlineStr">
        <is>
          <t>En vente</t>
        </is>
      </c>
      <c r="F221" s="18" t="n">
        <v>46295</v>
      </c>
      <c r="G221" s="18" t="n">
        <v>46295</v>
      </c>
      <c r="H221" s="18" t="n">
        <v>46310</v>
      </c>
      <c r="I221" s="18" t="n"/>
      <c r="J221" s="17">
        <f>IF(OR(ISNUMBER(F221),ISNUMBER(G221)),IF(ISNUMBER(I221),I221,H221)-IF(ISNUMBER(F221),F221,G221),"")</f>
        <v/>
      </c>
      <c r="K221" s="12" t="n">
        <v>15000</v>
      </c>
      <c r="L221" s="12" t="n">
        <v>15000</v>
      </c>
      <c r="M221" s="13">
        <f>IF(AND(ISNUMBER(K221),ISNUMBER(L221),K221&gt;0),1-L221/K221,"")</f>
        <v/>
      </c>
      <c r="N221" s="16" t="n">
        <v>0</v>
      </c>
      <c r="O221" s="12" t="n"/>
      <c r="P221" s="12" t="n"/>
      <c r="Q221" s="12" t="n"/>
      <c r="R221" s="14">
        <f>IF(AND(ISNUMBER(L221),ISNUMBER(P221),ISNUMBER(Q221)),L221/((P221+Q221)/2)-1,"")</f>
        <v/>
      </c>
      <c r="S221" s="10" t="n"/>
      <c r="T221" s="15" t="n">
        <v>75000</v>
      </c>
      <c r="U221" s="16" t="n">
        <v>1987</v>
      </c>
      <c r="V221" s="10" t="n"/>
      <c r="W221" s="10" t="inlineStr">
        <is>
          <t>Essence</t>
        </is>
      </c>
      <c r="X221" s="10" t="inlineStr">
        <is>
          <t>Manuelle</t>
        </is>
      </c>
      <c r="Y221" s="16" t="n"/>
      <c r="Z221" s="16" t="n"/>
      <c r="AA221" s="10" t="n"/>
      <c r="AB221" s="16" t="n"/>
      <c r="AC221" s="10" t="n"/>
      <c r="AD221" s="10" t="n"/>
      <c r="AE221" s="10" t="n"/>
      <c r="AF221" s="10" t="inlineStr">
        <is>
          <t>Particulier</t>
        </is>
      </c>
      <c r="AG221" s="10" t="inlineStr">
        <is>
          <t>Pardies</t>
        </is>
      </c>
      <c r="AH221" s="10" t="inlineStr">
        <is>
          <t>64150</t>
        </is>
      </c>
      <c r="AI221" s="10" t="inlineStr">
        <is>
          <t>Pyrénées-Atlantiques</t>
        </is>
      </c>
      <c r="AJ221" s="10" t="inlineStr">
        <is>
          <t>Aquitaine</t>
        </is>
      </c>
      <c r="AK221" s="16" t="n">
        <v>2</v>
      </c>
      <c r="AL221" s="10" t="n"/>
      <c r="AM221" s="10" t="inlineStr">
        <is>
          <t>Non</t>
        </is>
      </c>
      <c r="AN221" s="10" t="inlineStr">
        <is>
          <t>Vend 205 gti 1.9 dimma Moteur 2l tct Étrier avant 406 v6 Mettre cylindre de frein 23.8 Suspension koni Injecteurs neufs Pneus neufs Carte grise en règle</t>
        </is>
      </c>
      <c r="AO221" s="10" t="inlineStr">
        <is>
          <t>Permis : Avec permis ; Importé : false ; vehicle_history_report_status : visible</t>
        </is>
      </c>
      <c r="AP221" s="19" t="inlineStr">
        <is>
          <t>Voir</t>
        </is>
      </c>
      <c r="AQ221" s="10" t="inlineStr">
        <is>
          <t>3279375431</t>
        </is>
      </c>
    </row>
    <row r="222">
      <c r="A222" s="10" t="inlineStr">
        <is>
          <t>Peugeot 205 GTI</t>
        </is>
      </c>
      <c r="B222" s="10" t="inlineStr">
        <is>
          <t>205 gti 1,6l</t>
        </is>
      </c>
      <c r="C222" s="10" t="n"/>
      <c r="D222" s="10" t="n"/>
      <c r="E222" s="10" t="inlineStr">
        <is>
          <t>En vente</t>
        </is>
      </c>
      <c r="F222" s="18" t="n">
        <v>46297</v>
      </c>
      <c r="G222" s="18" t="n">
        <v>46297</v>
      </c>
      <c r="H222" s="18" t="n">
        <v>46310</v>
      </c>
      <c r="I222" s="18" t="n"/>
      <c r="J222" s="17">
        <f>IF(OR(ISNUMBER(F222),ISNUMBER(G222)),IF(ISNUMBER(I222),I222,H222)-IF(ISNUMBER(F222),F222,G222),"")</f>
        <v/>
      </c>
      <c r="K222" s="12" t="n">
        <v>13500</v>
      </c>
      <c r="L222" s="12" t="n">
        <v>13500</v>
      </c>
      <c r="M222" s="13">
        <f>IF(AND(ISNUMBER(K222),ISNUMBER(L222),K222&gt;0),1-L222/K222,"")</f>
        <v/>
      </c>
      <c r="N222" s="16" t="n">
        <v>0</v>
      </c>
      <c r="O222" s="12" t="n"/>
      <c r="P222" s="12" t="n"/>
      <c r="Q222" s="12" t="n"/>
      <c r="R222" s="14">
        <f>IF(AND(ISNUMBER(L222),ISNUMBER(P222),ISNUMBER(Q222)),L222/((P222+Q222)/2)-1,"")</f>
        <v/>
      </c>
      <c r="S222" s="10" t="n"/>
      <c r="T222" s="15" t="n">
        <v>250000</v>
      </c>
      <c r="U222" s="16" t="n">
        <v>1986</v>
      </c>
      <c r="V222" s="10" t="n"/>
      <c r="W222" s="10" t="inlineStr">
        <is>
          <t>Essence</t>
        </is>
      </c>
      <c r="X222" s="10" t="inlineStr">
        <is>
          <t>Manuelle</t>
        </is>
      </c>
      <c r="Y222" s="16" t="n"/>
      <c r="Z222" s="16" t="n"/>
      <c r="AA222" s="10" t="n"/>
      <c r="AB222" s="16" t="n"/>
      <c r="AC222" s="10" t="n"/>
      <c r="AD222" s="10" t="n"/>
      <c r="AE222" s="10" t="n"/>
      <c r="AF222" s="10" t="inlineStr">
        <is>
          <t>Particulier</t>
        </is>
      </c>
      <c r="AG222" s="10" t="inlineStr">
        <is>
          <t>La Roche-sur-Yon</t>
        </is>
      </c>
      <c r="AH222" s="10" t="inlineStr">
        <is>
          <t>85000</t>
        </is>
      </c>
      <c r="AI222" s="10" t="inlineStr">
        <is>
          <t>Vendée</t>
        </is>
      </c>
      <c r="AJ222" s="10" t="inlineStr">
        <is>
          <t>Pays de la Loire</t>
        </is>
      </c>
      <c r="AK222" s="16" t="n">
        <v>3</v>
      </c>
      <c r="AL222" s="10" t="n"/>
      <c r="AM222" s="10" t="inlineStr">
        <is>
          <t>Non</t>
        </is>
      </c>
      <c r="AN222" s="10" t="inlineStr">
        <is>
          <t>Peugeot 205 GTI 1.6 – Bon état – CT OK Je mets en vente ma Peugeot 205 GTI 1.6, modèle emblématique des années 80, qui se présente aujourd’hui en bon état général. La voiture est saine, agréable à conduire et fonctionne parfaitement. Elle roule aussi bien sur petites routes que sur voie rapide. 🔧 Mécanique : Moteur 1.6 Fonctionnement normal Démarre parfaitement Boîte de vitesses fonctionnelle Freinage et tenue de route OK Rien de particulier à prévoir Aucun frais immédiat à envisager 📋 Kilomét</t>
        </is>
      </c>
      <c r="AO222" s="10" t="inlineStr">
        <is>
          <t>Permis : Avec permis ; Importé : false</t>
        </is>
      </c>
      <c r="AP222" s="19" t="inlineStr">
        <is>
          <t>Voir</t>
        </is>
      </c>
      <c r="AQ222" s="10" t="inlineStr">
        <is>
          <t>3280466980</t>
        </is>
      </c>
    </row>
    <row r="223">
      <c r="A223" s="10" t="inlineStr">
        <is>
          <t>Peugeot 205 GTI</t>
        </is>
      </c>
      <c r="B223" s="10" t="inlineStr">
        <is>
          <t>205 Gti F2000</t>
        </is>
      </c>
      <c r="C223" s="10" t="n"/>
      <c r="D223" s="10" t="n"/>
      <c r="E223" s="10" t="inlineStr">
        <is>
          <t>En vente</t>
        </is>
      </c>
      <c r="F223" s="18" t="n">
        <v>46299</v>
      </c>
      <c r="G223" s="18" t="n">
        <v>46299</v>
      </c>
      <c r="H223" s="18" t="n">
        <v>46310</v>
      </c>
      <c r="I223" s="18" t="n"/>
      <c r="J223" s="17">
        <f>IF(OR(ISNUMBER(F223),ISNUMBER(G223)),IF(ISNUMBER(I223),I223,H223)-IF(ISNUMBER(F223),F223,G223),"")</f>
        <v/>
      </c>
      <c r="K223" s="12" t="n">
        <v>20000</v>
      </c>
      <c r="L223" s="12" t="n">
        <v>20000</v>
      </c>
      <c r="M223" s="13">
        <f>IF(AND(ISNUMBER(K223),ISNUMBER(L223),K223&gt;0),1-L223/K223,"")</f>
        <v/>
      </c>
      <c r="N223" s="16" t="n">
        <v>0</v>
      </c>
      <c r="O223" s="12" t="n"/>
      <c r="P223" s="12" t="n"/>
      <c r="Q223" s="12" t="n"/>
      <c r="R223" s="14">
        <f>IF(AND(ISNUMBER(L223),ISNUMBER(P223),ISNUMBER(Q223)),L223/((P223+Q223)/2)-1,"")</f>
        <v/>
      </c>
      <c r="S223" s="10" t="n"/>
      <c r="T223" s="15" t="n">
        <v>50000</v>
      </c>
      <c r="U223" s="16" t="n">
        <v>1986</v>
      </c>
      <c r="V223" s="10" t="inlineStr">
        <is>
          <t>10/1986</t>
        </is>
      </c>
      <c r="W223" s="10" t="inlineStr">
        <is>
          <t>Essence</t>
        </is>
      </c>
      <c r="X223" s="10" t="inlineStr">
        <is>
          <t>Manuelle</t>
        </is>
      </c>
      <c r="Y223" s="16" t="n"/>
      <c r="Z223" s="16" t="n"/>
      <c r="AA223" s="10" t="n"/>
      <c r="AB223" s="16" t="n"/>
      <c r="AC223" s="10" t="n"/>
      <c r="AD223" s="10" t="n"/>
      <c r="AE223" s="10" t="n"/>
      <c r="AF223" s="10" t="inlineStr">
        <is>
          <t>Particulier</t>
        </is>
      </c>
      <c r="AG223" s="10" t="inlineStr">
        <is>
          <t>Les Abrets en Dauphiné</t>
        </is>
      </c>
      <c r="AH223" s="10" t="inlineStr">
        <is>
          <t>38490</t>
        </is>
      </c>
      <c r="AI223" s="10" t="inlineStr">
        <is>
          <t>Isère</t>
        </is>
      </c>
      <c r="AJ223" s="10" t="inlineStr">
        <is>
          <t>Rhône-Alpes</t>
        </is>
      </c>
      <c r="AK223" s="16" t="n">
        <v>3</v>
      </c>
      <c r="AL223" s="10" t="n"/>
      <c r="AM223" s="10" t="inlineStr">
        <is>
          <t>Non</t>
        </is>
      </c>
      <c r="AN223" s="10" t="inlineStr">
        <is>
          <t>Suite a l'arrêt de la compétition, je vend ma 205 F2000 13. Moteur 1L6 8s: Bielles/pistons forgés Vilebrequin et volant moteur allégés Embrayage 4 patins renforcé Grosse culasse avec arbre a came grosse levée Collecteur d'échappement 4-2-1 Injection 4 papillon Boitier E race Boite a vitesse SMAN: Autobloquant JB3 Cardan renforcé SNRA Levier de vitesse (montage a câble) Caisse: 4 amortisseurs R'tech Frein 406 V6 Triangles reglables Train arrière Peugeot sport réglable Habitacle: Baquet =&gt; 2031 Ha</t>
        </is>
      </c>
      <c r="AO223" s="10" t="inlineStr">
        <is>
          <t>vehicle_technical_inspection_valid : Non ; Permis : Avec permis ; Importé : false</t>
        </is>
      </c>
      <c r="AP223" s="19" t="inlineStr">
        <is>
          <t>Voir</t>
        </is>
      </c>
      <c r="AQ223" s="10" t="inlineStr">
        <is>
          <t>3282209449</t>
        </is>
      </c>
    </row>
    <row r="224">
      <c r="A224" s="10" t="inlineStr">
        <is>
          <t>Peugeot 205 GTI</t>
        </is>
      </c>
      <c r="B224" s="10" t="inlineStr">
        <is>
          <t>Peugeot 205 GTI</t>
        </is>
      </c>
      <c r="C224" s="10" t="n"/>
      <c r="D224" s="10" t="n"/>
      <c r="E224" s="10" t="inlineStr">
        <is>
          <t>En vente</t>
        </is>
      </c>
      <c r="F224" s="18" t="n">
        <v>46300</v>
      </c>
      <c r="G224" s="18" t="n">
        <v>46300</v>
      </c>
      <c r="H224" s="18" t="n">
        <v>46310</v>
      </c>
      <c r="I224" s="18" t="n"/>
      <c r="J224" s="17">
        <f>IF(OR(ISNUMBER(F224),ISNUMBER(G224)),IF(ISNUMBER(I224),I224,H224)-IF(ISNUMBER(F224),F224,G224),"")</f>
        <v/>
      </c>
      <c r="K224" s="12" t="n">
        <v>18000</v>
      </c>
      <c r="L224" s="12" t="n">
        <v>18000</v>
      </c>
      <c r="M224" s="13">
        <f>IF(AND(ISNUMBER(K224),ISNUMBER(L224),K224&gt;0),1-L224/K224,"")</f>
        <v/>
      </c>
      <c r="N224" s="16" t="n">
        <v>0</v>
      </c>
      <c r="O224" s="12" t="n"/>
      <c r="P224" s="12" t="n"/>
      <c r="Q224" s="12" t="n"/>
      <c r="R224" s="14">
        <f>IF(AND(ISNUMBER(L224),ISNUMBER(P224),ISNUMBER(Q224)),L224/((P224+Q224)/2)-1,"")</f>
        <v/>
      </c>
      <c r="S224" s="10" t="n"/>
      <c r="T224" s="15" t="n">
        <v>188000</v>
      </c>
      <c r="U224" s="16" t="n">
        <v>1989</v>
      </c>
      <c r="V224" s="10" t="inlineStr">
        <is>
          <t>11/1989</t>
        </is>
      </c>
      <c r="W224" s="10" t="inlineStr">
        <is>
          <t>Essence</t>
        </is>
      </c>
      <c r="X224" s="10" t="inlineStr">
        <is>
          <t>Manuelle</t>
        </is>
      </c>
      <c r="Y224" s="16" t="n">
        <v>60</v>
      </c>
      <c r="Z224" s="16" t="n">
        <v>5</v>
      </c>
      <c r="AA224" s="10" t="inlineStr">
        <is>
          <t>Blanc</t>
        </is>
      </c>
      <c r="AB224" s="16" t="n">
        <v>3</v>
      </c>
      <c r="AC224" s="10" t="inlineStr">
        <is>
          <t>Berline</t>
        </is>
      </c>
      <c r="AD224" s="10" t="n"/>
      <c r="AE224" s="10" t="n"/>
      <c r="AF224" s="10" t="inlineStr">
        <is>
          <t>Particulier</t>
        </is>
      </c>
      <c r="AG224" s="10" t="inlineStr">
        <is>
          <t>Albi</t>
        </is>
      </c>
      <c r="AH224" s="10" t="inlineStr">
        <is>
          <t>81000</t>
        </is>
      </c>
      <c r="AI224" s="10" t="inlineStr">
        <is>
          <t>Tarn</t>
        </is>
      </c>
      <c r="AJ224" s="10" t="inlineStr">
        <is>
          <t>Midi-Pyrénées</t>
        </is>
      </c>
      <c r="AK224" s="16" t="n">
        <v>3</v>
      </c>
      <c r="AL224" s="10" t="n"/>
      <c r="AM224" s="10" t="inlineStr">
        <is>
          <t>Non</t>
        </is>
      </c>
      <c r="AN224" s="10" t="inlineStr">
        <is>
          <t>Peugeot 205 GTI 1.6 115CH blanche. Bon état. Contact uniquement par téléphone. Curieux s'abstenir.</t>
        </is>
      </c>
      <c r="AO224" s="10" t="inlineStr">
        <is>
          <t>vehicle_technical_inspection_valid : Non ; Permis : Avec permis ; Importé : false</t>
        </is>
      </c>
      <c r="AP224" s="19" t="inlineStr">
        <is>
          <t>Voir</t>
        </is>
      </c>
      <c r="AQ224" s="10" t="inlineStr">
        <is>
          <t>3282558782</t>
        </is>
      </c>
    </row>
    <row r="225">
      <c r="A225" s="10" t="inlineStr">
        <is>
          <t>Peugeot 205 GTI</t>
        </is>
      </c>
      <c r="B225" s="10" t="inlineStr">
        <is>
          <t>205 gti</t>
        </is>
      </c>
      <c r="C225" s="10" t="n"/>
      <c r="D225" s="10" t="n"/>
      <c r="E225" s="10" t="inlineStr">
        <is>
          <t>En vente</t>
        </is>
      </c>
      <c r="F225" s="18" t="n">
        <v>46300</v>
      </c>
      <c r="G225" s="18" t="n">
        <v>46300</v>
      </c>
      <c r="H225" s="18" t="n">
        <v>46310</v>
      </c>
      <c r="I225" s="18" t="n"/>
      <c r="J225" s="17">
        <f>IF(OR(ISNUMBER(F225),ISNUMBER(G225)),IF(ISNUMBER(I225),I225,H225)-IF(ISNUMBER(F225),F225,G225),"")</f>
        <v/>
      </c>
      <c r="K225" s="12" t="n">
        <v>9800</v>
      </c>
      <c r="L225" s="12" t="n">
        <v>9800</v>
      </c>
      <c r="M225" s="13">
        <f>IF(AND(ISNUMBER(K225),ISNUMBER(L225),K225&gt;0),1-L225/K225,"")</f>
        <v/>
      </c>
      <c r="N225" s="16" t="n">
        <v>0</v>
      </c>
      <c r="O225" s="12" t="n">
        <v>11000</v>
      </c>
      <c r="P225" s="12" t="n"/>
      <c r="Q225" s="12" t="n"/>
      <c r="R225" s="14">
        <f>IF(AND(ISNUMBER(L225),ISNUMBER(P225),ISNUMBER(Q225)),L225/((P225+Q225)/2)-1,"")</f>
        <v/>
      </c>
      <c r="S225" s="10" t="n"/>
      <c r="T225" s="15" t="n">
        <v>163000</v>
      </c>
      <c r="U225" s="16" t="n">
        <v>1986</v>
      </c>
      <c r="V225" s="10" t="inlineStr">
        <is>
          <t>03/1986</t>
        </is>
      </c>
      <c r="W225" s="10" t="inlineStr">
        <is>
          <t>Essence</t>
        </is>
      </c>
      <c r="X225" s="10" t="inlineStr">
        <is>
          <t>Manuelle</t>
        </is>
      </c>
      <c r="Y225" s="16" t="n"/>
      <c r="Z225" s="16" t="n">
        <v>8</v>
      </c>
      <c r="AA225" s="10" t="n"/>
      <c r="AB225" s="16" t="n">
        <v>3</v>
      </c>
      <c r="AC225" s="10" t="inlineStr">
        <is>
          <t>Coupé</t>
        </is>
      </c>
      <c r="AD225" s="10" t="n"/>
      <c r="AE225" s="10" t="n"/>
      <c r="AF225" s="10" t="inlineStr">
        <is>
          <t>Particulier</t>
        </is>
      </c>
      <c r="AG225" s="10" t="inlineStr">
        <is>
          <t>Chalvraines</t>
        </is>
      </c>
      <c r="AH225" s="10" t="inlineStr">
        <is>
          <t>52700</t>
        </is>
      </c>
      <c r="AI225" s="10" t="inlineStr">
        <is>
          <t>Haute-Marne</t>
        </is>
      </c>
      <c r="AJ225" s="10" t="inlineStr">
        <is>
          <t>Champagne-Ardenne</t>
        </is>
      </c>
      <c r="AK225" s="16" t="n">
        <v>3</v>
      </c>
      <c r="AL225" s="10" t="n"/>
      <c r="AM225" s="10" t="inlineStr">
        <is>
          <t>Non</t>
        </is>
      </c>
      <c r="AN225" s="10" t="inlineStr">
        <is>
          <t>205 gti 1.6 105 a fini de remonté trin en bonne état moteur 405 mi16plus de renseignements contacter moi que par tel prix 9800</t>
        </is>
      </c>
      <c r="AO225" s="10" t="inlineStr">
        <is>
          <t>vehicle_technical_inspection_valid : Non ; Permis : Avec permis ; Importé : false</t>
        </is>
      </c>
      <c r="AP225" s="19" t="inlineStr">
        <is>
          <t>Voir</t>
        </is>
      </c>
      <c r="AQ225" s="10" t="inlineStr">
        <is>
          <t>3282702066</t>
        </is>
      </c>
    </row>
    <row r="226">
      <c r="A226" s="10" t="inlineStr">
        <is>
          <t>Peugeot 205 GTI</t>
        </is>
      </c>
      <c r="B226" s="10" t="inlineStr">
        <is>
          <t>205 gti</t>
        </is>
      </c>
      <c r="C226" s="10" t="n"/>
      <c r="D226" s="10" t="n"/>
      <c r="E226" s="10" t="inlineStr">
        <is>
          <t>En vente</t>
        </is>
      </c>
      <c r="F226" s="18" t="n">
        <v>46300</v>
      </c>
      <c r="G226" s="18" t="n">
        <v>46300</v>
      </c>
      <c r="H226" s="18" t="n">
        <v>46310</v>
      </c>
      <c r="I226" s="18" t="n"/>
      <c r="J226" s="17">
        <f>IF(OR(ISNUMBER(F226),ISNUMBER(G226)),IF(ISNUMBER(I226),I226,H226)-IF(ISNUMBER(F226),F226,G226),"")</f>
        <v/>
      </c>
      <c r="K226" s="12" t="n">
        <v>16000</v>
      </c>
      <c r="L226" s="12" t="n">
        <v>16000</v>
      </c>
      <c r="M226" s="13">
        <f>IF(AND(ISNUMBER(K226),ISNUMBER(L226),K226&gt;0),1-L226/K226,"")</f>
        <v/>
      </c>
      <c r="N226" s="16" t="n">
        <v>0</v>
      </c>
      <c r="O226" s="12" t="n"/>
      <c r="P226" s="12" t="n"/>
      <c r="Q226" s="12" t="n"/>
      <c r="R226" s="14">
        <f>IF(AND(ISNUMBER(L226),ISNUMBER(P226),ISNUMBER(Q226)),L226/((P226+Q226)/2)-1,"")</f>
        <v/>
      </c>
      <c r="S226" s="10" t="n"/>
      <c r="T226" s="15" t="n">
        <v>204000</v>
      </c>
      <c r="U226" s="16" t="n">
        <v>1986</v>
      </c>
      <c r="V226" s="10" t="inlineStr">
        <is>
          <t>08/1986</t>
        </is>
      </c>
      <c r="W226" s="10" t="inlineStr">
        <is>
          <t>Essence</t>
        </is>
      </c>
      <c r="X226" s="10" t="inlineStr">
        <is>
          <t>Manuelle</t>
        </is>
      </c>
      <c r="Y226" s="16" t="n">
        <v>115</v>
      </c>
      <c r="Z226" s="16" t="n">
        <v>8</v>
      </c>
      <c r="AA226" s="10" t="inlineStr">
        <is>
          <t>Noir</t>
        </is>
      </c>
      <c r="AB226" s="16" t="n">
        <v>3</v>
      </c>
      <c r="AC226" s="10" t="inlineStr">
        <is>
          <t>Citadine</t>
        </is>
      </c>
      <c r="AD226" s="10" t="n"/>
      <c r="AE226" s="10" t="n"/>
      <c r="AF226" s="10" t="inlineStr">
        <is>
          <t>Particulier</t>
        </is>
      </c>
      <c r="AG226" s="10" t="inlineStr">
        <is>
          <t>Rians</t>
        </is>
      </c>
      <c r="AH226" s="10" t="inlineStr">
        <is>
          <t>83560</t>
        </is>
      </c>
      <c r="AI226" s="10" t="inlineStr">
        <is>
          <t>Var</t>
        </is>
      </c>
      <c r="AJ226" s="10" t="inlineStr">
        <is>
          <t>Provence-Alpes-Côte d'Azur</t>
        </is>
      </c>
      <c r="AK226" s="16" t="n">
        <v>3</v>
      </c>
      <c r="AL226" s="10" t="n"/>
      <c r="AM226" s="10" t="inlineStr">
        <is>
          <t>Non</t>
        </is>
      </c>
      <c r="AN226" s="10" t="inlineStr">
        <is>
          <t xml:space="preserve">Vend 205 GTI de 1986 Cest une 1.6l phase 1 de 115cv Modèle très rare car très peu produite (de Mars à Août 86) Le véhicule est en très bon état. C'est une deuxième main. Tout l'historique est disponible ainsi que de nombreuses factures. Le moteur et les trains roulant sont neufs. (factures) Quelques bricoles à faire pour terminer cette restauration : - le volant est un volant phase 2 - petite retouche peinture au niveau de l'aile avant gauche (une pièce métallique est tombée dessus) - il manque </t>
        </is>
      </c>
      <c r="AO226" s="10" t="inlineStr">
        <is>
          <t>vehicle_technical_inspection_valid : Oui ; Dommages : Excellent état (proche du neuf) ; Sellerie : Tissu ; Permis : Avec permis ; Importé : false</t>
        </is>
      </c>
      <c r="AP226" s="19" t="inlineStr">
        <is>
          <t>Voir</t>
        </is>
      </c>
      <c r="AQ226" s="10" t="inlineStr">
        <is>
          <t>3282865791</t>
        </is>
      </c>
    </row>
    <row r="227">
      <c r="A227" s="10" t="inlineStr">
        <is>
          <t>Peugeot 205 GTI</t>
        </is>
      </c>
      <c r="B227" s="10" t="inlineStr">
        <is>
          <t>205 gti</t>
        </is>
      </c>
      <c r="C227" s="10" t="n"/>
      <c r="D227" s="10" t="n"/>
      <c r="E227" s="10" t="inlineStr">
        <is>
          <t>En vente</t>
        </is>
      </c>
      <c r="F227" s="18" t="n">
        <v>46301</v>
      </c>
      <c r="G227" s="18" t="n">
        <v>46301</v>
      </c>
      <c r="H227" s="18" t="n">
        <v>46310</v>
      </c>
      <c r="I227" s="18" t="n"/>
      <c r="J227" s="17">
        <f>IF(OR(ISNUMBER(F227),ISNUMBER(G227)),IF(ISNUMBER(I227),I227,H227)-IF(ISNUMBER(F227),F227,G227),"")</f>
        <v/>
      </c>
      <c r="K227" s="12" t="n">
        <v>15000</v>
      </c>
      <c r="L227" s="12" t="n">
        <v>15000</v>
      </c>
      <c r="M227" s="13">
        <f>IF(AND(ISNUMBER(K227),ISNUMBER(L227),K227&gt;0),1-L227/K227,"")</f>
        <v/>
      </c>
      <c r="N227" s="16" t="n">
        <v>0</v>
      </c>
      <c r="O227" s="12" t="n"/>
      <c r="P227" s="12" t="n"/>
      <c r="Q227" s="12" t="n"/>
      <c r="R227" s="14">
        <f>IF(AND(ISNUMBER(L227),ISNUMBER(P227),ISNUMBER(Q227)),L227/((P227+Q227)/2)-1,"")</f>
        <v/>
      </c>
      <c r="S227" s="10" t="n"/>
      <c r="T227" s="15" t="n">
        <v>167000</v>
      </c>
      <c r="U227" s="16" t="n">
        <v>1987</v>
      </c>
      <c r="V227" s="10" t="inlineStr">
        <is>
          <t>06/1987</t>
        </is>
      </c>
      <c r="W227" s="10" t="inlineStr">
        <is>
          <t>Essence</t>
        </is>
      </c>
      <c r="X227" s="10" t="inlineStr">
        <is>
          <t>Manuelle</t>
        </is>
      </c>
      <c r="Y227" s="16" t="n">
        <v>115</v>
      </c>
      <c r="Z227" s="16" t="n">
        <v>8</v>
      </c>
      <c r="AA227" s="10" t="inlineStr">
        <is>
          <t>Gris</t>
        </is>
      </c>
      <c r="AB227" s="16" t="n">
        <v>2</v>
      </c>
      <c r="AC227" s="10" t="inlineStr">
        <is>
          <t>Citadine</t>
        </is>
      </c>
      <c r="AD227" s="10" t="n"/>
      <c r="AE227" s="10" t="n"/>
      <c r="AF227" s="10" t="inlineStr">
        <is>
          <t>Particulier</t>
        </is>
      </c>
      <c r="AG227" s="10" t="inlineStr">
        <is>
          <t>Vinon-sur-Verdon</t>
        </is>
      </c>
      <c r="AH227" s="10" t="inlineStr">
        <is>
          <t>83560</t>
        </is>
      </c>
      <c r="AI227" s="10" t="inlineStr">
        <is>
          <t>Var</t>
        </is>
      </c>
      <c r="AJ227" s="10" t="inlineStr">
        <is>
          <t>Provence-Alpes-Côte d'Azur</t>
        </is>
      </c>
      <c r="AK227" s="16" t="n">
        <v>3</v>
      </c>
      <c r="AL227" s="10" t="n"/>
      <c r="AM227" s="10" t="inlineStr">
        <is>
          <t>Non</t>
        </is>
      </c>
      <c r="AN227" s="10" t="inlineStr">
        <is>
          <t>Je vends ma Peugeot 205 GTI de 1987, une citadine sportive mythique avec 167 000 km au compteur. - Marque : Peugeot - Modèle : 205 GTI - Année : 1987 - Kilométrage : 167 000 km - Motorisation : 115 Ch - Carburant : Essence - Boîte de vitesses : Manuelle - Couleur : Gris foncé metallisé - Type de véhicule : Citadine - Nombre de portes : 2 - Nombre de sièges : 4 - Puissance fiscale : 8 Cv - Contrôle technique : À prévoir N'hésitez pas à me contacter pour plus d'informations ou pour organiser une v</t>
        </is>
      </c>
      <c r="AO227" s="10" t="inlineStr">
        <is>
          <t>vehicle_technical_inspection_valid : Non ; Sellerie : Cuir partiel ; Permis : Avec permis ; Importé : false</t>
        </is>
      </c>
      <c r="AP227" s="19" t="inlineStr">
        <is>
          <t>Voir</t>
        </is>
      </c>
      <c r="AQ227" s="10" t="inlineStr">
        <is>
          <t>3283091323</t>
        </is>
      </c>
    </row>
    <row r="228">
      <c r="A228" s="10" t="inlineStr">
        <is>
          <t>Peugeot 205 GTI</t>
        </is>
      </c>
      <c r="B228" s="10" t="inlineStr">
        <is>
          <t>Peugeot 205 gti 115 chevaux</t>
        </is>
      </c>
      <c r="C228" s="10" t="n"/>
      <c r="D228" s="10" t="n"/>
      <c r="E228" s="10" t="inlineStr">
        <is>
          <t>En vente</t>
        </is>
      </c>
      <c r="F228" s="18" t="n">
        <v>46301</v>
      </c>
      <c r="G228" s="18" t="n">
        <v>46301</v>
      </c>
      <c r="H228" s="18" t="n">
        <v>46310</v>
      </c>
      <c r="I228" s="18" t="n"/>
      <c r="J228" s="17">
        <f>IF(OR(ISNUMBER(F228),ISNUMBER(G228)),IF(ISNUMBER(I228),I228,H228)-IF(ISNUMBER(F228),F228,G228),"")</f>
        <v/>
      </c>
      <c r="K228" s="12" t="n">
        <v>15000</v>
      </c>
      <c r="L228" s="12" t="n">
        <v>15000</v>
      </c>
      <c r="M228" s="13">
        <f>IF(AND(ISNUMBER(K228),ISNUMBER(L228),K228&gt;0),1-L228/K228,"")</f>
        <v/>
      </c>
      <c r="N228" s="16" t="n">
        <v>0</v>
      </c>
      <c r="O228" s="12" t="n"/>
      <c r="P228" s="12" t="n"/>
      <c r="Q228" s="12" t="n"/>
      <c r="R228" s="14">
        <f>IF(AND(ISNUMBER(L228),ISNUMBER(P228),ISNUMBER(Q228)),L228/((P228+Q228)/2)-1,"")</f>
        <v/>
      </c>
      <c r="S228" s="10" t="n"/>
      <c r="T228" s="15" t="n">
        <v>210600</v>
      </c>
      <c r="U228" s="16" t="n">
        <v>1989</v>
      </c>
      <c r="V228" s="10" t="inlineStr">
        <is>
          <t>07/1989</t>
        </is>
      </c>
      <c r="W228" s="10" t="inlineStr">
        <is>
          <t>Essence</t>
        </is>
      </c>
      <c r="X228" s="10" t="inlineStr">
        <is>
          <t>Manuelle</t>
        </is>
      </c>
      <c r="Y228" s="16" t="n">
        <v>115</v>
      </c>
      <c r="Z228" s="16" t="n">
        <v>8</v>
      </c>
      <c r="AA228" s="10" t="inlineStr">
        <is>
          <t>Blanc</t>
        </is>
      </c>
      <c r="AB228" s="16" t="n">
        <v>3</v>
      </c>
      <c r="AC228" s="10" t="inlineStr">
        <is>
          <t>Berline</t>
        </is>
      </c>
      <c r="AD228" s="10" t="inlineStr">
        <is>
          <t>Véhicule non fumeur, Réparations utiles déjà faites</t>
        </is>
      </c>
      <c r="AE228" s="10" t="n"/>
      <c r="AF228" s="10" t="inlineStr">
        <is>
          <t>Particulier</t>
        </is>
      </c>
      <c r="AG228" s="10" t="inlineStr">
        <is>
          <t>Cahors</t>
        </is>
      </c>
      <c r="AH228" s="10" t="inlineStr">
        <is>
          <t>46000</t>
        </is>
      </c>
      <c r="AI228" s="10" t="inlineStr">
        <is>
          <t>Lot</t>
        </is>
      </c>
      <c r="AJ228" s="10" t="inlineStr">
        <is>
          <t>Midi-Pyrénées</t>
        </is>
      </c>
      <c r="AK228" s="16" t="n">
        <v>3</v>
      </c>
      <c r="AL228" s="10" t="n"/>
      <c r="AM228" s="10" t="inlineStr">
        <is>
          <t>Non</t>
        </is>
      </c>
      <c r="AN228" s="10" t="inlineStr">
        <is>
          <t>Vends Peugeot 205 GTI année 1989, modèle 1990. Pneus neuf, démarreur neuf, sellerie neuve, aucune trace de corrosion. Kit durites neuf, amortisseurs et coupelles avant neuves. Véhicule expertisé avec son rapport. Bon état général Prix: 15 000 euros Pas d’échange possible</t>
        </is>
      </c>
      <c r="AO228" s="10" t="inlineStr">
        <is>
          <t>Dommages : Bon état général ; Sellerie : Tissu ; Permis : Avec permis ; Importé : false</t>
        </is>
      </c>
      <c r="AP228" s="19" t="inlineStr">
        <is>
          <t>Voir</t>
        </is>
      </c>
      <c r="AQ228" s="10" t="inlineStr">
        <is>
          <t>3283260672</t>
        </is>
      </c>
    </row>
    <row r="229">
      <c r="A229" s="10" t="inlineStr">
        <is>
          <t>Peugeot 205 GTI</t>
        </is>
      </c>
      <c r="B229" s="10" t="inlineStr">
        <is>
          <t>Peugeot 205 gti</t>
        </is>
      </c>
      <c r="C229" s="10" t="n"/>
      <c r="D229" s="10" t="n"/>
      <c r="E229" s="10" t="inlineStr">
        <is>
          <t>En vente</t>
        </is>
      </c>
      <c r="F229" s="18" t="n">
        <v>46302</v>
      </c>
      <c r="G229" s="18" t="n">
        <v>46302</v>
      </c>
      <c r="H229" s="18" t="n">
        <v>46310</v>
      </c>
      <c r="I229" s="18" t="n"/>
      <c r="J229" s="17">
        <f>IF(OR(ISNUMBER(F229),ISNUMBER(G229)),IF(ISNUMBER(I229),I229,H229)-IF(ISNUMBER(F229),F229,G229),"")</f>
        <v/>
      </c>
      <c r="K229" s="12" t="n">
        <v>12000</v>
      </c>
      <c r="L229" s="12" t="n">
        <v>12000</v>
      </c>
      <c r="M229" s="13">
        <f>IF(AND(ISNUMBER(K229),ISNUMBER(L229),K229&gt;0),1-L229/K229,"")</f>
        <v/>
      </c>
      <c r="N229" s="16" t="n">
        <v>0</v>
      </c>
      <c r="O229" s="12" t="n"/>
      <c r="P229" s="12" t="n"/>
      <c r="Q229" s="12" t="n"/>
      <c r="R229" s="14">
        <f>IF(AND(ISNUMBER(L229),ISNUMBER(P229),ISNUMBER(Q229)),L229/((P229+Q229)/2)-1,"")</f>
        <v/>
      </c>
      <c r="S229" s="10" t="n"/>
      <c r="T229" s="15" t="n">
        <v>180000</v>
      </c>
      <c r="U229" s="16" t="n">
        <v>1992</v>
      </c>
      <c r="V229" s="10" t="inlineStr">
        <is>
          <t>03/1992</t>
        </is>
      </c>
      <c r="W229" s="10" t="inlineStr">
        <is>
          <t>Essence</t>
        </is>
      </c>
      <c r="X229" s="10" t="inlineStr">
        <is>
          <t>Manuelle</t>
        </is>
      </c>
      <c r="Y229" s="16" t="n">
        <v>130</v>
      </c>
      <c r="Z229" s="16" t="n">
        <v>5</v>
      </c>
      <c r="AA229" s="10" t="inlineStr">
        <is>
          <t>Gris</t>
        </is>
      </c>
      <c r="AB229" s="16" t="n">
        <v>3</v>
      </c>
      <c r="AC229" s="10" t="inlineStr">
        <is>
          <t>Coupé</t>
        </is>
      </c>
      <c r="AD229" s="10" t="inlineStr">
        <is>
          <t>Factures disponibles</t>
        </is>
      </c>
      <c r="AE229" s="10" t="n"/>
      <c r="AF229" s="10" t="inlineStr">
        <is>
          <t>Particulier</t>
        </is>
      </c>
      <c r="AG229" s="10" t="inlineStr">
        <is>
          <t>Saint-Denis</t>
        </is>
      </c>
      <c r="AH229" s="10" t="inlineStr">
        <is>
          <t>97490</t>
        </is>
      </c>
      <c r="AI229" s="10" t="n"/>
      <c r="AJ229" s="10" t="inlineStr">
        <is>
          <t>Réunion</t>
        </is>
      </c>
      <c r="AK229" s="16" t="n">
        <v>3</v>
      </c>
      <c r="AL229" s="10" t="n"/>
      <c r="AM229" s="10" t="inlineStr">
        <is>
          <t>Non</t>
        </is>
      </c>
      <c r="AN229" s="10" t="inlineStr">
        <is>
          <t>Bonjour PEUGEOT 205 GTI - CIEL DE TOIT A PREVOIR - CARROSSERIE POUR MANIAC - CT OK - REVISION OK - CLIM A PREVOIR - VITRES ELECTRIQUE OK - POSTE AUTORADION PIONNER - DIRECTION ASSISITE - 4 PNEUS NEUF ILE DE LA REUNION AUCUN EXPORT VERS L'ETRANGER PLUS DINFORMATION PAR TELEPHONE PAS SERIEUX S'ABSTENIR A DEBATTRE DANS LA LIMITE DU RAISONABLE</t>
        </is>
      </c>
      <c r="AO229" s="10" t="inlineStr">
        <is>
          <t>vehicle_technical_inspection_valid : Non ; Dommages : Bon état général ; Sellerie : Cuir partiel ; Permis : Avec permis ; Importé : false</t>
        </is>
      </c>
      <c r="AP229" s="19" t="inlineStr">
        <is>
          <t>Voir</t>
        </is>
      </c>
      <c r="AQ229" s="10" t="inlineStr">
        <is>
          <t>3283713739</t>
        </is>
      </c>
    </row>
    <row r="230">
      <c r="A230" s="10" t="inlineStr">
        <is>
          <t>Peugeot 205 GTI</t>
        </is>
      </c>
      <c r="B230" s="10" t="inlineStr">
        <is>
          <t>205 gti griffe</t>
        </is>
      </c>
      <c r="C230" s="10" t="n"/>
      <c r="D230" s="10" t="n"/>
      <c r="E230" s="10" t="inlineStr">
        <is>
          <t>En vente</t>
        </is>
      </c>
      <c r="F230" s="18" t="n">
        <v>46302</v>
      </c>
      <c r="G230" s="18" t="n">
        <v>46302</v>
      </c>
      <c r="H230" s="18" t="n">
        <v>46310</v>
      </c>
      <c r="I230" s="18" t="n"/>
      <c r="J230" s="17">
        <f>IF(OR(ISNUMBER(F230),ISNUMBER(G230)),IF(ISNUMBER(I230),I230,H230)-IF(ISNUMBER(F230),F230,G230),"")</f>
        <v/>
      </c>
      <c r="K230" s="12" t="n">
        <v>31000</v>
      </c>
      <c r="L230" s="12" t="n">
        <v>31000</v>
      </c>
      <c r="M230" s="13">
        <f>IF(AND(ISNUMBER(K230),ISNUMBER(L230),K230&gt;0),1-L230/K230,"")</f>
        <v/>
      </c>
      <c r="N230" s="16" t="n">
        <v>0</v>
      </c>
      <c r="O230" s="12" t="n"/>
      <c r="P230" s="12" t="n"/>
      <c r="Q230" s="12" t="n"/>
      <c r="R230" s="14">
        <f>IF(AND(ISNUMBER(L230),ISNUMBER(P230),ISNUMBER(Q230)),L230/((P230+Q230)/2)-1,"")</f>
        <v/>
      </c>
      <c r="S230" s="10" t="n"/>
      <c r="T230" s="15" t="n">
        <v>175000</v>
      </c>
      <c r="U230" s="16" t="n">
        <v>1991</v>
      </c>
      <c r="V230" s="10" t="n"/>
      <c r="W230" s="10" t="inlineStr">
        <is>
          <t>Essence</t>
        </is>
      </c>
      <c r="X230" s="10" t="inlineStr">
        <is>
          <t>Manuelle</t>
        </is>
      </c>
      <c r="Y230" s="16" t="n"/>
      <c r="Z230" s="16" t="n">
        <v>9</v>
      </c>
      <c r="AA230" s="10" t="inlineStr">
        <is>
          <t>Vert</t>
        </is>
      </c>
      <c r="AB230" s="16" t="n">
        <v>2</v>
      </c>
      <c r="AC230" s="10" t="inlineStr">
        <is>
          <t>Berline</t>
        </is>
      </c>
      <c r="AD230" s="10" t="n"/>
      <c r="AE230" s="10" t="n"/>
      <c r="AF230" s="10" t="inlineStr">
        <is>
          <t>Particulier</t>
        </is>
      </c>
      <c r="AG230" s="10" t="inlineStr">
        <is>
          <t>Sedan</t>
        </is>
      </c>
      <c r="AH230" s="10" t="inlineStr">
        <is>
          <t>08200</t>
        </is>
      </c>
      <c r="AI230" s="10" t="inlineStr">
        <is>
          <t>Ardennes</t>
        </is>
      </c>
      <c r="AJ230" s="10" t="inlineStr">
        <is>
          <t>Champagne-Ardenne</t>
        </is>
      </c>
      <c r="AK230" s="16" t="n">
        <v>3</v>
      </c>
      <c r="AL230" s="10" t="n"/>
      <c r="AM230" s="10" t="inlineStr">
        <is>
          <t>Non</t>
        </is>
      </c>
      <c r="AN230" s="10" t="inlineStr">
        <is>
          <t>Peugeot 205 griffe 122cv Toit ouvrant/catalysée /abr Freins.pneus.train avant.train arriere.hauteures.amortisseurs.sieges.peinture ....neuf Moteur et bv remplacés par même type que l original Entretien à jour et papiers en règle 1er contact par message puis UNIQUEMENT PAR TELEPHONE</t>
        </is>
      </c>
      <c r="AO230" s="10" t="inlineStr">
        <is>
          <t>vehicle_technical_inspection_valid : Oui ; Dommages : Excellent état (proche du neuf) ; Sellerie : Tout cuir ; Permis : Avec permis ; Importé : false</t>
        </is>
      </c>
      <c r="AP230" s="19" t="inlineStr">
        <is>
          <t>Voir</t>
        </is>
      </c>
      <c r="AQ230" s="10" t="inlineStr">
        <is>
          <t>3283802186</t>
        </is>
      </c>
    </row>
    <row r="231">
      <c r="A231" s="10" t="inlineStr">
        <is>
          <t>Peugeot 205 GTI</t>
        </is>
      </c>
      <c r="B231" s="10" t="inlineStr">
        <is>
          <t>205 gti 105</t>
        </is>
      </c>
      <c r="C231" s="10" t="n"/>
      <c r="D231" s="10" t="n"/>
      <c r="E231" s="10" t="inlineStr">
        <is>
          <t>En vente</t>
        </is>
      </c>
      <c r="F231" s="18" t="n">
        <v>46302</v>
      </c>
      <c r="G231" s="18" t="n">
        <v>46302</v>
      </c>
      <c r="H231" s="18" t="n">
        <v>46310</v>
      </c>
      <c r="I231" s="18" t="n"/>
      <c r="J231" s="17">
        <f>IF(OR(ISNUMBER(F231),ISNUMBER(G231)),IF(ISNUMBER(I231),I231,H231)-IF(ISNUMBER(F231),F231,G231),"")</f>
        <v/>
      </c>
      <c r="K231" s="12" t="n">
        <v>14000</v>
      </c>
      <c r="L231" s="12" t="n">
        <v>14000</v>
      </c>
      <c r="M231" s="13">
        <f>IF(AND(ISNUMBER(K231),ISNUMBER(L231),K231&gt;0),1-L231/K231,"")</f>
        <v/>
      </c>
      <c r="N231" s="16" t="n">
        <v>0</v>
      </c>
      <c r="O231" s="12" t="n"/>
      <c r="P231" s="12" t="n"/>
      <c r="Q231" s="12" t="n"/>
      <c r="R231" s="14">
        <f>IF(AND(ISNUMBER(L231),ISNUMBER(P231),ISNUMBER(Q231)),L231/((P231+Q231)/2)-1,"")</f>
        <v/>
      </c>
      <c r="S231" s="10" t="n"/>
      <c r="T231" s="15" t="n">
        <v>282000</v>
      </c>
      <c r="U231" s="16" t="n">
        <v>1986</v>
      </c>
      <c r="V231" s="10" t="n"/>
      <c r="W231" s="10" t="inlineStr">
        <is>
          <t>Essence</t>
        </is>
      </c>
      <c r="X231" s="10" t="inlineStr">
        <is>
          <t>Manuelle</t>
        </is>
      </c>
      <c r="Y231" s="16" t="n"/>
      <c r="Z231" s="16" t="n"/>
      <c r="AA231" s="10" t="inlineStr">
        <is>
          <t>Gris</t>
        </is>
      </c>
      <c r="AB231" s="16" t="n"/>
      <c r="AC231" s="10" t="n"/>
      <c r="AD231" s="10" t="n"/>
      <c r="AE231" s="10" t="n"/>
      <c r="AF231" s="10" t="inlineStr">
        <is>
          <t>Particulier</t>
        </is>
      </c>
      <c r="AG231" s="10" t="inlineStr">
        <is>
          <t>Montaigu-Vendée</t>
        </is>
      </c>
      <c r="AH231" s="10" t="inlineStr">
        <is>
          <t>85600</t>
        </is>
      </c>
      <c r="AI231" s="10" t="inlineStr">
        <is>
          <t>Vendée</t>
        </is>
      </c>
      <c r="AJ231" s="10" t="inlineStr">
        <is>
          <t>Pays de la Loire</t>
        </is>
      </c>
      <c r="AK231" s="16" t="n">
        <v>3</v>
      </c>
      <c r="AL231" s="10" t="n"/>
      <c r="AM231" s="10" t="inlineStr">
        <is>
          <t>Non</t>
        </is>
      </c>
      <c r="AN231" s="10" t="inlineStr">
        <is>
          <t>Vend 205 gti 1l6 105cv, de 1986 en bon état control ok pour la vente, facture disponible, histovec cohérent avec son km, prix à débattre.</t>
        </is>
      </c>
      <c r="AO231" s="10" t="inlineStr">
        <is>
          <t>Permis : Avec permis ; Importé : false</t>
        </is>
      </c>
      <c r="AP231" s="19" t="inlineStr">
        <is>
          <t>Voir</t>
        </is>
      </c>
      <c r="AQ231" s="10" t="inlineStr">
        <is>
          <t>3284161549</t>
        </is>
      </c>
    </row>
    <row r="232">
      <c r="A232" s="10" t="inlineStr">
        <is>
          <t>Peugeot 205 GTI</t>
        </is>
      </c>
      <c r="B232" s="10" t="inlineStr">
        <is>
          <t>205 GTI 1litre9</t>
        </is>
      </c>
      <c r="C232" s="10" t="n"/>
      <c r="D232" s="10" t="n"/>
      <c r="E232" s="10" t="inlineStr">
        <is>
          <t>En vente</t>
        </is>
      </c>
      <c r="F232" s="18" t="n">
        <v>46303</v>
      </c>
      <c r="G232" s="18" t="n">
        <v>46303</v>
      </c>
      <c r="H232" s="18" t="n">
        <v>46310</v>
      </c>
      <c r="I232" s="18" t="n"/>
      <c r="J232" s="17">
        <f>IF(OR(ISNUMBER(F232),ISNUMBER(G232)),IF(ISNUMBER(I232),I232,H232)-IF(ISNUMBER(F232),F232,G232),"")</f>
        <v/>
      </c>
      <c r="K232" s="12" t="n">
        <v>22500</v>
      </c>
      <c r="L232" s="12" t="n">
        <v>22500</v>
      </c>
      <c r="M232" s="13">
        <f>IF(AND(ISNUMBER(K232),ISNUMBER(L232),K232&gt;0),1-L232/K232,"")</f>
        <v/>
      </c>
      <c r="N232" s="16" t="n">
        <v>0</v>
      </c>
      <c r="O232" s="12" t="n"/>
      <c r="P232" s="12" t="n"/>
      <c r="Q232" s="12" t="n"/>
      <c r="R232" s="14">
        <f>IF(AND(ISNUMBER(L232),ISNUMBER(P232),ISNUMBER(Q232)),L232/((P232+Q232)/2)-1,"")</f>
        <v/>
      </c>
      <c r="S232" s="10" t="n"/>
      <c r="T232" s="15" t="n">
        <v>158850</v>
      </c>
      <c r="U232" s="16" t="n">
        <v>1988</v>
      </c>
      <c r="V232" s="10" t="inlineStr">
        <is>
          <t>07/1988</t>
        </is>
      </c>
      <c r="W232" s="10" t="inlineStr">
        <is>
          <t>Essence</t>
        </is>
      </c>
      <c r="X232" s="10" t="inlineStr">
        <is>
          <t>Manuelle</t>
        </is>
      </c>
      <c r="Y232" s="16" t="n">
        <v>130</v>
      </c>
      <c r="Z232" s="16" t="n">
        <v>11</v>
      </c>
      <c r="AA232" s="10" t="inlineStr">
        <is>
          <t>Vert</t>
        </is>
      </c>
      <c r="AB232" s="16" t="n">
        <v>2</v>
      </c>
      <c r="AC232" s="10" t="n"/>
      <c r="AD232" s="10" t="inlineStr">
        <is>
          <t>Factures disponibles, Réparations utiles déjà faites</t>
        </is>
      </c>
      <c r="AE232" s="10" t="n"/>
      <c r="AF232" s="10" t="inlineStr">
        <is>
          <t>Particulier</t>
        </is>
      </c>
      <c r="AG232" s="10" t="inlineStr">
        <is>
          <t>Plédran</t>
        </is>
      </c>
      <c r="AH232" s="10" t="inlineStr">
        <is>
          <t>22960</t>
        </is>
      </c>
      <c r="AI232" s="10" t="inlineStr">
        <is>
          <t>Côtes-d'Armor</t>
        </is>
      </c>
      <c r="AJ232" s="10" t="inlineStr">
        <is>
          <t>Bretagne</t>
        </is>
      </c>
      <c r="AK232" s="16" t="n">
        <v>3</v>
      </c>
      <c r="AL232" s="10" t="n"/>
      <c r="AM232" s="10" t="inlineStr">
        <is>
          <t>Non</t>
        </is>
      </c>
      <c r="AN232" s="10" t="inlineStr">
        <is>
          <t>205 Gti 1,9 entièrement restauré il y a quelque année . Couleur d’origine : blanc . Moteur entièrement refait il y a un peu moins de 10000km par l’anciens propriétaire. Roule parfaitement, sort du contrôle technique ce jours . 2 défauts en sont ressortis : longue portée AVG et lave glace . Les réparation seront faite ainsi que l’entretien.</t>
        </is>
      </c>
      <c r="AO232" s="10" t="inlineStr">
        <is>
          <t>vehicle_technical_inspection_valid : Oui ; Contrôle technique : 2028 ; Dommages : Bon état général ; Sellerie : Tout cuir ; Permis : Avec permis ; Importé : false ; vehicle_history_report_status : visible</t>
        </is>
      </c>
      <c r="AP232" s="19" t="inlineStr">
        <is>
          <t>Voir</t>
        </is>
      </c>
      <c r="AQ232" s="10" t="inlineStr">
        <is>
          <t>3284386164</t>
        </is>
      </c>
    </row>
    <row r="233">
      <c r="A233" s="10" t="inlineStr">
        <is>
          <t>Peugeot 205 GTI</t>
        </is>
      </c>
      <c r="B233" s="10" t="inlineStr">
        <is>
          <t>Peugeot 205 GTI</t>
        </is>
      </c>
      <c r="C233" s="10" t="n"/>
      <c r="D233" s="10" t="n"/>
      <c r="E233" s="10" t="inlineStr">
        <is>
          <t>En vente</t>
        </is>
      </c>
      <c r="F233" s="18" t="n">
        <v>46305</v>
      </c>
      <c r="G233" s="18" t="n">
        <v>46305</v>
      </c>
      <c r="H233" s="18" t="n">
        <v>46310</v>
      </c>
      <c r="I233" s="18" t="n"/>
      <c r="J233" s="17">
        <f>IF(OR(ISNUMBER(F233),ISNUMBER(G233)),IF(ISNUMBER(I233),I233,H233)-IF(ISNUMBER(F233),F233,G233),"")</f>
        <v/>
      </c>
      <c r="K233" s="12" t="n">
        <v>11900</v>
      </c>
      <c r="L233" s="12" t="n">
        <v>11900</v>
      </c>
      <c r="M233" s="13">
        <f>IF(AND(ISNUMBER(K233),ISNUMBER(L233),K233&gt;0),1-L233/K233,"")</f>
        <v/>
      </c>
      <c r="N233" s="16" t="n">
        <v>0</v>
      </c>
      <c r="O233" s="12" t="n"/>
      <c r="P233" s="12" t="n"/>
      <c r="Q233" s="12" t="n"/>
      <c r="R233" s="14">
        <f>IF(AND(ISNUMBER(L233),ISNUMBER(P233),ISNUMBER(Q233)),L233/((P233+Q233)/2)-1,"")</f>
        <v/>
      </c>
      <c r="S233" s="10" t="n"/>
      <c r="T233" s="15" t="n">
        <v>243902</v>
      </c>
      <c r="U233" s="16" t="n">
        <v>1989</v>
      </c>
      <c r="V233" s="10" t="inlineStr">
        <is>
          <t>07/1989</t>
        </is>
      </c>
      <c r="W233" s="10" t="inlineStr">
        <is>
          <t>Essence</t>
        </is>
      </c>
      <c r="X233" s="10" t="inlineStr">
        <is>
          <t>Manuelle</t>
        </is>
      </c>
      <c r="Y233" s="16" t="n">
        <v>116</v>
      </c>
      <c r="Z233" s="16" t="n">
        <v>8</v>
      </c>
      <c r="AA233" s="10" t="inlineStr">
        <is>
          <t>Blanc</t>
        </is>
      </c>
      <c r="AB233" s="16" t="n">
        <v>3</v>
      </c>
      <c r="AC233" s="10" t="inlineStr">
        <is>
          <t>Coupé</t>
        </is>
      </c>
      <c r="AD233" s="10" t="inlineStr">
        <is>
          <t>Factures disponibles, Véhicule non fumeur, Réparations utiles déjà faites</t>
        </is>
      </c>
      <c r="AE233" s="10" t="n"/>
      <c r="AF233" s="10" t="inlineStr">
        <is>
          <t>Particulier</t>
        </is>
      </c>
      <c r="AG233" s="10" t="inlineStr">
        <is>
          <t>Annecy</t>
        </is>
      </c>
      <c r="AH233" s="10" t="inlineStr">
        <is>
          <t>74000</t>
        </is>
      </c>
      <c r="AI233" s="10" t="inlineStr">
        <is>
          <t>Haute-Savoie</t>
        </is>
      </c>
      <c r="AJ233" s="10" t="inlineStr">
        <is>
          <t>Rhône-Alpes</t>
        </is>
      </c>
      <c r="AK233" s="16" t="n">
        <v>3</v>
      </c>
      <c r="AL233" s="10" t="n"/>
      <c r="AM233" s="10" t="inlineStr">
        <is>
          <t>Non</t>
        </is>
      </c>
      <c r="AN233" s="10" t="inlineStr">
        <is>
          <t>Je vends ma Peugeot 205 GTI de 1989, une véritable légende automobile avec 243 902 km au compteur. - Marque : Peugeot - Modèle : 205 GTI - Année : 1989 - Type de véhicule : Coupé - Kilométrage : 243 902 km - Motorisation : 116 Ch - Puissance fiscale : 8 Cv - Carburant : Essence - Boîte de vitesses : Manuelle - Couleur : Blanc - Nombre de portes : 3 - Nombre de sièges : 5 - Immatriculation : CN-095-FH N'hésitez pas à me contacter pour plus d'informations ou pour organiser une visite.</t>
        </is>
      </c>
      <c r="AO233" s="10" t="inlineStr">
        <is>
          <t>vehicle_technical_inspection_valid : Oui ; Contrôle technique : 2028 ; Dommages : Bon état général ; Sellerie : Cuir partiel ; Permis : Avec permis ; Importé : false ; vehicle_history_teaser_critair : 0 ; vehicle_history_teaser_owners : 6 ; vehicle_history_teaser_expertises : false ; vehicle_history_teaser_special_uses : false ; vehicle_history_teaser_atypical_operations : false ; vehicle_history_teaser_importations : false</t>
        </is>
      </c>
      <c r="AP233" s="19" t="inlineStr">
        <is>
          <t>Voir</t>
        </is>
      </c>
      <c r="AQ233" s="10" t="inlineStr">
        <is>
          <t>3285635603</t>
        </is>
      </c>
    </row>
    <row r="234">
      <c r="A234" s="10" t="inlineStr">
        <is>
          <t>Peugeot 205 GTI</t>
        </is>
      </c>
      <c r="B234" s="10" t="inlineStr">
        <is>
          <t>Peugeot 205 GTI 1.9L</t>
        </is>
      </c>
      <c r="C234" s="10" t="inlineStr">
        <is>
          <t>205 1.1 Mito 3p</t>
        </is>
      </c>
      <c r="D234" s="10" t="inlineStr">
        <is>
          <t>Mito</t>
        </is>
      </c>
      <c r="E234" s="10" t="inlineStr">
        <is>
          <t>En vente</t>
        </is>
      </c>
      <c r="F234" s="18" t="n">
        <v>46305</v>
      </c>
      <c r="G234" s="18" t="n">
        <v>46305</v>
      </c>
      <c r="H234" s="18" t="n">
        <v>46310</v>
      </c>
      <c r="I234" s="18" t="n"/>
      <c r="J234" s="17">
        <f>IF(OR(ISNUMBER(F234),ISNUMBER(G234)),IF(ISNUMBER(I234),I234,H234)-IF(ISNUMBER(F234),F234,G234),"")</f>
        <v/>
      </c>
      <c r="K234" s="12" t="n">
        <v>29290</v>
      </c>
      <c r="L234" s="12" t="n">
        <v>29290</v>
      </c>
      <c r="M234" s="13">
        <f>IF(AND(ISNUMBER(K234),ISNUMBER(L234),K234&gt;0),1-L234/K234,"")</f>
        <v/>
      </c>
      <c r="N234" s="16" t="n">
        <v>0</v>
      </c>
      <c r="O234" s="12" t="n"/>
      <c r="P234" s="12" t="n"/>
      <c r="Q234" s="12" t="n"/>
      <c r="R234" s="14">
        <f>IF(AND(ISNUMBER(L234),ISNUMBER(P234),ISNUMBER(Q234)),L234/((P234+Q234)/2)-1,"")</f>
        <v/>
      </c>
      <c r="S234" s="10" t="n"/>
      <c r="T234" s="15" t="n">
        <v>149500</v>
      </c>
      <c r="U234" s="16" t="n">
        <v>1988</v>
      </c>
      <c r="V234" s="10" t="inlineStr">
        <is>
          <t>07/1988</t>
        </is>
      </c>
      <c r="W234" s="10" t="inlineStr">
        <is>
          <t>Essence</t>
        </is>
      </c>
      <c r="X234" s="10" t="inlineStr">
        <is>
          <t>Manuelle</t>
        </is>
      </c>
      <c r="Y234" s="16" t="n">
        <v>128</v>
      </c>
      <c r="Z234" s="16" t="n">
        <v>9</v>
      </c>
      <c r="AA234" s="10" t="inlineStr">
        <is>
          <t>Noir</t>
        </is>
      </c>
      <c r="AB234" s="16" t="n">
        <v>3</v>
      </c>
      <c r="AC234" s="10" t="inlineStr">
        <is>
          <t>Berline</t>
        </is>
      </c>
      <c r="AD234" s="10" t="n"/>
      <c r="AE234" s="10" t="n"/>
      <c r="AF234" s="10" t="inlineStr">
        <is>
          <t>Pro</t>
        </is>
      </c>
      <c r="AG234" s="10" t="inlineStr">
        <is>
          <t>Mazères-Lezons</t>
        </is>
      </c>
      <c r="AH234" s="10" t="inlineStr">
        <is>
          <t>64110</t>
        </is>
      </c>
      <c r="AI234" s="10" t="inlineStr">
        <is>
          <t>Pyrénées-Atlantiques</t>
        </is>
      </c>
      <c r="AJ234" s="10" t="inlineStr">
        <is>
          <t>Aquitaine</t>
        </is>
      </c>
      <c r="AK234" s="16" t="n">
        <v>29</v>
      </c>
      <c r="AL234" s="10" t="n"/>
      <c r="AM234" s="10" t="inlineStr">
        <is>
          <t>Non</t>
        </is>
      </c>
      <c r="AN234" s="10" t="inlineStr">
        <is>
          <t>Peugeot 205 GTI 1.9L, berline, noir, 9 cv, 3 portes, première mise en circulation le 21/07/1988. 5 places 🏁 PASSION AUTO 64 vous propose : PEUGEOT - 205 GTI 1.9 - ESSENCE 128 CV ⸻ 💥 GTI D'EXCEPTION – RESTAURATION COMPLÈTE ⸻————————— 📋 INFORMATIONS GÉNÉRALES * Marque : Peugeot * Modèle : 205 GTI 1.9 * Mise en circulation : 21/07/1988 * Kilométrage : 149 500 km * Carburant : Essence * Boîte : Manuelle * Puissance fiscale : 9 CV * Nombre de places : 5 * Origine : Espagne ⸻————————— ✨ POINTS FORT</t>
        </is>
      </c>
      <c r="AO234" s="10" t="inlineStr">
        <is>
          <t>Permis : Avec permis ; VO récent : false ; custom_ref : VRZ_C79C62 ; Importé : true ; vehicle_history_report_status : visible ; spare_parts_availability : Non renseignée</t>
        </is>
      </c>
      <c r="AP234" s="19" t="inlineStr">
        <is>
          <t>Voir</t>
        </is>
      </c>
      <c r="AQ234" s="10" t="inlineStr">
        <is>
          <t>3285656861</t>
        </is>
      </c>
    </row>
    <row r="235">
      <c r="A235" s="10" t="inlineStr">
        <is>
          <t>Peugeot 205 GTI</t>
        </is>
      </c>
      <c r="B235" s="10" t="inlineStr">
        <is>
          <t>Peugeot 205 gti 1600</t>
        </is>
      </c>
      <c r="C235" s="10" t="n"/>
      <c r="D235" s="10" t="n"/>
      <c r="E235" s="10" t="inlineStr">
        <is>
          <t>En vente</t>
        </is>
      </c>
      <c r="F235" s="18" t="n">
        <v>46305</v>
      </c>
      <c r="G235" s="18" t="n">
        <v>46305</v>
      </c>
      <c r="H235" s="18" t="n">
        <v>46310</v>
      </c>
      <c r="I235" s="18" t="n"/>
      <c r="J235" s="17">
        <f>IF(OR(ISNUMBER(F235),ISNUMBER(G235)),IF(ISNUMBER(I235),I235,H235)-IF(ISNUMBER(F235),F235,G235),"")</f>
        <v/>
      </c>
      <c r="K235" s="12" t="n">
        <v>12000</v>
      </c>
      <c r="L235" s="12" t="n">
        <v>12000</v>
      </c>
      <c r="M235" s="13">
        <f>IF(AND(ISNUMBER(K235),ISNUMBER(L235),K235&gt;0),1-L235/K235,"")</f>
        <v/>
      </c>
      <c r="N235" s="16" t="n">
        <v>0</v>
      </c>
      <c r="O235" s="12" t="n"/>
      <c r="P235" s="12" t="n"/>
      <c r="Q235" s="12" t="n"/>
      <c r="R235" s="14">
        <f>IF(AND(ISNUMBER(L235),ISNUMBER(P235),ISNUMBER(Q235)),L235/((P235+Q235)/2)-1,"")</f>
        <v/>
      </c>
      <c r="S235" s="10" t="n"/>
      <c r="T235" s="15" t="n">
        <v>150000</v>
      </c>
      <c r="U235" s="16" t="n">
        <v>1988</v>
      </c>
      <c r="V235" s="10" t="inlineStr">
        <is>
          <t>12/1988</t>
        </is>
      </c>
      <c r="W235" s="10" t="inlineStr">
        <is>
          <t>Essence</t>
        </is>
      </c>
      <c r="X235" s="10" t="inlineStr">
        <is>
          <t>Manuelle</t>
        </is>
      </c>
      <c r="Y235" s="16" t="n">
        <v>130</v>
      </c>
      <c r="Z235" s="16" t="n">
        <v>8</v>
      </c>
      <c r="AA235" s="10" t="inlineStr">
        <is>
          <t>Noir</t>
        </is>
      </c>
      <c r="AB235" s="16" t="n">
        <v>3</v>
      </c>
      <c r="AC235" s="10" t="inlineStr">
        <is>
          <t>Berline</t>
        </is>
      </c>
      <c r="AD235" s="10" t="n"/>
      <c r="AE235" s="10" t="n"/>
      <c r="AF235" s="10" t="inlineStr">
        <is>
          <t>Particulier</t>
        </is>
      </c>
      <c r="AG235" s="10" t="inlineStr">
        <is>
          <t>Meyras</t>
        </is>
      </c>
      <c r="AH235" s="10" t="inlineStr">
        <is>
          <t>07380</t>
        </is>
      </c>
      <c r="AI235" s="10" t="inlineStr">
        <is>
          <t>Ardèche</t>
        </is>
      </c>
      <c r="AJ235" s="10" t="inlineStr">
        <is>
          <t>Rhône-Alpes</t>
        </is>
      </c>
      <c r="AK235" s="16" t="n">
        <v>3</v>
      </c>
      <c r="AL235" s="10" t="n"/>
      <c r="AM235" s="10" t="inlineStr">
        <is>
          <t>Non</t>
        </is>
      </c>
      <c r="AN235" s="10" t="inlineStr">
        <is>
          <t>Peugeot 205 GTI 1.6l année 1988 Ex Groupe A Moteur 1900 préparé Boite courte amortisseurs peugeot sport Carte grise OK Pas de CT trains 309 GTI 16s Frein à main hydraulique Ideal circuit ou Track Day</t>
        </is>
      </c>
      <c r="AO235" s="10" t="inlineStr">
        <is>
          <t>vehicle_technical_inspection_valid : Non ; Sellerie : Tissu ; Permis : Avec permis ; Importé : false</t>
        </is>
      </c>
      <c r="AP235" s="19" t="inlineStr">
        <is>
          <t>Voir</t>
        </is>
      </c>
      <c r="AQ235" s="10" t="inlineStr">
        <is>
          <t>3285719634</t>
        </is>
      </c>
    </row>
    <row r="236">
      <c r="A236" s="10" t="inlineStr">
        <is>
          <t>Peugeot 205 GTI</t>
        </is>
      </c>
      <c r="B236" s="10" t="inlineStr">
        <is>
          <t>205 gti</t>
        </is>
      </c>
      <c r="C236" s="10" t="n"/>
      <c r="D236" s="10" t="n"/>
      <c r="E236" s="10" t="inlineStr">
        <is>
          <t>En vente</t>
        </is>
      </c>
      <c r="F236" s="18" t="n">
        <v>46306</v>
      </c>
      <c r="G236" s="18" t="n">
        <v>46306</v>
      </c>
      <c r="H236" s="18" t="n">
        <v>46310</v>
      </c>
      <c r="I236" s="18" t="n"/>
      <c r="J236" s="17">
        <f>IF(OR(ISNUMBER(F236),ISNUMBER(G236)),IF(ISNUMBER(I236),I236,H236)-IF(ISNUMBER(F236),F236,G236),"")</f>
        <v/>
      </c>
      <c r="K236" s="12" t="n">
        <v>15000</v>
      </c>
      <c r="L236" s="12" t="n">
        <v>15000</v>
      </c>
      <c r="M236" s="13">
        <f>IF(AND(ISNUMBER(K236),ISNUMBER(L236),K236&gt;0),1-L236/K236,"")</f>
        <v/>
      </c>
      <c r="N236" s="16" t="n">
        <v>0</v>
      </c>
      <c r="O236" s="12" t="n"/>
      <c r="P236" s="12" t="n"/>
      <c r="Q236" s="12" t="n"/>
      <c r="R236" s="14">
        <f>IF(AND(ISNUMBER(L236),ISNUMBER(P236),ISNUMBER(Q236)),L236/((P236+Q236)/2)-1,"")</f>
        <v/>
      </c>
      <c r="S236" s="10" t="n"/>
      <c r="T236" s="15" t="n">
        <v>185000</v>
      </c>
      <c r="U236" s="16" t="n">
        <v>1991</v>
      </c>
      <c r="V236" s="10" t="n"/>
      <c r="W236" s="10" t="inlineStr">
        <is>
          <t>Essence</t>
        </is>
      </c>
      <c r="X236" s="10" t="inlineStr">
        <is>
          <t>Manuelle</t>
        </is>
      </c>
      <c r="Y236" s="16" t="n"/>
      <c r="Z236" s="16" t="n"/>
      <c r="AA236" s="10" t="n"/>
      <c r="AB236" s="16" t="n"/>
      <c r="AC236" s="10" t="n"/>
      <c r="AD236" s="10" t="n"/>
      <c r="AE236" s="10" t="n"/>
      <c r="AF236" s="10" t="inlineStr">
        <is>
          <t>Particulier</t>
        </is>
      </c>
      <c r="AG236" s="10" t="inlineStr">
        <is>
          <t>Arles</t>
        </is>
      </c>
      <c r="AH236" s="10" t="inlineStr">
        <is>
          <t>13280</t>
        </is>
      </c>
      <c r="AI236" s="10" t="inlineStr">
        <is>
          <t>Bouches-du-Rhône</t>
        </is>
      </c>
      <c r="AJ236" s="10" t="inlineStr">
        <is>
          <t>Provence-Alpes-Côte d'Azur</t>
        </is>
      </c>
      <c r="AK236" s="16" t="n">
        <v>3</v>
      </c>
      <c r="AL236" s="10" t="n"/>
      <c r="AM236" s="10" t="inlineStr">
        <is>
          <t>Non</t>
        </is>
      </c>
      <c r="AN236" s="10" t="inlineStr">
        <is>
          <t>205 gentry Moteur 130 ch Traîns av et ar 309 gti Capot automatique Moquette panneaux 130ch Freins hdi 283mm 4 amortisseur grn bilstein Roule tous les jours des bricoles a pofiner Peinture récente intérieur propre 15000 euros</t>
        </is>
      </c>
      <c r="AO236" s="10" t="inlineStr">
        <is>
          <t>Permis : Avec permis ; Importé : false</t>
        </is>
      </c>
      <c r="AP236" s="19" t="inlineStr">
        <is>
          <t>Voir</t>
        </is>
      </c>
      <c r="AQ236" s="10" t="inlineStr">
        <is>
          <t>3286393297</t>
        </is>
      </c>
    </row>
    <row r="237">
      <c r="A237" s="10" t="inlineStr">
        <is>
          <t>Peugeot 205 GTI</t>
        </is>
      </c>
      <c r="B237" s="10" t="inlineStr">
        <is>
          <t>205 gti 1,6 105</t>
        </is>
      </c>
      <c r="C237" s="10" t="n"/>
      <c r="D237" s="10" t="n"/>
      <c r="E237" s="10" t="inlineStr">
        <is>
          <t>En vente</t>
        </is>
      </c>
      <c r="F237" s="18" t="n">
        <v>46308</v>
      </c>
      <c r="G237" s="18" t="n">
        <v>46308</v>
      </c>
      <c r="H237" s="18" t="n">
        <v>46310</v>
      </c>
      <c r="I237" s="18" t="n"/>
      <c r="J237" s="17">
        <f>IF(OR(ISNUMBER(F237),ISNUMBER(G237)),IF(ISNUMBER(I237),I237,H237)-IF(ISNUMBER(F237),F237,G237),"")</f>
        <v/>
      </c>
      <c r="K237" s="12" t="n">
        <v>9990</v>
      </c>
      <c r="L237" s="12" t="n">
        <v>9990</v>
      </c>
      <c r="M237" s="13">
        <f>IF(AND(ISNUMBER(K237),ISNUMBER(L237),K237&gt;0),1-L237/K237,"")</f>
        <v/>
      </c>
      <c r="N237" s="16" t="n">
        <v>0</v>
      </c>
      <c r="O237" s="12" t="n"/>
      <c r="P237" s="12" t="n"/>
      <c r="Q237" s="12" t="n"/>
      <c r="R237" s="14">
        <f>IF(AND(ISNUMBER(L237),ISNUMBER(P237),ISNUMBER(Q237)),L237/((P237+Q237)/2)-1,"")</f>
        <v/>
      </c>
      <c r="S237" s="10" t="n"/>
      <c r="T237" s="15" t="n">
        <v>200000</v>
      </c>
      <c r="U237" s="16" t="n">
        <v>1985</v>
      </c>
      <c r="V237" s="10" t="inlineStr">
        <is>
          <t>01/1985</t>
        </is>
      </c>
      <c r="W237" s="10" t="inlineStr">
        <is>
          <t>Essence</t>
        </is>
      </c>
      <c r="X237" s="10" t="inlineStr">
        <is>
          <t>Manuelle</t>
        </is>
      </c>
      <c r="Y237" s="16" t="n">
        <v>10</v>
      </c>
      <c r="Z237" s="16" t="n"/>
      <c r="AA237" s="10" t="inlineStr">
        <is>
          <t>Rouge</t>
        </is>
      </c>
      <c r="AB237" s="16" t="n">
        <v>4</v>
      </c>
      <c r="AC237" s="10" t="inlineStr">
        <is>
          <t>Autre</t>
        </is>
      </c>
      <c r="AD237" s="10" t="n"/>
      <c r="AE237" s="10" t="n"/>
      <c r="AF237" s="10" t="inlineStr">
        <is>
          <t>Particulier</t>
        </is>
      </c>
      <c r="AG237" s="10" t="inlineStr">
        <is>
          <t>Onet-le-Château</t>
        </is>
      </c>
      <c r="AH237" s="10" t="inlineStr">
        <is>
          <t>12850</t>
        </is>
      </c>
      <c r="AI237" s="10" t="inlineStr">
        <is>
          <t>Aveyron</t>
        </is>
      </c>
      <c r="AJ237" s="10" t="inlineStr">
        <is>
          <t>Midi-Pyrénées</t>
        </is>
      </c>
      <c r="AK237" s="16" t="n">
        <v>3</v>
      </c>
      <c r="AL237" s="10" t="n"/>
      <c r="AM237" s="10" t="inlineStr">
        <is>
          <t>Non</t>
        </is>
      </c>
      <c r="AN237" s="10" t="inlineStr">
        <is>
          <t xml:space="preserve">PEUGEOT 205 GTI 1.6 – 105 CH – À TERMINER – NOMBREUSES PIÈCES NEUVES MERCI DE LIRE L’ANNONCE EN INTÉGRALITÉ AVANT DE ME CONTACTER. Je mets en vente ma Peugeot 205 GTI 1.6 de 105 ch, affichant 200 000 km, avec carte grise. Le véhicule démarre et le moteur tourne bien. De nombreuses pièces ont été remplacées par des éléments neufs, mais quelques travaux restent à effectuer pour terminer la restauration. Je m’en sépare uniquement par manque de temps, et non par nécessité financière. IMPORTANT : LE </t>
        </is>
      </c>
      <c r="AO237" s="10" t="inlineStr">
        <is>
          <t>Permis : Avec permis ; Importé : false</t>
        </is>
      </c>
      <c r="AP237" s="19" t="inlineStr">
        <is>
          <t>Voir</t>
        </is>
      </c>
      <c r="AQ237" s="10" t="inlineStr">
        <is>
          <t>3287626619</t>
        </is>
      </c>
    </row>
    <row r="238">
      <c r="A238" s="10" t="inlineStr">
        <is>
          <t>Peugeot 205 GTI</t>
        </is>
      </c>
      <c r="B238" s="10" t="inlineStr">
        <is>
          <t>205 gti vhc</t>
        </is>
      </c>
      <c r="C238" s="10" t="n"/>
      <c r="D238" s="10" t="n"/>
      <c r="E238" s="10" t="inlineStr">
        <is>
          <t>En vente</t>
        </is>
      </c>
      <c r="F238" s="18" t="n">
        <v>46308</v>
      </c>
      <c r="G238" s="18" t="n">
        <v>46308</v>
      </c>
      <c r="H238" s="18" t="n">
        <v>46310</v>
      </c>
      <c r="I238" s="18" t="n"/>
      <c r="J238" s="17">
        <f>IF(OR(ISNUMBER(F238),ISNUMBER(G238)),IF(ISNUMBER(I238),I238,H238)-IF(ISNUMBER(F238),F238,G238),"")</f>
        <v/>
      </c>
      <c r="K238" s="12" t="n">
        <v>18000</v>
      </c>
      <c r="L238" s="12" t="n">
        <v>18000</v>
      </c>
      <c r="M238" s="13">
        <f>IF(AND(ISNUMBER(K238),ISNUMBER(L238),K238&gt;0),1-L238/K238,"")</f>
        <v/>
      </c>
      <c r="N238" s="16" t="n">
        <v>0</v>
      </c>
      <c r="O238" s="12" t="n"/>
      <c r="P238" s="12" t="n"/>
      <c r="Q238" s="12" t="n"/>
      <c r="R238" s="14">
        <f>IF(AND(ISNUMBER(L238),ISNUMBER(P238),ISNUMBER(Q238)),L238/((P238+Q238)/2)-1,"")</f>
        <v/>
      </c>
      <c r="S238" s="10" t="n"/>
      <c r="T238" s="15" t="n">
        <v>300000</v>
      </c>
      <c r="U238" s="16" t="n">
        <v>1985</v>
      </c>
      <c r="V238" s="10" t="inlineStr">
        <is>
          <t>10/1984</t>
        </is>
      </c>
      <c r="W238" s="10" t="inlineStr">
        <is>
          <t>Essence</t>
        </is>
      </c>
      <c r="X238" s="10" t="inlineStr">
        <is>
          <t>Manuelle</t>
        </is>
      </c>
      <c r="Y238" s="16" t="n"/>
      <c r="Z238" s="16" t="n"/>
      <c r="AA238" s="10" t="n"/>
      <c r="AB238" s="16" t="n">
        <v>2</v>
      </c>
      <c r="AC238" s="10" t="inlineStr">
        <is>
          <t>Coupé</t>
        </is>
      </c>
      <c r="AD238" s="10" t="n"/>
      <c r="AE238" s="10" t="n"/>
      <c r="AF238" s="10" t="inlineStr">
        <is>
          <t>Particulier</t>
        </is>
      </c>
      <c r="AG238" s="10" t="inlineStr">
        <is>
          <t>Montélimar</t>
        </is>
      </c>
      <c r="AH238" s="10" t="inlineStr">
        <is>
          <t>26200</t>
        </is>
      </c>
      <c r="AI238" s="10" t="inlineStr">
        <is>
          <t>Drôme</t>
        </is>
      </c>
      <c r="AJ238" s="10" t="inlineStr">
        <is>
          <t>Rhône-Alpes</t>
        </is>
      </c>
      <c r="AK238" s="16" t="n">
        <v>3</v>
      </c>
      <c r="AL238" s="10" t="n"/>
      <c r="AM238" s="10" t="inlineStr">
        <is>
          <t>Non</t>
        </is>
      </c>
      <c r="AN238" s="10" t="inlineStr">
        <is>
          <t>Je vends ma Peugeot 205 GTI 1,6 de rallye, mini Gr A en VHC avec passeport classic - Marque : Peugeot - Modèle : 205 GTI - Année : 1985 - Motorisation : 1.6 140 ch environ - Carburant : Essence - Boîte de vitesses : Manuelle 5 rapports court avec autobloquant - Type de véhicule : Coupé - Nombre de portes : 2 - Nombre de sièges : 2 baquets validité fin 2026 idem harnais - Couleur : Blanc - amortisseurs PTS - Frein à main hydraulique - extincteur automatique - énormément de matériel en plus N'hési</t>
        </is>
      </c>
      <c r="AO238" s="10" t="inlineStr">
        <is>
          <t>vehicle_technical_inspection_valid : Non ; Permis : Avec permis ; Importé : false</t>
        </is>
      </c>
      <c r="AP238" s="19" t="inlineStr">
        <is>
          <t>Voir</t>
        </is>
      </c>
      <c r="AQ238" s="10" t="inlineStr">
        <is>
          <t>3287692798</t>
        </is>
      </c>
    </row>
    <row r="239">
      <c r="A239" s="10" t="inlineStr">
        <is>
          <t>Peugeot 205 GTI</t>
        </is>
      </c>
      <c r="B239" s="10" t="inlineStr">
        <is>
          <t>205 GTI 1.6 105cv</t>
        </is>
      </c>
      <c r="C239" s="10" t="n"/>
      <c r="D239" s="10" t="n"/>
      <c r="E239" s="10" t="inlineStr">
        <is>
          <t>En vente</t>
        </is>
      </c>
      <c r="F239" s="18" t="n">
        <v>46308</v>
      </c>
      <c r="G239" s="18" t="n">
        <v>46308</v>
      </c>
      <c r="H239" s="18" t="n">
        <v>46310</v>
      </c>
      <c r="I239" s="18" t="n"/>
      <c r="J239" s="17">
        <f>IF(OR(ISNUMBER(F239),ISNUMBER(G239)),IF(ISNUMBER(I239),I239,H239)-IF(ISNUMBER(F239),F239,G239),"")</f>
        <v/>
      </c>
      <c r="K239" s="12" t="n">
        <v>18500</v>
      </c>
      <c r="L239" s="12" t="n">
        <v>18500</v>
      </c>
      <c r="M239" s="13">
        <f>IF(AND(ISNUMBER(K239),ISNUMBER(L239),K239&gt;0),1-L239/K239,"")</f>
        <v/>
      </c>
      <c r="N239" s="16" t="n">
        <v>0</v>
      </c>
      <c r="O239" s="12" t="n"/>
      <c r="P239" s="12" t="n"/>
      <c r="Q239" s="12" t="n"/>
      <c r="R239" s="14">
        <f>IF(AND(ISNUMBER(L239),ISNUMBER(P239),ISNUMBER(Q239)),L239/((P239+Q239)/2)-1,"")</f>
        <v/>
      </c>
      <c r="S239" s="10" t="n"/>
      <c r="T239" s="15" t="n">
        <v>136480</v>
      </c>
      <c r="U239" s="16" t="n">
        <v>1986</v>
      </c>
      <c r="V239" s="10" t="inlineStr">
        <is>
          <t>01/1986</t>
        </is>
      </c>
      <c r="W239" s="10" t="inlineStr">
        <is>
          <t>Essence</t>
        </is>
      </c>
      <c r="X239" s="10" t="inlineStr">
        <is>
          <t>Manuelle</t>
        </is>
      </c>
      <c r="Y239" s="16" t="n">
        <v>105</v>
      </c>
      <c r="Z239" s="16" t="n">
        <v>8</v>
      </c>
      <c r="AA239" s="10" t="inlineStr">
        <is>
          <t>Rouge</t>
        </is>
      </c>
      <c r="AB239" s="16" t="n">
        <v>3</v>
      </c>
      <c r="AC239" s="10" t="inlineStr">
        <is>
          <t>Citadine</t>
        </is>
      </c>
      <c r="AD239" s="10" t="n"/>
      <c r="AE239" s="10" t="n"/>
      <c r="AF239" s="10" t="inlineStr">
        <is>
          <t>Particulier</t>
        </is>
      </c>
      <c r="AG239" s="10" t="inlineStr">
        <is>
          <t>Aubenas</t>
        </is>
      </c>
      <c r="AH239" s="10" t="inlineStr">
        <is>
          <t>07200</t>
        </is>
      </c>
      <c r="AI239" s="10" t="inlineStr">
        <is>
          <t>Ardèche</t>
        </is>
      </c>
      <c r="AJ239" s="10" t="inlineStr">
        <is>
          <t>Rhône-Alpes</t>
        </is>
      </c>
      <c r="AK239" s="16" t="n">
        <v>3</v>
      </c>
      <c r="AL239" s="10" t="n"/>
      <c r="AM239" s="10" t="inlineStr">
        <is>
          <t>Non</t>
        </is>
      </c>
      <c r="AN239" s="10" t="inlineStr">
        <is>
          <t>Je vends ma 205 GTI 1.6 105cv de 1986 C’est la dernière version avec le moteur 105cv et la boîte courte d’où la disposition du compartiment moteur et les compteurs du tableau de bord Elle est en ma possession depuis 2012, j’ai passé 4 ans à la restaurer La mécanique a était refaite par mes soins du fait que je ne connaissais pas son kilométrage réel lors de mon achat (dossier photos et factures) La carrosserie a était refaite par un carrossier, peinture intérieure, extérieure, compartiment moteu</t>
        </is>
      </c>
      <c r="AO239" s="10" t="inlineStr">
        <is>
          <t>vehicle_technical_inspection_valid : Oui ; Dommages : Excellent état (proche du neuf) ; Sellerie : Tissu ; Permis : Avec permis ; Importé : false</t>
        </is>
      </c>
      <c r="AP239" s="19" t="inlineStr">
        <is>
          <t>Voir</t>
        </is>
      </c>
      <c r="AQ239" s="10" t="inlineStr">
        <is>
          <t>3287873200</t>
        </is>
      </c>
    </row>
    <row r="240">
      <c r="A240" s="10" t="inlineStr">
        <is>
          <t>Peugeot 205 GTI</t>
        </is>
      </c>
      <c r="B240" s="10" t="inlineStr">
        <is>
          <t>Peugeot 205 gti</t>
        </is>
      </c>
      <c r="C240" s="10" t="n"/>
      <c r="D240" s="10" t="n"/>
      <c r="E240" s="10" t="inlineStr">
        <is>
          <t>En vente</t>
        </is>
      </c>
      <c r="F240" s="18" t="n">
        <v>46309</v>
      </c>
      <c r="G240" s="18" t="n">
        <v>46309</v>
      </c>
      <c r="H240" s="18" t="n">
        <v>46310</v>
      </c>
      <c r="I240" s="18" t="n"/>
      <c r="J240" s="17">
        <f>IF(OR(ISNUMBER(F240),ISNUMBER(G240)),IF(ISNUMBER(I240),I240,H240)-IF(ISNUMBER(F240),F240,G240),"")</f>
        <v/>
      </c>
      <c r="K240" s="12" t="n">
        <v>14200</v>
      </c>
      <c r="L240" s="12" t="n">
        <v>14200</v>
      </c>
      <c r="M240" s="13">
        <f>IF(AND(ISNUMBER(K240),ISNUMBER(L240),K240&gt;0),1-L240/K240,"")</f>
        <v/>
      </c>
      <c r="N240" s="16" t="n">
        <v>0</v>
      </c>
      <c r="O240" s="12" t="n"/>
      <c r="P240" s="12" t="n"/>
      <c r="Q240" s="12" t="n"/>
      <c r="R240" s="14">
        <f>IF(AND(ISNUMBER(L240),ISNUMBER(P240),ISNUMBER(Q240)),L240/((P240+Q240)/2)-1,"")</f>
        <v/>
      </c>
      <c r="S240" s="10" t="n"/>
      <c r="T240" s="15" t="n">
        <v>224400</v>
      </c>
      <c r="U240" s="16" t="n">
        <v>1986</v>
      </c>
      <c r="V240" s="10" t="n"/>
      <c r="W240" s="10" t="inlineStr">
        <is>
          <t>Essence</t>
        </is>
      </c>
      <c r="X240" s="10" t="inlineStr">
        <is>
          <t>Manuelle</t>
        </is>
      </c>
      <c r="Y240" s="16" t="n">
        <v>115</v>
      </c>
      <c r="Z240" s="16" t="n">
        <v>7</v>
      </c>
      <c r="AA240" s="10" t="inlineStr">
        <is>
          <t>Blanc</t>
        </is>
      </c>
      <c r="AB240" s="16" t="n">
        <v>3</v>
      </c>
      <c r="AC240" s="10" t="inlineStr">
        <is>
          <t>Berline</t>
        </is>
      </c>
      <c r="AD240" s="10" t="inlineStr">
        <is>
          <t>Réparations utiles déjà faites, Véhicule non fumeur</t>
        </is>
      </c>
      <c r="AE240" s="10" t="n"/>
      <c r="AF240" s="10" t="inlineStr">
        <is>
          <t>Particulier</t>
        </is>
      </c>
      <c r="AG240" s="10" t="inlineStr">
        <is>
          <t>Plan-d'Aups-Sainte-Baume</t>
        </is>
      </c>
      <c r="AH240" s="10" t="inlineStr">
        <is>
          <t>83640</t>
        </is>
      </c>
      <c r="AI240" s="10" t="inlineStr">
        <is>
          <t>Var</t>
        </is>
      </c>
      <c r="AJ240" s="10" t="inlineStr">
        <is>
          <t>Provence-Alpes-Côte d'Azur</t>
        </is>
      </c>
      <c r="AK240" s="16" t="n">
        <v>3</v>
      </c>
      <c r="AL240" s="10" t="n"/>
      <c r="AM240" s="10" t="inlineStr">
        <is>
          <t>Non</t>
        </is>
      </c>
      <c r="AN240" s="10" t="inlineStr">
        <is>
          <t>Je vends ma Peugeot 205 GTI de 1986, une véritable légende automobile avec 224 400 km au compteur. - Marque : Peugeot - Modèle : 205 GTI - Année : 1986 - Kilométrage : 224 400 km - Motorisation : 115 Ch - Carburant : Essence - Boîte de vitesses : Manuelle - Couleur : Blanc - Type de véhicule : Berline - Nombre de portes : 3 - Nombre de sièges : 5 - Puissance fiscale : 7 Cv N'hésitez pas à me contacter pour plus d'informations ou pour organiser une visite.</t>
        </is>
      </c>
      <c r="AO240" s="10" t="inlineStr">
        <is>
          <t>Dommages : Traces d’usure normales ; Sellerie : Tissu ; Permis : Avec permis ; Importé : false</t>
        </is>
      </c>
      <c r="AP240" s="19" t="inlineStr">
        <is>
          <t>Voir</t>
        </is>
      </c>
      <c r="AQ240" s="10" t="inlineStr">
        <is>
          <t>3288481450</t>
        </is>
      </c>
    </row>
    <row r="241">
      <c r="A241" s="10" t="inlineStr">
        <is>
          <t>Peugeot 205 GTI</t>
        </is>
      </c>
      <c r="B241" s="10" t="inlineStr">
        <is>
          <t>205 gti</t>
        </is>
      </c>
      <c r="C241" s="10" t="n"/>
      <c r="D241" s="10" t="n"/>
      <c r="E241" s="10" t="inlineStr">
        <is>
          <t>En vente</t>
        </is>
      </c>
      <c r="F241" s="18" t="n">
        <v>46310</v>
      </c>
      <c r="G241" s="18" t="n">
        <v>46310</v>
      </c>
      <c r="H241" s="18" t="n">
        <v>46310</v>
      </c>
      <c r="I241" s="18" t="n"/>
      <c r="J241" s="17">
        <f>IF(OR(ISNUMBER(F241),ISNUMBER(G241)),IF(ISNUMBER(I241),I241,H241)-IF(ISNUMBER(F241),F241,G241),"")</f>
        <v/>
      </c>
      <c r="K241" s="12" t="n">
        <v>14000</v>
      </c>
      <c r="L241" s="12" t="n">
        <v>14000</v>
      </c>
      <c r="M241" s="13">
        <f>IF(AND(ISNUMBER(K241),ISNUMBER(L241),K241&gt;0),1-L241/K241,"")</f>
        <v/>
      </c>
      <c r="N241" s="16" t="n">
        <v>0</v>
      </c>
      <c r="O241" s="12" t="n"/>
      <c r="P241" s="12" t="n"/>
      <c r="Q241" s="12" t="n"/>
      <c r="R241" s="14">
        <f>IF(AND(ISNUMBER(L241),ISNUMBER(P241),ISNUMBER(Q241)),L241/((P241+Q241)/2)-1,"")</f>
        <v/>
      </c>
      <c r="S241" s="10" t="n"/>
      <c r="T241" s="15" t="n">
        <v>310000</v>
      </c>
      <c r="U241" s="16" t="n">
        <v>1988</v>
      </c>
      <c r="V241" s="10" t="inlineStr">
        <is>
          <t>05/1989</t>
        </is>
      </c>
      <c r="W241" s="10" t="inlineStr">
        <is>
          <t>Essence</t>
        </is>
      </c>
      <c r="X241" s="10" t="inlineStr">
        <is>
          <t>Manuelle</t>
        </is>
      </c>
      <c r="Y241" s="16" t="n">
        <v>115</v>
      </c>
      <c r="Z241" s="16" t="n"/>
      <c r="AA241" s="10" t="inlineStr">
        <is>
          <t>Gris</t>
        </is>
      </c>
      <c r="AB241" s="16" t="n">
        <v>3</v>
      </c>
      <c r="AC241" s="10" t="n"/>
      <c r="AD241" s="10" t="n"/>
      <c r="AE241" s="10" t="n"/>
      <c r="AF241" s="10" t="inlineStr">
        <is>
          <t>Particulier</t>
        </is>
      </c>
      <c r="AG241" s="10" t="inlineStr">
        <is>
          <t>Lannion</t>
        </is>
      </c>
      <c r="AH241" s="10" t="inlineStr">
        <is>
          <t>22300</t>
        </is>
      </c>
      <c r="AI241" s="10" t="inlineStr">
        <is>
          <t>Côtes-d'Armor</t>
        </is>
      </c>
      <c r="AJ241" s="10" t="inlineStr">
        <is>
          <t>Bretagne</t>
        </is>
      </c>
      <c r="AK241" s="16" t="n">
        <v>3</v>
      </c>
      <c r="AL241" s="10" t="n"/>
      <c r="AM241" s="10" t="inlineStr">
        <is>
          <t>Non</t>
        </is>
      </c>
      <c r="AN241" s="10" t="inlineStr">
        <is>
          <t>205 gti 1.6 115 cv , très bon état général, nombreux frais de restauration, carrosserie très propre, pour plus de renseignements me contacter, merci</t>
        </is>
      </c>
      <c r="AO241" s="10" t="inlineStr">
        <is>
          <t>vehicle_technical_inspection_valid : Oui ; Sellerie : Tissu ; Permis : Avec permis ; Importé : false</t>
        </is>
      </c>
      <c r="AP241" s="19" t="inlineStr">
        <is>
          <t>Voir</t>
        </is>
      </c>
      <c r="AQ241" s="10" t="inlineStr">
        <is>
          <t>3288607303</t>
        </is>
      </c>
    </row>
    <row r="242">
      <c r="A242" s="10" t="inlineStr">
        <is>
          <t>Peugeot 205 GTI</t>
        </is>
      </c>
      <c r="B242" s="10" t="inlineStr">
        <is>
          <t>205 gti</t>
        </is>
      </c>
      <c r="C242" s="10" t="n"/>
      <c r="D242" s="10" t="n"/>
      <c r="E242" s="10" t="inlineStr">
        <is>
          <t>En vente</t>
        </is>
      </c>
      <c r="F242" s="18" t="n">
        <v>46310</v>
      </c>
      <c r="G242" s="18" t="n">
        <v>46310</v>
      </c>
      <c r="H242" s="18" t="n">
        <v>46310</v>
      </c>
      <c r="I242" s="18" t="n"/>
      <c r="J242" s="17">
        <f>IF(OR(ISNUMBER(F242),ISNUMBER(G242)),IF(ISNUMBER(I242),I242,H242)-IF(ISNUMBER(F242),F242,G242),"")</f>
        <v/>
      </c>
      <c r="K242" s="12" t="n">
        <v>10000</v>
      </c>
      <c r="L242" s="12" t="n">
        <v>10000</v>
      </c>
      <c r="M242" s="13">
        <f>IF(AND(ISNUMBER(K242),ISNUMBER(L242),K242&gt;0),1-L242/K242,"")</f>
        <v/>
      </c>
      <c r="N242" s="16" t="n">
        <v>0</v>
      </c>
      <c r="O242" s="12" t="n"/>
      <c r="P242" s="12" t="n"/>
      <c r="Q242" s="12" t="n"/>
      <c r="R242" s="14">
        <f>IF(AND(ISNUMBER(L242),ISNUMBER(P242),ISNUMBER(Q242)),L242/((P242+Q242)/2)-1,"")</f>
        <v/>
      </c>
      <c r="S242" s="10" t="n"/>
      <c r="T242" s="15" t="n">
        <v>358000</v>
      </c>
      <c r="U242" s="16" t="n">
        <v>1985</v>
      </c>
      <c r="V242" s="10" t="n"/>
      <c r="W242" s="10" t="inlineStr">
        <is>
          <t>Essence</t>
        </is>
      </c>
      <c r="X242" s="10" t="inlineStr">
        <is>
          <t>Manuelle</t>
        </is>
      </c>
      <c r="Y242" s="16" t="n">
        <v>130</v>
      </c>
      <c r="Z242" s="16" t="n"/>
      <c r="AA242" s="10" t="n"/>
      <c r="AB242" s="16" t="n"/>
      <c r="AC242" s="10" t="n"/>
      <c r="AD242" s="10" t="n"/>
      <c r="AE242" s="10" t="n"/>
      <c r="AF242" s="10" t="inlineStr">
        <is>
          <t>Particulier</t>
        </is>
      </c>
      <c r="AG242" s="10" t="inlineStr">
        <is>
          <t>Saint-Gilles</t>
        </is>
      </c>
      <c r="AH242" s="10" t="inlineStr">
        <is>
          <t>30800</t>
        </is>
      </c>
      <c r="AI242" s="10" t="inlineStr">
        <is>
          <t>Gard</t>
        </is>
      </c>
      <c r="AJ242" s="10" t="inlineStr">
        <is>
          <t>Languedoc-Roussillon</t>
        </is>
      </c>
      <c r="AK242" s="16" t="n">
        <v>3</v>
      </c>
      <c r="AL242" s="10" t="n"/>
      <c r="AM242" s="10" t="inlineStr">
        <is>
          <t>Non</t>
        </is>
      </c>
      <c r="AN242" s="10" t="inlineStr">
        <is>
          <t xml:space="preserve">Peugeot 205 GTI 1.6 – Moteur 1.9 – Intérieur Génération 1 Je mets en vente ma Peugeot 205 GTI, avec caisse 1.6 affichant 385 000 km au compteur, équipée d’un moteur 1.9 et d’un intérieur Génération 1. La caisse a été décapée, repeinte et remontée. La carrosserie est impeccable et la voiture est propre dans l’ensemble. Le moteur 1.9 a été remplacé par l’ancien propriétaire. Son kilométrage serait inférieur à 200 000 km, mais je ne connais pas le kilométrage exact. La voiture appartenait à un ami </t>
        </is>
      </c>
      <c r="AO242" s="10" t="inlineStr">
        <is>
          <t>Permis : Avec permis ; Importé : false</t>
        </is>
      </c>
      <c r="AP242" s="19" t="inlineStr">
        <is>
          <t>Voir</t>
        </is>
      </c>
      <c r="AQ242" s="10" t="inlineStr">
        <is>
          <t>3288612753</t>
        </is>
      </c>
    </row>
    <row r="243">
      <c r="A243" s="10" t="inlineStr">
        <is>
          <t>Peugeot 205 GTI</t>
        </is>
      </c>
      <c r="B243" s="10" t="inlineStr">
        <is>
          <t>205 gti 1,6</t>
        </is>
      </c>
      <c r="C243" s="10" t="n"/>
      <c r="D243" s="10" t="n"/>
      <c r="E243" s="10" t="inlineStr">
        <is>
          <t>En vente</t>
        </is>
      </c>
      <c r="F243" s="18" t="n">
        <v>46285</v>
      </c>
      <c r="G243" s="18" t="n">
        <v>46285</v>
      </c>
      <c r="H243" s="18" t="n">
        <v>46296</v>
      </c>
      <c r="I243" s="18" t="n"/>
      <c r="J243" s="17">
        <f>IF(OR(ISNUMBER(F243),ISNUMBER(G243)),IF(ISNUMBER(I243),I243,H243)-IF(ISNUMBER(F243),F243,G243),"")</f>
        <v/>
      </c>
      <c r="K243" s="12" t="n">
        <v>15200</v>
      </c>
      <c r="L243" s="12" t="n">
        <v>15200</v>
      </c>
      <c r="M243" s="13">
        <f>IF(AND(ISNUMBER(K243),ISNUMBER(L243),K243&gt;0),1-L243/K243,"")</f>
        <v/>
      </c>
      <c r="N243" s="16" t="n">
        <v>0</v>
      </c>
      <c r="O243" s="12" t="n"/>
      <c r="P243" s="12" t="n"/>
      <c r="Q243" s="12" t="n"/>
      <c r="R243" s="14">
        <f>IF(AND(ISNUMBER(L243),ISNUMBER(P243),ISNUMBER(Q243)),L243/((P243+Q243)/2)-1,"")</f>
        <v/>
      </c>
      <c r="S243" s="10" t="n"/>
      <c r="T243" s="15" t="n">
        <v>24500</v>
      </c>
      <c r="U243" s="16" t="n">
        <v>1989</v>
      </c>
      <c r="V243" s="10" t="n"/>
      <c r="W243" s="10" t="inlineStr">
        <is>
          <t>Essence</t>
        </is>
      </c>
      <c r="X243" s="10" t="inlineStr">
        <is>
          <t>Manuelle</t>
        </is>
      </c>
      <c r="Y243" s="16" t="n">
        <v>60</v>
      </c>
      <c r="Z243" s="16" t="n">
        <v>5</v>
      </c>
      <c r="AA243" s="10" t="inlineStr">
        <is>
          <t>Rouge</t>
        </is>
      </c>
      <c r="AB243" s="16" t="n">
        <v>5</v>
      </c>
      <c r="AC243" s="10" t="inlineStr">
        <is>
          <t>Berline</t>
        </is>
      </c>
      <c r="AD243" s="10" t="n"/>
      <c r="AE243" s="10" t="n"/>
      <c r="AF243" s="10" t="inlineStr">
        <is>
          <t>Particulier</t>
        </is>
      </c>
      <c r="AG243" s="10" t="inlineStr">
        <is>
          <t>Serpaize</t>
        </is>
      </c>
      <c r="AH243" s="10" t="inlineStr">
        <is>
          <t>38200</t>
        </is>
      </c>
      <c r="AI243" s="10" t="inlineStr">
        <is>
          <t>Isère</t>
        </is>
      </c>
      <c r="AJ243" s="10" t="inlineStr">
        <is>
          <t>Rhône-Alpes</t>
        </is>
      </c>
      <c r="AK243" s="16" t="n"/>
      <c r="AL243" s="10" t="n"/>
      <c r="AM243" s="10" t="n"/>
      <c r="AN243" s="10" t="n"/>
      <c r="AO243" s="10" t="n"/>
      <c r="AP243" s="19" t="inlineStr">
        <is>
          <t>Voir</t>
        </is>
      </c>
      <c r="AQ243" s="10" t="inlineStr">
        <is>
          <t>3199378668</t>
        </is>
      </c>
    </row>
    <row r="244">
      <c r="A244" s="10" t="inlineStr">
        <is>
          <t>Peugeot 205 GTI</t>
        </is>
      </c>
      <c r="B244" s="10" t="inlineStr">
        <is>
          <t>Peugeot 205 GTi Phase 2 / 1.9 i 130cv / Entretiens complet / 4ème main / Air ventilé</t>
        </is>
      </c>
      <c r="C244" s="10" t="n"/>
      <c r="D244" s="10" t="n"/>
      <c r="E244" s="10" t="inlineStr">
        <is>
          <t>En vente</t>
        </is>
      </c>
      <c r="F244" s="18" t="n">
        <v>46209</v>
      </c>
      <c r="G244" s="18" t="n">
        <v>46209</v>
      </c>
      <c r="H244" s="18" t="n">
        <v>46296</v>
      </c>
      <c r="I244" s="18" t="n"/>
      <c r="J244" s="17">
        <f>IF(OR(ISNUMBER(F244),ISNUMBER(G244)),IF(ISNUMBER(I244),I244,H244)-IF(ISNUMBER(F244),F244,G244),"")</f>
        <v/>
      </c>
      <c r="K244" s="12" t="n">
        <v>19990</v>
      </c>
      <c r="L244" s="12" t="n">
        <v>19990</v>
      </c>
      <c r="M244" s="13">
        <f>IF(AND(ISNUMBER(K244),ISNUMBER(L244),K244&gt;0),1-L244/K244,"")</f>
        <v/>
      </c>
      <c r="N244" s="16" t="n">
        <v>0</v>
      </c>
      <c r="O244" s="12" t="n"/>
      <c r="P244" s="12" t="n"/>
      <c r="Q244" s="12" t="n"/>
      <c r="R244" s="14">
        <f>IF(AND(ISNUMBER(L244),ISNUMBER(P244),ISNUMBER(Q244)),L244/((P244+Q244)/2)-1,"")</f>
        <v/>
      </c>
      <c r="S244" s="10" t="n"/>
      <c r="T244" s="15" t="n">
        <v>140900</v>
      </c>
      <c r="U244" s="16" t="n">
        <v>1987</v>
      </c>
      <c r="V244" s="10" t="n"/>
      <c r="W244" s="10" t="inlineStr">
        <is>
          <t>Essence</t>
        </is>
      </c>
      <c r="X244" s="10" t="inlineStr">
        <is>
          <t>Manuelle</t>
        </is>
      </c>
      <c r="Y244" s="16" t="n">
        <v>128</v>
      </c>
      <c r="Z244" s="16" t="n">
        <v>9</v>
      </c>
      <c r="AA244" s="10" t="inlineStr">
        <is>
          <t>Gris</t>
        </is>
      </c>
      <c r="AB244" s="16" t="n">
        <v>3</v>
      </c>
      <c r="AC244" s="10" t="inlineStr">
        <is>
          <t>Berline</t>
        </is>
      </c>
      <c r="AD244" s="10" t="n"/>
      <c r="AE244" s="10" t="n"/>
      <c r="AF244" s="10" t="inlineStr">
        <is>
          <t>Pro</t>
        </is>
      </c>
      <c r="AG244" s="10" t="inlineStr">
        <is>
          <t>Saint-Pardoux-du-Breuil</t>
        </is>
      </c>
      <c r="AH244" s="10" t="inlineStr">
        <is>
          <t>47200</t>
        </is>
      </c>
      <c r="AI244" s="10" t="inlineStr">
        <is>
          <t>Lot-et-Garonne</t>
        </is>
      </c>
      <c r="AJ244" s="10" t="inlineStr">
        <is>
          <t>Aquitaine</t>
        </is>
      </c>
      <c r="AK244" s="16" t="n"/>
      <c r="AL244" s="10" t="inlineStr">
        <is>
          <t>Oui</t>
        </is>
      </c>
      <c r="AM244" s="10" t="n"/>
      <c r="AN244" s="10" t="n"/>
      <c r="AO244" s="10" t="n"/>
      <c r="AP244" s="19" t="inlineStr">
        <is>
          <t>Voir</t>
        </is>
      </c>
      <c r="AQ244" s="10" t="inlineStr">
        <is>
          <t>3228549093</t>
        </is>
      </c>
    </row>
    <row r="245">
      <c r="A245" s="10" t="inlineStr">
        <is>
          <t>Peugeot 205 GTI</t>
        </is>
      </c>
      <c r="B245" s="10" t="inlineStr">
        <is>
          <t>205 gti 1.9</t>
        </is>
      </c>
      <c r="C245" s="10" t="n"/>
      <c r="D245" s="10" t="n"/>
      <c r="E245" s="10" t="inlineStr">
        <is>
          <t>En vente</t>
        </is>
      </c>
      <c r="F245" s="18" t="n">
        <v>46278</v>
      </c>
      <c r="G245" s="18" t="n">
        <v>46278</v>
      </c>
      <c r="H245" s="18" t="n">
        <v>46296</v>
      </c>
      <c r="I245" s="18" t="n"/>
      <c r="J245" s="17">
        <f>IF(OR(ISNUMBER(F245),ISNUMBER(G245)),IF(ISNUMBER(I245),I245,H245)-IF(ISNUMBER(F245),F245,G245),"")</f>
        <v/>
      </c>
      <c r="K245" s="12" t="n">
        <v>15500</v>
      </c>
      <c r="L245" s="12" t="n">
        <v>15500</v>
      </c>
      <c r="M245" s="13">
        <f>IF(AND(ISNUMBER(K245),ISNUMBER(L245),K245&gt;0),1-L245/K245,"")</f>
        <v/>
      </c>
      <c r="N245" s="16" t="n">
        <v>0</v>
      </c>
      <c r="O245" s="12" t="n"/>
      <c r="P245" s="12" t="n"/>
      <c r="Q245" s="12" t="n"/>
      <c r="R245" s="14">
        <f>IF(AND(ISNUMBER(L245),ISNUMBER(P245),ISNUMBER(Q245)),L245/((P245+Q245)/2)-1,"")</f>
        <v/>
      </c>
      <c r="S245" s="10" t="n"/>
      <c r="T245" s="15" t="n">
        <v>152000</v>
      </c>
      <c r="U245" s="16" t="n">
        <v>1989</v>
      </c>
      <c r="V245" s="10" t="n"/>
      <c r="W245" s="10" t="inlineStr">
        <is>
          <t>Essence</t>
        </is>
      </c>
      <c r="X245" s="10" t="inlineStr">
        <is>
          <t>Manuelle</t>
        </is>
      </c>
      <c r="Y245" s="16" t="n">
        <v>130</v>
      </c>
      <c r="Z245" s="16" t="n">
        <v>5</v>
      </c>
      <c r="AA245" s="10" t="inlineStr">
        <is>
          <t>Blanc</t>
        </is>
      </c>
      <c r="AB245" s="16" t="n">
        <v>3</v>
      </c>
      <c r="AC245" s="10" t="inlineStr">
        <is>
          <t>Berline</t>
        </is>
      </c>
      <c r="AD245" s="10" t="n"/>
      <c r="AE245" s="10" t="n"/>
      <c r="AF245" s="10" t="inlineStr">
        <is>
          <t>Particulier</t>
        </is>
      </c>
      <c r="AG245" s="10" t="inlineStr">
        <is>
          <t>Fontrieu</t>
        </is>
      </c>
      <c r="AH245" s="10" t="inlineStr">
        <is>
          <t>81260</t>
        </is>
      </c>
      <c r="AI245" s="10" t="inlineStr">
        <is>
          <t>Tarn</t>
        </is>
      </c>
      <c r="AJ245" s="10" t="inlineStr">
        <is>
          <t>Midi-Pyrénées</t>
        </is>
      </c>
      <c r="AK245" s="16" t="n"/>
      <c r="AL245" s="10" t="n"/>
      <c r="AM245" s="10" t="n"/>
      <c r="AN245" s="10" t="n"/>
      <c r="AO245" s="10" t="n"/>
      <c r="AP245" s="19" t="inlineStr">
        <is>
          <t>Voir</t>
        </is>
      </c>
      <c r="AQ245" s="10" t="inlineStr">
        <is>
          <t>3232618598</t>
        </is>
      </c>
    </row>
    <row r="246">
      <c r="A246" s="10" t="inlineStr">
        <is>
          <t>Peugeot 205 GTI</t>
        </is>
      </c>
      <c r="B246" s="10" t="inlineStr">
        <is>
          <t>Peugeot 205 gti 1.9 130cv</t>
        </is>
      </c>
      <c r="C246" s="10" t="n"/>
      <c r="D246" s="10" t="n"/>
      <c r="E246" s="10" t="inlineStr">
        <is>
          <t>En vente</t>
        </is>
      </c>
      <c r="F246" s="18" t="n">
        <v>46253</v>
      </c>
      <c r="G246" s="18" t="n">
        <v>46253</v>
      </c>
      <c r="H246" s="18" t="n">
        <v>46296</v>
      </c>
      <c r="I246" s="18" t="n"/>
      <c r="J246" s="17">
        <f>IF(OR(ISNUMBER(F246),ISNUMBER(G246)),IF(ISNUMBER(I246),I246,H246)-IF(ISNUMBER(F246),F246,G246),"")</f>
        <v/>
      </c>
      <c r="K246" s="12" t="n">
        <v>22490</v>
      </c>
      <c r="L246" s="12" t="n">
        <v>22490</v>
      </c>
      <c r="M246" s="13">
        <f>IF(AND(ISNUMBER(K246),ISNUMBER(L246),K246&gt;0),1-L246/K246,"")</f>
        <v/>
      </c>
      <c r="N246" s="16" t="n">
        <v>0</v>
      </c>
      <c r="O246" s="12" t="n"/>
      <c r="P246" s="12" t="n"/>
      <c r="Q246" s="12" t="n"/>
      <c r="R246" s="14">
        <f>IF(AND(ISNUMBER(L246),ISNUMBER(P246),ISNUMBER(Q246)),L246/((P246+Q246)/2)-1,"")</f>
        <v/>
      </c>
      <c r="S246" s="10" t="n"/>
      <c r="T246" s="15" t="n">
        <v>182000</v>
      </c>
      <c r="U246" s="16" t="n">
        <v>1988</v>
      </c>
      <c r="V246" s="10" t="n"/>
      <c r="W246" s="10" t="inlineStr">
        <is>
          <t>Essence</t>
        </is>
      </c>
      <c r="X246" s="10" t="inlineStr">
        <is>
          <t>Manuelle</t>
        </is>
      </c>
      <c r="Y246" s="16" t="n">
        <v>130</v>
      </c>
      <c r="Z246" s="16" t="n"/>
      <c r="AA246" s="10" t="inlineStr">
        <is>
          <t>Blanc</t>
        </is>
      </c>
      <c r="AB246" s="16" t="n">
        <v>4</v>
      </c>
      <c r="AC246" s="10" t="inlineStr">
        <is>
          <t>Berline</t>
        </is>
      </c>
      <c r="AD246" s="10" t="n"/>
      <c r="AE246" s="10" t="n"/>
      <c r="AF246" s="10" t="inlineStr">
        <is>
          <t>Particulier</t>
        </is>
      </c>
      <c r="AG246" s="10" t="inlineStr">
        <is>
          <t>Agde</t>
        </is>
      </c>
      <c r="AH246" s="10" t="inlineStr">
        <is>
          <t>34300</t>
        </is>
      </c>
      <c r="AI246" s="10" t="inlineStr">
        <is>
          <t>Hérault</t>
        </is>
      </c>
      <c r="AJ246" s="10" t="inlineStr">
        <is>
          <t>Languedoc-Roussillon</t>
        </is>
      </c>
      <c r="AK246" s="16" t="n"/>
      <c r="AL246" s="10" t="inlineStr">
        <is>
          <t>Oui</t>
        </is>
      </c>
      <c r="AM246" s="10" t="n"/>
      <c r="AN246" s="10" t="n"/>
      <c r="AO246" s="10" t="n"/>
      <c r="AP246" s="19" t="inlineStr">
        <is>
          <t>Voir</t>
        </is>
      </c>
      <c r="AQ246" s="10" t="inlineStr">
        <is>
          <t>3252631252</t>
        </is>
      </c>
    </row>
    <row r="247">
      <c r="A247" s="10" t="inlineStr">
        <is>
          <t>Peugeot 205 GTI</t>
        </is>
      </c>
      <c r="B247" s="10" t="inlineStr">
        <is>
          <t>205 gti</t>
        </is>
      </c>
      <c r="C247" s="10" t="n"/>
      <c r="D247" s="10" t="n"/>
      <c r="E247" s="10" t="inlineStr">
        <is>
          <t>En vente</t>
        </is>
      </c>
      <c r="F247" s="18" t="n">
        <v>46261</v>
      </c>
      <c r="G247" s="18" t="n">
        <v>46261</v>
      </c>
      <c r="H247" s="18" t="n">
        <v>46296</v>
      </c>
      <c r="I247" s="18" t="n"/>
      <c r="J247" s="17">
        <f>IF(OR(ISNUMBER(F247),ISNUMBER(G247)),IF(ISNUMBER(I247),I247,H247)-IF(ISNUMBER(F247),F247,G247),"")</f>
        <v/>
      </c>
      <c r="K247" s="12" t="n">
        <v>20000</v>
      </c>
      <c r="L247" s="12" t="n">
        <v>20000</v>
      </c>
      <c r="M247" s="13">
        <f>IF(AND(ISNUMBER(K247),ISNUMBER(L247),K247&gt;0),1-L247/K247,"")</f>
        <v/>
      </c>
      <c r="N247" s="16" t="n">
        <v>0</v>
      </c>
      <c r="O247" s="12" t="n"/>
      <c r="P247" s="12" t="n"/>
      <c r="Q247" s="12" t="n"/>
      <c r="R247" s="14">
        <f>IF(AND(ISNUMBER(L247),ISNUMBER(P247),ISNUMBER(Q247)),L247/((P247+Q247)/2)-1,"")</f>
        <v/>
      </c>
      <c r="S247" s="10" t="n"/>
      <c r="T247" s="15" t="n">
        <v>187636</v>
      </c>
      <c r="U247" s="16" t="n">
        <v>1985</v>
      </c>
      <c r="V247" s="10" t="n"/>
      <c r="W247" s="10" t="inlineStr">
        <is>
          <t>Essence</t>
        </is>
      </c>
      <c r="X247" s="10" t="inlineStr">
        <is>
          <t>Manuelle</t>
        </is>
      </c>
      <c r="Y247" s="16" t="n"/>
      <c r="Z247" s="16" t="n"/>
      <c r="AA247" s="10" t="inlineStr">
        <is>
          <t>Gris</t>
        </is>
      </c>
      <c r="AB247" s="16" t="n">
        <v>3</v>
      </c>
      <c r="AC247" s="10" t="inlineStr">
        <is>
          <t>Berline</t>
        </is>
      </c>
      <c r="AD247" s="10" t="n"/>
      <c r="AE247" s="10" t="n"/>
      <c r="AF247" s="10" t="inlineStr">
        <is>
          <t>Particulier</t>
        </is>
      </c>
      <c r="AG247" s="10" t="inlineStr">
        <is>
          <t>Rabastens</t>
        </is>
      </c>
      <c r="AH247" s="10" t="inlineStr">
        <is>
          <t>81800</t>
        </is>
      </c>
      <c r="AI247" s="10" t="inlineStr">
        <is>
          <t>Tarn</t>
        </is>
      </c>
      <c r="AJ247" s="10" t="inlineStr">
        <is>
          <t>Midi-Pyrénées</t>
        </is>
      </c>
      <c r="AK247" s="16" t="n"/>
      <c r="AL247" s="10" t="n"/>
      <c r="AM247" s="10" t="n"/>
      <c r="AN247" s="10" t="n"/>
      <c r="AO247" s="10" t="n"/>
      <c r="AP247" s="19" t="inlineStr">
        <is>
          <t>Voir</t>
        </is>
      </c>
      <c r="AQ247" s="10" t="inlineStr">
        <is>
          <t>3257729524</t>
        </is>
      </c>
    </row>
    <row r="248">
      <c r="A248" s="10" t="inlineStr">
        <is>
          <t>Peugeot 205 GTI</t>
        </is>
      </c>
      <c r="B248" s="10" t="inlineStr">
        <is>
          <t>205 gti</t>
        </is>
      </c>
      <c r="C248" s="10" t="n"/>
      <c r="D248" s="10" t="n"/>
      <c r="E248" s="10" t="inlineStr">
        <is>
          <t>En vente</t>
        </is>
      </c>
      <c r="F248" s="18" t="n">
        <v>46268</v>
      </c>
      <c r="G248" s="18" t="n">
        <v>46268</v>
      </c>
      <c r="H248" s="18" t="n">
        <v>46296</v>
      </c>
      <c r="I248" s="18" t="n"/>
      <c r="J248" s="17">
        <f>IF(OR(ISNUMBER(F248),ISNUMBER(G248)),IF(ISNUMBER(I248),I248,H248)-IF(ISNUMBER(F248),F248,G248),"")</f>
        <v/>
      </c>
      <c r="K248" s="12" t="n">
        <v>10000</v>
      </c>
      <c r="L248" s="12" t="n">
        <v>10000</v>
      </c>
      <c r="M248" s="13">
        <f>IF(AND(ISNUMBER(K248),ISNUMBER(L248),K248&gt;0),1-L248/K248,"")</f>
        <v/>
      </c>
      <c r="N248" s="16" t="n">
        <v>0</v>
      </c>
      <c r="O248" s="12" t="n"/>
      <c r="P248" s="12" t="n"/>
      <c r="Q248" s="12" t="n"/>
      <c r="R248" s="14">
        <f>IF(AND(ISNUMBER(L248),ISNUMBER(P248),ISNUMBER(Q248)),L248/((P248+Q248)/2)-1,"")</f>
        <v/>
      </c>
      <c r="S248" s="10" t="n"/>
      <c r="T248" s="15" t="n">
        <v>210000</v>
      </c>
      <c r="U248" s="16" t="n">
        <v>1991</v>
      </c>
      <c r="V248" s="10" t="n"/>
      <c r="W248" s="10" t="inlineStr">
        <is>
          <t>Essence</t>
        </is>
      </c>
      <c r="X248" s="10" t="inlineStr">
        <is>
          <t>Manuelle</t>
        </is>
      </c>
      <c r="Y248" s="16" t="n">
        <v>60</v>
      </c>
      <c r="Z248" s="16" t="n">
        <v>5</v>
      </c>
      <c r="AA248" s="10" t="inlineStr">
        <is>
          <t>Autre</t>
        </is>
      </c>
      <c r="AB248" s="16" t="n">
        <v>3</v>
      </c>
      <c r="AC248" s="10" t="inlineStr">
        <is>
          <t>Berline</t>
        </is>
      </c>
      <c r="AD248" s="10" t="n"/>
      <c r="AE248" s="10" t="n"/>
      <c r="AF248" s="10" t="inlineStr">
        <is>
          <t>Particulier</t>
        </is>
      </c>
      <c r="AG248" s="10" t="inlineStr">
        <is>
          <t>Anet</t>
        </is>
      </c>
      <c r="AH248" s="10" t="inlineStr">
        <is>
          <t>28260</t>
        </is>
      </c>
      <c r="AI248" s="10" t="inlineStr">
        <is>
          <t>Eure-et-Loir</t>
        </is>
      </c>
      <c r="AJ248" s="10" t="inlineStr">
        <is>
          <t>Centre</t>
        </is>
      </c>
      <c r="AK248" s="16" t="n"/>
      <c r="AL248" s="10" t="n"/>
      <c r="AM248" s="10" t="n"/>
      <c r="AN248" s="10" t="n"/>
      <c r="AO248" s="10" t="n"/>
      <c r="AP248" s="19" t="inlineStr">
        <is>
          <t>Voir</t>
        </is>
      </c>
      <c r="AQ248" s="10" t="inlineStr">
        <is>
          <t>3262353989</t>
        </is>
      </c>
    </row>
    <row r="249">
      <c r="A249" s="10" t="inlineStr">
        <is>
          <t>Peugeot 205 GTI</t>
        </is>
      </c>
      <c r="B249" s="10" t="inlineStr">
        <is>
          <t>Peugeot 205 gti 1,6</t>
        </is>
      </c>
      <c r="C249" s="10" t="n"/>
      <c r="D249" s="10" t="n"/>
      <c r="E249" s="10" t="inlineStr">
        <is>
          <t>En vente</t>
        </is>
      </c>
      <c r="F249" s="18" t="n">
        <v>46271</v>
      </c>
      <c r="G249" s="18" t="n">
        <v>46271</v>
      </c>
      <c r="H249" s="18" t="n">
        <v>46296</v>
      </c>
      <c r="I249" s="18" t="n"/>
      <c r="J249" s="17">
        <f>IF(OR(ISNUMBER(F249),ISNUMBER(G249)),IF(ISNUMBER(I249),I249,H249)-IF(ISNUMBER(F249),F249,G249),"")</f>
        <v/>
      </c>
      <c r="K249" s="12" t="n">
        <v>23900</v>
      </c>
      <c r="L249" s="12" t="n">
        <v>23900</v>
      </c>
      <c r="M249" s="13">
        <f>IF(AND(ISNUMBER(K249),ISNUMBER(L249),K249&gt;0),1-L249/K249,"")</f>
        <v/>
      </c>
      <c r="N249" s="16" t="n">
        <v>0</v>
      </c>
      <c r="O249" s="12" t="n"/>
      <c r="P249" s="12" t="n"/>
      <c r="Q249" s="12" t="n"/>
      <c r="R249" s="14">
        <f>IF(AND(ISNUMBER(L249),ISNUMBER(P249),ISNUMBER(Q249)),L249/((P249+Q249)/2)-1,"")</f>
        <v/>
      </c>
      <c r="S249" s="10" t="n"/>
      <c r="T249" s="15" t="n">
        <v>153000</v>
      </c>
      <c r="U249" s="16" t="n">
        <v>1986</v>
      </c>
      <c r="V249" s="10" t="n"/>
      <c r="W249" s="10" t="inlineStr">
        <is>
          <t>Essence</t>
        </is>
      </c>
      <c r="X249" s="10" t="inlineStr">
        <is>
          <t>Manuelle</t>
        </is>
      </c>
      <c r="Y249" s="16" t="n">
        <v>115</v>
      </c>
      <c r="Z249" s="16" t="n">
        <v>8</v>
      </c>
      <c r="AA249" s="10" t="inlineStr">
        <is>
          <t>Gris</t>
        </is>
      </c>
      <c r="AB249" s="16" t="n">
        <v>3</v>
      </c>
      <c r="AC249" s="10" t="inlineStr">
        <is>
          <t>Berline</t>
        </is>
      </c>
      <c r="AD249" s="10" t="n"/>
      <c r="AE249" s="10" t="n"/>
      <c r="AF249" s="10" t="inlineStr">
        <is>
          <t>Pro</t>
        </is>
      </c>
      <c r="AG249" s="10" t="inlineStr">
        <is>
          <t>Veigné</t>
        </is>
      </c>
      <c r="AH249" s="10" t="inlineStr">
        <is>
          <t>37250</t>
        </is>
      </c>
      <c r="AI249" s="10" t="inlineStr">
        <is>
          <t>Indre-et-Loire</t>
        </is>
      </c>
      <c r="AJ249" s="10" t="inlineStr">
        <is>
          <t>Centre</t>
        </is>
      </c>
      <c r="AK249" s="16" t="n"/>
      <c r="AL249" s="10" t="n"/>
      <c r="AM249" s="10" t="n"/>
      <c r="AN249" s="10" t="n"/>
      <c r="AO249" s="10" t="n"/>
      <c r="AP249" s="19" t="inlineStr">
        <is>
          <t>Voir</t>
        </is>
      </c>
      <c r="AQ249" s="10" t="inlineStr">
        <is>
          <t>3264569173</t>
        </is>
      </c>
    </row>
    <row r="250">
      <c r="A250" s="10" t="inlineStr">
        <is>
          <t>Peugeot 205 GTI</t>
        </is>
      </c>
      <c r="B250" s="10" t="inlineStr">
        <is>
          <t>205 gti</t>
        </is>
      </c>
      <c r="C250" s="10" t="n"/>
      <c r="D250" s="10" t="n"/>
      <c r="E250" s="10" t="inlineStr">
        <is>
          <t>En vente</t>
        </is>
      </c>
      <c r="F250" s="18" t="n">
        <v>46272</v>
      </c>
      <c r="G250" s="18" t="n">
        <v>46272</v>
      </c>
      <c r="H250" s="18" t="n">
        <v>46296</v>
      </c>
      <c r="I250" s="18" t="n"/>
      <c r="J250" s="17">
        <f>IF(OR(ISNUMBER(F250),ISNUMBER(G250)),IF(ISNUMBER(I250),I250,H250)-IF(ISNUMBER(F250),F250,G250),"")</f>
        <v/>
      </c>
      <c r="K250" s="12" t="n">
        <v>15000</v>
      </c>
      <c r="L250" s="12" t="n">
        <v>15000</v>
      </c>
      <c r="M250" s="13">
        <f>IF(AND(ISNUMBER(K250),ISNUMBER(L250),K250&gt;0),1-L250/K250,"")</f>
        <v/>
      </c>
      <c r="N250" s="16" t="n">
        <v>0</v>
      </c>
      <c r="O250" s="12" t="n"/>
      <c r="P250" s="12" t="n"/>
      <c r="Q250" s="12" t="n"/>
      <c r="R250" s="14">
        <f>IF(AND(ISNUMBER(L250),ISNUMBER(P250),ISNUMBER(Q250)),L250/((P250+Q250)/2)-1,"")</f>
        <v/>
      </c>
      <c r="S250" s="10" t="n"/>
      <c r="T250" s="15" t="n">
        <v>194000</v>
      </c>
      <c r="U250" s="16" t="n">
        <v>1989</v>
      </c>
      <c r="V250" s="10" t="n"/>
      <c r="W250" s="10" t="inlineStr">
        <is>
          <t>Essence</t>
        </is>
      </c>
      <c r="X250" s="10" t="inlineStr">
        <is>
          <t>Manuelle</t>
        </is>
      </c>
      <c r="Y250" s="16" t="n">
        <v>60</v>
      </c>
      <c r="Z250" s="16" t="n">
        <v>5</v>
      </c>
      <c r="AA250" s="10" t="inlineStr">
        <is>
          <t>Autre</t>
        </is>
      </c>
      <c r="AB250" s="16" t="n">
        <v>3</v>
      </c>
      <c r="AC250" s="10" t="inlineStr">
        <is>
          <t>Berline</t>
        </is>
      </c>
      <c r="AD250" s="10" t="n"/>
      <c r="AE250" s="10" t="n"/>
      <c r="AF250" s="10" t="inlineStr">
        <is>
          <t>Particulier</t>
        </is>
      </c>
      <c r="AG250" s="10" t="inlineStr">
        <is>
          <t>Montpellier</t>
        </is>
      </c>
      <c r="AH250" s="10" t="inlineStr">
        <is>
          <t>34000</t>
        </is>
      </c>
      <c r="AI250" s="10" t="inlineStr">
        <is>
          <t>Hérault</t>
        </is>
      </c>
      <c r="AJ250" s="10" t="inlineStr">
        <is>
          <t>Languedoc-Roussillon</t>
        </is>
      </c>
      <c r="AK250" s="16" t="n"/>
      <c r="AL250" s="10" t="n"/>
      <c r="AM250" s="10" t="n"/>
      <c r="AN250" s="10" t="n"/>
      <c r="AO250" s="10" t="n"/>
      <c r="AP250" s="19" t="inlineStr">
        <is>
          <t>Voir</t>
        </is>
      </c>
      <c r="AQ250" s="10" t="inlineStr">
        <is>
          <t>3265038164</t>
        </is>
      </c>
    </row>
    <row r="251">
      <c r="A251" s="10" t="inlineStr">
        <is>
          <t>Peugeot 205 GTI</t>
        </is>
      </c>
      <c r="B251" s="10" t="inlineStr">
        <is>
          <t>205 gti 1.6 105</t>
        </is>
      </c>
      <c r="C251" s="10" t="n"/>
      <c r="D251" s="10" t="n"/>
      <c r="E251" s="10" t="inlineStr">
        <is>
          <t>En vente</t>
        </is>
      </c>
      <c r="F251" s="18" t="n">
        <v>46280</v>
      </c>
      <c r="G251" s="18" t="n">
        <v>46280</v>
      </c>
      <c r="H251" s="18" t="n">
        <v>46296</v>
      </c>
      <c r="I251" s="18" t="n"/>
      <c r="J251" s="17">
        <f>IF(OR(ISNUMBER(F251),ISNUMBER(G251)),IF(ISNUMBER(I251),I251,H251)-IF(ISNUMBER(F251),F251,G251),"")</f>
        <v/>
      </c>
      <c r="K251" s="12" t="n">
        <v>20000</v>
      </c>
      <c r="L251" s="12" t="n">
        <v>20000</v>
      </c>
      <c r="M251" s="13">
        <f>IF(AND(ISNUMBER(K251),ISNUMBER(L251),K251&gt;0),1-L251/K251,"")</f>
        <v/>
      </c>
      <c r="N251" s="16" t="n">
        <v>0</v>
      </c>
      <c r="O251" s="12" t="n"/>
      <c r="P251" s="12" t="n"/>
      <c r="Q251" s="12" t="n"/>
      <c r="R251" s="14">
        <f>IF(AND(ISNUMBER(L251),ISNUMBER(P251),ISNUMBER(Q251)),L251/((P251+Q251)/2)-1,"")</f>
        <v/>
      </c>
      <c r="S251" s="10" t="n"/>
      <c r="T251" s="15" t="n">
        <v>213600</v>
      </c>
      <c r="U251" s="16" t="n">
        <v>1985</v>
      </c>
      <c r="V251" s="10" t="n"/>
      <c r="W251" s="10" t="inlineStr">
        <is>
          <t>Essence</t>
        </is>
      </c>
      <c r="X251" s="10" t="inlineStr">
        <is>
          <t>Manuelle</t>
        </is>
      </c>
      <c r="Y251" s="16" t="n"/>
      <c r="Z251" s="16" t="n"/>
      <c r="AA251" s="10" t="n"/>
      <c r="AB251" s="16" t="n"/>
      <c r="AC251" s="10" t="n"/>
      <c r="AD251" s="10" t="n"/>
      <c r="AE251" s="10" t="n"/>
      <c r="AF251" s="10" t="inlineStr">
        <is>
          <t>Particulier</t>
        </is>
      </c>
      <c r="AG251" s="10" t="inlineStr">
        <is>
          <t>Morlaix</t>
        </is>
      </c>
      <c r="AH251" s="10" t="inlineStr">
        <is>
          <t>29600</t>
        </is>
      </c>
      <c r="AI251" s="10" t="inlineStr">
        <is>
          <t>Finistère</t>
        </is>
      </c>
      <c r="AJ251" s="10" t="inlineStr">
        <is>
          <t>Bretagne</t>
        </is>
      </c>
      <c r="AK251" s="16" t="n"/>
      <c r="AL251" s="10" t="n"/>
      <c r="AM251" s="10" t="n"/>
      <c r="AN251" s="10" t="n"/>
      <c r="AO251" s="10" t="n"/>
      <c r="AP251" s="19" t="inlineStr">
        <is>
          <t>Voir</t>
        </is>
      </c>
      <c r="AQ251" s="10" t="inlineStr">
        <is>
          <t>3270139360</t>
        </is>
      </c>
    </row>
    <row r="252">
      <c r="A252" s="10" t="inlineStr">
        <is>
          <t>Peugeot 205 GTI</t>
        </is>
      </c>
      <c r="B252" s="10" t="inlineStr">
        <is>
          <t>Peugeot 205 gti</t>
        </is>
      </c>
      <c r="C252" s="10" t="n"/>
      <c r="D252" s="10" t="n"/>
      <c r="E252" s="10" t="inlineStr">
        <is>
          <t>En vente</t>
        </is>
      </c>
      <c r="F252" s="18" t="n">
        <v>46281</v>
      </c>
      <c r="G252" s="18" t="n">
        <v>46281</v>
      </c>
      <c r="H252" s="18" t="n">
        <v>46296</v>
      </c>
      <c r="I252" s="18" t="n"/>
      <c r="J252" s="17">
        <f>IF(OR(ISNUMBER(F252),ISNUMBER(G252)),IF(ISNUMBER(I252),I252,H252)-IF(ISNUMBER(F252),F252,G252),"")</f>
        <v/>
      </c>
      <c r="K252" s="12" t="n">
        <v>15000</v>
      </c>
      <c r="L252" s="12" t="n">
        <v>15000</v>
      </c>
      <c r="M252" s="13">
        <f>IF(AND(ISNUMBER(K252),ISNUMBER(L252),K252&gt;0),1-L252/K252,"")</f>
        <v/>
      </c>
      <c r="N252" s="16" t="n">
        <v>0</v>
      </c>
      <c r="O252" s="12" t="n"/>
      <c r="P252" s="12" t="n"/>
      <c r="Q252" s="12" t="n"/>
      <c r="R252" s="14">
        <f>IF(AND(ISNUMBER(L252),ISNUMBER(P252),ISNUMBER(Q252)),L252/((P252+Q252)/2)-1,"")</f>
        <v/>
      </c>
      <c r="S252" s="10" t="n"/>
      <c r="T252" s="15" t="n">
        <v>224400</v>
      </c>
      <c r="U252" s="16" t="n">
        <v>1986</v>
      </c>
      <c r="V252" s="10" t="n"/>
      <c r="W252" s="10" t="inlineStr">
        <is>
          <t>Essence</t>
        </is>
      </c>
      <c r="X252" s="10" t="inlineStr">
        <is>
          <t>Manuelle</t>
        </is>
      </c>
      <c r="Y252" s="16" t="n">
        <v>115</v>
      </c>
      <c r="Z252" s="16" t="n">
        <v>7</v>
      </c>
      <c r="AA252" s="10" t="inlineStr">
        <is>
          <t>Blanc</t>
        </is>
      </c>
      <c r="AB252" s="16" t="n">
        <v>3</v>
      </c>
      <c r="AC252" s="10" t="inlineStr">
        <is>
          <t>Berline</t>
        </is>
      </c>
      <c r="AD252" s="10" t="n"/>
      <c r="AE252" s="10" t="n"/>
      <c r="AF252" s="10" t="inlineStr">
        <is>
          <t>Particulier</t>
        </is>
      </c>
      <c r="AG252" s="10" t="inlineStr">
        <is>
          <t>Plan-d'Aups-Sainte-Baume</t>
        </is>
      </c>
      <c r="AH252" s="10" t="inlineStr">
        <is>
          <t>83640</t>
        </is>
      </c>
      <c r="AI252" s="10" t="inlineStr">
        <is>
          <t>Var</t>
        </is>
      </c>
      <c r="AJ252" s="10" t="inlineStr">
        <is>
          <t>Provence-Alpes-Côte d'Azur</t>
        </is>
      </c>
      <c r="AK252" s="16" t="n"/>
      <c r="AL252" s="10" t="n"/>
      <c r="AM252" s="10" t="n"/>
      <c r="AN252" s="10" t="n"/>
      <c r="AO252" s="10" t="n"/>
      <c r="AP252" s="19" t="inlineStr">
        <is>
          <t>Voir</t>
        </is>
      </c>
      <c r="AQ252" s="10" t="inlineStr">
        <is>
          <t>3271015511</t>
        </is>
      </c>
    </row>
    <row r="253">
      <c r="A253" s="10" t="inlineStr">
        <is>
          <t>Peugeot 205 GTI</t>
        </is>
      </c>
      <c r="B253" s="10" t="inlineStr">
        <is>
          <t>Peugeot 205 gti 1.9</t>
        </is>
      </c>
      <c r="C253" s="10" t="n"/>
      <c r="D253" s="10" t="n"/>
      <c r="E253" s="10" t="inlineStr">
        <is>
          <t>En vente</t>
        </is>
      </c>
      <c r="F253" s="18" t="n">
        <v>46281</v>
      </c>
      <c r="G253" s="18" t="n">
        <v>46281</v>
      </c>
      <c r="H253" s="18" t="n">
        <v>46296</v>
      </c>
      <c r="I253" s="18" t="n"/>
      <c r="J253" s="17">
        <f>IF(OR(ISNUMBER(F253),ISNUMBER(G253)),IF(ISNUMBER(I253),I253,H253)-IF(ISNUMBER(F253),F253,G253),"")</f>
        <v/>
      </c>
      <c r="K253" s="12" t="n">
        <v>29800</v>
      </c>
      <c r="L253" s="12" t="n">
        <v>29800</v>
      </c>
      <c r="M253" s="13">
        <f>IF(AND(ISNUMBER(K253),ISNUMBER(L253),K253&gt;0),1-L253/K253,"")</f>
        <v/>
      </c>
      <c r="N253" s="16" t="n">
        <v>0</v>
      </c>
      <c r="O253" s="12" t="n"/>
      <c r="P253" s="12" t="n"/>
      <c r="Q253" s="12" t="n"/>
      <c r="R253" s="14">
        <f>IF(AND(ISNUMBER(L253),ISNUMBER(P253),ISNUMBER(Q253)),L253/((P253+Q253)/2)-1,"")</f>
        <v/>
      </c>
      <c r="S253" s="10" t="n"/>
      <c r="T253" s="15" t="n">
        <v>140394</v>
      </c>
      <c r="U253" s="16" t="n">
        <v>1987</v>
      </c>
      <c r="V253" s="10" t="n"/>
      <c r="W253" s="10" t="inlineStr">
        <is>
          <t>Essence</t>
        </is>
      </c>
      <c r="X253" s="10" t="inlineStr">
        <is>
          <t>Manuelle</t>
        </is>
      </c>
      <c r="Y253" s="16" t="n">
        <v>130</v>
      </c>
      <c r="Z253" s="16" t="n"/>
      <c r="AA253" s="10" t="inlineStr">
        <is>
          <t>Rouge</t>
        </is>
      </c>
      <c r="AB253" s="16" t="n">
        <v>3</v>
      </c>
      <c r="AC253" s="10" t="inlineStr">
        <is>
          <t>Berline</t>
        </is>
      </c>
      <c r="AD253" s="10" t="n"/>
      <c r="AE253" s="10" t="n"/>
      <c r="AF253" s="10" t="inlineStr">
        <is>
          <t>Particulier</t>
        </is>
      </c>
      <c r="AG253" s="10" t="inlineStr">
        <is>
          <t>Brive-la-Gaillarde</t>
        </is>
      </c>
      <c r="AH253" s="10" t="inlineStr">
        <is>
          <t>19100</t>
        </is>
      </c>
      <c r="AI253" s="10" t="inlineStr">
        <is>
          <t>Corrèze</t>
        </is>
      </c>
      <c r="AJ253" s="10" t="inlineStr">
        <is>
          <t>Limousin</t>
        </is>
      </c>
      <c r="AK253" s="16" t="n"/>
      <c r="AL253" s="10" t="n"/>
      <c r="AM253" s="10" t="n"/>
      <c r="AN253" s="10" t="n"/>
      <c r="AO253" s="10" t="n"/>
      <c r="AP253" s="19" t="inlineStr">
        <is>
          <t>Voir</t>
        </is>
      </c>
      <c r="AQ253" s="10" t="inlineStr">
        <is>
          <t>3271061636</t>
        </is>
      </c>
    </row>
    <row r="254">
      <c r="A254" s="10" t="inlineStr">
        <is>
          <t>Peugeot 205 GTI</t>
        </is>
      </c>
      <c r="B254" s="10" t="inlineStr">
        <is>
          <t>205 gti 1.9</t>
        </is>
      </c>
      <c r="C254" s="10" t="n"/>
      <c r="D254" s="10" t="n"/>
      <c r="E254" s="10" t="inlineStr">
        <is>
          <t>En vente</t>
        </is>
      </c>
      <c r="F254" s="18" t="n">
        <v>46285</v>
      </c>
      <c r="G254" s="18" t="n">
        <v>46285</v>
      </c>
      <c r="H254" s="18" t="n">
        <v>46296</v>
      </c>
      <c r="I254" s="18" t="n"/>
      <c r="J254" s="17">
        <f>IF(OR(ISNUMBER(F254),ISNUMBER(G254)),IF(ISNUMBER(I254),I254,H254)-IF(ISNUMBER(F254),F254,G254),"")</f>
        <v/>
      </c>
      <c r="K254" s="12" t="n">
        <v>22000</v>
      </c>
      <c r="L254" s="12" t="n">
        <v>22000</v>
      </c>
      <c r="M254" s="13">
        <f>IF(AND(ISNUMBER(K254),ISNUMBER(L254),K254&gt;0),1-L254/K254,"")</f>
        <v/>
      </c>
      <c r="N254" s="16" t="n">
        <v>0</v>
      </c>
      <c r="O254" s="12" t="n"/>
      <c r="P254" s="12" t="n"/>
      <c r="Q254" s="12" t="n"/>
      <c r="R254" s="14">
        <f>IF(AND(ISNUMBER(L254),ISNUMBER(P254),ISNUMBER(Q254)),L254/((P254+Q254)/2)-1,"")</f>
        <v/>
      </c>
      <c r="S254" s="10" t="n"/>
      <c r="T254" s="15" t="n">
        <v>282000</v>
      </c>
      <c r="U254" s="16" t="n">
        <v>1991</v>
      </c>
      <c r="V254" s="10" t="n"/>
      <c r="W254" s="10" t="inlineStr">
        <is>
          <t>Essence</t>
        </is>
      </c>
      <c r="X254" s="10" t="inlineStr">
        <is>
          <t>Manuelle</t>
        </is>
      </c>
      <c r="Y254" s="16" t="n">
        <v>130</v>
      </c>
      <c r="Z254" s="16" t="n">
        <v>9</v>
      </c>
      <c r="AA254" s="10" t="inlineStr">
        <is>
          <t>Autre</t>
        </is>
      </c>
      <c r="AB254" s="16" t="n">
        <v>3</v>
      </c>
      <c r="AC254" s="10" t="inlineStr">
        <is>
          <t>Berline</t>
        </is>
      </c>
      <c r="AD254" s="10" t="n"/>
      <c r="AE254" s="10" t="n"/>
      <c r="AF254" s="10" t="inlineStr">
        <is>
          <t>Particulier</t>
        </is>
      </c>
      <c r="AG254" s="10" t="inlineStr">
        <is>
          <t>Champagnole</t>
        </is>
      </c>
      <c r="AH254" s="10" t="inlineStr">
        <is>
          <t>39300</t>
        </is>
      </c>
      <c r="AI254" s="10" t="inlineStr">
        <is>
          <t>Jura</t>
        </is>
      </c>
      <c r="AJ254" s="10" t="inlineStr">
        <is>
          <t>Franche-Comté</t>
        </is>
      </c>
      <c r="AK254" s="16" t="n"/>
      <c r="AL254" s="10" t="n"/>
      <c r="AM254" s="10" t="n"/>
      <c r="AN254" s="10" t="n"/>
      <c r="AO254" s="10" t="n"/>
      <c r="AP254" s="19" t="inlineStr">
        <is>
          <t>Voir</t>
        </is>
      </c>
      <c r="AQ254" s="10" t="inlineStr">
        <is>
          <t>3273035594</t>
        </is>
      </c>
    </row>
    <row r="255">
      <c r="A255" s="10" t="inlineStr">
        <is>
          <t>Peugeot 205 GTI</t>
        </is>
      </c>
      <c r="B255" s="10" t="inlineStr">
        <is>
          <t>Peugeot 205 GTI</t>
        </is>
      </c>
      <c r="C255" s="10" t="n"/>
      <c r="D255" s="10" t="n"/>
      <c r="E255" s="10" t="inlineStr">
        <is>
          <t>En vente</t>
        </is>
      </c>
      <c r="F255" s="18" t="n">
        <v>46285</v>
      </c>
      <c r="G255" s="18" t="n">
        <v>46285</v>
      </c>
      <c r="H255" s="18" t="n">
        <v>46296</v>
      </c>
      <c r="I255" s="18" t="n"/>
      <c r="J255" s="17">
        <f>IF(OR(ISNUMBER(F255),ISNUMBER(G255)),IF(ISNUMBER(I255),I255,H255)-IF(ISNUMBER(F255),F255,G255),"")</f>
        <v/>
      </c>
      <c r="K255" s="12" t="n">
        <v>13500</v>
      </c>
      <c r="L255" s="12" t="n">
        <v>13500</v>
      </c>
      <c r="M255" s="13">
        <f>IF(AND(ISNUMBER(K255),ISNUMBER(L255),K255&gt;0),1-L255/K255,"")</f>
        <v/>
      </c>
      <c r="N255" s="16" t="n">
        <v>0</v>
      </c>
      <c r="O255" s="12" t="n"/>
      <c r="P255" s="12" t="n"/>
      <c r="Q255" s="12" t="n"/>
      <c r="R255" s="14">
        <f>IF(AND(ISNUMBER(L255),ISNUMBER(P255),ISNUMBER(Q255)),L255/((P255+Q255)/2)-1,"")</f>
        <v/>
      </c>
      <c r="S255" s="10" t="n"/>
      <c r="T255" s="15" t="n">
        <v>189700</v>
      </c>
      <c r="U255" s="16" t="n">
        <v>1989</v>
      </c>
      <c r="V255" s="10" t="n"/>
      <c r="W255" s="10" t="inlineStr">
        <is>
          <t>Essence</t>
        </is>
      </c>
      <c r="X255" s="10" t="inlineStr">
        <is>
          <t>Manuelle</t>
        </is>
      </c>
      <c r="Y255" s="16" t="n"/>
      <c r="Z255" s="16" t="n">
        <v>8</v>
      </c>
      <c r="AA255" s="10" t="n"/>
      <c r="AB255" s="16" t="n">
        <v>3</v>
      </c>
      <c r="AC255" s="10" t="inlineStr">
        <is>
          <t>Berline</t>
        </is>
      </c>
      <c r="AD255" s="10" t="n"/>
      <c r="AE255" s="10" t="n"/>
      <c r="AF255" s="10" t="inlineStr">
        <is>
          <t>Particulier</t>
        </is>
      </c>
      <c r="AG255" s="10" t="inlineStr">
        <is>
          <t>Colombier-Fontaine</t>
        </is>
      </c>
      <c r="AH255" s="10" t="inlineStr">
        <is>
          <t>25260</t>
        </is>
      </c>
      <c r="AI255" s="10" t="inlineStr">
        <is>
          <t>Doubs</t>
        </is>
      </c>
      <c r="AJ255" s="10" t="inlineStr">
        <is>
          <t>Franche-Comté</t>
        </is>
      </c>
      <c r="AK255" s="16" t="n"/>
      <c r="AL255" s="10" t="n"/>
      <c r="AM255" s="10" t="n"/>
      <c r="AN255" s="10" t="n"/>
      <c r="AO255" s="10" t="n"/>
      <c r="AP255" s="19" t="inlineStr">
        <is>
          <t>Voir</t>
        </is>
      </c>
      <c r="AQ255" s="10" t="inlineStr">
        <is>
          <t>3273223439</t>
        </is>
      </c>
    </row>
    <row r="256">
      <c r="A256" s="10" t="inlineStr">
        <is>
          <t>Peugeot 205 GTI</t>
        </is>
      </c>
      <c r="B256" s="10" t="inlineStr">
        <is>
          <t>205 gti 1l6</t>
        </is>
      </c>
      <c r="C256" s="10" t="n"/>
      <c r="D256" s="10" t="n"/>
      <c r="E256" s="10" t="inlineStr">
        <is>
          <t>En vente</t>
        </is>
      </c>
      <c r="F256" s="18" t="n">
        <v>46285</v>
      </c>
      <c r="G256" s="18" t="n">
        <v>46285</v>
      </c>
      <c r="H256" s="18" t="n">
        <v>46296</v>
      </c>
      <c r="I256" s="18" t="n"/>
      <c r="J256" s="17">
        <f>IF(OR(ISNUMBER(F256),ISNUMBER(G256)),IF(ISNUMBER(I256),I256,H256)-IF(ISNUMBER(F256),F256,G256),"")</f>
        <v/>
      </c>
      <c r="K256" s="12" t="n">
        <v>14500</v>
      </c>
      <c r="L256" s="12" t="n">
        <v>14500</v>
      </c>
      <c r="M256" s="13">
        <f>IF(AND(ISNUMBER(K256),ISNUMBER(L256),K256&gt;0),1-L256/K256,"")</f>
        <v/>
      </c>
      <c r="N256" s="16" t="n">
        <v>0</v>
      </c>
      <c r="O256" s="12" t="n"/>
      <c r="P256" s="12" t="n"/>
      <c r="Q256" s="12" t="n"/>
      <c r="R256" s="14">
        <f>IF(AND(ISNUMBER(L256),ISNUMBER(P256),ISNUMBER(Q256)),L256/((P256+Q256)/2)-1,"")</f>
        <v/>
      </c>
      <c r="S256" s="10" t="n"/>
      <c r="T256" s="15" t="n">
        <v>282000</v>
      </c>
      <c r="U256" s="16" t="n">
        <v>1986</v>
      </c>
      <c r="V256" s="10" t="n"/>
      <c r="W256" s="10" t="inlineStr">
        <is>
          <t>Essence</t>
        </is>
      </c>
      <c r="X256" s="10" t="inlineStr">
        <is>
          <t>Manuelle</t>
        </is>
      </c>
      <c r="Y256" s="16" t="n"/>
      <c r="Z256" s="16" t="n"/>
      <c r="AA256" s="10" t="inlineStr">
        <is>
          <t>Gris</t>
        </is>
      </c>
      <c r="AB256" s="16" t="n">
        <v>3</v>
      </c>
      <c r="AC256" s="10" t="inlineStr">
        <is>
          <t>Citadine</t>
        </is>
      </c>
      <c r="AD256" s="10" t="n"/>
      <c r="AE256" s="10" t="n"/>
      <c r="AF256" s="10" t="inlineStr">
        <is>
          <t>Particulier</t>
        </is>
      </c>
      <c r="AG256" s="10" t="inlineStr">
        <is>
          <t>Montaigu-Vendée</t>
        </is>
      </c>
      <c r="AH256" s="10" t="inlineStr">
        <is>
          <t>85600</t>
        </is>
      </c>
      <c r="AI256" s="10" t="inlineStr">
        <is>
          <t>Vendée</t>
        </is>
      </c>
      <c r="AJ256" s="10" t="inlineStr">
        <is>
          <t>Pays de la Loire</t>
        </is>
      </c>
      <c r="AK256" s="16" t="n"/>
      <c r="AL256" s="10" t="n"/>
      <c r="AM256" s="10" t="n"/>
      <c r="AN256" s="10" t="n"/>
      <c r="AO256" s="10" t="n"/>
      <c r="AP256" s="19" t="inlineStr">
        <is>
          <t>Voir</t>
        </is>
      </c>
      <c r="AQ256" s="10" t="inlineStr">
        <is>
          <t>3273415437</t>
        </is>
      </c>
    </row>
    <row r="257">
      <c r="A257" s="10" t="inlineStr">
        <is>
          <t>Peugeot 205 GTI</t>
        </is>
      </c>
      <c r="B257" s="10" t="inlineStr">
        <is>
          <t>205 gti 115 1,6</t>
        </is>
      </c>
      <c r="C257" s="10" t="n"/>
      <c r="D257" s="10" t="n"/>
      <c r="E257" s="10" t="inlineStr">
        <is>
          <t>En vente</t>
        </is>
      </c>
      <c r="F257" s="18" t="n">
        <v>46285</v>
      </c>
      <c r="G257" s="18" t="n">
        <v>46285</v>
      </c>
      <c r="H257" s="18" t="n">
        <v>46296</v>
      </c>
      <c r="I257" s="18" t="n"/>
      <c r="J257" s="17">
        <f>IF(OR(ISNUMBER(F257),ISNUMBER(G257)),IF(ISNUMBER(I257),I257,H257)-IF(ISNUMBER(F257),F257,G257),"")</f>
        <v/>
      </c>
      <c r="K257" s="12" t="n">
        <v>14900</v>
      </c>
      <c r="L257" s="12" t="n">
        <v>14900</v>
      </c>
      <c r="M257" s="13">
        <f>IF(AND(ISNUMBER(K257),ISNUMBER(L257),K257&gt;0),1-L257/K257,"")</f>
        <v/>
      </c>
      <c r="N257" s="16" t="n">
        <v>0</v>
      </c>
      <c r="O257" s="12" t="n"/>
      <c r="P257" s="12" t="n"/>
      <c r="Q257" s="12" t="n"/>
      <c r="R257" s="14">
        <f>IF(AND(ISNUMBER(L257),ISNUMBER(P257),ISNUMBER(Q257)),L257/((P257+Q257)/2)-1,"")</f>
        <v/>
      </c>
      <c r="S257" s="10" t="n"/>
      <c r="T257" s="15" t="n">
        <v>141000</v>
      </c>
      <c r="U257" s="16" t="n">
        <v>1990</v>
      </c>
      <c r="V257" s="10" t="n"/>
      <c r="W257" s="10" t="inlineStr">
        <is>
          <t>Essence</t>
        </is>
      </c>
      <c r="X257" s="10" t="inlineStr">
        <is>
          <t>Manuelle</t>
        </is>
      </c>
      <c r="Y257" s="16" t="n">
        <v>60</v>
      </c>
      <c r="Z257" s="16" t="n">
        <v>5</v>
      </c>
      <c r="AA257" s="10" t="inlineStr">
        <is>
          <t>Gris</t>
        </is>
      </c>
      <c r="AB257" s="16" t="n">
        <v>3</v>
      </c>
      <c r="AC257" s="10" t="inlineStr">
        <is>
          <t>Berline</t>
        </is>
      </c>
      <c r="AD257" s="10" t="n"/>
      <c r="AE257" s="10" t="n"/>
      <c r="AF257" s="10" t="inlineStr">
        <is>
          <t>Particulier</t>
        </is>
      </c>
      <c r="AG257" s="10" t="inlineStr">
        <is>
          <t>Villefranche-de-Lauragais</t>
        </is>
      </c>
      <c r="AH257" s="10" t="inlineStr">
        <is>
          <t>31290</t>
        </is>
      </c>
      <c r="AI257" s="10" t="inlineStr">
        <is>
          <t>Haute-Garonne</t>
        </is>
      </c>
      <c r="AJ257" s="10" t="inlineStr">
        <is>
          <t>Midi-Pyrénées</t>
        </is>
      </c>
      <c r="AK257" s="16" t="n"/>
      <c r="AL257" s="10" t="n"/>
      <c r="AM257" s="10" t="n"/>
      <c r="AN257" s="10" t="n"/>
      <c r="AO257" s="10" t="n"/>
      <c r="AP257" s="19" t="inlineStr">
        <is>
          <t>Voir</t>
        </is>
      </c>
      <c r="AQ257" s="10" t="inlineStr">
        <is>
          <t>3273551701</t>
        </is>
      </c>
    </row>
    <row r="258">
      <c r="A258" s="10" t="inlineStr">
        <is>
          <t>Peugeot 205 GTI</t>
        </is>
      </c>
      <c r="B258" s="10" t="inlineStr">
        <is>
          <t>205 GTI 1,9 130cv</t>
        </is>
      </c>
      <c r="C258" s="10" t="n"/>
      <c r="D258" s="10" t="n"/>
      <c r="E258" s="10" t="inlineStr">
        <is>
          <t>En vente</t>
        </is>
      </c>
      <c r="F258" s="18" t="n">
        <v>46286</v>
      </c>
      <c r="G258" s="18" t="n">
        <v>46286</v>
      </c>
      <c r="H258" s="18" t="n">
        <v>46296</v>
      </c>
      <c r="I258" s="18" t="n"/>
      <c r="J258" s="17">
        <f>IF(OR(ISNUMBER(F258),ISNUMBER(G258)),IF(ISNUMBER(I258),I258,H258)-IF(ISNUMBER(F258),F258,G258),"")</f>
        <v/>
      </c>
      <c r="K258" s="12" t="n">
        <v>25000</v>
      </c>
      <c r="L258" s="12" t="n">
        <v>25000</v>
      </c>
      <c r="M258" s="13">
        <f>IF(AND(ISNUMBER(K258),ISNUMBER(L258),K258&gt;0),1-L258/K258,"")</f>
        <v/>
      </c>
      <c r="N258" s="16" t="n">
        <v>0</v>
      </c>
      <c r="O258" s="12" t="n"/>
      <c r="P258" s="12" t="n"/>
      <c r="Q258" s="12" t="n"/>
      <c r="R258" s="14">
        <f>IF(AND(ISNUMBER(L258),ISNUMBER(P258),ISNUMBER(Q258)),L258/((P258+Q258)/2)-1,"")</f>
        <v/>
      </c>
      <c r="S258" s="10" t="n"/>
      <c r="T258" s="15" t="n">
        <v>82230</v>
      </c>
      <c r="U258" s="16" t="n">
        <v>1987</v>
      </c>
      <c r="V258" s="10" t="n"/>
      <c r="W258" s="10" t="inlineStr">
        <is>
          <t>Essence</t>
        </is>
      </c>
      <c r="X258" s="10" t="inlineStr">
        <is>
          <t>Manuelle</t>
        </is>
      </c>
      <c r="Y258" s="16" t="n">
        <v>130</v>
      </c>
      <c r="Z258" s="16" t="n">
        <v>9</v>
      </c>
      <c r="AA258" s="10" t="inlineStr">
        <is>
          <t>Gris</t>
        </is>
      </c>
      <c r="AB258" s="16" t="n">
        <v>3</v>
      </c>
      <c r="AC258" s="10" t="inlineStr">
        <is>
          <t>Citadine</t>
        </is>
      </c>
      <c r="AD258" s="10" t="n"/>
      <c r="AE258" s="10" t="n"/>
      <c r="AF258" s="10" t="inlineStr">
        <is>
          <t>Pro</t>
        </is>
      </c>
      <c r="AG258" s="10" t="inlineStr">
        <is>
          <t>Pégomas</t>
        </is>
      </c>
      <c r="AH258" s="10" t="inlineStr">
        <is>
          <t>06580</t>
        </is>
      </c>
      <c r="AI258" s="10" t="inlineStr">
        <is>
          <t>Alpes-Maritimes</t>
        </is>
      </c>
      <c r="AJ258" s="10" t="inlineStr">
        <is>
          <t>Provence-Alpes-Côte d'Azur</t>
        </is>
      </c>
      <c r="AK258" s="16" t="n"/>
      <c r="AL258" s="10" t="n"/>
      <c r="AM258" s="10" t="n"/>
      <c r="AN258" s="10" t="n"/>
      <c r="AO258" s="10" t="n"/>
      <c r="AP258" s="19" t="inlineStr">
        <is>
          <t>Voir</t>
        </is>
      </c>
      <c r="AQ258" s="10" t="inlineStr">
        <is>
          <t>3274091200</t>
        </is>
      </c>
    </row>
    <row r="259">
      <c r="A259" s="10" t="inlineStr">
        <is>
          <t>Peugeot 205 GTI</t>
        </is>
      </c>
      <c r="B259" s="10" t="inlineStr">
        <is>
          <t>205 gti 1.6 105</t>
        </is>
      </c>
      <c r="C259" s="10" t="n"/>
      <c r="D259" s="10" t="n"/>
      <c r="E259" s="10" t="inlineStr">
        <is>
          <t>En vente</t>
        </is>
      </c>
      <c r="F259" s="18" t="n">
        <v>46287</v>
      </c>
      <c r="G259" s="18" t="n">
        <v>46287</v>
      </c>
      <c r="H259" s="18" t="n">
        <v>46296</v>
      </c>
      <c r="I259" s="18" t="n"/>
      <c r="J259" s="17">
        <f>IF(OR(ISNUMBER(F259),ISNUMBER(G259)),IF(ISNUMBER(I259),I259,H259)-IF(ISNUMBER(F259),F259,G259),"")</f>
        <v/>
      </c>
      <c r="K259" s="12" t="n">
        <v>5500</v>
      </c>
      <c r="L259" s="12" t="n">
        <v>5500</v>
      </c>
      <c r="M259" s="13">
        <f>IF(AND(ISNUMBER(K259),ISNUMBER(L259),K259&gt;0),1-L259/K259,"")</f>
        <v/>
      </c>
      <c r="N259" s="16" t="n">
        <v>0</v>
      </c>
      <c r="O259" s="12" t="n"/>
      <c r="P259" s="12" t="n"/>
      <c r="Q259" s="12" t="n"/>
      <c r="R259" s="14">
        <f>IF(AND(ISNUMBER(L259),ISNUMBER(P259),ISNUMBER(Q259)),L259/((P259+Q259)/2)-1,"")</f>
        <v/>
      </c>
      <c r="S259" s="10" t="n"/>
      <c r="T259" s="15" t="n">
        <v>136000</v>
      </c>
      <c r="U259" s="16" t="n">
        <v>1985</v>
      </c>
      <c r="V259" s="10" t="n"/>
      <c r="W259" s="10" t="inlineStr">
        <is>
          <t>Essence</t>
        </is>
      </c>
      <c r="X259" s="10" t="inlineStr">
        <is>
          <t>Manuelle</t>
        </is>
      </c>
      <c r="Y259" s="16" t="n">
        <v>105</v>
      </c>
      <c r="Z259" s="16" t="n">
        <v>8</v>
      </c>
      <c r="AA259" s="10" t="n"/>
      <c r="AB259" s="16" t="n">
        <v>3</v>
      </c>
      <c r="AC259" s="10" t="n"/>
      <c r="AD259" s="10" t="n"/>
      <c r="AE259" s="10" t="n"/>
      <c r="AF259" s="10" t="inlineStr">
        <is>
          <t>Pro</t>
        </is>
      </c>
      <c r="AG259" s="10" t="inlineStr">
        <is>
          <t>Saint-Flour</t>
        </is>
      </c>
      <c r="AH259" s="10" t="inlineStr">
        <is>
          <t>15100</t>
        </is>
      </c>
      <c r="AI259" s="10" t="inlineStr">
        <is>
          <t>Cantal</t>
        </is>
      </c>
      <c r="AJ259" s="10" t="inlineStr">
        <is>
          <t>Auvergne</t>
        </is>
      </c>
      <c r="AK259" s="16" t="n"/>
      <c r="AL259" s="10" t="n"/>
      <c r="AM259" s="10" t="n"/>
      <c r="AN259" s="10" t="n"/>
      <c r="AO259" s="10" t="n"/>
      <c r="AP259" s="19" t="inlineStr">
        <is>
          <t>Voir</t>
        </is>
      </c>
      <c r="AQ259" s="10" t="inlineStr">
        <is>
          <t>3274510816</t>
        </is>
      </c>
    </row>
    <row r="260">
      <c r="A260" s="10" t="inlineStr">
        <is>
          <t>Peugeot 205 GTI</t>
        </is>
      </c>
      <c r="B260" s="10" t="inlineStr">
        <is>
          <t>205 gti</t>
        </is>
      </c>
      <c r="C260" s="10" t="n"/>
      <c r="D260" s="10" t="n"/>
      <c r="E260" s="10" t="inlineStr">
        <is>
          <t>En vente</t>
        </is>
      </c>
      <c r="F260" s="18" t="n">
        <v>46287</v>
      </c>
      <c r="G260" s="18" t="n">
        <v>46287</v>
      </c>
      <c r="H260" s="18" t="n">
        <v>46296</v>
      </c>
      <c r="I260" s="18" t="n"/>
      <c r="J260" s="17">
        <f>IF(OR(ISNUMBER(F260),ISNUMBER(G260)),IF(ISNUMBER(I260),I260,H260)-IF(ISNUMBER(F260),F260,G260),"")</f>
        <v/>
      </c>
      <c r="K260" s="12" t="n">
        <v>6000</v>
      </c>
      <c r="L260" s="12" t="n">
        <v>6000</v>
      </c>
      <c r="M260" s="13">
        <f>IF(AND(ISNUMBER(K260),ISNUMBER(L260),K260&gt;0),1-L260/K260,"")</f>
        <v/>
      </c>
      <c r="N260" s="16" t="n">
        <v>0</v>
      </c>
      <c r="O260" s="12" t="n"/>
      <c r="P260" s="12" t="n"/>
      <c r="Q260" s="12" t="n"/>
      <c r="R260" s="14">
        <f>IF(AND(ISNUMBER(L260),ISNUMBER(P260),ISNUMBER(Q260)),L260/((P260+Q260)/2)-1,"")</f>
        <v/>
      </c>
      <c r="S260" s="10" t="n"/>
      <c r="T260" s="15" t="n">
        <v>170000</v>
      </c>
      <c r="U260" s="16" t="n">
        <v>1985</v>
      </c>
      <c r="V260" s="10" t="n"/>
      <c r="W260" s="10" t="inlineStr">
        <is>
          <t>Essence</t>
        </is>
      </c>
      <c r="X260" s="10" t="inlineStr">
        <is>
          <t>Manuelle</t>
        </is>
      </c>
      <c r="Y260" s="16" t="n">
        <v>105</v>
      </c>
      <c r="Z260" s="16" t="n"/>
      <c r="AA260" s="10" t="n"/>
      <c r="AB260" s="16" t="n"/>
      <c r="AC260" s="10" t="n"/>
      <c r="AD260" s="10" t="n"/>
      <c r="AE260" s="10" t="n"/>
      <c r="AF260" s="10" t="inlineStr">
        <is>
          <t>Particulier</t>
        </is>
      </c>
      <c r="AG260" s="10" t="inlineStr">
        <is>
          <t>Rignac</t>
        </is>
      </c>
      <c r="AH260" s="10" t="inlineStr">
        <is>
          <t>12390</t>
        </is>
      </c>
      <c r="AI260" s="10" t="inlineStr">
        <is>
          <t>Aveyron</t>
        </is>
      </c>
      <c r="AJ260" s="10" t="inlineStr">
        <is>
          <t>Midi-Pyrénées</t>
        </is>
      </c>
      <c r="AK260" s="16" t="n"/>
      <c r="AL260" s="10" t="n"/>
      <c r="AM260" s="10" t="n"/>
      <c r="AN260" s="10" t="n"/>
      <c r="AO260" s="10" t="n"/>
      <c r="AP260" s="19" t="inlineStr">
        <is>
          <t>Voir</t>
        </is>
      </c>
      <c r="AQ260" s="10" t="inlineStr">
        <is>
          <t>3274885691</t>
        </is>
      </c>
    </row>
    <row r="261">
      <c r="A261" s="10" t="inlineStr">
        <is>
          <t>Peugeot 205 GTI</t>
        </is>
      </c>
      <c r="B261" s="10" t="inlineStr">
        <is>
          <t>205 gti 1.9</t>
        </is>
      </c>
      <c r="C261" s="10" t="n"/>
      <c r="D261" s="10" t="n"/>
      <c r="E261" s="10" t="inlineStr">
        <is>
          <t>En vente</t>
        </is>
      </c>
      <c r="F261" s="18" t="n">
        <v>46290</v>
      </c>
      <c r="G261" s="18" t="n">
        <v>46290</v>
      </c>
      <c r="H261" s="18" t="n">
        <v>46296</v>
      </c>
      <c r="I261" s="18" t="n"/>
      <c r="J261" s="17">
        <f>IF(OR(ISNUMBER(F261),ISNUMBER(G261)),IF(ISNUMBER(I261),I261,H261)-IF(ISNUMBER(F261),F261,G261),"")</f>
        <v/>
      </c>
      <c r="K261" s="12" t="n">
        <v>20900</v>
      </c>
      <c r="L261" s="12" t="n">
        <v>20900</v>
      </c>
      <c r="M261" s="13">
        <f>IF(AND(ISNUMBER(K261),ISNUMBER(L261),K261&gt;0),1-L261/K261,"")</f>
        <v/>
      </c>
      <c r="N261" s="16" t="n">
        <v>0</v>
      </c>
      <c r="O261" s="12" t="n"/>
      <c r="P261" s="12" t="n"/>
      <c r="Q261" s="12" t="n"/>
      <c r="R261" s="14">
        <f>IF(AND(ISNUMBER(L261),ISNUMBER(P261),ISNUMBER(Q261)),L261/((P261+Q261)/2)-1,"")</f>
        <v/>
      </c>
      <c r="S261" s="10" t="n"/>
      <c r="T261" s="15" t="n">
        <v>214000</v>
      </c>
      <c r="U261" s="16" t="n">
        <v>1989</v>
      </c>
      <c r="V261" s="10" t="n"/>
      <c r="W261" s="10" t="inlineStr">
        <is>
          <t>Essence</t>
        </is>
      </c>
      <c r="X261" s="10" t="inlineStr">
        <is>
          <t>Manuelle</t>
        </is>
      </c>
      <c r="Y261" s="16" t="n">
        <v>130</v>
      </c>
      <c r="Z261" s="16" t="n">
        <v>9</v>
      </c>
      <c r="AA261" s="10" t="inlineStr">
        <is>
          <t>Blanc</t>
        </is>
      </c>
      <c r="AB261" s="16" t="n">
        <v>3</v>
      </c>
      <c r="AC261" s="10" t="inlineStr">
        <is>
          <t>Berline</t>
        </is>
      </c>
      <c r="AD261" s="10" t="n"/>
      <c r="AE261" s="10" t="n"/>
      <c r="AF261" s="10" t="inlineStr">
        <is>
          <t>Particulier</t>
        </is>
      </c>
      <c r="AG261" s="10" t="inlineStr">
        <is>
          <t>Quimper</t>
        </is>
      </c>
      <c r="AH261" s="10" t="inlineStr">
        <is>
          <t>29000</t>
        </is>
      </c>
      <c r="AI261" s="10" t="inlineStr">
        <is>
          <t>Finistère</t>
        </is>
      </c>
      <c r="AJ261" s="10" t="inlineStr">
        <is>
          <t>Bretagne</t>
        </is>
      </c>
      <c r="AK261" s="16" t="n"/>
      <c r="AL261" s="10" t="n"/>
      <c r="AM261" s="10" t="n"/>
      <c r="AN261" s="10" t="n"/>
      <c r="AO261" s="10" t="n"/>
      <c r="AP261" s="19" t="inlineStr">
        <is>
          <t>Voir</t>
        </is>
      </c>
      <c r="AQ261" s="10" t="inlineStr">
        <is>
          <t>3276172426</t>
        </is>
      </c>
    </row>
    <row r="262">
      <c r="A262" s="10" t="inlineStr">
        <is>
          <t>Peugeot 205 GTI</t>
        </is>
      </c>
      <c r="B262" s="10" t="inlineStr">
        <is>
          <t>205 GTI 1.6 l</t>
        </is>
      </c>
      <c r="C262" s="10" t="n"/>
      <c r="D262" s="10" t="n"/>
      <c r="E262" s="10" t="inlineStr">
        <is>
          <t>En vente</t>
        </is>
      </c>
      <c r="F262" s="18" t="n">
        <v>46293</v>
      </c>
      <c r="G262" s="18" t="n">
        <v>46293</v>
      </c>
      <c r="H262" s="18" t="n">
        <v>46296</v>
      </c>
      <c r="I262" s="18" t="n"/>
      <c r="J262" s="17">
        <f>IF(OR(ISNUMBER(F262),ISNUMBER(G262)),IF(ISNUMBER(I262),I262,H262)-IF(ISNUMBER(F262),F262,G262),"")</f>
        <v/>
      </c>
      <c r="K262" s="12" t="n">
        <v>18000</v>
      </c>
      <c r="L262" s="12" t="n">
        <v>18000</v>
      </c>
      <c r="M262" s="13">
        <f>IF(AND(ISNUMBER(K262),ISNUMBER(L262),K262&gt;0),1-L262/K262,"")</f>
        <v/>
      </c>
      <c r="N262" s="16" t="n">
        <v>0</v>
      </c>
      <c r="O262" s="12" t="n"/>
      <c r="P262" s="12" t="n"/>
      <c r="Q262" s="12" t="n"/>
      <c r="R262" s="14">
        <f>IF(AND(ISNUMBER(L262),ISNUMBER(P262),ISNUMBER(Q262)),L262/((P262+Q262)/2)-1,"")</f>
        <v/>
      </c>
      <c r="S262" s="10" t="n"/>
      <c r="T262" s="15" t="n">
        <v>124097</v>
      </c>
      <c r="U262" s="16" t="n">
        <v>1991</v>
      </c>
      <c r="V262" s="10" t="n"/>
      <c r="W262" s="10" t="inlineStr">
        <is>
          <t>Essence</t>
        </is>
      </c>
      <c r="X262" s="10" t="inlineStr">
        <is>
          <t>Manuelle</t>
        </is>
      </c>
      <c r="Y262" s="16" t="n">
        <v>60</v>
      </c>
      <c r="Z262" s="16" t="n">
        <v>5</v>
      </c>
      <c r="AA262" s="10" t="inlineStr">
        <is>
          <t>Vert</t>
        </is>
      </c>
      <c r="AB262" s="16" t="n">
        <v>3</v>
      </c>
      <c r="AC262" s="10" t="inlineStr">
        <is>
          <t>Berline</t>
        </is>
      </c>
      <c r="AD262" s="10" t="n"/>
      <c r="AE262" s="10" t="n"/>
      <c r="AF262" s="10" t="inlineStr">
        <is>
          <t>Particulier</t>
        </is>
      </c>
      <c r="AG262" s="10" t="inlineStr">
        <is>
          <t>Lapte</t>
        </is>
      </c>
      <c r="AH262" s="10" t="inlineStr">
        <is>
          <t>43200</t>
        </is>
      </c>
      <c r="AI262" s="10" t="inlineStr">
        <is>
          <t>Haute-Loire</t>
        </is>
      </c>
      <c r="AJ262" s="10" t="inlineStr">
        <is>
          <t>Auvergne</t>
        </is>
      </c>
      <c r="AK262" s="16" t="n"/>
      <c r="AL262" s="10" t="n"/>
      <c r="AM262" s="10" t="n"/>
      <c r="AN262" s="10" t="n"/>
      <c r="AO262" s="10" t="n"/>
      <c r="AP262" s="19" t="inlineStr">
        <is>
          <t>Voir</t>
        </is>
      </c>
      <c r="AQ262" s="10" t="inlineStr">
        <is>
          <t>3278574221</t>
        </is>
      </c>
    </row>
    <row r="263">
      <c r="A263" s="10" t="inlineStr">
        <is>
          <t>Peugeot 205 GTI</t>
        </is>
      </c>
      <c r="B263" s="10" t="inlineStr">
        <is>
          <t>Peugeot 205 gti</t>
        </is>
      </c>
      <c r="C263" s="10" t="n"/>
      <c r="D263" s="10" t="n"/>
      <c r="E263" s="10" t="inlineStr">
        <is>
          <t>En vente</t>
        </is>
      </c>
      <c r="F263" s="18" t="n">
        <v>46294</v>
      </c>
      <c r="G263" s="18" t="n">
        <v>46294</v>
      </c>
      <c r="H263" s="18" t="n">
        <v>46296</v>
      </c>
      <c r="I263" s="18" t="n"/>
      <c r="J263" s="17">
        <f>IF(OR(ISNUMBER(F263),ISNUMBER(G263)),IF(ISNUMBER(I263),I263,H263)-IF(ISNUMBER(F263),F263,G263),"")</f>
        <v/>
      </c>
      <c r="K263" s="12" t="n">
        <v>18000</v>
      </c>
      <c r="L263" s="12" t="n">
        <v>18000</v>
      </c>
      <c r="M263" s="13">
        <f>IF(AND(ISNUMBER(K263),ISNUMBER(L263),K263&gt;0),1-L263/K263,"")</f>
        <v/>
      </c>
      <c r="N263" s="16" t="n">
        <v>0</v>
      </c>
      <c r="O263" s="12" t="n"/>
      <c r="P263" s="12" t="n"/>
      <c r="Q263" s="12" t="n"/>
      <c r="R263" s="14">
        <f>IF(AND(ISNUMBER(L263),ISNUMBER(P263),ISNUMBER(Q263)),L263/((P263+Q263)/2)-1,"")</f>
        <v/>
      </c>
      <c r="S263" s="10" t="n"/>
      <c r="T263" s="15" t="n">
        <v>151000</v>
      </c>
      <c r="U263" s="16" t="n">
        <v>1989</v>
      </c>
      <c r="V263" s="10" t="n"/>
      <c r="W263" s="10" t="inlineStr">
        <is>
          <t>Essence</t>
        </is>
      </c>
      <c r="X263" s="10" t="inlineStr">
        <is>
          <t>Manuelle</t>
        </is>
      </c>
      <c r="Y263" s="16" t="n">
        <v>115</v>
      </c>
      <c r="Z263" s="16" t="n">
        <v>8</v>
      </c>
      <c r="AA263" s="10" t="inlineStr">
        <is>
          <t>Rouge</t>
        </is>
      </c>
      <c r="AB263" s="16" t="n">
        <v>3</v>
      </c>
      <c r="AC263" s="10" t="inlineStr">
        <is>
          <t>Berline</t>
        </is>
      </c>
      <c r="AD263" s="10" t="n"/>
      <c r="AE263" s="10" t="n"/>
      <c r="AF263" s="10" t="inlineStr">
        <is>
          <t>Particulier</t>
        </is>
      </c>
      <c r="AG263" s="10" t="inlineStr">
        <is>
          <t>Thonon-les-Bains</t>
        </is>
      </c>
      <c r="AH263" s="10" t="inlineStr">
        <is>
          <t>74200</t>
        </is>
      </c>
      <c r="AI263" s="10" t="inlineStr">
        <is>
          <t>Haute-Savoie</t>
        </is>
      </c>
      <c r="AJ263" s="10" t="inlineStr">
        <is>
          <t>Rhône-Alpes</t>
        </is>
      </c>
      <c r="AK263" s="16" t="n"/>
      <c r="AL263" s="10" t="n"/>
      <c r="AM263" s="10" t="n"/>
      <c r="AN263" s="10" t="n"/>
      <c r="AO263" s="10" t="n"/>
      <c r="AP263" s="19" t="inlineStr">
        <is>
          <t>Voir</t>
        </is>
      </c>
      <c r="AQ263" s="10" t="inlineStr">
        <is>
          <t>3278855920</t>
        </is>
      </c>
    </row>
    <row r="264">
      <c r="A264" s="10" t="inlineStr">
        <is>
          <t>Peugeot 205 GTI</t>
        </is>
      </c>
      <c r="B264" s="10" t="inlineStr">
        <is>
          <t>205 gti 1.9l</t>
        </is>
      </c>
      <c r="C264" s="10" t="n"/>
      <c r="D264" s="10" t="n"/>
      <c r="E264" s="10" t="inlineStr">
        <is>
          <t>En vente</t>
        </is>
      </c>
      <c r="F264" s="18" t="n">
        <v>46295</v>
      </c>
      <c r="G264" s="18" t="n">
        <v>46295</v>
      </c>
      <c r="H264" s="18" t="n">
        <v>46296</v>
      </c>
      <c r="I264" s="18" t="n"/>
      <c r="J264" s="17">
        <f>IF(OR(ISNUMBER(F264),ISNUMBER(G264)),IF(ISNUMBER(I264),I264,H264)-IF(ISNUMBER(F264),F264,G264),"")</f>
        <v/>
      </c>
      <c r="K264" s="12" t="n">
        <v>20000</v>
      </c>
      <c r="L264" s="12" t="n">
        <v>20000</v>
      </c>
      <c r="M264" s="13">
        <f>IF(AND(ISNUMBER(K264),ISNUMBER(L264),K264&gt;0),1-L264/K264,"")</f>
        <v/>
      </c>
      <c r="N264" s="16" t="n">
        <v>0</v>
      </c>
      <c r="O264" s="12" t="n"/>
      <c r="P264" s="12" t="n"/>
      <c r="Q264" s="12" t="n"/>
      <c r="R264" s="14">
        <f>IF(AND(ISNUMBER(L264),ISNUMBER(P264),ISNUMBER(Q264)),L264/((P264+Q264)/2)-1,"")</f>
        <v/>
      </c>
      <c r="S264" s="10" t="n"/>
      <c r="T264" s="15" t="n">
        <v>234461</v>
      </c>
      <c r="U264" s="16" t="n">
        <v>1992</v>
      </c>
      <c r="V264" s="10" t="n"/>
      <c r="W264" s="10" t="inlineStr">
        <is>
          <t>Essence</t>
        </is>
      </c>
      <c r="X264" s="10" t="inlineStr">
        <is>
          <t>Manuelle</t>
        </is>
      </c>
      <c r="Y264" s="16" t="n">
        <v>130</v>
      </c>
      <c r="Z264" s="16" t="n">
        <v>9</v>
      </c>
      <c r="AA264" s="10" t="inlineStr">
        <is>
          <t>Rouge</t>
        </is>
      </c>
      <c r="AB264" s="16" t="n">
        <v>3</v>
      </c>
      <c r="AC264" s="10" t="inlineStr">
        <is>
          <t>Berline</t>
        </is>
      </c>
      <c r="AD264" s="10" t="n"/>
      <c r="AE264" s="10" t="n"/>
      <c r="AF264" s="10" t="inlineStr">
        <is>
          <t>Particulier</t>
        </is>
      </c>
      <c r="AG264" s="10" t="inlineStr">
        <is>
          <t>Fougères</t>
        </is>
      </c>
      <c r="AH264" s="10" t="inlineStr">
        <is>
          <t>35300</t>
        </is>
      </c>
      <c r="AI264" s="10" t="inlineStr">
        <is>
          <t>Ille-et-Vilaine</t>
        </is>
      </c>
      <c r="AJ264" s="10" t="inlineStr">
        <is>
          <t>Bretagne</t>
        </is>
      </c>
      <c r="AK264" s="16" t="n"/>
      <c r="AL264" s="10" t="n"/>
      <c r="AM264" s="10" t="n"/>
      <c r="AN264" s="10" t="n"/>
      <c r="AO264" s="10" t="n"/>
      <c r="AP264" s="19" t="inlineStr">
        <is>
          <t>Voir</t>
        </is>
      </c>
      <c r="AQ264" s="10" t="inlineStr">
        <is>
          <t>3279615676</t>
        </is>
      </c>
    </row>
    <row r="265">
      <c r="A265" s="10" t="inlineStr">
        <is>
          <t>Peugeot 205 GTI</t>
        </is>
      </c>
      <c r="B265" s="10" t="inlineStr">
        <is>
          <t>205 gti 1,9l 130ch</t>
        </is>
      </c>
      <c r="C265" s="10" t="n"/>
      <c r="D265" s="10" t="n"/>
      <c r="E265" s="10" t="inlineStr">
        <is>
          <t>En vente</t>
        </is>
      </c>
      <c r="F265" s="18" t="n">
        <v>46295</v>
      </c>
      <c r="G265" s="18" t="n">
        <v>46295</v>
      </c>
      <c r="H265" s="18" t="n">
        <v>46296</v>
      </c>
      <c r="I265" s="18" t="n"/>
      <c r="J265" s="17">
        <f>IF(OR(ISNUMBER(F265),ISNUMBER(G265)),IF(ISNUMBER(I265),I265,H265)-IF(ISNUMBER(F265),F265,G265),"")</f>
        <v/>
      </c>
      <c r="K265" s="12" t="n">
        <v>22500</v>
      </c>
      <c r="L265" s="12" t="n">
        <v>22500</v>
      </c>
      <c r="M265" s="13">
        <f>IF(AND(ISNUMBER(K265),ISNUMBER(L265),K265&gt;0),1-L265/K265,"")</f>
        <v/>
      </c>
      <c r="N265" s="16" t="n">
        <v>0</v>
      </c>
      <c r="O265" s="12" t="n"/>
      <c r="P265" s="12" t="n"/>
      <c r="Q265" s="12" t="n"/>
      <c r="R265" s="14">
        <f>IF(AND(ISNUMBER(L265),ISNUMBER(P265),ISNUMBER(Q265)),L265/((P265+Q265)/2)-1,"")</f>
        <v/>
      </c>
      <c r="S265" s="10" t="n"/>
      <c r="T265" s="15" t="n">
        <v>189000</v>
      </c>
      <c r="U265" s="16" t="n">
        <v>1989</v>
      </c>
      <c r="V265" s="10" t="n"/>
      <c r="W265" s="10" t="inlineStr">
        <is>
          <t>Essence</t>
        </is>
      </c>
      <c r="X265" s="10" t="inlineStr">
        <is>
          <t>Manuelle</t>
        </is>
      </c>
      <c r="Y265" s="16" t="n">
        <v>60</v>
      </c>
      <c r="Z265" s="16" t="n">
        <v>5</v>
      </c>
      <c r="AA265" s="10" t="inlineStr">
        <is>
          <t>Autre</t>
        </is>
      </c>
      <c r="AB265" s="16" t="n">
        <v>3</v>
      </c>
      <c r="AC265" s="10" t="inlineStr">
        <is>
          <t>Berline</t>
        </is>
      </c>
      <c r="AD265" s="10" t="n"/>
      <c r="AE265" s="10" t="n"/>
      <c r="AF265" s="10" t="inlineStr">
        <is>
          <t>Particulier</t>
        </is>
      </c>
      <c r="AG265" s="10" t="inlineStr">
        <is>
          <t>Lille</t>
        </is>
      </c>
      <c r="AH265" s="10" t="inlineStr">
        <is>
          <t>59000</t>
        </is>
      </c>
      <c r="AI265" s="10" t="inlineStr">
        <is>
          <t>Nord</t>
        </is>
      </c>
      <c r="AJ265" s="10" t="inlineStr">
        <is>
          <t>Nord-Pas-de-Calais</t>
        </is>
      </c>
      <c r="AK265" s="16" t="n"/>
      <c r="AL265" s="10" t="n"/>
      <c r="AM265" s="10" t="n"/>
      <c r="AN265" s="10" t="n"/>
      <c r="AO265" s="10" t="n"/>
      <c r="AP265" s="19" t="inlineStr">
        <is>
          <t>Voir</t>
        </is>
      </c>
      <c r="AQ265" s="10" t="inlineStr">
        <is>
          <t>3279816006</t>
        </is>
      </c>
    </row>
    <row r="266">
      <c r="A266" s="10" t="inlineStr">
        <is>
          <t>Peugeot 205 GTI</t>
        </is>
      </c>
      <c r="B266" s="10" t="inlineStr">
        <is>
          <t>205 gti</t>
        </is>
      </c>
      <c r="C266" s="10" t="n"/>
      <c r="D266" s="10" t="n"/>
      <c r="E266" s="10" t="inlineStr">
        <is>
          <t>En vente</t>
        </is>
      </c>
      <c r="F266" s="18" t="n">
        <v>46296</v>
      </c>
      <c r="G266" s="18" t="n">
        <v>46296</v>
      </c>
      <c r="H266" s="18" t="n">
        <v>46296</v>
      </c>
      <c r="I266" s="18" t="n"/>
      <c r="J266" s="17">
        <f>IF(OR(ISNUMBER(F266),ISNUMBER(G266)),IF(ISNUMBER(I266),I266,H266)-IF(ISNUMBER(F266),F266,G266),"")</f>
        <v/>
      </c>
      <c r="K266" s="12" t="n">
        <v>31000</v>
      </c>
      <c r="L266" s="12" t="n">
        <v>31000</v>
      </c>
      <c r="M266" s="13">
        <f>IF(AND(ISNUMBER(K266),ISNUMBER(L266),K266&gt;0),1-L266/K266,"")</f>
        <v/>
      </c>
      <c r="N266" s="16" t="n">
        <v>0</v>
      </c>
      <c r="O266" s="12" t="n"/>
      <c r="P266" s="12" t="n"/>
      <c r="Q266" s="12" t="n"/>
      <c r="R266" s="14">
        <f>IF(AND(ISNUMBER(L266),ISNUMBER(P266),ISNUMBER(Q266)),L266/((P266+Q266)/2)-1,"")</f>
        <v/>
      </c>
      <c r="S266" s="10" t="n"/>
      <c r="T266" s="15" t="n">
        <v>135000</v>
      </c>
      <c r="U266" s="16" t="n">
        <v>1988</v>
      </c>
      <c r="V266" s="10" t="n"/>
      <c r="W266" s="10" t="inlineStr">
        <is>
          <t>Essence</t>
        </is>
      </c>
      <c r="X266" s="10" t="inlineStr">
        <is>
          <t>Manuelle</t>
        </is>
      </c>
      <c r="Y266" s="16" t="n">
        <v>130</v>
      </c>
      <c r="Z266" s="16" t="n">
        <v>9</v>
      </c>
      <c r="AA266" s="10" t="inlineStr">
        <is>
          <t>Blanc</t>
        </is>
      </c>
      <c r="AB266" s="16" t="n">
        <v>3</v>
      </c>
      <c r="AC266" s="10" t="n"/>
      <c r="AD266" s="10" t="n"/>
      <c r="AE266" s="10" t="n"/>
      <c r="AF266" s="10" t="inlineStr">
        <is>
          <t>Particulier</t>
        </is>
      </c>
      <c r="AG266" s="10" t="inlineStr">
        <is>
          <t>Châtel</t>
        </is>
      </c>
      <c r="AH266" s="10" t="inlineStr">
        <is>
          <t>74390</t>
        </is>
      </c>
      <c r="AI266" s="10" t="inlineStr">
        <is>
          <t>Haute-Savoie</t>
        </is>
      </c>
      <c r="AJ266" s="10" t="inlineStr">
        <is>
          <t>Rhône-Alpes</t>
        </is>
      </c>
      <c r="AK266" s="16" t="n"/>
      <c r="AL266" s="10" t="n"/>
      <c r="AM266" s="10" t="n"/>
      <c r="AN266" s="10" t="n"/>
      <c r="AO266" s="10" t="n"/>
      <c r="AP266" s="19" t="inlineStr">
        <is>
          <t>Voir</t>
        </is>
      </c>
      <c r="AQ266" s="10" t="inlineStr">
        <is>
          <t>3280078944</t>
        </is>
      </c>
    </row>
    <row r="267">
      <c r="A267" s="10" t="inlineStr">
        <is>
          <t>Peugeot 205 GTI</t>
        </is>
      </c>
      <c r="B267" s="10" t="inlineStr">
        <is>
          <t>205 gti 1.6 115 Rouge</t>
        </is>
      </c>
      <c r="C267" s="10" t="n"/>
      <c r="D267" s="10" t="n"/>
      <c r="E267" s="10" t="inlineStr">
        <is>
          <t>En vente</t>
        </is>
      </c>
      <c r="F267" s="18" t="n">
        <v>46296</v>
      </c>
      <c r="G267" s="18" t="n">
        <v>46296</v>
      </c>
      <c r="H267" s="18" t="n">
        <v>46296</v>
      </c>
      <c r="I267" s="18" t="n"/>
      <c r="J267" s="17">
        <f>IF(OR(ISNUMBER(F267),ISNUMBER(G267)),IF(ISNUMBER(I267),I267,H267)-IF(ISNUMBER(F267),F267,G267),"")</f>
        <v/>
      </c>
      <c r="K267" s="12" t="n">
        <v>15500</v>
      </c>
      <c r="L267" s="12" t="n">
        <v>15500</v>
      </c>
      <c r="M267" s="13">
        <f>IF(AND(ISNUMBER(K267),ISNUMBER(L267),K267&gt;0),1-L267/K267,"")</f>
        <v/>
      </c>
      <c r="N267" s="16" t="n">
        <v>0</v>
      </c>
      <c r="O267" s="12" t="n"/>
      <c r="P267" s="12" t="n"/>
      <c r="Q267" s="12" t="n"/>
      <c r="R267" s="14">
        <f>IF(AND(ISNUMBER(L267),ISNUMBER(P267),ISNUMBER(Q267)),L267/((P267+Q267)/2)-1,"")</f>
        <v/>
      </c>
      <c r="S267" s="10" t="n"/>
      <c r="T267" s="15" t="n">
        <v>223000</v>
      </c>
      <c r="U267" s="16" t="n">
        <v>1989</v>
      </c>
      <c r="V267" s="10" t="n"/>
      <c r="W267" s="10" t="inlineStr">
        <is>
          <t>Essence</t>
        </is>
      </c>
      <c r="X267" s="10" t="inlineStr">
        <is>
          <t>Manuelle</t>
        </is>
      </c>
      <c r="Y267" s="16" t="n">
        <v>115</v>
      </c>
      <c r="Z267" s="16" t="n">
        <v>8</v>
      </c>
      <c r="AA267" s="10" t="inlineStr">
        <is>
          <t>Rouge</t>
        </is>
      </c>
      <c r="AB267" s="16" t="n">
        <v>3</v>
      </c>
      <c r="AC267" s="10" t="inlineStr">
        <is>
          <t>Berline</t>
        </is>
      </c>
      <c r="AD267" s="10" t="n"/>
      <c r="AE267" s="10" t="n"/>
      <c r="AF267" s="10" t="inlineStr">
        <is>
          <t>Particulier</t>
        </is>
      </c>
      <c r="AG267" s="10" t="inlineStr">
        <is>
          <t>Levier</t>
        </is>
      </c>
      <c r="AH267" s="10" t="inlineStr">
        <is>
          <t>25270</t>
        </is>
      </c>
      <c r="AI267" s="10" t="inlineStr">
        <is>
          <t>Doubs</t>
        </is>
      </c>
      <c r="AJ267" s="10" t="inlineStr">
        <is>
          <t>Franche-Comté</t>
        </is>
      </c>
      <c r="AK267" s="16" t="n"/>
      <c r="AL267" s="10" t="n"/>
      <c r="AM267" s="10" t="n"/>
      <c r="AN267" s="10" t="n"/>
      <c r="AO267" s="10" t="n"/>
      <c r="AP267" s="19" t="inlineStr">
        <is>
          <t>Voir</t>
        </is>
      </c>
      <c r="AQ267" s="10" t="inlineStr">
        <is>
          <t>3280278211</t>
        </is>
      </c>
    </row>
    <row r="268">
      <c r="A268" s="10" t="inlineStr">
        <is>
          <t>Peugeot 206 RC</t>
        </is>
      </c>
      <c r="B268" s="10" t="inlineStr">
        <is>
          <t>206 rc</t>
        </is>
      </c>
      <c r="C268" s="10" t="n"/>
      <c r="D268" s="10" t="n"/>
      <c r="E268" s="10" t="inlineStr">
        <is>
          <t>En vente</t>
        </is>
      </c>
      <c r="F268" s="18" t="n">
        <v>46272</v>
      </c>
      <c r="G268" s="18" t="n">
        <v>46296</v>
      </c>
      <c r="H268" s="18" t="n">
        <v>46310</v>
      </c>
      <c r="I268" s="18" t="n"/>
      <c r="J268" s="17">
        <f>IF(OR(ISNUMBER(F268),ISNUMBER(G268)),IF(ISNUMBER(I268),I268,H268)-IF(ISNUMBER(F268),F268,G268),"")</f>
        <v/>
      </c>
      <c r="K268" s="12" t="n">
        <v>17900</v>
      </c>
      <c r="L268" s="12" t="n">
        <v>17900</v>
      </c>
      <c r="M268" s="13">
        <f>IF(AND(ISNUMBER(K268),ISNUMBER(L268),K268&gt;0),1-L268/K268,"")</f>
        <v/>
      </c>
      <c r="N268" s="16" t="n">
        <v>0</v>
      </c>
      <c r="O268" s="12" t="n">
        <v>23900</v>
      </c>
      <c r="P268" s="12" t="n"/>
      <c r="Q268" s="12" t="n"/>
      <c r="R268" s="14">
        <f>IF(AND(ISNUMBER(L268),ISNUMBER(P268),ISNUMBER(Q268)),L268/((P268+Q268)/2)-1,"")</f>
        <v/>
      </c>
      <c r="S268" s="10" t="n"/>
      <c r="T268" s="15" t="n">
        <v>74000</v>
      </c>
      <c r="U268" s="16" t="n">
        <v>2006</v>
      </c>
      <c r="V268" s="10" t="inlineStr">
        <is>
          <t>02/2006</t>
        </is>
      </c>
      <c r="W268" s="10" t="inlineStr">
        <is>
          <t>Essence</t>
        </is>
      </c>
      <c r="X268" s="10" t="inlineStr">
        <is>
          <t>Manuelle</t>
        </is>
      </c>
      <c r="Y268" s="16" t="n"/>
      <c r="Z268" s="16" t="n"/>
      <c r="AA268" s="10" t="n"/>
      <c r="AB268" s="16" t="n"/>
      <c r="AC268" s="10" t="n"/>
      <c r="AD268" s="10" t="n"/>
      <c r="AE268" s="10" t="n"/>
      <c r="AF268" s="10" t="inlineStr">
        <is>
          <t>Particulier</t>
        </is>
      </c>
      <c r="AG268" s="10" t="inlineStr">
        <is>
          <t>Troyes</t>
        </is>
      </c>
      <c r="AH268" s="10" t="inlineStr">
        <is>
          <t>10000</t>
        </is>
      </c>
      <c r="AI268" s="10" t="inlineStr">
        <is>
          <t>Aube</t>
        </is>
      </c>
      <c r="AJ268" s="10" t="inlineStr">
        <is>
          <t>Champagne-Ardenne</t>
        </is>
      </c>
      <c r="AK268" s="16" t="n">
        <v>3</v>
      </c>
      <c r="AL268" s="10" t="n"/>
      <c r="AM268" s="10" t="inlineStr">
        <is>
          <t>Non</t>
        </is>
      </c>
      <c r="AN268" s="10" t="inlineStr">
        <is>
          <t>-Marque: Peugeot -Modèle de base: 206 2l s16 phase 2 -Année: 2006 (Propriétaire depuis 07/2009) -Kilométrage avant modification: 74000km -Puissance / couple: 195,1ch / 22,8mkg -Poids: 850kg -Couleur: Bleu de Chine Liste des pièces: Moteur: -EW10J4S de 206 rc. -Gestion programmable Microsquirt avec tablette, carto E85. -Carter cloisonné Peugeot Sport. -Radiateur d’huile. -Bouchon dégazage DA Peugeot Sport. -Papillon à câble Beignat Compétition. -Poulie damper et d’alternateur en alu Beignat Compé</t>
        </is>
      </c>
      <c r="AO268" s="10" t="inlineStr">
        <is>
          <t>Permis : Avec permis ; Importé : false ; vehicle_history_report_status : visible</t>
        </is>
      </c>
      <c r="AP268" s="19" t="inlineStr">
        <is>
          <t>Voir</t>
        </is>
      </c>
      <c r="AQ268" s="10" t="inlineStr">
        <is>
          <t>2988747124</t>
        </is>
      </c>
    </row>
    <row r="269">
      <c r="A269" s="10" t="inlineStr">
        <is>
          <t>Peugeot 206 RC</t>
        </is>
      </c>
      <c r="B269" s="10" t="inlineStr">
        <is>
          <t>206 RC piste / montées histo 200cv</t>
        </is>
      </c>
      <c r="C269" s="10" t="n"/>
      <c r="D269" s="10" t="n"/>
      <c r="E269" s="10" t="inlineStr">
        <is>
          <t>En vente</t>
        </is>
      </c>
      <c r="F269" s="18" t="n">
        <v>46299</v>
      </c>
      <c r="G269" s="18" t="n">
        <v>46299</v>
      </c>
      <c r="H269" s="18" t="n">
        <v>46310</v>
      </c>
      <c r="I269" s="18" t="n"/>
      <c r="J269" s="17">
        <f>IF(OR(ISNUMBER(F269),ISNUMBER(G269)),IF(ISNUMBER(I269),I269,H269)-IF(ISNUMBER(F269),F269,G269),"")</f>
        <v/>
      </c>
      <c r="K269" s="12" t="n">
        <v>13000</v>
      </c>
      <c r="L269" s="12" t="n">
        <v>13000</v>
      </c>
      <c r="M269" s="13">
        <f>IF(AND(ISNUMBER(K269),ISNUMBER(L269),K269&gt;0),1-L269/K269,"")</f>
        <v/>
      </c>
      <c r="N269" s="16" t="n">
        <v>0</v>
      </c>
      <c r="O269" s="12" t="n">
        <v>14500</v>
      </c>
      <c r="P269" s="12" t="n"/>
      <c r="Q269" s="12" t="n"/>
      <c r="R269" s="14">
        <f>IF(AND(ISNUMBER(L269),ISNUMBER(P269),ISNUMBER(Q269)),L269/((P269+Q269)/2)-1,"")</f>
        <v/>
      </c>
      <c r="S269" s="10" t="n"/>
      <c r="T269" s="15" t="n">
        <v>90000</v>
      </c>
      <c r="U269" s="16" t="n">
        <v>2005</v>
      </c>
      <c r="V269" s="10" t="inlineStr">
        <is>
          <t>02/2005</t>
        </is>
      </c>
      <c r="W269" s="10" t="inlineStr">
        <is>
          <t>Essence</t>
        </is>
      </c>
      <c r="X269" s="10" t="inlineStr">
        <is>
          <t>Manuelle</t>
        </is>
      </c>
      <c r="Y269" s="16" t="n">
        <v>137</v>
      </c>
      <c r="Z269" s="16" t="n">
        <v>8</v>
      </c>
      <c r="AA269" s="10" t="inlineStr">
        <is>
          <t>Gris</t>
        </is>
      </c>
      <c r="AB269" s="16" t="n">
        <v>3</v>
      </c>
      <c r="AC269" s="10" t="inlineStr">
        <is>
          <t>Berline</t>
        </is>
      </c>
      <c r="AD269" s="10" t="n"/>
      <c r="AE269" s="10" t="n"/>
      <c r="AF269" s="10" t="inlineStr">
        <is>
          <t>Particulier</t>
        </is>
      </c>
      <c r="AG269" s="10" t="inlineStr">
        <is>
          <t>Cruas</t>
        </is>
      </c>
      <c r="AH269" s="10" t="inlineStr">
        <is>
          <t>07350</t>
        </is>
      </c>
      <c r="AI269" s="10" t="inlineStr">
        <is>
          <t>Ardèche</t>
        </is>
      </c>
      <c r="AJ269" s="10" t="inlineStr">
        <is>
          <t>Rhône-Alpes</t>
        </is>
      </c>
      <c r="AK269" s="16" t="n">
        <v>3</v>
      </c>
      <c r="AL269" s="10" t="n"/>
      <c r="AM269" s="10" t="inlineStr">
        <is>
          <t>Non</t>
        </is>
      </c>
      <c r="AN269" s="10" t="inlineStr">
        <is>
          <t>caisse 206 2l s16 de 2005 avec kit +1 pouce fibre. Voiture équipée pour la piste et les montées historiques Voiture efficace et fiable . Arceau 6 points boulonné + 2 baquets + 2 harnais 6pts 3pouces. Moteur 206 RC (NJ moteur) + ACC retaillés 202 cv au banc (feuille à l'appui) achat moteur restauré septembre 2024 – 300km (réfection culasse + bas moteur + joints ) Bougies, vidange, filtres, liquide frein, liquide de refroidissement remplacés. Boite 5 révisée septembre 2025 (synchro 2/3 &amp;3/4 neuves</t>
        </is>
      </c>
      <c r="AO269" s="10" t="inlineStr">
        <is>
          <t>vehicle_technical_inspection_valid : Non ; Dommages : Excellent état (proche du neuf) ; Permis : Avec permis ; Importé : false</t>
        </is>
      </c>
      <c r="AP269" s="19" t="inlineStr">
        <is>
          <t>Voir</t>
        </is>
      </c>
      <c r="AQ269" s="10" t="inlineStr">
        <is>
          <t>3066683905</t>
        </is>
      </c>
    </row>
    <row r="270">
      <c r="A270" s="10" t="inlineStr">
        <is>
          <t>Peugeot 206 RC</t>
        </is>
      </c>
      <c r="B270" s="10" t="inlineStr">
        <is>
          <t>Peugeot 206 RC</t>
        </is>
      </c>
      <c r="C270" s="10" t="n"/>
      <c r="D270" s="10" t="n"/>
      <c r="E270" s="10" t="inlineStr">
        <is>
          <t>En vente</t>
        </is>
      </c>
      <c r="F270" s="18" t="n">
        <v>46270</v>
      </c>
      <c r="G270" s="18" t="n">
        <v>46296</v>
      </c>
      <c r="H270" s="18" t="n">
        <v>46310</v>
      </c>
      <c r="I270" s="18" t="n"/>
      <c r="J270" s="17">
        <f>IF(OR(ISNUMBER(F270),ISNUMBER(G270)),IF(ISNUMBER(I270),I270,H270)-IF(ISNUMBER(F270),F270,G270),"")</f>
        <v/>
      </c>
      <c r="K270" s="12" t="n">
        <v>10500</v>
      </c>
      <c r="L270" s="12" t="n">
        <v>10500</v>
      </c>
      <c r="M270" s="13">
        <f>IF(AND(ISNUMBER(K270),ISNUMBER(L270),K270&gt;0),1-L270/K270,"")</f>
        <v/>
      </c>
      <c r="N270" s="16" t="n">
        <v>0</v>
      </c>
      <c r="O270" s="12" t="n">
        <v>11500</v>
      </c>
      <c r="P270" s="12" t="n"/>
      <c r="Q270" s="12" t="n"/>
      <c r="R270" s="14">
        <f>IF(AND(ISNUMBER(L270),ISNUMBER(P270),ISNUMBER(Q270)),L270/((P270+Q270)/2)-1,"")</f>
        <v/>
      </c>
      <c r="S270" s="10" t="n"/>
      <c r="T270" s="15" t="n">
        <v>114000</v>
      </c>
      <c r="U270" s="16" t="n">
        <v>2003</v>
      </c>
      <c r="V270" s="10" t="inlineStr">
        <is>
          <t>11/2003</t>
        </is>
      </c>
      <c r="W270" s="10" t="inlineStr">
        <is>
          <t>Essence</t>
        </is>
      </c>
      <c r="X270" s="10" t="inlineStr">
        <is>
          <t>Manuelle</t>
        </is>
      </c>
      <c r="Y270" s="16" t="n">
        <v>177</v>
      </c>
      <c r="Z270" s="16" t="n">
        <v>11</v>
      </c>
      <c r="AA270" s="10" t="inlineStr">
        <is>
          <t>Gris</t>
        </is>
      </c>
      <c r="AB270" s="16" t="n">
        <v>3</v>
      </c>
      <c r="AC270" s="10" t="inlineStr">
        <is>
          <t>Berline</t>
        </is>
      </c>
      <c r="AD270" s="10" t="n"/>
      <c r="AE270" s="10" t="n"/>
      <c r="AF270" s="10" t="inlineStr">
        <is>
          <t>Particulier</t>
        </is>
      </c>
      <c r="AG270" s="10" t="inlineStr">
        <is>
          <t>Tagnon</t>
        </is>
      </c>
      <c r="AH270" s="10" t="inlineStr">
        <is>
          <t>08300</t>
        </is>
      </c>
      <c r="AI270" s="10" t="inlineStr">
        <is>
          <t>Ardennes</t>
        </is>
      </c>
      <c r="AJ270" s="10" t="inlineStr">
        <is>
          <t>Champagne-Ardenne</t>
        </is>
      </c>
      <c r="AK270" s="16" t="n">
        <v>3</v>
      </c>
      <c r="AL270" s="10" t="n"/>
      <c r="AM270" s="10" t="inlineStr">
        <is>
          <t>Non</t>
        </is>
      </c>
      <c r="AN270" s="10" t="inlineStr">
        <is>
          <t>Je vends ma Peugeot 206 RC du 06/11/2003, 177 chevaux (11 CV fiscaux), en très bon état général. Véhicule entretenu avec soin, entretien à jour, dort dans un garage. Boîte mécanique 5 vitesses. 130 000 km non évolutifs. La voiture fonctionne parfaitement elle est très agréable à conduire. Vente à regret suite à des problèmes de santé. Caractéristiques : - Peugeot 206 RC - Mise en circulation : 06/11/2003 - 177 ch - 11 CV fiscaux - Boîte manuelle 5 vitesses - 114 000 km - Très bon état - Entretie</t>
        </is>
      </c>
      <c r="AO270" s="10" t="inlineStr">
        <is>
          <t>Dommages : Bon état général ; Sellerie : Cuir partiel, Alcantara ; Permis : Avec permis ; Importé : false</t>
        </is>
      </c>
      <c r="AP270" s="19" t="inlineStr">
        <is>
          <t>Voir</t>
        </is>
      </c>
      <c r="AQ270" s="10" t="inlineStr">
        <is>
          <t>3193819824</t>
        </is>
      </c>
    </row>
    <row r="271">
      <c r="A271" s="10" t="inlineStr">
        <is>
          <t>Peugeot 206 RC</t>
        </is>
      </c>
      <c r="B271" s="10" t="inlineStr">
        <is>
          <t>Peugeot 206 RC</t>
        </is>
      </c>
      <c r="C271" s="10" t="n"/>
      <c r="D271" s="10" t="n"/>
      <c r="E271" s="10" t="inlineStr">
        <is>
          <t>En vente</t>
        </is>
      </c>
      <c r="F271" s="18" t="n">
        <v>46286</v>
      </c>
      <c r="G271" s="18" t="n">
        <v>46296</v>
      </c>
      <c r="H271" s="18" t="n">
        <v>46310</v>
      </c>
      <c r="I271" s="18" t="n"/>
      <c r="J271" s="17">
        <f>IF(OR(ISNUMBER(F271),ISNUMBER(G271)),IF(ISNUMBER(I271),I271,H271)-IF(ISNUMBER(F271),F271,G271),"")</f>
        <v/>
      </c>
      <c r="K271" s="12" t="n">
        <v>9500</v>
      </c>
      <c r="L271" s="12" t="n">
        <v>9500</v>
      </c>
      <c r="M271" s="13">
        <f>IF(AND(ISNUMBER(K271),ISNUMBER(L271),K271&gt;0),1-L271/K271,"")</f>
        <v/>
      </c>
      <c r="N271" s="16" t="n">
        <v>0</v>
      </c>
      <c r="O271" s="12" t="n"/>
      <c r="P271" s="12" t="n"/>
      <c r="Q271" s="12" t="n"/>
      <c r="R271" s="14">
        <f>IF(AND(ISNUMBER(L271),ISNUMBER(P271),ISNUMBER(Q271)),L271/((P271+Q271)/2)-1,"")</f>
        <v/>
      </c>
      <c r="S271" s="10" t="n"/>
      <c r="T271" s="15" t="n">
        <v>152000</v>
      </c>
      <c r="U271" s="16" t="n">
        <v>2003</v>
      </c>
      <c r="V271" s="10" t="inlineStr">
        <is>
          <t>08/2003</t>
        </is>
      </c>
      <c r="W271" s="10" t="inlineStr">
        <is>
          <t>Essence</t>
        </is>
      </c>
      <c r="X271" s="10" t="inlineStr">
        <is>
          <t>Manuelle</t>
        </is>
      </c>
      <c r="Y271" s="16" t="n">
        <v>180</v>
      </c>
      <c r="Z271" s="16" t="n">
        <v>11</v>
      </c>
      <c r="AA271" s="10" t="inlineStr">
        <is>
          <t>Gris</t>
        </is>
      </c>
      <c r="AB271" s="16" t="n">
        <v>3</v>
      </c>
      <c r="AC271" s="10" t="inlineStr">
        <is>
          <t>Berline</t>
        </is>
      </c>
      <c r="AD271" s="10" t="n"/>
      <c r="AE271" s="10" t="n"/>
      <c r="AF271" s="10" t="inlineStr">
        <is>
          <t>Particulier</t>
        </is>
      </c>
      <c r="AG271" s="10" t="inlineStr">
        <is>
          <t>Thaon-les-Vosges</t>
        </is>
      </c>
      <c r="AH271" s="10" t="inlineStr">
        <is>
          <t>88150</t>
        </is>
      </c>
      <c r="AI271" s="10" t="inlineStr">
        <is>
          <t>Vosges</t>
        </is>
      </c>
      <c r="AJ271" s="10" t="inlineStr">
        <is>
          <t>Lorraine</t>
        </is>
      </c>
      <c r="AK271" s="16" t="n">
        <v>3</v>
      </c>
      <c r="AL271" s="10" t="n"/>
      <c r="AM271" s="10" t="inlineStr">
        <is>
          <t>Non</t>
        </is>
      </c>
      <c r="AN271" s="10" t="inlineStr">
        <is>
          <t>Vends Peugeot 206 RC Ligne inox plus origine. Contrôle technique ok. Jamais de circuits. Jamais d'accident. 152000km. Distribution faite. Roule très bien. Pas de livraison.</t>
        </is>
      </c>
      <c r="AO271" s="10" t="inlineStr">
        <is>
          <t>Dommages : Traces d’usure normales ; Sellerie : Alcantara, Cuir partiel ; Équipements intérieurs : Alarme antivol, Climatisation, Jantes en alliage, Phares anti-brouillard, Rétroviseurs rabattables électriquement, Sièges sport ; Permis : Avec permis ; Importé : false</t>
        </is>
      </c>
      <c r="AP271" s="19" t="inlineStr">
        <is>
          <t>Voir</t>
        </is>
      </c>
      <c r="AQ271" s="10" t="inlineStr">
        <is>
          <t>3202654340</t>
        </is>
      </c>
    </row>
    <row r="272">
      <c r="A272" s="10" t="inlineStr">
        <is>
          <t>Peugeot 206 RC</t>
        </is>
      </c>
      <c r="B272" s="10" t="inlineStr">
        <is>
          <t>Peugeot 206 rc</t>
        </is>
      </c>
      <c r="C272" s="10" t="n"/>
      <c r="D272" s="10" t="n"/>
      <c r="E272" s="10" t="inlineStr">
        <is>
          <t>En vente</t>
        </is>
      </c>
      <c r="F272" s="18" t="n">
        <v>46307</v>
      </c>
      <c r="G272" s="18" t="n">
        <v>46307</v>
      </c>
      <c r="H272" s="18" t="n">
        <v>46310</v>
      </c>
      <c r="I272" s="18" t="n"/>
      <c r="J272" s="17">
        <f>IF(OR(ISNUMBER(F272),ISNUMBER(G272)),IF(ISNUMBER(I272),I272,H272)-IF(ISNUMBER(F272),F272,G272),"")</f>
        <v/>
      </c>
      <c r="K272" s="12" t="n">
        <v>7990</v>
      </c>
      <c r="L272" s="12" t="n">
        <v>7990</v>
      </c>
      <c r="M272" s="13">
        <f>IF(AND(ISNUMBER(K272),ISNUMBER(L272),K272&gt;0),1-L272/K272,"")</f>
        <v/>
      </c>
      <c r="N272" s="16" t="n">
        <v>0</v>
      </c>
      <c r="O272" s="12" t="n">
        <v>9500</v>
      </c>
      <c r="P272" s="12" t="n"/>
      <c r="Q272" s="12" t="n"/>
      <c r="R272" s="14">
        <f>IF(AND(ISNUMBER(L272),ISNUMBER(P272),ISNUMBER(Q272)),L272/((P272+Q272)/2)-1,"")</f>
        <v/>
      </c>
      <c r="S272" s="10" t="n"/>
      <c r="T272" s="15" t="n">
        <v>350000</v>
      </c>
      <c r="U272" s="16" t="n">
        <v>2005</v>
      </c>
      <c r="V272" s="10" t="inlineStr">
        <is>
          <t>03/2005</t>
        </is>
      </c>
      <c r="W272" s="10" t="inlineStr">
        <is>
          <t>Essence</t>
        </is>
      </c>
      <c r="X272" s="10" t="inlineStr">
        <is>
          <t>Manuelle</t>
        </is>
      </c>
      <c r="Y272" s="16" t="n">
        <v>180</v>
      </c>
      <c r="Z272" s="16" t="n">
        <v>11</v>
      </c>
      <c r="AA272" s="10" t="inlineStr">
        <is>
          <t>Gris</t>
        </is>
      </c>
      <c r="AB272" s="16" t="n">
        <v>3</v>
      </c>
      <c r="AC272" s="10" t="inlineStr">
        <is>
          <t>Berline</t>
        </is>
      </c>
      <c r="AD272" s="10" t="n"/>
      <c r="AE272" s="10" t="n"/>
      <c r="AF272" s="10" t="inlineStr">
        <is>
          <t>Particulier</t>
        </is>
      </c>
      <c r="AG272" s="10" t="inlineStr">
        <is>
          <t>Barbezieux-Saint-Hilaire</t>
        </is>
      </c>
      <c r="AH272" s="10" t="inlineStr">
        <is>
          <t>16300</t>
        </is>
      </c>
      <c r="AI272" s="10" t="inlineStr">
        <is>
          <t>Charente</t>
        </is>
      </c>
      <c r="AJ272" s="10" t="inlineStr">
        <is>
          <t>Poitou-Charentes</t>
        </is>
      </c>
      <c r="AK272" s="16" t="n">
        <v>3</v>
      </c>
      <c r="AL272" s="10" t="n"/>
      <c r="AM272" s="10" t="inlineStr">
        <is>
          <t>Non</t>
        </is>
      </c>
      <c r="AN272" s="10" t="inlineStr">
        <is>
          <t>Peugeot 206 rc en parfait etat et full origine. Nombreuses facture d entretien (plus de 11000e) Essieux arriere neuf Distribution pompe a eau neuf Pneus neuf Pot d échappement d origine neuf Carrosserie en super belle etat</t>
        </is>
      </c>
      <c r="AO272" s="10" t="inlineStr">
        <is>
          <t>Dommages : Excellent état (proche du neuf) ; Sellerie : Alcantara ; Permis : Avec permis ; Importé : false</t>
        </is>
      </c>
      <c r="AP272" s="19" t="inlineStr">
        <is>
          <t>Voir</t>
        </is>
      </c>
      <c r="AQ272" s="10" t="inlineStr">
        <is>
          <t>3216255961</t>
        </is>
      </c>
    </row>
    <row r="273">
      <c r="A273" s="10" t="inlineStr">
        <is>
          <t>Peugeot 206 RC</t>
        </is>
      </c>
      <c r="B273" s="10" t="inlineStr">
        <is>
          <t>Peugeot 206 rc</t>
        </is>
      </c>
      <c r="C273" s="10" t="n"/>
      <c r="D273" s="10" t="n"/>
      <c r="E273" s="10" t="inlineStr">
        <is>
          <t>En vente</t>
        </is>
      </c>
      <c r="F273" s="18" t="n">
        <v>46304</v>
      </c>
      <c r="G273" s="18" t="n">
        <v>46304</v>
      </c>
      <c r="H273" s="18" t="n">
        <v>46310</v>
      </c>
      <c r="I273" s="18" t="n"/>
      <c r="J273" s="17">
        <f>IF(OR(ISNUMBER(F273),ISNUMBER(G273)),IF(ISNUMBER(I273),I273,H273)-IF(ISNUMBER(F273),F273,G273),"")</f>
        <v/>
      </c>
      <c r="K273" s="12" t="n">
        <v>7500</v>
      </c>
      <c r="L273" s="12" t="n">
        <v>7500</v>
      </c>
      <c r="M273" s="13">
        <f>IF(AND(ISNUMBER(K273),ISNUMBER(L273),K273&gt;0),1-L273/K273,"")</f>
        <v/>
      </c>
      <c r="N273" s="16" t="n">
        <v>0</v>
      </c>
      <c r="O273" s="12" t="n"/>
      <c r="P273" s="12" t="n"/>
      <c r="Q273" s="12" t="n"/>
      <c r="R273" s="14">
        <f>IF(AND(ISNUMBER(L273),ISNUMBER(P273),ISNUMBER(Q273)),L273/((P273+Q273)/2)-1,"")</f>
        <v/>
      </c>
      <c r="S273" s="10" t="n"/>
      <c r="T273" s="15" t="n">
        <v>255000</v>
      </c>
      <c r="U273" s="16" t="n">
        <v>2005</v>
      </c>
      <c r="V273" s="10" t="inlineStr">
        <is>
          <t>11/2005</t>
        </is>
      </c>
      <c r="W273" s="10" t="inlineStr">
        <is>
          <t>Essence</t>
        </is>
      </c>
      <c r="X273" s="10" t="inlineStr">
        <is>
          <t>Manuelle</t>
        </is>
      </c>
      <c r="Y273" s="16" t="n">
        <v>177</v>
      </c>
      <c r="Z273" s="16" t="n">
        <v>11</v>
      </c>
      <c r="AA273" s="10" t="inlineStr">
        <is>
          <t>Noir</t>
        </is>
      </c>
      <c r="AB273" s="16" t="n">
        <v>3</v>
      </c>
      <c r="AC273" s="10" t="inlineStr">
        <is>
          <t>Berline</t>
        </is>
      </c>
      <c r="AD273" s="10" t="n"/>
      <c r="AE273" s="10" t="n"/>
      <c r="AF273" s="10" t="inlineStr">
        <is>
          <t>Particulier</t>
        </is>
      </c>
      <c r="AG273" s="10" t="inlineStr">
        <is>
          <t>Toulouse</t>
        </is>
      </c>
      <c r="AH273" s="10" t="inlineStr">
        <is>
          <t>31000</t>
        </is>
      </c>
      <c r="AI273" s="10" t="inlineStr">
        <is>
          <t>Haute-Garonne</t>
        </is>
      </c>
      <c r="AJ273" s="10" t="inlineStr">
        <is>
          <t>Midi-Pyrénées</t>
        </is>
      </c>
      <c r="AK273" s="16" t="n">
        <v>3</v>
      </c>
      <c r="AL273" s="10" t="n"/>
      <c r="AM273" s="10" t="inlineStr">
        <is>
          <t>Non</t>
        </is>
      </c>
      <c r="AN273" s="10" t="inlineStr">
        <is>
          <t>Je vends ma Peugeot 206 RC de 2005, une citadine sportive et dynamique. - Marque : Peugeot - Modèle : 206 RC - Année : 2005 - Kilométrage : 255 km - Motorisation : 177 Ch - Carburant : Essence - Boîte de vitesses : Manuelle - Couleur : Noir - Type de véhicule : Berline - Nombre de portes : 3 - Nombre de sièges : 4 - Puissance fiscale : 11 Cv Parallélisme fait Biellette de direction neuve Câble d’embrayage neuf Coupelle d’amortisseur neuf Silenbloc barre stab neuf Rotule direction neuf Pneu avant</t>
        </is>
      </c>
      <c r="AO273" s="10" t="inlineStr">
        <is>
          <t>Dommages : Bon état général ; Sellerie : Alcantara ; Équipements intérieurs : Alarme antivol ; Permis : Avec permis ; Importé : false ; vehicle_history_report_status : visible</t>
        </is>
      </c>
      <c r="AP273" s="19" t="inlineStr">
        <is>
          <t>Voir</t>
        </is>
      </c>
      <c r="AQ273" s="10" t="inlineStr">
        <is>
          <t>3239322701</t>
        </is>
      </c>
    </row>
    <row r="274">
      <c r="A274" s="10" t="inlineStr">
        <is>
          <t>Peugeot 206 RC</t>
        </is>
      </c>
      <c r="B274" s="10" t="inlineStr">
        <is>
          <t>Peugeot 206 RC 2.0i 177ch Rouge Aden</t>
        </is>
      </c>
      <c r="C274" s="10" t="n"/>
      <c r="D274" s="10" t="n"/>
      <c r="E274" s="10" t="inlineStr">
        <is>
          <t>En vente</t>
        </is>
      </c>
      <c r="F274" s="18" t="n">
        <v>46301</v>
      </c>
      <c r="G274" s="18" t="n">
        <v>46301</v>
      </c>
      <c r="H274" s="18" t="n">
        <v>46310</v>
      </c>
      <c r="I274" s="18" t="n"/>
      <c r="J274" s="17">
        <f>IF(OR(ISNUMBER(F274),ISNUMBER(G274)),IF(ISNUMBER(I274),I274,H274)-IF(ISNUMBER(F274),F274,G274),"")</f>
        <v/>
      </c>
      <c r="K274" s="12" t="n">
        <v>16900</v>
      </c>
      <c r="L274" s="12" t="n">
        <v>16900</v>
      </c>
      <c r="M274" s="13">
        <f>IF(AND(ISNUMBER(K274),ISNUMBER(L274),K274&gt;0),1-L274/K274,"")</f>
        <v/>
      </c>
      <c r="N274" s="16" t="n">
        <v>0</v>
      </c>
      <c r="O274" s="12" t="n"/>
      <c r="P274" s="12" t="n"/>
      <c r="Q274" s="12" t="n"/>
      <c r="R274" s="14">
        <f>IF(AND(ISNUMBER(L274),ISNUMBER(P274),ISNUMBER(Q274)),L274/((P274+Q274)/2)-1,"")</f>
        <v/>
      </c>
      <c r="S274" s="10" t="n"/>
      <c r="T274" s="15" t="n">
        <v>72000</v>
      </c>
      <c r="U274" s="16" t="n">
        <v>2003</v>
      </c>
      <c r="V274" s="10" t="inlineStr">
        <is>
          <t>06/2003</t>
        </is>
      </c>
      <c r="W274" s="10" t="inlineStr">
        <is>
          <t>Essence</t>
        </is>
      </c>
      <c r="X274" s="10" t="inlineStr">
        <is>
          <t>Manuelle</t>
        </is>
      </c>
      <c r="Y274" s="16" t="n">
        <v>177</v>
      </c>
      <c r="Z274" s="16" t="n">
        <v>11</v>
      </c>
      <c r="AA274" s="10" t="inlineStr">
        <is>
          <t>Rouge</t>
        </is>
      </c>
      <c r="AB274" s="16" t="n">
        <v>3</v>
      </c>
      <c r="AC274" s="10" t="inlineStr">
        <is>
          <t>Coupé</t>
        </is>
      </c>
      <c r="AD274" s="10" t="n"/>
      <c r="AE274" s="10" t="n"/>
      <c r="AF274" s="10" t="inlineStr">
        <is>
          <t>Pro</t>
        </is>
      </c>
      <c r="AG274" s="10" t="inlineStr">
        <is>
          <t>Saint-Loubès</t>
        </is>
      </c>
      <c r="AH274" s="10" t="inlineStr">
        <is>
          <t>33450</t>
        </is>
      </c>
      <c r="AI274" s="10" t="inlineStr">
        <is>
          <t>Gironde</t>
        </is>
      </c>
      <c r="AJ274" s="10" t="inlineStr">
        <is>
          <t>Aquitaine</t>
        </is>
      </c>
      <c r="AK274" s="16" t="n">
        <v>5</v>
      </c>
      <c r="AL274" s="10" t="n"/>
      <c r="AM274" s="10" t="inlineStr">
        <is>
          <t>Non</t>
        </is>
      </c>
      <c r="AN274" s="10" t="inlineStr">
        <is>
          <t>Nous proposons à la vente de magnifique youngtimer à la française !!! Peugeot 206 RC avec son mythique moteur 2.0i de 177ch Avec seulement 72000kms ( garantie ) Très belle remise en état dans notre atelier, elle est repartie pour 20 ans !!! Véhicule vendu 16900€ TTC avec TVA récupérable et garantie 6 mois Options et équipements - Fermeture centralisée à distance - vitres électriques - rétroviseurs électriques rabattable - climatisation automatique - ordinateur de bord - sièges sport cuir/alcanta</t>
        </is>
      </c>
      <c r="AO274" s="10" t="inlineStr">
        <is>
          <t>Dommages : Excellent état (proche du neuf) ; Sellerie : Cuir partiel, Alcantara ; Équipements intérieurs : Bluetooth, Chargeurs USB, Essuie-glaces automatiques, Jantes en alliage, Ordinateur de bord, Phares LED / Xenon, Sièges sport ; Permis : Avec permis ; VO récent : false ; vehicle_commercial_warranty : Non ; vehicle_manufacturer_warranty : Non ; Importé : false ; spare_parts_availability : Non renseignée</t>
        </is>
      </c>
      <c r="AP274" s="19" t="inlineStr">
        <is>
          <t>Voir</t>
        </is>
      </c>
      <c r="AQ274" s="10" t="inlineStr">
        <is>
          <t>3240289033</t>
        </is>
      </c>
    </row>
    <row r="275">
      <c r="A275" s="10" t="inlineStr">
        <is>
          <t>Peugeot 206 RC</t>
        </is>
      </c>
      <c r="B275" s="10" t="inlineStr">
        <is>
          <t>Peugeot 206 RC</t>
        </is>
      </c>
      <c r="C275" s="10" t="inlineStr">
        <is>
          <t>206 2.0 16v  RC 3p</t>
        </is>
      </c>
      <c r="D275" s="10" t="inlineStr">
        <is>
          <t>RC</t>
        </is>
      </c>
      <c r="E275" s="10" t="inlineStr">
        <is>
          <t>En vente</t>
        </is>
      </c>
      <c r="F275" s="18" t="n">
        <v>46309</v>
      </c>
      <c r="G275" s="18" t="n">
        <v>46309</v>
      </c>
      <c r="H275" s="18" t="n">
        <v>46310</v>
      </c>
      <c r="I275" s="18" t="n"/>
      <c r="J275" s="17">
        <f>IF(OR(ISNUMBER(F275),ISNUMBER(G275)),IF(ISNUMBER(I275),I275,H275)-IF(ISNUMBER(F275),F275,G275),"")</f>
        <v/>
      </c>
      <c r="K275" s="12" t="n">
        <v>9000</v>
      </c>
      <c r="L275" s="12" t="n">
        <v>9000</v>
      </c>
      <c r="M275" s="13">
        <f>IF(AND(ISNUMBER(K275),ISNUMBER(L275),K275&gt;0),1-L275/K275,"")</f>
        <v/>
      </c>
      <c r="N275" s="16" t="n">
        <v>0</v>
      </c>
      <c r="O275" s="12" t="n"/>
      <c r="P275" s="12" t="n"/>
      <c r="Q275" s="12" t="n"/>
      <c r="R275" s="14">
        <f>IF(AND(ISNUMBER(L275),ISNUMBER(P275),ISNUMBER(Q275)),L275/((P275+Q275)/2)-1,"")</f>
        <v/>
      </c>
      <c r="S275" s="10" t="n"/>
      <c r="T275" s="15" t="n">
        <v>200000</v>
      </c>
      <c r="U275" s="16" t="n">
        <v>2004</v>
      </c>
      <c r="V275" s="10" t="inlineStr">
        <is>
          <t>10/2004</t>
        </is>
      </c>
      <c r="W275" s="10" t="inlineStr">
        <is>
          <t>Essence</t>
        </is>
      </c>
      <c r="X275" s="10" t="inlineStr">
        <is>
          <t>Manuelle</t>
        </is>
      </c>
      <c r="Y275" s="16" t="n">
        <v>180</v>
      </c>
      <c r="Z275" s="16" t="n">
        <v>11</v>
      </c>
      <c r="AA275" s="10" t="inlineStr">
        <is>
          <t>Noir</t>
        </is>
      </c>
      <c r="AB275" s="16" t="n">
        <v>3</v>
      </c>
      <c r="AC275" s="10" t="inlineStr">
        <is>
          <t>Berline</t>
        </is>
      </c>
      <c r="AD275" s="10" t="n"/>
      <c r="AE275" s="10" t="n"/>
      <c r="AF275" s="10" t="inlineStr">
        <is>
          <t>Particulier</t>
        </is>
      </c>
      <c r="AG275" s="10" t="inlineStr">
        <is>
          <t>Lyon</t>
        </is>
      </c>
      <c r="AH275" s="10" t="inlineStr">
        <is>
          <t>69009</t>
        </is>
      </c>
      <c r="AI275" s="10" t="inlineStr">
        <is>
          <t>Rhône</t>
        </is>
      </c>
      <c r="AJ275" s="10" t="inlineStr">
        <is>
          <t>Rhône-Alpes</t>
        </is>
      </c>
      <c r="AK275" s="16" t="n">
        <v>3</v>
      </c>
      <c r="AL275" s="10" t="n"/>
      <c r="AM275" s="10" t="inlineStr">
        <is>
          <t>Non</t>
        </is>
      </c>
      <c r="AN275" s="10" t="inlineStr">
        <is>
          <t>Peugeot 206 RC 2.0 16 soupapes 177ch EW10J4S En très bon état pour son âge / kilométrage C’est un véhicule de weekend qui roule moins de 100 kms / mois. Options intéressantes : Sièges avant chauffant Phare auto Essuie glace auto Clim auto ABS ESP Anti patinage Scellerie alcantara Jante Challenger 17“ Ordinateur de bord avec Conso moyenne, instantané, autonomie… Trains arrière neuf remplacer l’année dernière avec roulements, disques plaquettes, amortisseurs, silenblock neuf Train avant neuf rempl</t>
        </is>
      </c>
      <c r="AO275" s="10" t="inlineStr">
        <is>
          <t>Dommages : Bon état général ; Sellerie : Alcantara ; Équipements intérieurs : Allumage automatique des phares, Essuie-glaces automatiques, Jantes en alliage, Ordinateur de bord, Phares anti-brouillard, Rétroviseurs dégivrants, Rétroviseurs rabattables électriquement, Siège réglable en hauteur, Sièges chauffants ; vehicle_euro_emissions_standard : Euro 3 ; Permis : Avec permis ; Importé : false</t>
        </is>
      </c>
      <c r="AP275" s="19" t="inlineStr">
        <is>
          <t>Voir</t>
        </is>
      </c>
      <c r="AQ275" s="10" t="inlineStr">
        <is>
          <t>3250734192</t>
        </is>
      </c>
    </row>
    <row r="276">
      <c r="A276" s="10" t="inlineStr">
        <is>
          <t>Peugeot 206 RC</t>
        </is>
      </c>
      <c r="B276" s="10" t="inlineStr">
        <is>
          <t>206 rc</t>
        </is>
      </c>
      <c r="C276" s="10" t="inlineStr">
        <is>
          <t>RC_206 2.0 16v RC 3p</t>
        </is>
      </c>
      <c r="D276" s="10" t="inlineStr">
        <is>
          <t>RC</t>
        </is>
      </c>
      <c r="E276" s="10" t="inlineStr">
        <is>
          <t>En vente</t>
        </is>
      </c>
      <c r="F276" s="18" t="n">
        <v>46250</v>
      </c>
      <c r="G276" s="18" t="n">
        <v>46296</v>
      </c>
      <c r="H276" s="18" t="n">
        <v>46310</v>
      </c>
      <c r="I276" s="18" t="n"/>
      <c r="J276" s="17">
        <f>IF(OR(ISNUMBER(F276),ISNUMBER(G276)),IF(ISNUMBER(I276),I276,H276)-IF(ISNUMBER(F276),F276,G276),"")</f>
        <v/>
      </c>
      <c r="K276" s="12" t="n">
        <v>6200</v>
      </c>
      <c r="L276" s="12" t="n">
        <v>6200</v>
      </c>
      <c r="M276" s="13">
        <f>IF(AND(ISNUMBER(K276),ISNUMBER(L276),K276&gt;0),1-L276/K276,"")</f>
        <v/>
      </c>
      <c r="N276" s="16" t="n">
        <v>0</v>
      </c>
      <c r="O276" s="12" t="n">
        <v>6800</v>
      </c>
      <c r="P276" s="12" t="n"/>
      <c r="Q276" s="12" t="n"/>
      <c r="R276" s="14">
        <f>IF(AND(ISNUMBER(L276),ISNUMBER(P276),ISNUMBER(Q276)),L276/((P276+Q276)/2)-1,"")</f>
        <v/>
      </c>
      <c r="S276" s="10" t="n"/>
      <c r="T276" s="15" t="n">
        <v>215500</v>
      </c>
      <c r="U276" s="16" t="n">
        <v>2005</v>
      </c>
      <c r="V276" s="10" t="inlineStr">
        <is>
          <t>01/2005</t>
        </is>
      </c>
      <c r="W276" s="10" t="inlineStr">
        <is>
          <t>Essence</t>
        </is>
      </c>
      <c r="X276" s="10" t="inlineStr">
        <is>
          <t>Manuelle</t>
        </is>
      </c>
      <c r="Y276" s="16" t="n">
        <v>180</v>
      </c>
      <c r="Z276" s="16" t="n">
        <v>11</v>
      </c>
      <c r="AA276" s="10" t="inlineStr">
        <is>
          <t>Noir</t>
        </is>
      </c>
      <c r="AB276" s="16" t="n">
        <v>3</v>
      </c>
      <c r="AC276" s="10" t="inlineStr">
        <is>
          <t>Berline</t>
        </is>
      </c>
      <c r="AD276" s="10" t="n"/>
      <c r="AE276" s="10" t="n"/>
      <c r="AF276" s="10" t="inlineStr">
        <is>
          <t>Particulier</t>
        </is>
      </c>
      <c r="AG276" s="10" t="inlineStr">
        <is>
          <t>Coulonges-sur-Sarthe</t>
        </is>
      </c>
      <c r="AH276" s="10" t="inlineStr">
        <is>
          <t>61170</t>
        </is>
      </c>
      <c r="AI276" s="10" t="inlineStr">
        <is>
          <t>Orne</t>
        </is>
      </c>
      <c r="AJ276" s="10" t="inlineStr">
        <is>
          <t>Basse-Normandie</t>
        </is>
      </c>
      <c r="AK276" s="16" t="n">
        <v>3</v>
      </c>
      <c r="AL276" s="10" t="n"/>
      <c r="AM276" s="10" t="inlineStr">
        <is>
          <t>Non</t>
        </is>
      </c>
      <c r="AN276" s="10" t="inlineStr">
        <is>
          <t>206 rc Année 2005 215500kms Distribution neuve Pneu arrière neuf Frein avant 2000 kms Embrayage 5000 kms Carrosserie état moyen couleur d origine noire Prix 6800 €</t>
        </is>
      </c>
      <c r="AO276" s="10" t="inlineStr">
        <is>
          <t>Sellerie : Alcantara ; Permis : Avec permis ; Importé : false ; vehicle_history_report_status : visible</t>
        </is>
      </c>
      <c r="AP276" s="19" t="inlineStr">
        <is>
          <t>Voir</t>
        </is>
      </c>
      <c r="AQ276" s="10" t="inlineStr">
        <is>
          <t>3251217335</t>
        </is>
      </c>
    </row>
    <row r="277">
      <c r="A277" s="10" t="inlineStr">
        <is>
          <t>Peugeot 206 RC</t>
        </is>
      </c>
      <c r="B277" s="10" t="inlineStr">
        <is>
          <t>206 rc</t>
        </is>
      </c>
      <c r="C277" s="10" t="inlineStr">
        <is>
          <t>206 2.0 16v RC 3p</t>
        </is>
      </c>
      <c r="D277" s="10" t="inlineStr">
        <is>
          <t>RC</t>
        </is>
      </c>
      <c r="E277" s="10" t="inlineStr">
        <is>
          <t>En vente</t>
        </is>
      </c>
      <c r="F277" s="18" t="n">
        <v>46271</v>
      </c>
      <c r="G277" s="18" t="n">
        <v>46296</v>
      </c>
      <c r="H277" s="18" t="n">
        <v>46310</v>
      </c>
      <c r="I277" s="18" t="n"/>
      <c r="J277" s="17">
        <f>IF(OR(ISNUMBER(F277),ISNUMBER(G277)),IF(ISNUMBER(I277),I277,H277)-IF(ISNUMBER(F277),F277,G277),"")</f>
        <v/>
      </c>
      <c r="K277" s="12" t="n">
        <v>12000</v>
      </c>
      <c r="L277" s="12" t="n">
        <v>12000</v>
      </c>
      <c r="M277" s="13">
        <f>IF(AND(ISNUMBER(K277),ISNUMBER(L277),K277&gt;0),1-L277/K277,"")</f>
        <v/>
      </c>
      <c r="N277" s="16" t="n">
        <v>0</v>
      </c>
      <c r="O277" s="12" t="n"/>
      <c r="P277" s="12" t="n"/>
      <c r="Q277" s="12" t="n"/>
      <c r="R277" s="14">
        <f>IF(AND(ISNUMBER(L277),ISNUMBER(P277),ISNUMBER(Q277)),L277/((P277+Q277)/2)-1,"")</f>
        <v/>
      </c>
      <c r="S277" s="10" t="n"/>
      <c r="T277" s="15" t="n">
        <v>123000</v>
      </c>
      <c r="U277" s="16" t="n">
        <v>2005</v>
      </c>
      <c r="V277" s="10" t="inlineStr">
        <is>
          <t>12/2005</t>
        </is>
      </c>
      <c r="W277" s="10" t="inlineStr">
        <is>
          <t>Essence</t>
        </is>
      </c>
      <c r="X277" s="10" t="inlineStr">
        <is>
          <t>Manuelle</t>
        </is>
      </c>
      <c r="Y277" s="16" t="n">
        <v>180</v>
      </c>
      <c r="Z277" s="16" t="n">
        <v>11</v>
      </c>
      <c r="AA277" s="10" t="inlineStr">
        <is>
          <t>Bleu</t>
        </is>
      </c>
      <c r="AB277" s="16" t="n">
        <v>3</v>
      </c>
      <c r="AC277" s="10" t="inlineStr">
        <is>
          <t>Berline</t>
        </is>
      </c>
      <c r="AD277" s="10" t="inlineStr">
        <is>
          <t>Factures disponibles</t>
        </is>
      </c>
      <c r="AE277" s="10" t="n"/>
      <c r="AF277" s="10" t="inlineStr">
        <is>
          <t>Particulier</t>
        </is>
      </c>
      <c r="AG277" s="10" t="inlineStr">
        <is>
          <t>Figeac</t>
        </is>
      </c>
      <c r="AH277" s="10" t="inlineStr">
        <is>
          <t>46100</t>
        </is>
      </c>
      <c r="AI277" s="10" t="inlineStr">
        <is>
          <t>Lot</t>
        </is>
      </c>
      <c r="AJ277" s="10" t="inlineStr">
        <is>
          <t>Midi-Pyrénées</t>
        </is>
      </c>
      <c r="AK277" s="16" t="n">
        <v>3</v>
      </c>
      <c r="AL277" s="10" t="n"/>
      <c r="AM277" s="10" t="inlineStr">
        <is>
          <t>Non</t>
        </is>
      </c>
      <c r="AN277" s="10" t="inlineStr">
        <is>
          <t>Vend 206 rc de 2005 bleu avec son pack jbl tout et d’origine à part les jante repeinte et sa ligne jandspeed contrôle technique ok a refaire pour la vente je donne avec sa ligne origine pour plus info me contacter</t>
        </is>
      </c>
      <c r="AO277" s="10" t="inlineStr">
        <is>
          <t>Dommages : Bon état général ; Sellerie : Tout cuir, Alcantara ; Permis : Avec permis ; Importé : false</t>
        </is>
      </c>
      <c r="AP277" s="19" t="inlineStr">
        <is>
          <t>Voir</t>
        </is>
      </c>
      <c r="AQ277" s="10" t="inlineStr">
        <is>
          <t>3264412764</t>
        </is>
      </c>
    </row>
    <row r="278">
      <c r="A278" s="10" t="inlineStr">
        <is>
          <t>Peugeot 206 RC</t>
        </is>
      </c>
      <c r="B278" s="10" t="inlineStr">
        <is>
          <t>Peugeot 206 rc</t>
        </is>
      </c>
      <c r="C278" s="10" t="inlineStr">
        <is>
          <t>RC_206 2.0 16v RC 3p</t>
        </is>
      </c>
      <c r="D278" s="10" t="inlineStr">
        <is>
          <t>RC</t>
        </is>
      </c>
      <c r="E278" s="10" t="inlineStr">
        <is>
          <t>En vente</t>
        </is>
      </c>
      <c r="F278" s="18" t="n">
        <v>46278</v>
      </c>
      <c r="G278" s="18" t="n">
        <v>46296</v>
      </c>
      <c r="H278" s="18" t="n">
        <v>46310</v>
      </c>
      <c r="I278" s="18" t="n"/>
      <c r="J278" s="17">
        <f>IF(OR(ISNUMBER(F278),ISNUMBER(G278)),IF(ISNUMBER(I278),I278,H278)-IF(ISNUMBER(F278),F278,G278),"")</f>
        <v/>
      </c>
      <c r="K278" s="12" t="n">
        <v>12700</v>
      </c>
      <c r="L278" s="12" t="n">
        <v>12700</v>
      </c>
      <c r="M278" s="13">
        <f>IF(AND(ISNUMBER(K278),ISNUMBER(L278),K278&gt;0),1-L278/K278,"")</f>
        <v/>
      </c>
      <c r="N278" s="16" t="n">
        <v>0</v>
      </c>
      <c r="O278" s="12" t="n"/>
      <c r="P278" s="12" t="n"/>
      <c r="Q278" s="12" t="n"/>
      <c r="R278" s="14">
        <f>IF(AND(ISNUMBER(L278),ISNUMBER(P278),ISNUMBER(Q278)),L278/((P278+Q278)/2)-1,"")</f>
        <v/>
      </c>
      <c r="S278" s="10" t="n"/>
      <c r="T278" s="15" t="n">
        <v>123000</v>
      </c>
      <c r="U278" s="16" t="n">
        <v>2004</v>
      </c>
      <c r="V278" s="10" t="inlineStr">
        <is>
          <t>08/2004</t>
        </is>
      </c>
      <c r="W278" s="10" t="inlineStr">
        <is>
          <t>Essence</t>
        </is>
      </c>
      <c r="X278" s="10" t="inlineStr">
        <is>
          <t>Manuelle</t>
        </is>
      </c>
      <c r="Y278" s="16" t="n">
        <v>180</v>
      </c>
      <c r="Z278" s="16" t="n">
        <v>11</v>
      </c>
      <c r="AA278" s="10" t="inlineStr">
        <is>
          <t>Autre</t>
        </is>
      </c>
      <c r="AB278" s="16" t="n">
        <v>3</v>
      </c>
      <c r="AC278" s="10" t="inlineStr">
        <is>
          <t>Berline</t>
        </is>
      </c>
      <c r="AD278" s="10" t="inlineStr">
        <is>
          <t>Carnet d'entretien disponible, Factures disponibles, Réparations utiles déjà faites</t>
        </is>
      </c>
      <c r="AE278" s="10" t="inlineStr">
        <is>
          <t>Véhicule importé</t>
        </is>
      </c>
      <c r="AF278" s="10" t="inlineStr">
        <is>
          <t>Particulier</t>
        </is>
      </c>
      <c r="AG278" s="10" t="inlineStr">
        <is>
          <t>Lantenne-Vertière</t>
        </is>
      </c>
      <c r="AH278" s="10" t="inlineStr">
        <is>
          <t>25170</t>
        </is>
      </c>
      <c r="AI278" s="10" t="inlineStr">
        <is>
          <t>Doubs</t>
        </is>
      </c>
      <c r="AJ278" s="10" t="inlineStr">
        <is>
          <t>Franche-Comté</t>
        </is>
      </c>
      <c r="AK278" s="16" t="n">
        <v>1</v>
      </c>
      <c r="AL278" s="10" t="n"/>
      <c r="AM278" s="10" t="inlineStr">
        <is>
          <t>Non</t>
        </is>
      </c>
      <c r="AN278" s="10" t="inlineStr">
        <is>
          <t>Je vends ma Peugeot 206 RC de 2004, une citadine sportive avec 123 000 km au compteur. - Marque : Peugeot - Modèle : 206 - Finition : RC - Année : 2004 - Kilométrage : 123 000 km - Motorisation : 2.0 16V 180 ch - Carburant : Essence - Boîte de vitesses : Manuelle - Type de véhicule : Berline - Nombre de portes : 3 - Nombre de sièges : 5 - Puissance fiscale : 11 Cv - Options principales : Sièges sport RC, Jantes alliage - Crit'air : Non classé N'hésitez pas à me contacter pour plus d'informations</t>
        </is>
      </c>
      <c r="AO278" s="10" t="inlineStr">
        <is>
          <t>Dommages : Bon état général ; Permis : Avec permis ; Importé : false</t>
        </is>
      </c>
      <c r="AP278" s="19" t="inlineStr">
        <is>
          <t>Voir</t>
        </is>
      </c>
      <c r="AQ278" s="10" t="inlineStr">
        <is>
          <t>3268704461</t>
        </is>
      </c>
    </row>
    <row r="279">
      <c r="A279" s="10" t="inlineStr">
        <is>
          <t>Peugeot 206 RC</t>
        </is>
      </c>
      <c r="B279" s="10" t="inlineStr">
        <is>
          <t>206 rc</t>
        </is>
      </c>
      <c r="C279" s="10" t="inlineStr">
        <is>
          <t>206 2.0 16v RC 3p</t>
        </is>
      </c>
      <c r="D279" s="10" t="inlineStr">
        <is>
          <t>RC</t>
        </is>
      </c>
      <c r="E279" s="10" t="inlineStr">
        <is>
          <t>En vente</t>
        </is>
      </c>
      <c r="F279" s="18" t="n">
        <v>46281</v>
      </c>
      <c r="G279" s="18" t="n">
        <v>46296</v>
      </c>
      <c r="H279" s="18" t="n">
        <v>46310</v>
      </c>
      <c r="I279" s="18" t="n"/>
      <c r="J279" s="17">
        <f>IF(OR(ISNUMBER(F279),ISNUMBER(G279)),IF(ISNUMBER(I279),I279,H279)-IF(ISNUMBER(F279),F279,G279),"")</f>
        <v/>
      </c>
      <c r="K279" s="12" t="n">
        <v>11500</v>
      </c>
      <c r="L279" s="12" t="n">
        <v>11500</v>
      </c>
      <c r="M279" s="13">
        <f>IF(AND(ISNUMBER(K279),ISNUMBER(L279),K279&gt;0),1-L279/K279,"")</f>
        <v/>
      </c>
      <c r="N279" s="16" t="n">
        <v>0</v>
      </c>
      <c r="O279" s="12" t="n"/>
      <c r="P279" s="12" t="n"/>
      <c r="Q279" s="12" t="n"/>
      <c r="R279" s="14">
        <f>IF(AND(ISNUMBER(L279),ISNUMBER(P279),ISNUMBER(Q279)),L279/((P279+Q279)/2)-1,"")</f>
        <v/>
      </c>
      <c r="S279" s="10" t="n"/>
      <c r="T279" s="15" t="n">
        <v>120000</v>
      </c>
      <c r="U279" s="16" t="n">
        <v>2005</v>
      </c>
      <c r="V279" s="10" t="inlineStr">
        <is>
          <t>10/2005</t>
        </is>
      </c>
      <c r="W279" s="10" t="inlineStr">
        <is>
          <t>Essence</t>
        </is>
      </c>
      <c r="X279" s="10" t="inlineStr">
        <is>
          <t>Manuelle</t>
        </is>
      </c>
      <c r="Y279" s="16" t="n">
        <v>180</v>
      </c>
      <c r="Z279" s="16" t="n">
        <v>11</v>
      </c>
      <c r="AA279" s="10" t="inlineStr">
        <is>
          <t>Autre</t>
        </is>
      </c>
      <c r="AB279" s="16" t="n">
        <v>3</v>
      </c>
      <c r="AC279" s="10" t="inlineStr">
        <is>
          <t>Berline</t>
        </is>
      </c>
      <c r="AD279" s="10" t="n"/>
      <c r="AE279" s="10" t="n"/>
      <c r="AF279" s="10" t="inlineStr">
        <is>
          <t>Particulier</t>
        </is>
      </c>
      <c r="AG279" s="10" t="inlineStr">
        <is>
          <t>Béziers</t>
        </is>
      </c>
      <c r="AH279" s="10" t="inlineStr">
        <is>
          <t>34500</t>
        </is>
      </c>
      <c r="AI279" s="10" t="inlineStr">
        <is>
          <t>Hérault</t>
        </is>
      </c>
      <c r="AJ279" s="10" t="inlineStr">
        <is>
          <t>Languedoc-Roussillon</t>
        </is>
      </c>
      <c r="AK279" s="16" t="n">
        <v>3</v>
      </c>
      <c r="AL279" s="10" t="n"/>
      <c r="AM279" s="10" t="inlineStr">
        <is>
          <t>Non</t>
        </is>
      </c>
      <c r="AN279" s="10" t="inlineStr">
        <is>
          <t>Je vends ma Peugeot 206 RC de 2005, une citadine sportive avec 120 000 km au compteur. - Marque : Peugeot - Modèle : 206 - Finition : RC - Année : 2005 - Kilométrage : 120 000 km - Motorisation : 2.0 16v 180 ch - Puissance fiscale : 11 Cv - Carburant : Essence - Boîte de vitesses : Manuelle - Type de véhicule : Berline - Nombre de portes : 3 - Nombre de sièges : 5 - Couleur : Autre - Contrôle technique : Valide N'hésitez pas à me contacter pour plus d'informations ou pour convenir d'un essai !</t>
        </is>
      </c>
      <c r="AO279" s="10" t="inlineStr">
        <is>
          <t>vehicle_technical_inspection_valid : Oui ; Dommages : Bon état général ; Permis : Avec permis ; Importé : false</t>
        </is>
      </c>
      <c r="AP279" s="19" t="inlineStr">
        <is>
          <t>Voir</t>
        </is>
      </c>
      <c r="AQ279" s="10" t="inlineStr">
        <is>
          <t>3270523427</t>
        </is>
      </c>
    </row>
    <row r="280">
      <c r="A280" s="10" t="inlineStr">
        <is>
          <t>Peugeot 206 RC</t>
        </is>
      </c>
      <c r="B280" s="10" t="inlineStr">
        <is>
          <t>206 rc</t>
        </is>
      </c>
      <c r="C280" s="10" t="n"/>
      <c r="D280" s="10" t="n"/>
      <c r="E280" s="10" t="inlineStr">
        <is>
          <t>En vente</t>
        </is>
      </c>
      <c r="F280" s="18" t="n">
        <v>46282</v>
      </c>
      <c r="G280" s="18" t="n">
        <v>46296</v>
      </c>
      <c r="H280" s="18" t="n">
        <v>46310</v>
      </c>
      <c r="I280" s="18" t="n"/>
      <c r="J280" s="17">
        <f>IF(OR(ISNUMBER(F280),ISNUMBER(G280)),IF(ISNUMBER(I280),I280,H280)-IF(ISNUMBER(F280),F280,G280),"")</f>
        <v/>
      </c>
      <c r="K280" s="12" t="n">
        <v>7000</v>
      </c>
      <c r="L280" s="12" t="n">
        <v>7000</v>
      </c>
      <c r="M280" s="13">
        <f>IF(AND(ISNUMBER(K280),ISNUMBER(L280),K280&gt;0),1-L280/K280,"")</f>
        <v/>
      </c>
      <c r="N280" s="16" t="n">
        <v>0</v>
      </c>
      <c r="O280" s="12" t="n"/>
      <c r="P280" s="12" t="n"/>
      <c r="Q280" s="12" t="n"/>
      <c r="R280" s="14">
        <f>IF(AND(ISNUMBER(L280),ISNUMBER(P280),ISNUMBER(Q280)),L280/((P280+Q280)/2)-1,"")</f>
        <v/>
      </c>
      <c r="S280" s="10" t="n"/>
      <c r="T280" s="15" t="n">
        <v>254000</v>
      </c>
      <c r="U280" s="16" t="n">
        <v>2003</v>
      </c>
      <c r="V280" s="10" t="inlineStr">
        <is>
          <t>11/2003</t>
        </is>
      </c>
      <c r="W280" s="10" t="inlineStr">
        <is>
          <t>Essence</t>
        </is>
      </c>
      <c r="X280" s="10" t="inlineStr">
        <is>
          <t>Manuelle</t>
        </is>
      </c>
      <c r="Y280" s="16" t="n">
        <v>180</v>
      </c>
      <c r="Z280" s="16" t="n">
        <v>11</v>
      </c>
      <c r="AA280" s="10" t="inlineStr">
        <is>
          <t>Bleu</t>
        </is>
      </c>
      <c r="AB280" s="16" t="n">
        <v>3</v>
      </c>
      <c r="AC280" s="10" t="inlineStr">
        <is>
          <t>Berline</t>
        </is>
      </c>
      <c r="AD280" s="10" t="n"/>
      <c r="AE280" s="10" t="n"/>
      <c r="AF280" s="10" t="inlineStr">
        <is>
          <t>Particulier</t>
        </is>
      </c>
      <c r="AG280" s="10" t="inlineStr">
        <is>
          <t>Montpellier</t>
        </is>
      </c>
      <c r="AH280" s="10" t="inlineStr">
        <is>
          <t>34000</t>
        </is>
      </c>
      <c r="AI280" s="10" t="inlineStr">
        <is>
          <t>Hérault</t>
        </is>
      </c>
      <c r="AJ280" s="10" t="inlineStr">
        <is>
          <t>Languedoc-Roussillon</t>
        </is>
      </c>
      <c r="AK280" s="16" t="n">
        <v>1</v>
      </c>
      <c r="AL280" s="10" t="n"/>
      <c r="AM280" s="10" t="inlineStr">
        <is>
          <t>Non</t>
        </is>
      </c>
      <c r="AN280" s="10" t="inlineStr">
        <is>
          <t>Vend 206 rc Combinée bilstein avant rotulé ar Distribution embrayage fait il a 1 ans</t>
        </is>
      </c>
      <c r="AO280" s="10" t="inlineStr">
        <is>
          <t>Permis : Avec permis ; Importé : false</t>
        </is>
      </c>
      <c r="AP280" s="19" t="inlineStr">
        <is>
          <t>Voir</t>
        </is>
      </c>
      <c r="AQ280" s="10" t="inlineStr">
        <is>
          <t>3271661241</t>
        </is>
      </c>
    </row>
    <row r="281">
      <c r="A281" s="10" t="inlineStr">
        <is>
          <t>Peugeot 206 RC</t>
        </is>
      </c>
      <c r="B281" s="10" t="inlineStr">
        <is>
          <t>206 rc</t>
        </is>
      </c>
      <c r="C281" s="10" t="inlineStr">
        <is>
          <t>206 2.0 16v  RC 3p</t>
        </is>
      </c>
      <c r="D281" s="10" t="inlineStr">
        <is>
          <t>RC</t>
        </is>
      </c>
      <c r="E281" s="10" t="inlineStr">
        <is>
          <t>En vente</t>
        </is>
      </c>
      <c r="F281" s="18" t="n">
        <v>46285</v>
      </c>
      <c r="G281" s="18" t="n">
        <v>46296</v>
      </c>
      <c r="H281" s="18" t="n">
        <v>46310</v>
      </c>
      <c r="I281" s="18" t="n"/>
      <c r="J281" s="17">
        <f>IF(OR(ISNUMBER(F281),ISNUMBER(G281)),IF(ISNUMBER(I281),I281,H281)-IF(ISNUMBER(F281),F281,G281),"")</f>
        <v/>
      </c>
      <c r="K281" s="12" t="n">
        <v>5900</v>
      </c>
      <c r="L281" s="12" t="n">
        <v>5900</v>
      </c>
      <c r="M281" s="13">
        <f>IF(AND(ISNUMBER(K281),ISNUMBER(L281),K281&gt;0),1-L281/K281,"")</f>
        <v/>
      </c>
      <c r="N281" s="16" t="n">
        <v>0</v>
      </c>
      <c r="O281" s="12" t="n"/>
      <c r="P281" s="12" t="n"/>
      <c r="Q281" s="12" t="n"/>
      <c r="R281" s="14">
        <f>IF(AND(ISNUMBER(L281),ISNUMBER(P281),ISNUMBER(Q281)),L281/((P281+Q281)/2)-1,"")</f>
        <v/>
      </c>
      <c r="S281" s="10" t="n"/>
      <c r="T281" s="15" t="n">
        <v>159000</v>
      </c>
      <c r="U281" s="16" t="n">
        <v>2003</v>
      </c>
      <c r="V281" s="10" t="inlineStr">
        <is>
          <t>08/2003</t>
        </is>
      </c>
      <c r="W281" s="10" t="inlineStr">
        <is>
          <t>Essence</t>
        </is>
      </c>
      <c r="X281" s="10" t="inlineStr">
        <is>
          <t>Manuelle</t>
        </is>
      </c>
      <c r="Y281" s="16" t="n">
        <v>180</v>
      </c>
      <c r="Z281" s="16" t="n">
        <v>11</v>
      </c>
      <c r="AA281" s="10" t="inlineStr">
        <is>
          <t>Autre</t>
        </is>
      </c>
      <c r="AB281" s="16" t="n">
        <v>3</v>
      </c>
      <c r="AC281" s="10" t="inlineStr">
        <is>
          <t>Berline</t>
        </is>
      </c>
      <c r="AD281" s="10" t="n"/>
      <c r="AE281" s="10" t="n"/>
      <c r="AF281" s="10" t="inlineStr">
        <is>
          <t>Particulier</t>
        </is>
      </c>
      <c r="AG281" s="10" t="inlineStr">
        <is>
          <t>Tulle</t>
        </is>
      </c>
      <c r="AH281" s="10" t="inlineStr">
        <is>
          <t>19000</t>
        </is>
      </c>
      <c r="AI281" s="10" t="inlineStr">
        <is>
          <t>Corrèze</t>
        </is>
      </c>
      <c r="AJ281" s="10" t="inlineStr">
        <is>
          <t>Limousin</t>
        </is>
      </c>
      <c r="AK281" s="16" t="n">
        <v>3</v>
      </c>
      <c r="AL281" s="10" t="n"/>
      <c r="AM281" s="10" t="inlineStr">
        <is>
          <t>Non</t>
        </is>
      </c>
      <c r="AN281" s="10" t="inlineStr">
        <is>
          <t>206 rc roulante à RESTAURER Vente cause pas le temps de m’en occuper suite à restauration maison. Point à revoir. Carrosserie, peinture des jantes. Problème essuie glace arrière qui s’active en permanence en marche arrière et autoradio qui monte tout seul. Sellerie dans son jus avec usure ordinaire des sièges de rc 4 pneus neufs. Je ne possède pas de factures. PAS LA PEINE DE M’EN PROPOSER 2000€ Les rêveurs passez votre chemin. pas d’échanges.</t>
        </is>
      </c>
      <c r="AO281" s="10" t="inlineStr">
        <is>
          <t>Permis : Avec permis ; Importé : false</t>
        </is>
      </c>
      <c r="AP281" s="19" t="inlineStr">
        <is>
          <t>Voir</t>
        </is>
      </c>
      <c r="AQ281" s="10" t="inlineStr">
        <is>
          <t>3273170431</t>
        </is>
      </c>
    </row>
    <row r="282">
      <c r="A282" s="10" t="inlineStr">
        <is>
          <t>Peugeot 206 RC</t>
        </is>
      </c>
      <c r="B282" s="10" t="inlineStr">
        <is>
          <t>Peugeot 206 Rc</t>
        </is>
      </c>
      <c r="C282" s="10" t="inlineStr">
        <is>
          <t>206 2.0 16v  RC 3p</t>
        </is>
      </c>
      <c r="D282" s="10" t="inlineStr">
        <is>
          <t>RC</t>
        </is>
      </c>
      <c r="E282" s="10" t="inlineStr">
        <is>
          <t>En vente</t>
        </is>
      </c>
      <c r="F282" s="18" t="n">
        <v>46288</v>
      </c>
      <c r="G282" s="18" t="n">
        <v>46296</v>
      </c>
      <c r="H282" s="18" t="n">
        <v>46310</v>
      </c>
      <c r="I282" s="18" t="n"/>
      <c r="J282" s="17">
        <f>IF(OR(ISNUMBER(F282),ISNUMBER(G282)),IF(ISNUMBER(I282),I282,H282)-IF(ISNUMBER(F282),F282,G282),"")</f>
        <v/>
      </c>
      <c r="K282" s="12" t="n">
        <v>8000</v>
      </c>
      <c r="L282" s="12" t="n">
        <v>8000</v>
      </c>
      <c r="M282" s="13">
        <f>IF(AND(ISNUMBER(K282),ISNUMBER(L282),K282&gt;0),1-L282/K282,"")</f>
        <v/>
      </c>
      <c r="N282" s="16" t="n">
        <v>0</v>
      </c>
      <c r="O282" s="12" t="n"/>
      <c r="P282" s="12" t="n"/>
      <c r="Q282" s="12" t="n"/>
      <c r="R282" s="14">
        <f>IF(AND(ISNUMBER(L282),ISNUMBER(P282),ISNUMBER(Q282)),L282/((P282+Q282)/2)-1,"")</f>
        <v/>
      </c>
      <c r="S282" s="10" t="n"/>
      <c r="T282" s="15" t="n">
        <v>222000</v>
      </c>
      <c r="U282" s="16" t="n">
        <v>2004</v>
      </c>
      <c r="V282" s="10" t="inlineStr">
        <is>
          <t>04/2004</t>
        </is>
      </c>
      <c r="W282" s="10" t="inlineStr">
        <is>
          <t>Essence</t>
        </is>
      </c>
      <c r="X282" s="10" t="inlineStr">
        <is>
          <t>Manuelle</t>
        </is>
      </c>
      <c r="Y282" s="16" t="n">
        <v>180</v>
      </c>
      <c r="Z282" s="16" t="n">
        <v>11</v>
      </c>
      <c r="AA282" s="10" t="inlineStr">
        <is>
          <t>Rouge</t>
        </is>
      </c>
      <c r="AB282" s="16" t="n">
        <v>3</v>
      </c>
      <c r="AC282" s="10" t="inlineStr">
        <is>
          <t>Berline</t>
        </is>
      </c>
      <c r="AD282" s="10" t="n"/>
      <c r="AE282" s="10" t="n"/>
      <c r="AF282" s="10" t="inlineStr">
        <is>
          <t>Particulier</t>
        </is>
      </c>
      <c r="AG282" s="10" t="inlineStr">
        <is>
          <t>Saint-Cyr-les-Vignes</t>
        </is>
      </c>
      <c r="AH282" s="10" t="inlineStr">
        <is>
          <t>42210</t>
        </is>
      </c>
      <c r="AI282" s="10" t="inlineStr">
        <is>
          <t>Loire</t>
        </is>
      </c>
      <c r="AJ282" s="10" t="inlineStr">
        <is>
          <t>Rhône-Alpes</t>
        </is>
      </c>
      <c r="AK282" s="16" t="n">
        <v>3</v>
      </c>
      <c r="AL282" s="10" t="n"/>
      <c r="AM282" s="10" t="inlineStr">
        <is>
          <t>Non</t>
        </is>
      </c>
      <c r="AN282" s="10" t="inlineStr">
        <is>
          <t xml:space="preserve">Je vends ma Peugeot 206 RC de 2004. - Marque : Peugeot - Modèle : 206 - Finition : RC - Année : 2004 - Kilométrage : 222 000 km - Motorisation : 2.0 16v 180 ch - Puissance fiscale : 11 Cv - Carburant : Essence / éthanol - Boîte de vitesses : Manuelle - Couleur : Rouge - embrayage remplacé il y a environ 50000 klm - distribution 2 ans et environ 5000 klm - entretien tout les filtres + bougies iridium - tout les freins sont comme neuf - reprogrammation à l’éthanol - 4 jante Braid en très bon état </t>
        </is>
      </c>
      <c r="AO282" s="10" t="inlineStr">
        <is>
          <t>Permis : Avec permis ; Importé : false ; vehicle_history_report_status : visible</t>
        </is>
      </c>
      <c r="AP282" s="19" t="inlineStr">
        <is>
          <t>Voir</t>
        </is>
      </c>
      <c r="AQ282" s="10" t="inlineStr">
        <is>
          <t>3275009272</t>
        </is>
      </c>
    </row>
    <row r="283">
      <c r="A283" s="10" t="inlineStr">
        <is>
          <t>Peugeot 206 RC</t>
        </is>
      </c>
      <c r="B283" s="10" t="inlineStr">
        <is>
          <t>206 rc</t>
        </is>
      </c>
      <c r="C283" s="10" t="n"/>
      <c r="D283" s="10" t="n"/>
      <c r="E283" s="10" t="inlineStr">
        <is>
          <t>En vente</t>
        </is>
      </c>
      <c r="F283" s="18" t="n">
        <v>46289</v>
      </c>
      <c r="G283" s="18" t="n">
        <v>46296</v>
      </c>
      <c r="H283" s="18" t="n">
        <v>46310</v>
      </c>
      <c r="I283" s="18" t="n"/>
      <c r="J283" s="17">
        <f>IF(OR(ISNUMBER(F283),ISNUMBER(G283)),IF(ISNUMBER(I283),I283,H283)-IF(ISNUMBER(F283),F283,G283),"")</f>
        <v/>
      </c>
      <c r="K283" s="12" t="n">
        <v>13499</v>
      </c>
      <c r="L283" s="12" t="n">
        <v>13499</v>
      </c>
      <c r="M283" s="13">
        <f>IF(AND(ISNUMBER(K283),ISNUMBER(L283),K283&gt;0),1-L283/K283,"")</f>
        <v/>
      </c>
      <c r="N283" s="16" t="n">
        <v>0</v>
      </c>
      <c r="O283" s="12" t="n"/>
      <c r="P283" s="12" t="n"/>
      <c r="Q283" s="12" t="n"/>
      <c r="R283" s="14">
        <f>IF(AND(ISNUMBER(L283),ISNUMBER(P283),ISNUMBER(Q283)),L283/((P283+Q283)/2)-1,"")</f>
        <v/>
      </c>
      <c r="S283" s="10" t="n"/>
      <c r="T283" s="15" t="n">
        <v>128000</v>
      </c>
      <c r="U283" s="16" t="n">
        <v>2006</v>
      </c>
      <c r="V283" s="10" t="inlineStr">
        <is>
          <t>02/2006</t>
        </is>
      </c>
      <c r="W283" s="10" t="inlineStr">
        <is>
          <t>Essence</t>
        </is>
      </c>
      <c r="X283" s="10" t="inlineStr">
        <is>
          <t>Manuelle</t>
        </is>
      </c>
      <c r="Y283" s="16" t="n">
        <v>180</v>
      </c>
      <c r="Z283" s="16" t="n">
        <v>11</v>
      </c>
      <c r="AA283" s="10" t="inlineStr">
        <is>
          <t>Noir</t>
        </is>
      </c>
      <c r="AB283" s="16" t="n">
        <v>3</v>
      </c>
      <c r="AC283" s="10" t="inlineStr">
        <is>
          <t>Berline</t>
        </is>
      </c>
      <c r="AD283" s="10" t="n"/>
      <c r="AE283" s="10" t="n"/>
      <c r="AF283" s="10" t="inlineStr">
        <is>
          <t>Particulier</t>
        </is>
      </c>
      <c r="AG283" s="10" t="inlineStr">
        <is>
          <t>Saint-Hilaire-Saint-Mesmin</t>
        </is>
      </c>
      <c r="AH283" s="10" t="inlineStr">
        <is>
          <t>45160</t>
        </is>
      </c>
      <c r="AI283" s="10" t="inlineStr">
        <is>
          <t>Loiret</t>
        </is>
      </c>
      <c r="AJ283" s="10" t="inlineStr">
        <is>
          <t>Centre</t>
        </is>
      </c>
      <c r="AK283" s="16" t="n">
        <v>3</v>
      </c>
      <c r="AL283" s="10" t="n"/>
      <c r="AM283" s="10" t="inlineStr">
        <is>
          <t>Non</t>
        </is>
      </c>
      <c r="AN283" s="10" t="inlineStr">
        <is>
          <t>Bonjour, je vends ma 206RC. Elle roule tous les jours (daily) Gros frais récent: Roulements avant changer, suspension avant changer, bielettes changer, triangles changer, 4 Michelin pilot sport5. Les 2 siège sont en bonne état même le conducteur, défauts esthétique pour le moment jantes a repeindre, peinture en bonne état, coffre marqué avec un coup. Envoyer moi un message via LBC.</t>
        </is>
      </c>
      <c r="AO283" s="10" t="inlineStr">
        <is>
          <t>vehicle_technical_inspection_valid : Oui ; Permis : Avec permis ; Importé : false</t>
        </is>
      </c>
      <c r="AP283" s="19" t="inlineStr">
        <is>
          <t>Voir</t>
        </is>
      </c>
      <c r="AQ283" s="10" t="inlineStr">
        <is>
          <t>3276061576</t>
        </is>
      </c>
    </row>
    <row r="284">
      <c r="A284" s="10" t="inlineStr">
        <is>
          <t>Peugeot 206 RC</t>
        </is>
      </c>
      <c r="B284" s="10" t="inlineStr">
        <is>
          <t>Peugeot 206 rc</t>
        </is>
      </c>
      <c r="C284" s="10" t="n"/>
      <c r="D284" s="10" t="n"/>
      <c r="E284" s="10" t="inlineStr">
        <is>
          <t>En vente</t>
        </is>
      </c>
      <c r="F284" s="18" t="n">
        <v>46292</v>
      </c>
      <c r="G284" s="18" t="n">
        <v>46296</v>
      </c>
      <c r="H284" s="18" t="n">
        <v>46310</v>
      </c>
      <c r="I284" s="18" t="n"/>
      <c r="J284" s="17">
        <f>IF(OR(ISNUMBER(F284),ISNUMBER(G284)),IF(ISNUMBER(I284),I284,H284)-IF(ISNUMBER(F284),F284,G284),"")</f>
        <v/>
      </c>
      <c r="K284" s="12" t="n">
        <v>11000</v>
      </c>
      <c r="L284" s="12" t="n">
        <v>11000</v>
      </c>
      <c r="M284" s="13">
        <f>IF(AND(ISNUMBER(K284),ISNUMBER(L284),K284&gt;0),1-L284/K284,"")</f>
        <v/>
      </c>
      <c r="N284" s="16" t="n">
        <v>0</v>
      </c>
      <c r="O284" s="12" t="n"/>
      <c r="P284" s="12" t="n"/>
      <c r="Q284" s="12" t="n"/>
      <c r="R284" s="14">
        <f>IF(AND(ISNUMBER(L284),ISNUMBER(P284),ISNUMBER(Q284)),L284/((P284+Q284)/2)-1,"")</f>
        <v/>
      </c>
      <c r="S284" s="10" t="n"/>
      <c r="T284" s="15" t="n">
        <v>182000</v>
      </c>
      <c r="U284" s="16" t="n">
        <v>2003</v>
      </c>
      <c r="V284" s="10" t="inlineStr">
        <is>
          <t>08/2003</t>
        </is>
      </c>
      <c r="W284" s="10" t="inlineStr">
        <is>
          <t>Essence</t>
        </is>
      </c>
      <c r="X284" s="10" t="inlineStr">
        <is>
          <t>Manuelle</t>
        </is>
      </c>
      <c r="Y284" s="16" t="n">
        <v>180</v>
      </c>
      <c r="Z284" s="16" t="n">
        <v>11</v>
      </c>
      <c r="AA284" s="10" t="inlineStr">
        <is>
          <t>Noir</t>
        </is>
      </c>
      <c r="AB284" s="16" t="n">
        <v>3</v>
      </c>
      <c r="AC284" s="10" t="inlineStr">
        <is>
          <t>Berline</t>
        </is>
      </c>
      <c r="AD284" s="10" t="n"/>
      <c r="AE284" s="10" t="n"/>
      <c r="AF284" s="10" t="inlineStr">
        <is>
          <t>Particulier</t>
        </is>
      </c>
      <c r="AG284" s="10" t="inlineStr">
        <is>
          <t>Saint-Cyr-de-Favières</t>
        </is>
      </c>
      <c r="AH284" s="10" t="inlineStr">
        <is>
          <t>42123</t>
        </is>
      </c>
      <c r="AI284" s="10" t="inlineStr">
        <is>
          <t>Loire</t>
        </is>
      </c>
      <c r="AJ284" s="10" t="inlineStr">
        <is>
          <t>Rhône-Alpes</t>
        </is>
      </c>
      <c r="AK284" s="16" t="n">
        <v>3</v>
      </c>
      <c r="AL284" s="10" t="n"/>
      <c r="AM284" s="10" t="inlineStr">
        <is>
          <t>Non</t>
        </is>
      </c>
      <c r="AN284" s="10" t="inlineStr">
        <is>
          <t>Je met en vente ma Peugeot 206 rc affichant 182000km au compteur Importé d’Allemagne en 2014 cette RC a connu 8 propriétaires. J’ai acheté le véhicule en 2025 et entrepris de nombreux travaux avec pour objectif de mettre la voiture prête à être collectionnée. Septembre 2025 : train arrière neuf + 4 amortisseurs Fevrier 2026: révision et bougies Avril à juin 2026 : peinture complète + jantes Septembre 2026: embrayage et triangle avant Il y a aussi dessus : durites aviation, frein brembo et plaque</t>
        </is>
      </c>
      <c r="AO284" s="10" t="inlineStr">
        <is>
          <t>Permis : Avec permis ; Importé : false</t>
        </is>
      </c>
      <c r="AP284" s="19" t="inlineStr">
        <is>
          <t>Voir</t>
        </is>
      </c>
      <c r="AQ284" s="10" t="inlineStr">
        <is>
          <t>3277840482</t>
        </is>
      </c>
    </row>
    <row r="285">
      <c r="A285" s="10" t="inlineStr">
        <is>
          <t>Peugeot 206 RC</t>
        </is>
      </c>
      <c r="B285" s="10" t="inlineStr">
        <is>
          <t>206 rc</t>
        </is>
      </c>
      <c r="C285" s="10" t="n"/>
      <c r="D285" s="10" t="n"/>
      <c r="E285" s="10" t="inlineStr">
        <is>
          <t>En vente</t>
        </is>
      </c>
      <c r="F285" s="18" t="n">
        <v>46293</v>
      </c>
      <c r="G285" s="18" t="n">
        <v>46296</v>
      </c>
      <c r="H285" s="18" t="n">
        <v>46310</v>
      </c>
      <c r="I285" s="18" t="n"/>
      <c r="J285" s="17">
        <f>IF(OR(ISNUMBER(F285),ISNUMBER(G285)),IF(ISNUMBER(I285),I285,H285)-IF(ISNUMBER(F285),F285,G285),"")</f>
        <v/>
      </c>
      <c r="K285" s="12" t="n">
        <v>6000</v>
      </c>
      <c r="L285" s="12" t="n">
        <v>6000</v>
      </c>
      <c r="M285" s="13">
        <f>IF(AND(ISNUMBER(K285),ISNUMBER(L285),K285&gt;0),1-L285/K285,"")</f>
        <v/>
      </c>
      <c r="N285" s="16" t="n">
        <v>0</v>
      </c>
      <c r="O285" s="12" t="n"/>
      <c r="P285" s="12" t="n"/>
      <c r="Q285" s="12" t="n"/>
      <c r="R285" s="14">
        <f>IF(AND(ISNUMBER(L285),ISNUMBER(P285),ISNUMBER(Q285)),L285/((P285+Q285)/2)-1,"")</f>
        <v/>
      </c>
      <c r="S285" s="10" t="n"/>
      <c r="T285" s="15" t="n">
        <v>291000</v>
      </c>
      <c r="U285" s="16" t="n">
        <v>2003</v>
      </c>
      <c r="V285" s="10" t="inlineStr">
        <is>
          <t>07/2003</t>
        </is>
      </c>
      <c r="W285" s="10" t="inlineStr">
        <is>
          <t>Essence</t>
        </is>
      </c>
      <c r="X285" s="10" t="inlineStr">
        <is>
          <t>Manuelle</t>
        </is>
      </c>
      <c r="Y285" s="16" t="n">
        <v>180</v>
      </c>
      <c r="Z285" s="16" t="n">
        <v>11</v>
      </c>
      <c r="AA285" s="10" t="inlineStr">
        <is>
          <t>Noir</t>
        </is>
      </c>
      <c r="AB285" s="16" t="n">
        <v>3</v>
      </c>
      <c r="AC285" s="10" t="inlineStr">
        <is>
          <t>Berline</t>
        </is>
      </c>
      <c r="AD285" s="10" t="inlineStr">
        <is>
          <t>Factures disponibles</t>
        </is>
      </c>
      <c r="AE285" s="10" t="n"/>
      <c r="AF285" s="10" t="inlineStr">
        <is>
          <t>Particulier</t>
        </is>
      </c>
      <c r="AG285" s="10" t="inlineStr">
        <is>
          <t>La Côte-Saint-André</t>
        </is>
      </c>
      <c r="AH285" s="10" t="inlineStr">
        <is>
          <t>38260</t>
        </is>
      </c>
      <c r="AI285" s="10" t="inlineStr">
        <is>
          <t>Isère</t>
        </is>
      </c>
      <c r="AJ285" s="10" t="inlineStr">
        <is>
          <t>Rhône-Alpes</t>
        </is>
      </c>
      <c r="AK285" s="16" t="n">
        <v>3</v>
      </c>
      <c r="AL285" s="10" t="n"/>
      <c r="AM285" s="10" t="inlineStr">
        <is>
          <t>Non</t>
        </is>
      </c>
      <c r="AN285" s="10" t="inlineStr">
        <is>
          <t>Je vends ma Peugeot 206 RC de 2003, - Marque : Peugeot - Modèle : 206 RC - Année : 2003 - Kilométrage : 291 000 km - Motorisation : 180 Ch - Puissance fiscale : 11 Cv - Carburant : Essence - Boîte de vitesses : Manuelle - Couleur : Noir - Type de véhicule : Berline - Nombre de portes : 3 - Nombre de sièges : 5 - Contrôle technique : Valide N'hésitez pas à me contacter pour plus d'informations ou pour convenir d'un essai !</t>
        </is>
      </c>
      <c r="AO285" s="10" t="inlineStr">
        <is>
          <t>vehicle_technical_inspection_valid : Oui ; Dommages : Bon état général ; Sellerie : Alcantara ; Permis : Avec permis ; Importé : false</t>
        </is>
      </c>
      <c r="AP285" s="19" t="inlineStr">
        <is>
          <t>Voir</t>
        </is>
      </c>
      <c r="AQ285" s="10" t="inlineStr">
        <is>
          <t>3278317897</t>
        </is>
      </c>
    </row>
    <row r="286">
      <c r="A286" s="10" t="inlineStr">
        <is>
          <t>Peugeot 206 RC</t>
        </is>
      </c>
      <c r="B286" s="10" t="inlineStr">
        <is>
          <t>206 rc</t>
        </is>
      </c>
      <c r="C286" s="10" t="inlineStr">
        <is>
          <t>206 2.0 16v  RC 3p</t>
        </is>
      </c>
      <c r="D286" s="10" t="inlineStr">
        <is>
          <t>RC</t>
        </is>
      </c>
      <c r="E286" s="10" t="inlineStr">
        <is>
          <t>En vente</t>
        </is>
      </c>
      <c r="F286" s="18" t="n">
        <v>46294</v>
      </c>
      <c r="G286" s="18" t="n">
        <v>46296</v>
      </c>
      <c r="H286" s="18" t="n">
        <v>46310</v>
      </c>
      <c r="I286" s="18" t="n"/>
      <c r="J286" s="17">
        <f>IF(OR(ISNUMBER(F286),ISNUMBER(G286)),IF(ISNUMBER(I286),I286,H286)-IF(ISNUMBER(F286),F286,G286),"")</f>
        <v/>
      </c>
      <c r="K286" s="12" t="n">
        <v>9000</v>
      </c>
      <c r="L286" s="12" t="n">
        <v>9000</v>
      </c>
      <c r="M286" s="13">
        <f>IF(AND(ISNUMBER(K286),ISNUMBER(L286),K286&gt;0),1-L286/K286,"")</f>
        <v/>
      </c>
      <c r="N286" s="16" t="n">
        <v>0</v>
      </c>
      <c r="O286" s="12" t="n"/>
      <c r="P286" s="12" t="n"/>
      <c r="Q286" s="12" t="n"/>
      <c r="R286" s="14">
        <f>IF(AND(ISNUMBER(L286),ISNUMBER(P286),ISNUMBER(Q286)),L286/((P286+Q286)/2)-1,"")</f>
        <v/>
      </c>
      <c r="S286" s="10" t="n"/>
      <c r="T286" s="15" t="n">
        <v>203368</v>
      </c>
      <c r="U286" s="16" t="n">
        <v>2004</v>
      </c>
      <c r="V286" s="10" t="inlineStr">
        <is>
          <t>10/2004</t>
        </is>
      </c>
      <c r="W286" s="10" t="inlineStr">
        <is>
          <t>Essence</t>
        </is>
      </c>
      <c r="X286" s="10" t="inlineStr">
        <is>
          <t>Manuelle</t>
        </is>
      </c>
      <c r="Y286" s="16" t="n">
        <v>180</v>
      </c>
      <c r="Z286" s="16" t="n">
        <v>11</v>
      </c>
      <c r="AA286" s="10" t="inlineStr">
        <is>
          <t>Bleu</t>
        </is>
      </c>
      <c r="AB286" s="16" t="n">
        <v>3</v>
      </c>
      <c r="AC286" s="10" t="inlineStr">
        <is>
          <t>Berline</t>
        </is>
      </c>
      <c r="AD286" s="10" t="inlineStr">
        <is>
          <t>Carnet d'entretien disponible, Factures disponibles, Véhicule non fumeur, Réparations utiles déjà faites</t>
        </is>
      </c>
      <c r="AE286" s="10" t="inlineStr">
        <is>
          <t>Première main</t>
        </is>
      </c>
      <c r="AF286" s="10" t="inlineStr">
        <is>
          <t>Particulier</t>
        </is>
      </c>
      <c r="AG286" s="10" t="inlineStr">
        <is>
          <t>La Clayette</t>
        </is>
      </c>
      <c r="AH286" s="10" t="inlineStr">
        <is>
          <t>71800</t>
        </is>
      </c>
      <c r="AI286" s="10" t="inlineStr">
        <is>
          <t>Saône-et-Loire</t>
        </is>
      </c>
      <c r="AJ286" s="10" t="inlineStr">
        <is>
          <t>Bourgogne</t>
        </is>
      </c>
      <c r="AK286" s="16" t="n">
        <v>3</v>
      </c>
      <c r="AL286" s="10" t="n"/>
      <c r="AM286" s="10" t="inlineStr">
        <is>
          <t>Non</t>
        </is>
      </c>
      <c r="AN286" s="10" t="inlineStr">
        <is>
          <t>Bonjour Vend cette 206 RC en superbe état , entretien complet, intérieur irréprochable, historique du véhicule. Elle sort tout juste de debosselage car au fils du temps il y’a eu des coup de portière. Ligne complète inox car et j’ai celle d’origine aussi Si vous avez plus de questions n’hésitez pas</t>
        </is>
      </c>
      <c r="AO286" s="10" t="inlineStr">
        <is>
          <t>Dommages : Non roulant ; Permis : Avec permis ; Importé : false</t>
        </is>
      </c>
      <c r="AP286" s="19" t="inlineStr">
        <is>
          <t>Voir</t>
        </is>
      </c>
      <c r="AQ286" s="10" t="inlineStr">
        <is>
          <t>3279039279</t>
        </is>
      </c>
    </row>
    <row r="287">
      <c r="A287" s="10" t="inlineStr">
        <is>
          <t>Peugeot 206 RC</t>
        </is>
      </c>
      <c r="B287" s="10" t="inlineStr">
        <is>
          <t>206 rc</t>
        </is>
      </c>
      <c r="C287" s="10" t="n"/>
      <c r="D287" s="10" t="n"/>
      <c r="E287" s="10" t="inlineStr">
        <is>
          <t>En vente</t>
        </is>
      </c>
      <c r="F287" s="18" t="n">
        <v>46294</v>
      </c>
      <c r="G287" s="18" t="n">
        <v>46296</v>
      </c>
      <c r="H287" s="18" t="n">
        <v>46310</v>
      </c>
      <c r="I287" s="18" t="n"/>
      <c r="J287" s="17">
        <f>IF(OR(ISNUMBER(F287),ISNUMBER(G287)),IF(ISNUMBER(I287),I287,H287)-IF(ISNUMBER(F287),F287,G287),"")</f>
        <v/>
      </c>
      <c r="K287" s="12" t="n">
        <v>5900</v>
      </c>
      <c r="L287" s="12" t="n">
        <v>5900</v>
      </c>
      <c r="M287" s="13">
        <f>IF(AND(ISNUMBER(K287),ISNUMBER(L287),K287&gt;0),1-L287/K287,"")</f>
        <v/>
      </c>
      <c r="N287" s="16" t="n">
        <v>0</v>
      </c>
      <c r="O287" s="12" t="n"/>
      <c r="P287" s="12" t="n"/>
      <c r="Q287" s="12" t="n"/>
      <c r="R287" s="14">
        <f>IF(AND(ISNUMBER(L287),ISNUMBER(P287),ISNUMBER(Q287)),L287/((P287+Q287)/2)-1,"")</f>
        <v/>
      </c>
      <c r="S287" s="10" t="n"/>
      <c r="T287" s="15" t="n">
        <v>294000</v>
      </c>
      <c r="U287" s="16" t="n">
        <v>2004</v>
      </c>
      <c r="V287" s="10" t="inlineStr">
        <is>
          <t>09/2004</t>
        </is>
      </c>
      <c r="W287" s="10" t="inlineStr">
        <is>
          <t>Essence</t>
        </is>
      </c>
      <c r="X287" s="10" t="inlineStr">
        <is>
          <t>Manuelle</t>
        </is>
      </c>
      <c r="Y287" s="16" t="n">
        <v>180</v>
      </c>
      <c r="Z287" s="16" t="n">
        <v>11</v>
      </c>
      <c r="AA287" s="10" t="inlineStr">
        <is>
          <t>Autre</t>
        </is>
      </c>
      <c r="AB287" s="16" t="n">
        <v>3</v>
      </c>
      <c r="AC287" s="10" t="inlineStr">
        <is>
          <t>Berline</t>
        </is>
      </c>
      <c r="AD287" s="10" t="n"/>
      <c r="AE287" s="10" t="n"/>
      <c r="AF287" s="10" t="inlineStr">
        <is>
          <t>Particulier</t>
        </is>
      </c>
      <c r="AG287" s="10" t="inlineStr">
        <is>
          <t>Lons-le-Saunier</t>
        </is>
      </c>
      <c r="AH287" s="10" t="inlineStr">
        <is>
          <t>39000</t>
        </is>
      </c>
      <c r="AI287" s="10" t="inlineStr">
        <is>
          <t>Jura</t>
        </is>
      </c>
      <c r="AJ287" s="10" t="inlineStr">
        <is>
          <t>Franche-Comté</t>
        </is>
      </c>
      <c r="AK287" s="16" t="n">
        <v>3</v>
      </c>
      <c r="AL287" s="10" t="n"/>
      <c r="AM287" s="10" t="inlineStr">
        <is>
          <t>Non</t>
        </is>
      </c>
      <c r="AN287" s="10" t="inlineStr">
        <is>
          <t>Je vends ma Peugeot 206 RC de 2004, - Marque : Peugeot - Modèle : 206 RC - Année : 2004 - Kilométrage : 294 000 km - Motorisation : 180 Ch - Puissance fiscale : 11 Cv - Carburant : Essence - Couleur : Noir Avec regret je vends ma 206 rc pour un véhicule plus grand , kilométrage évolutif je m’en sert tout les jours pour aller au travail! Véhicule entièrement réviser contrôle technique valide et cg à mon nom -distribution pompe à eau fait il a 3 ans 40000km -vidanges tout les filtres +tout les flu</t>
        </is>
      </c>
      <c r="AO287" s="10" t="inlineStr">
        <is>
          <t>Permis : Avec permis ; Importé : false</t>
        </is>
      </c>
      <c r="AP287" s="19" t="inlineStr">
        <is>
          <t>Voir</t>
        </is>
      </c>
      <c r="AQ287" s="10" t="inlineStr">
        <is>
          <t>3279053465</t>
        </is>
      </c>
    </row>
    <row r="288">
      <c r="A288" s="10" t="inlineStr">
        <is>
          <t>Peugeot 206 RC</t>
        </is>
      </c>
      <c r="B288" s="10" t="inlineStr">
        <is>
          <t>Peugeot 206 RC</t>
        </is>
      </c>
      <c r="C288" s="10" t="n"/>
      <c r="D288" s="10" t="inlineStr">
        <is>
          <t>RC</t>
        </is>
      </c>
      <c r="E288" s="10" t="inlineStr">
        <is>
          <t>En vente</t>
        </is>
      </c>
      <c r="F288" s="18" t="n">
        <v>46295</v>
      </c>
      <c r="G288" s="18" t="n">
        <v>46296</v>
      </c>
      <c r="H288" s="18" t="n">
        <v>46310</v>
      </c>
      <c r="I288" s="18" t="n"/>
      <c r="J288" s="17">
        <f>IF(OR(ISNUMBER(F288),ISNUMBER(G288)),IF(ISNUMBER(I288),I288,H288)-IF(ISNUMBER(F288),F288,G288),"")</f>
        <v/>
      </c>
      <c r="K288" s="12" t="n">
        <v>6500</v>
      </c>
      <c r="L288" s="12" t="n">
        <v>6500</v>
      </c>
      <c r="M288" s="13">
        <f>IF(AND(ISNUMBER(K288),ISNUMBER(L288),K288&gt;0),1-L288/K288,"")</f>
        <v/>
      </c>
      <c r="N288" s="16" t="n">
        <v>0</v>
      </c>
      <c r="O288" s="12" t="n"/>
      <c r="P288" s="12" t="n"/>
      <c r="Q288" s="12" t="n"/>
      <c r="R288" s="14">
        <f>IF(AND(ISNUMBER(L288),ISNUMBER(P288),ISNUMBER(Q288)),L288/((P288+Q288)/2)-1,"")</f>
        <v/>
      </c>
      <c r="S288" s="10" t="n"/>
      <c r="T288" s="15" t="n">
        <v>252000</v>
      </c>
      <c r="U288" s="16" t="n">
        <v>2005</v>
      </c>
      <c r="V288" s="10" t="inlineStr">
        <is>
          <t>03/2005</t>
        </is>
      </c>
      <c r="W288" s="10" t="inlineStr">
        <is>
          <t>Essence</t>
        </is>
      </c>
      <c r="X288" s="10" t="inlineStr">
        <is>
          <t>Manuelle</t>
        </is>
      </c>
      <c r="Y288" s="16" t="n">
        <v>180</v>
      </c>
      <c r="Z288" s="16" t="n">
        <v>11</v>
      </c>
      <c r="AA288" s="10" t="inlineStr">
        <is>
          <t>Noir</t>
        </is>
      </c>
      <c r="AB288" s="16" t="n">
        <v>3</v>
      </c>
      <c r="AC288" s="10" t="inlineStr">
        <is>
          <t>Berline</t>
        </is>
      </c>
      <c r="AD288" s="10" t="inlineStr">
        <is>
          <t>Factures disponibles, Véhicule non fumeur, Réparations utiles déjà faites</t>
        </is>
      </c>
      <c r="AE288" s="10" t="inlineStr">
        <is>
          <t>Véhicule importé</t>
        </is>
      </c>
      <c r="AF288" s="10" t="inlineStr">
        <is>
          <t>Particulier</t>
        </is>
      </c>
      <c r="AG288" s="10" t="inlineStr">
        <is>
          <t>Pirmil</t>
        </is>
      </c>
      <c r="AH288" s="10" t="inlineStr">
        <is>
          <t>72430</t>
        </is>
      </c>
      <c r="AI288" s="10" t="inlineStr">
        <is>
          <t>Sarthe</t>
        </is>
      </c>
      <c r="AJ288" s="10" t="inlineStr">
        <is>
          <t>Pays de la Loire</t>
        </is>
      </c>
      <c r="AK288" s="16" t="n">
        <v>3</v>
      </c>
      <c r="AL288" s="10" t="n"/>
      <c r="AM288" s="10" t="inlineStr">
        <is>
          <t>Non</t>
        </is>
      </c>
      <c r="AN288" s="10" t="inlineStr">
        <is>
          <t>Vends 206 RC 252 000 km 2.0L EW10J4S 177 ch En ma possession depuis 4 ans et demi, j'ai effectué 45 000 km avec, utilisé en daily. Carrosserie moyenne quelque poc aile ar et capot avant principalement (photo dispo) A Prevoir: changement mobine Ligne echapement (faite maison mérite d'être revu) Siege alcantara (maladie) Véhicule d'origine suisse (siege chauffant fonctionnel) Carte grise à mon nom CT OK passé le 12/04/26 Annonce visible = véhicule dispo. Pas d'échange. Prix négociable si vente rap</t>
        </is>
      </c>
      <c r="AO288" s="10" t="inlineStr">
        <is>
          <t>vehicle_technical_inspection_valid : Oui ; Dommages : Réparations mineures à prévoir ; Sellerie : Alcantara ; Permis : Avec permis ; Importé : false</t>
        </is>
      </c>
      <c r="AP288" s="19" t="inlineStr">
        <is>
          <t>Voir</t>
        </is>
      </c>
      <c r="AQ288" s="10" t="inlineStr">
        <is>
          <t>3279820686</t>
        </is>
      </c>
    </row>
    <row r="289">
      <c r="A289" s="10" t="inlineStr">
        <is>
          <t>Peugeot 206 RC</t>
        </is>
      </c>
      <c r="B289" s="10" t="inlineStr">
        <is>
          <t>Peugeot 206 rc 20.16v</t>
        </is>
      </c>
      <c r="C289" s="10" t="n"/>
      <c r="D289" s="10" t="n"/>
      <c r="E289" s="10" t="inlineStr">
        <is>
          <t>En vente</t>
        </is>
      </c>
      <c r="F289" s="18" t="n">
        <v>46296</v>
      </c>
      <c r="G289" s="18" t="n">
        <v>46296</v>
      </c>
      <c r="H289" s="18" t="n">
        <v>46310</v>
      </c>
      <c r="I289" s="18" t="n"/>
      <c r="J289" s="17">
        <f>IF(OR(ISNUMBER(F289),ISNUMBER(G289)),IF(ISNUMBER(I289),I289,H289)-IF(ISNUMBER(F289),F289,G289),"")</f>
        <v/>
      </c>
      <c r="K289" s="12" t="n">
        <v>6000</v>
      </c>
      <c r="L289" s="12" t="n">
        <v>6000</v>
      </c>
      <c r="M289" s="13">
        <f>IF(AND(ISNUMBER(K289),ISNUMBER(L289),K289&gt;0),1-L289/K289,"")</f>
        <v/>
      </c>
      <c r="N289" s="16" t="n">
        <v>0</v>
      </c>
      <c r="O289" s="12" t="n"/>
      <c r="P289" s="12" t="n"/>
      <c r="Q289" s="12" t="n"/>
      <c r="R289" s="14">
        <f>IF(AND(ISNUMBER(L289),ISNUMBER(P289),ISNUMBER(Q289)),L289/((P289+Q289)/2)-1,"")</f>
        <v/>
      </c>
      <c r="S289" s="10" t="n"/>
      <c r="T289" s="15" t="n">
        <v>250000</v>
      </c>
      <c r="U289" s="16" t="n">
        <v>2004</v>
      </c>
      <c r="V289" s="10" t="inlineStr">
        <is>
          <t>11/2004</t>
        </is>
      </c>
      <c r="W289" s="10" t="inlineStr">
        <is>
          <t>Essence</t>
        </is>
      </c>
      <c r="X289" s="10" t="inlineStr">
        <is>
          <t>Manuelle</t>
        </is>
      </c>
      <c r="Y289" s="16" t="n">
        <v>180</v>
      </c>
      <c r="Z289" s="16" t="n">
        <v>11</v>
      </c>
      <c r="AA289" s="10" t="inlineStr">
        <is>
          <t>Gris</t>
        </is>
      </c>
      <c r="AB289" s="16" t="n">
        <v>3</v>
      </c>
      <c r="AC289" s="10" t="inlineStr">
        <is>
          <t>Citadine</t>
        </is>
      </c>
      <c r="AD289" s="10" t="inlineStr">
        <is>
          <t>Carnet d'entretien disponible, Réparations utiles déjà faites</t>
        </is>
      </c>
      <c r="AE289" s="10" t="inlineStr">
        <is>
          <t>Véhicule importé</t>
        </is>
      </c>
      <c r="AF289" s="10" t="inlineStr">
        <is>
          <t>Pro</t>
        </is>
      </c>
      <c r="AG289" s="10" t="inlineStr">
        <is>
          <t>Erstein</t>
        </is>
      </c>
      <c r="AH289" s="10" t="inlineStr">
        <is>
          <t>67150</t>
        </is>
      </c>
      <c r="AI289" s="10" t="inlineStr">
        <is>
          <t>Bas-Rhin</t>
        </is>
      </c>
      <c r="AJ289" s="10" t="inlineStr">
        <is>
          <t>Alsace</t>
        </is>
      </c>
      <c r="AK289" s="16" t="n">
        <v>5</v>
      </c>
      <c r="AL289" s="10" t="n"/>
      <c r="AM289" s="10" t="inlineStr">
        <is>
          <t>Non</t>
        </is>
      </c>
      <c r="AN289" s="10" t="inlineStr">
        <is>
          <t xml:space="preserve">⭐️⭐️DM RETROMOTIVE VOUS PROPOSE ⭐️⭐️ VÉHICULE EN LIGNE = DISPONIBLE 🚘🚘🚘PEUGEOT 206 RC 180CV 2.0 16V🚘🚘🚘 CHÂSSIS EN SUPER ÉTAT ROULE PARFAITEMENT CARNET D'ENTRETIEN COMPLET A JOUR PAS DE FRAIS A PRÉVOIR MÉCANIQUE VENDU AVEC CT OPTIONS DIRECTION ASSISTÉE VITRES ELECTRIQUES INTÉRIEUR CUIR SIÈGE CHAUFFANTS RÉTROVISEURS ELECTRIQUES FERMETURE CENTRALISÉE ABS ESP FEUX AUTOMATIQUE CLIMATISATION AUTOMATIQUE 2 CLÉS 🔧🔧🔧VENDU RÉVISÉE AVEC🔧🔧🔧 VIDANGE FILTRE HUILE NEUF KIT DISTRIBUTION POMPE À EAU </t>
        </is>
      </c>
      <c r="AO289" s="10" t="inlineStr">
        <is>
          <t>Équipements intérieurs : Climatisation, Jantes en alliage, Ordinateur de bord ; Permis : Avec permis ; VO récent : false ; vehicle_commercial_warranty : Non ; vehicle_manufacturer_warranty : Non ; custom_ref : 206rc ; Importé : false ; spare_parts_availability : Non renseignée</t>
        </is>
      </c>
      <c r="AP289" s="19" t="inlineStr">
        <is>
          <t>Voir</t>
        </is>
      </c>
      <c r="AQ289" s="10" t="inlineStr">
        <is>
          <t>3280095370</t>
        </is>
      </c>
    </row>
    <row r="290">
      <c r="A290" s="10" t="inlineStr">
        <is>
          <t>Peugeot 206 RC</t>
        </is>
      </c>
      <c r="B290" s="10" t="inlineStr">
        <is>
          <t>Peugeot 206 RC 2,0L 177ch</t>
        </is>
      </c>
      <c r="C290" s="10" t="inlineStr">
        <is>
          <t>206 2.0 16v RC 3p</t>
        </is>
      </c>
      <c r="D290" s="10" t="inlineStr">
        <is>
          <t>RC</t>
        </is>
      </c>
      <c r="E290" s="10" t="inlineStr">
        <is>
          <t>En vente</t>
        </is>
      </c>
      <c r="F290" s="18" t="n">
        <v>46297</v>
      </c>
      <c r="G290" s="18" t="n">
        <v>46297</v>
      </c>
      <c r="H290" s="18" t="n">
        <v>46310</v>
      </c>
      <c r="I290" s="18" t="n"/>
      <c r="J290" s="17">
        <f>IF(OR(ISNUMBER(F290),ISNUMBER(G290)),IF(ISNUMBER(I290),I290,H290)-IF(ISNUMBER(F290),F290,G290),"")</f>
        <v/>
      </c>
      <c r="K290" s="12" t="n">
        <v>12400</v>
      </c>
      <c r="L290" s="12" t="n">
        <v>12400</v>
      </c>
      <c r="M290" s="13">
        <f>IF(AND(ISNUMBER(K290),ISNUMBER(L290),K290&gt;0),1-L290/K290,"")</f>
        <v/>
      </c>
      <c r="N290" s="16" t="n">
        <v>0</v>
      </c>
      <c r="O290" s="12" t="n"/>
      <c r="P290" s="12" t="n"/>
      <c r="Q290" s="12" t="n"/>
      <c r="R290" s="14">
        <f>IF(AND(ISNUMBER(L290),ISNUMBER(P290),ISNUMBER(Q290)),L290/((P290+Q290)/2)-1,"")</f>
        <v/>
      </c>
      <c r="S290" s="10" t="n"/>
      <c r="T290" s="15" t="n">
        <v>76000</v>
      </c>
      <c r="U290" s="16" t="n">
        <v>2003</v>
      </c>
      <c r="V290" s="10" t="inlineStr">
        <is>
          <t>08/2003</t>
        </is>
      </c>
      <c r="W290" s="10" t="inlineStr">
        <is>
          <t>Essence</t>
        </is>
      </c>
      <c r="X290" s="10" t="inlineStr">
        <is>
          <t>Manuelle</t>
        </is>
      </c>
      <c r="Y290" s="16" t="n">
        <v>180</v>
      </c>
      <c r="Z290" s="16" t="n">
        <v>11</v>
      </c>
      <c r="AA290" s="10" t="inlineStr">
        <is>
          <t>Bleu</t>
        </is>
      </c>
      <c r="AB290" s="16" t="n">
        <v>3</v>
      </c>
      <c r="AC290" s="10" t="inlineStr">
        <is>
          <t>Berline</t>
        </is>
      </c>
      <c r="AD290" s="10" t="inlineStr">
        <is>
          <t>Factures disponibles</t>
        </is>
      </c>
      <c r="AE290" s="10" t="n"/>
      <c r="AF290" s="10" t="inlineStr">
        <is>
          <t>Particulier</t>
        </is>
      </c>
      <c r="AG290" s="10" t="inlineStr">
        <is>
          <t>Betz</t>
        </is>
      </c>
      <c r="AH290" s="10" t="inlineStr">
        <is>
          <t>60620</t>
        </is>
      </c>
      <c r="AI290" s="10" t="inlineStr">
        <is>
          <t>Oise</t>
        </is>
      </c>
      <c r="AJ290" s="10" t="inlineStr">
        <is>
          <t>Picardie</t>
        </is>
      </c>
      <c r="AK290" s="16" t="n">
        <v>3</v>
      </c>
      <c r="AL290" s="10" t="n"/>
      <c r="AM290" s="10" t="inlineStr">
        <is>
          <t>Non</t>
        </is>
      </c>
      <c r="AN290" s="10" t="inlineStr">
        <is>
          <t>Vend une 206 RC 177 CV Acheté en 2011 il y a 15ans à 56000 km Toujours entretenu et stocké en garage Dernière grosse révision en mai 2026 à 76000km : - Courroie de distribution - vidange et fluide moteur - vidange de boite de vitesse Équipement : - Reprogrammer à 185cv - Volant tulipé avec moyeu et klaxon - 4 amortisseurs Bilstein B4 4000 km - 2 ressorts court avant -2cm en Eibach - échappement ligne complète inox groupe A catalyseur supprimé. - Disque avant 305mm en neuf. - Étrier de frein C2 M</t>
        </is>
      </c>
      <c r="AO290" s="10" t="inlineStr">
        <is>
          <t>vehicle_technical_inspection_valid : Non ; Dommages : Excellent état (proche du neuf) ; Sellerie : Tissu ; Équipements intérieurs : Sièges sport ; Permis : Avec permis ; Importé : false ; vehicle_history_teaser_critair : 3 ; vehicle_history_teaser_owners : 5 ; vehicle_history_teaser_expertises : false ; vehicle_history_teaser_special_uses : false ; vehicle_history_teaser_atypical_operations : false ; vehicle_history_teaser_importations : false</t>
        </is>
      </c>
      <c r="AP290" s="19" t="inlineStr">
        <is>
          <t>Voir</t>
        </is>
      </c>
      <c r="AQ290" s="10" t="inlineStr">
        <is>
          <t>3280598049</t>
        </is>
      </c>
    </row>
    <row r="291">
      <c r="A291" s="10" t="inlineStr">
        <is>
          <t>Peugeot 206 RC</t>
        </is>
      </c>
      <c r="B291" s="10" t="inlineStr">
        <is>
          <t>Peugeot 206 RC rouge aden</t>
        </is>
      </c>
      <c r="C291" s="10" t="inlineStr">
        <is>
          <t>RC_206 2.0 16v  RC 3p</t>
        </is>
      </c>
      <c r="D291" s="10" t="inlineStr">
        <is>
          <t>RC</t>
        </is>
      </c>
      <c r="E291" s="10" t="inlineStr">
        <is>
          <t>En vente</t>
        </is>
      </c>
      <c r="F291" s="18" t="n">
        <v>46298</v>
      </c>
      <c r="G291" s="18" t="n">
        <v>46298</v>
      </c>
      <c r="H291" s="18" t="n">
        <v>46310</v>
      </c>
      <c r="I291" s="18" t="n"/>
      <c r="J291" s="17">
        <f>IF(OR(ISNUMBER(F291),ISNUMBER(G291)),IF(ISNUMBER(I291),I291,H291)-IF(ISNUMBER(F291),F291,G291),"")</f>
        <v/>
      </c>
      <c r="K291" s="12" t="n">
        <v>8999</v>
      </c>
      <c r="L291" s="12" t="n">
        <v>8999</v>
      </c>
      <c r="M291" s="13">
        <f>IF(AND(ISNUMBER(K291),ISNUMBER(L291),K291&gt;0),1-L291/K291,"")</f>
        <v/>
      </c>
      <c r="N291" s="16" t="n">
        <v>0</v>
      </c>
      <c r="O291" s="12" t="n"/>
      <c r="P291" s="12" t="n"/>
      <c r="Q291" s="12" t="n"/>
      <c r="R291" s="14">
        <f>IF(AND(ISNUMBER(L291),ISNUMBER(P291),ISNUMBER(Q291)),L291/((P291+Q291)/2)-1,"")</f>
        <v/>
      </c>
      <c r="S291" s="10" t="n"/>
      <c r="T291" s="15" t="n">
        <v>146000</v>
      </c>
      <c r="U291" s="16" t="n">
        <v>2003</v>
      </c>
      <c r="V291" s="10" t="inlineStr">
        <is>
          <t>09/2003</t>
        </is>
      </c>
      <c r="W291" s="10" t="inlineStr">
        <is>
          <t>Essence</t>
        </is>
      </c>
      <c r="X291" s="10" t="inlineStr">
        <is>
          <t>Manuelle</t>
        </is>
      </c>
      <c r="Y291" s="16" t="n">
        <v>180</v>
      </c>
      <c r="Z291" s="16" t="n">
        <v>11</v>
      </c>
      <c r="AA291" s="10" t="inlineStr">
        <is>
          <t>Rouge</t>
        </is>
      </c>
      <c r="AB291" s="16" t="n">
        <v>3</v>
      </c>
      <c r="AC291" s="10" t="inlineStr">
        <is>
          <t>Berline</t>
        </is>
      </c>
      <c r="AD291" s="10" t="inlineStr">
        <is>
          <t>Factures disponibles, Véhicule non fumeur, Réparations utiles déjà faites</t>
        </is>
      </c>
      <c r="AE291" s="10" t="n"/>
      <c r="AF291" s="10" t="inlineStr">
        <is>
          <t>Particulier</t>
        </is>
      </c>
      <c r="AG291" s="10" t="inlineStr">
        <is>
          <t>Rognac</t>
        </is>
      </c>
      <c r="AH291" s="10" t="inlineStr">
        <is>
          <t>13340</t>
        </is>
      </c>
      <c r="AI291" s="10" t="inlineStr">
        <is>
          <t>Bouches-du-Rhône</t>
        </is>
      </c>
      <c r="AJ291" s="10" t="inlineStr">
        <is>
          <t>Provence-Alpes-Côte d'Azur</t>
        </is>
      </c>
      <c r="AK291" s="16" t="n">
        <v>3</v>
      </c>
      <c r="AL291" s="10" t="n"/>
      <c r="AM291" s="10" t="inlineStr">
        <is>
          <t>Non</t>
        </is>
      </c>
      <c r="AN291" s="10" t="inlineStr">
        <is>
          <t>A vendre peugeot 206 RC 2.0L 177ch Dernier moteur atmosphérique de peugeot Rouge aden couleur rare carrosserie en bon etat presente quelques eclats de vernis par endroit du a l'age du vehicule Interieur tres bon etat Totalisant 146000km evolutif Ct ok Vehicule tout d'origine Seulement une demi ligne et silencieux arriere possede la ligne et silencieux arriere d'origine. Nombreuse factures a l'appuie des précédents proprietaires et de moi meme Vehicule roule et demarre sans problème La vidange vi</t>
        </is>
      </c>
      <c r="AO291" s="10" t="inlineStr">
        <is>
          <t>vehicle_technical_inspection_valid : Oui ; Contrôle technique : 2028 ; Dommages : Réparations mineures à prévoir ; Sellerie : Alcantara, Cuir partiel, Tissu ; Équipements intérieurs : Allumage automatique des phares, Climatisation, Phares anti-brouillard, Rétroviseurs rabattables électriquement, Siège réglable en hauteur, Sièges sport, Volant réglable en hauteur, Volant réglable en profondeur ; Permis : Avec permis ; Importé : false</t>
        </is>
      </c>
      <c r="AP291" s="19" t="inlineStr">
        <is>
          <t>Voir</t>
        </is>
      </c>
      <c r="AQ291" s="10" t="inlineStr">
        <is>
          <t>3281457599</t>
        </is>
      </c>
    </row>
    <row r="292">
      <c r="A292" s="10" t="inlineStr">
        <is>
          <t>Peugeot 206 RC</t>
        </is>
      </c>
      <c r="B292" s="10" t="inlineStr">
        <is>
          <t>Peugeot 206 RC</t>
        </is>
      </c>
      <c r="C292" s="10" t="inlineStr">
        <is>
          <t>206 2.0 16v RC 3p</t>
        </is>
      </c>
      <c r="D292" s="10" t="inlineStr">
        <is>
          <t>RC</t>
        </is>
      </c>
      <c r="E292" s="10" t="inlineStr">
        <is>
          <t>En vente</t>
        </is>
      </c>
      <c r="F292" s="18" t="n">
        <v>46298</v>
      </c>
      <c r="G292" s="18" t="n">
        <v>46298</v>
      </c>
      <c r="H292" s="18" t="n">
        <v>46310</v>
      </c>
      <c r="I292" s="18" t="n"/>
      <c r="J292" s="17">
        <f>IF(OR(ISNUMBER(F292),ISNUMBER(G292)),IF(ISNUMBER(I292),I292,H292)-IF(ISNUMBER(F292),F292,G292),"")</f>
        <v/>
      </c>
      <c r="K292" s="12" t="n">
        <v>12000</v>
      </c>
      <c r="L292" s="12" t="n">
        <v>12000</v>
      </c>
      <c r="M292" s="13">
        <f>IF(AND(ISNUMBER(K292),ISNUMBER(L292),K292&gt;0),1-L292/K292,"")</f>
        <v/>
      </c>
      <c r="N292" s="16" t="n">
        <v>0</v>
      </c>
      <c r="O292" s="12" t="n">
        <v>13000</v>
      </c>
      <c r="P292" s="12" t="n"/>
      <c r="Q292" s="12" t="n"/>
      <c r="R292" s="14">
        <f>IF(AND(ISNUMBER(L292),ISNUMBER(P292),ISNUMBER(Q292)),L292/((P292+Q292)/2)-1,"")</f>
        <v/>
      </c>
      <c r="S292" s="10" t="n"/>
      <c r="T292" s="15" t="n">
        <v>111700</v>
      </c>
      <c r="U292" s="16" t="n">
        <v>2006</v>
      </c>
      <c r="V292" s="10" t="inlineStr">
        <is>
          <t>06/2006</t>
        </is>
      </c>
      <c r="W292" s="10" t="inlineStr">
        <is>
          <t>Essence</t>
        </is>
      </c>
      <c r="X292" s="10" t="inlineStr">
        <is>
          <t>Manuelle</t>
        </is>
      </c>
      <c r="Y292" s="16" t="n">
        <v>180</v>
      </c>
      <c r="Z292" s="16" t="n">
        <v>11</v>
      </c>
      <c r="AA292" s="10" t="inlineStr">
        <is>
          <t>Bleu</t>
        </is>
      </c>
      <c r="AB292" s="16" t="n">
        <v>3</v>
      </c>
      <c r="AC292" s="10" t="inlineStr">
        <is>
          <t>Berline</t>
        </is>
      </c>
      <c r="AD292" s="10" t="inlineStr">
        <is>
          <t>Réparations utiles déjà faites</t>
        </is>
      </c>
      <c r="AE292" s="10" t="n"/>
      <c r="AF292" s="10" t="inlineStr">
        <is>
          <t>Particulier</t>
        </is>
      </c>
      <c r="AG292" s="10" t="inlineStr">
        <is>
          <t>Chamalières</t>
        </is>
      </c>
      <c r="AH292" s="10" t="inlineStr">
        <is>
          <t>63400</t>
        </is>
      </c>
      <c r="AI292" s="10" t="inlineStr">
        <is>
          <t>Puy-de-Dôme</t>
        </is>
      </c>
      <c r="AJ292" s="10" t="inlineStr">
        <is>
          <t>Auvergne</t>
        </is>
      </c>
      <c r="AK292" s="16" t="n">
        <v>3</v>
      </c>
      <c r="AL292" s="10" t="inlineStr">
        <is>
          <t>Oui</t>
        </is>
      </c>
      <c r="AM292" s="10" t="inlineStr">
        <is>
          <t>Non</t>
        </is>
      </c>
      <c r="AN292" s="10" t="inlineStr">
        <is>
          <t xml:space="preserve">Je vends ma Peugeot 206 RC de 2006, une citadine sportive avec 111 700 km au compteur. - Marque : Peugeot - Modèle : 206 - Finition : RC - Année : 2006 - Kilométrage : 111 700 km - Motorisation : 2.0 16v 180 ch - Puissance fiscale : 11 Cv - Carburant : Essence - Boîte de vitesses : Manuelle - Couleur : Bleu - Type de véhicule : Berline - Nombre de portes : 3 - Nombre de sièges : 5 - Contrôle technique : Valide jusqu'en 10/2028 Réparations utiles faites : vidange, changement filtres à huile, air </t>
        </is>
      </c>
      <c r="AO292" s="10" t="inlineStr">
        <is>
          <t>vehicle_technical_inspection_valid : Oui ; Contrôle technique : 2028 ; Dommages : Bon état général ; Sellerie : Cuir partiel, Tissu, Alcantara ; Équipements intérieurs : Allumage automatique des phares, Chargeurs USB, Climatisation, Phares anti-brouillard, Sièges sport, Système audio haut de gamme ; Permis : Avec permis ; Importé : false</t>
        </is>
      </c>
      <c r="AP292" s="19" t="inlineStr">
        <is>
          <t>Voir</t>
        </is>
      </c>
      <c r="AQ292" s="10" t="inlineStr">
        <is>
          <t>3281553146</t>
        </is>
      </c>
    </row>
    <row r="293">
      <c r="A293" s="10" t="inlineStr">
        <is>
          <t>Peugeot 206 RC</t>
        </is>
      </c>
      <c r="B293" s="10" t="inlineStr">
        <is>
          <t>Peugeot 206 Rc 180 état proche du neuf</t>
        </is>
      </c>
      <c r="C293" s="10" t="n"/>
      <c r="D293" s="10" t="n"/>
      <c r="E293" s="10" t="inlineStr">
        <is>
          <t>En vente</t>
        </is>
      </c>
      <c r="F293" s="18" t="n">
        <v>46299</v>
      </c>
      <c r="G293" s="18" t="n">
        <v>46299</v>
      </c>
      <c r="H293" s="18" t="n">
        <v>46310</v>
      </c>
      <c r="I293" s="18" t="n"/>
      <c r="J293" s="17">
        <f>IF(OR(ISNUMBER(F293),ISNUMBER(G293)),IF(ISNUMBER(I293),I293,H293)-IF(ISNUMBER(F293),F293,G293),"")</f>
        <v/>
      </c>
      <c r="K293" s="12" t="n">
        <v>15900</v>
      </c>
      <c r="L293" s="12" t="n">
        <v>15900</v>
      </c>
      <c r="M293" s="13">
        <f>IF(AND(ISNUMBER(K293),ISNUMBER(L293),K293&gt;0),1-L293/K293,"")</f>
        <v/>
      </c>
      <c r="N293" s="16" t="n">
        <v>0</v>
      </c>
      <c r="O293" s="12" t="n"/>
      <c r="P293" s="12" t="n">
        <v>6070</v>
      </c>
      <c r="Q293" s="12" t="n">
        <v>6710</v>
      </c>
      <c r="R293" s="14">
        <f>IF(AND(ISNUMBER(L293),ISNUMBER(P293),ISNUMBER(Q293)),L293/((P293+Q293)/2)-1,"")</f>
        <v/>
      </c>
      <c r="S293" s="10" t="inlineStr">
        <is>
          <t>Estimation indisponible</t>
        </is>
      </c>
      <c r="T293" s="15" t="n">
        <v>81000</v>
      </c>
      <c r="U293" s="16" t="n">
        <v>2007</v>
      </c>
      <c r="V293" s="10" t="inlineStr">
        <is>
          <t>09/2007</t>
        </is>
      </c>
      <c r="W293" s="10" t="inlineStr">
        <is>
          <t>Essence</t>
        </is>
      </c>
      <c r="X293" s="10" t="inlineStr">
        <is>
          <t>Manuelle</t>
        </is>
      </c>
      <c r="Y293" s="16" t="n">
        <v>180</v>
      </c>
      <c r="Z293" s="16" t="n">
        <v>11</v>
      </c>
      <c r="AA293" s="10" t="inlineStr">
        <is>
          <t>Noir</t>
        </is>
      </c>
      <c r="AB293" s="16" t="n">
        <v>3</v>
      </c>
      <c r="AC293" s="10" t="inlineStr">
        <is>
          <t>Berline</t>
        </is>
      </c>
      <c r="AD293" s="10" t="n"/>
      <c r="AE293" s="10" t="n"/>
      <c r="AF293" s="10" t="inlineStr">
        <is>
          <t>Particulier</t>
        </is>
      </c>
      <c r="AG293" s="10" t="inlineStr">
        <is>
          <t>Bourran</t>
        </is>
      </c>
      <c r="AH293" s="10" t="inlineStr">
        <is>
          <t>47320</t>
        </is>
      </c>
      <c r="AI293" s="10" t="inlineStr">
        <is>
          <t>Lot-et-Garonne</t>
        </is>
      </c>
      <c r="AJ293" s="10" t="inlineStr">
        <is>
          <t>Aquitaine</t>
        </is>
      </c>
      <c r="AK293" s="16" t="n">
        <v>3</v>
      </c>
      <c r="AL293" s="10" t="n"/>
      <c r="AM293" s="10" t="inlineStr">
        <is>
          <t>Non</t>
        </is>
      </c>
      <c r="AN293" s="10" t="inlineStr">
        <is>
          <t>Bonjour, Je mets en vente ma 206 rc dans état proche du neuf. 100% de la peinture est d'origine avec zéro bosse ni rayure. (Je suis débosseleur. Vous pouvez me croire sur parole...) Je suis propriétaire depuis 5ans et elle affiche aujourd'hui 81000km. Aucun frais à prévoir. Pneus neufs à 78000km, embrayage à 74000km, alternateur à 79000km. La distribution et vidange seront fait avant la vente. Véhicule entièrement d'origine avec option sièges chauffants. Elle a passé sa vie dans un garage. N'hés</t>
        </is>
      </c>
      <c r="AO293" s="10" t="inlineStr">
        <is>
          <t>Dommages : Excellent état (proche du neuf) ; Sellerie : Cuir partiel, Alcantara ; Équipements intérieurs : Climatisation, Jantes en alliage, Ordinateur de bord, Siège réglable en hauteur, Sièges chauffants ; Permis : Avec permis ; ad_warranty_type : essential ; Importé : false</t>
        </is>
      </c>
      <c r="AP293" s="19" t="inlineStr">
        <is>
          <t>Voir</t>
        </is>
      </c>
      <c r="AQ293" s="10" t="inlineStr">
        <is>
          <t>3281915049</t>
        </is>
      </c>
    </row>
    <row r="294">
      <c r="A294" s="10" t="inlineStr">
        <is>
          <t>Peugeot 206 RC</t>
        </is>
      </c>
      <c r="B294" s="10" t="inlineStr">
        <is>
          <t>Peugeot 206 RC - Gros entretien récent ✅</t>
        </is>
      </c>
      <c r="C294" s="10" t="n"/>
      <c r="D294" s="10" t="n"/>
      <c r="E294" s="10" t="inlineStr">
        <is>
          <t>En vente</t>
        </is>
      </c>
      <c r="F294" s="18" t="n">
        <v>46299</v>
      </c>
      <c r="G294" s="18" t="n">
        <v>46299</v>
      </c>
      <c r="H294" s="18" t="n">
        <v>46310</v>
      </c>
      <c r="I294" s="18" t="n"/>
      <c r="J294" s="17">
        <f>IF(OR(ISNUMBER(F294),ISNUMBER(G294)),IF(ISNUMBER(I294),I294,H294)-IF(ISNUMBER(F294),F294,G294),"")</f>
        <v/>
      </c>
      <c r="K294" s="12" t="n">
        <v>9000</v>
      </c>
      <c r="L294" s="12" t="n">
        <v>9000</v>
      </c>
      <c r="M294" s="13">
        <f>IF(AND(ISNUMBER(K294),ISNUMBER(L294),K294&gt;0),1-L294/K294,"")</f>
        <v/>
      </c>
      <c r="N294" s="16" t="n">
        <v>0</v>
      </c>
      <c r="O294" s="12" t="n"/>
      <c r="P294" s="12" t="n"/>
      <c r="Q294" s="12" t="n"/>
      <c r="R294" s="14">
        <f>IF(AND(ISNUMBER(L294),ISNUMBER(P294),ISNUMBER(Q294)),L294/((P294+Q294)/2)-1,"")</f>
        <v/>
      </c>
      <c r="S294" s="10" t="n"/>
      <c r="T294" s="15" t="n">
        <v>171250</v>
      </c>
      <c r="U294" s="16" t="n">
        <v>2004</v>
      </c>
      <c r="V294" s="10" t="inlineStr">
        <is>
          <t>02/2004</t>
        </is>
      </c>
      <c r="W294" s="10" t="inlineStr">
        <is>
          <t>Essence</t>
        </is>
      </c>
      <c r="X294" s="10" t="inlineStr">
        <is>
          <t>Manuelle</t>
        </is>
      </c>
      <c r="Y294" s="16" t="n">
        <v>177</v>
      </c>
      <c r="Z294" s="16" t="n">
        <v>11</v>
      </c>
      <c r="AA294" s="10" t="inlineStr">
        <is>
          <t>Gris</t>
        </is>
      </c>
      <c r="AB294" s="16" t="n">
        <v>3</v>
      </c>
      <c r="AC294" s="10" t="inlineStr">
        <is>
          <t>Citadine</t>
        </is>
      </c>
      <c r="AD294" s="10" t="inlineStr">
        <is>
          <t>Factures disponibles, Véhicule non fumeur, Réparations utiles déjà faites, Carnet d'entretien disponible</t>
        </is>
      </c>
      <c r="AE294" s="10" t="inlineStr">
        <is>
          <t>Véhicule importé</t>
        </is>
      </c>
      <c r="AF294" s="10" t="inlineStr">
        <is>
          <t>Particulier</t>
        </is>
      </c>
      <c r="AG294" s="10" t="inlineStr">
        <is>
          <t>Bettancourt-la-Ferrée</t>
        </is>
      </c>
      <c r="AH294" s="10" t="inlineStr">
        <is>
          <t>52100</t>
        </is>
      </c>
      <c r="AI294" s="10" t="inlineStr">
        <is>
          <t>Haute-Marne</t>
        </is>
      </c>
      <c r="AJ294" s="10" t="inlineStr">
        <is>
          <t>Champagne-Ardenne</t>
        </is>
      </c>
      <c r="AK294" s="16" t="n">
        <v>3</v>
      </c>
      <c r="AL294" s="10" t="n"/>
      <c r="AM294" s="10" t="inlineStr">
        <is>
          <t>Non</t>
        </is>
      </c>
      <c r="AN294" s="10" t="inlineStr">
        <is>
          <t>Peugeot 206 RC 2.0 16V 177 ch, année 2004, 170 000 km, coloris gris, 100 % d'origine. ✅Entretien / travaux réalisés ✅Distribution + pompe à eau ✅ Grosse révision + remplacement de tous les filtres ✅ Vidange moteur avec huile Liqui Moly 5W40 ✅ Bougies NGK + bobine Beru ✅ Disques avant Brembo Xtra rainurés ventilés ✅ Plaquettes avant et arrière Brembo neuves ✅ Étrier arrière gauche révisé ✅ Purge du circuit de freinage Purge de pompe de direction assisté ✅ Rotule de direction remplacée ✅ Pneus réc</t>
        </is>
      </c>
      <c r="AO294" s="10" t="inlineStr">
        <is>
          <t>vehicle_technical_inspection_valid : Non ; Dommages : Bon état général ; Sellerie : Alcantara ; Équipements intérieurs : Allumage automatique des phares, Climatisation, Essuie-glaces automatiques, Jantes en alliage, Ordinateur de bord, Pare-brise chauffant, Phares anti-brouillard, Rétroviseurs dégivrants, Rétroviseurs rabattables électriquement, Siège arrière rabattable, Siège réglable en hauteur, Sièges chauffants, Sièges sport, Suspension sport / adaptative, Vitres surteintées à l'arrière, Volant réglable en hauteur, Volant réglable en profondeur ; Permis : Avec permis ; Importé : false</t>
        </is>
      </c>
      <c r="AP294" s="19" t="inlineStr">
        <is>
          <t>Voir</t>
        </is>
      </c>
      <c r="AQ294" s="10" t="inlineStr">
        <is>
          <t>3282389871</t>
        </is>
      </c>
    </row>
    <row r="295">
      <c r="A295" s="10" t="inlineStr">
        <is>
          <t>Peugeot 206 RC</t>
        </is>
      </c>
      <c r="B295" s="10" t="inlineStr">
        <is>
          <t>Peugeot 206 RC</t>
        </is>
      </c>
      <c r="C295" s="10" t="inlineStr">
        <is>
          <t>206 2.0 16v  RC 3p</t>
        </is>
      </c>
      <c r="D295" s="10" t="inlineStr">
        <is>
          <t>RC</t>
        </is>
      </c>
      <c r="E295" s="10" t="inlineStr">
        <is>
          <t>En vente</t>
        </is>
      </c>
      <c r="F295" s="18" t="n">
        <v>46301</v>
      </c>
      <c r="G295" s="18" t="n">
        <v>46301</v>
      </c>
      <c r="H295" s="18" t="n">
        <v>46310</v>
      </c>
      <c r="I295" s="18" t="n"/>
      <c r="J295" s="17">
        <f>IF(OR(ISNUMBER(F295),ISNUMBER(G295)),IF(ISNUMBER(I295),I295,H295)-IF(ISNUMBER(F295),F295,G295),"")</f>
        <v/>
      </c>
      <c r="K295" s="12" t="n">
        <v>8950</v>
      </c>
      <c r="L295" s="12" t="n">
        <v>8950</v>
      </c>
      <c r="M295" s="13">
        <f>IF(AND(ISNUMBER(K295),ISNUMBER(L295),K295&gt;0),1-L295/K295,"")</f>
        <v/>
      </c>
      <c r="N295" s="16" t="n">
        <v>0</v>
      </c>
      <c r="O295" s="12" t="n"/>
      <c r="P295" s="12" t="n"/>
      <c r="Q295" s="12" t="n"/>
      <c r="R295" s="14">
        <f>IF(AND(ISNUMBER(L295),ISNUMBER(P295),ISNUMBER(Q295)),L295/((P295+Q295)/2)-1,"")</f>
        <v/>
      </c>
      <c r="S295" s="10" t="n"/>
      <c r="T295" s="15" t="n">
        <v>165500</v>
      </c>
      <c r="U295" s="16" t="n">
        <v>2003</v>
      </c>
      <c r="V295" s="10" t="inlineStr">
        <is>
          <t>10/2003</t>
        </is>
      </c>
      <c r="W295" s="10" t="inlineStr">
        <is>
          <t>Essence</t>
        </is>
      </c>
      <c r="X295" s="10" t="inlineStr">
        <is>
          <t>Manuelle</t>
        </is>
      </c>
      <c r="Y295" s="16" t="n">
        <v>180</v>
      </c>
      <c r="Z295" s="16" t="n">
        <v>11</v>
      </c>
      <c r="AA295" s="10" t="inlineStr">
        <is>
          <t>Gris</t>
        </is>
      </c>
      <c r="AB295" s="16" t="n">
        <v>3</v>
      </c>
      <c r="AC295" s="10" t="inlineStr">
        <is>
          <t>Berline</t>
        </is>
      </c>
      <c r="AD295" s="10" t="inlineStr">
        <is>
          <t>Factures disponibles, Réparations utiles déjà faites</t>
        </is>
      </c>
      <c r="AE295" s="10" t="n"/>
      <c r="AF295" s="10" t="inlineStr">
        <is>
          <t>Particulier</t>
        </is>
      </c>
      <c r="AG295" s="10" t="inlineStr">
        <is>
          <t>Châteaudun</t>
        </is>
      </c>
      <c r="AH295" s="10" t="inlineStr">
        <is>
          <t>28200</t>
        </is>
      </c>
      <c r="AI295" s="10" t="inlineStr">
        <is>
          <t>Eure-et-Loir</t>
        </is>
      </c>
      <c r="AJ295" s="10" t="inlineStr">
        <is>
          <t>Centre</t>
        </is>
      </c>
      <c r="AK295" s="16" t="n">
        <v>3</v>
      </c>
      <c r="AL295" s="10" t="n"/>
      <c r="AM295" s="10" t="inlineStr">
        <is>
          <t>Non</t>
        </is>
      </c>
      <c r="AN295" s="10" t="inlineStr">
        <is>
          <t>Peugeot 206 RC en très bon état général, totalisant ~165 500 km. Moteur performant, châssis sain et nombreux frais récents effectués. Frais récents (-5000km) : - Distribution complète avec pompe à eau (Gates) -Courroie d'accessoires et galet tendeur et galet enrouleur (Gates) -Bougies NGK Iridium IX (LFR5AIX-11) -Câble d'embrayage -pompe à air secondaire -boîtier BSM remplacé -COM 2000 remplacé -Boîtier de commande de ventilation remplacé -Capteur temp/humidité neuf -Joints de radiateur de chauf</t>
        </is>
      </c>
      <c r="AO295" s="10" t="inlineStr">
        <is>
          <t>Dommages : Bon état général ; Sellerie : Alcantara ; Équipements intérieurs : Allumage automatique des phares, Attelage de remorque, Chargeurs USB, Essuie-glaces automatiques, Jantes en alliage, Pare-brise chauffant, Phares anti-brouillard, Rétroviseurs dégivrants, Rétroviseurs rabattables électriquement, Siège arrière rabattable, Sièges sport, Suspension sport / adaptative, Volant réglable en hauteur ; Permis : Avec permis ; Importé : false ; vehicle_history_report_status : visible</t>
        </is>
      </c>
      <c r="AP295" s="19" t="inlineStr">
        <is>
          <t>Voir</t>
        </is>
      </c>
      <c r="AQ295" s="10" t="inlineStr">
        <is>
          <t>3283547749</t>
        </is>
      </c>
    </row>
    <row r="296">
      <c r="A296" s="10" t="inlineStr">
        <is>
          <t>Peugeot 206 RC</t>
        </is>
      </c>
      <c r="B296" s="10" t="inlineStr">
        <is>
          <t>Peugeot 206 rc 2.0 16v 177cv</t>
        </is>
      </c>
      <c r="C296" s="10" t="n"/>
      <c r="D296" s="10" t="n"/>
      <c r="E296" s="10" t="inlineStr">
        <is>
          <t>En vente</t>
        </is>
      </c>
      <c r="F296" s="18" t="n">
        <v>46301</v>
      </c>
      <c r="G296" s="18" t="n">
        <v>46301</v>
      </c>
      <c r="H296" s="18" t="n">
        <v>46310</v>
      </c>
      <c r="I296" s="18" t="n"/>
      <c r="J296" s="17">
        <f>IF(OR(ISNUMBER(F296),ISNUMBER(G296)),IF(ISNUMBER(I296),I296,H296)-IF(ISNUMBER(F296),F296,G296),"")</f>
        <v/>
      </c>
      <c r="K296" s="12" t="n">
        <v>5999</v>
      </c>
      <c r="L296" s="12" t="n">
        <v>5999</v>
      </c>
      <c r="M296" s="13">
        <f>IF(AND(ISNUMBER(K296),ISNUMBER(L296),K296&gt;0),1-L296/K296,"")</f>
        <v/>
      </c>
      <c r="N296" s="16" t="n">
        <v>0</v>
      </c>
      <c r="O296" s="12" t="n"/>
      <c r="P296" s="12" t="n"/>
      <c r="Q296" s="12" t="n"/>
      <c r="R296" s="14">
        <f>IF(AND(ISNUMBER(L296),ISNUMBER(P296),ISNUMBER(Q296)),L296/((P296+Q296)/2)-1,"")</f>
        <v/>
      </c>
      <c r="S296" s="10" t="n"/>
      <c r="T296" s="15" t="n">
        <v>240000</v>
      </c>
      <c r="U296" s="16" t="n">
        <v>2004</v>
      </c>
      <c r="V296" s="10" t="n"/>
      <c r="W296" s="10" t="inlineStr">
        <is>
          <t>Essence</t>
        </is>
      </c>
      <c r="X296" s="10" t="inlineStr">
        <is>
          <t>Manuelle</t>
        </is>
      </c>
      <c r="Y296" s="16" t="n"/>
      <c r="Z296" s="16" t="n"/>
      <c r="AA296" s="10" t="inlineStr">
        <is>
          <t>Gris</t>
        </is>
      </c>
      <c r="AB296" s="16" t="n">
        <v>3</v>
      </c>
      <c r="AC296" s="10" t="inlineStr">
        <is>
          <t>Berline</t>
        </is>
      </c>
      <c r="AD296" s="10" t="inlineStr">
        <is>
          <t>Carnet d'entretien disponible</t>
        </is>
      </c>
      <c r="AE296" s="10" t="inlineStr">
        <is>
          <t>Véhicule importé</t>
        </is>
      </c>
      <c r="AF296" s="10" t="inlineStr">
        <is>
          <t>Pro</t>
        </is>
      </c>
      <c r="AG296" s="10" t="inlineStr">
        <is>
          <t>Erstein</t>
        </is>
      </c>
      <c r="AH296" s="10" t="inlineStr">
        <is>
          <t>67150</t>
        </is>
      </c>
      <c r="AI296" s="10" t="inlineStr">
        <is>
          <t>Bas-Rhin</t>
        </is>
      </c>
      <c r="AJ296" s="10" t="inlineStr">
        <is>
          <t>Alsace</t>
        </is>
      </c>
      <c r="AK296" s="16" t="n">
        <v>5</v>
      </c>
      <c r="AL296" s="10" t="n"/>
      <c r="AM296" s="10" t="inlineStr">
        <is>
          <t>Non</t>
        </is>
      </c>
      <c r="AN296" s="10" t="inlineStr">
        <is>
          <t>⭐️⭐️LE GARAGE DM RETROMOTIVE VOUS PROPOSE ⭐️⭐️ VÉHICULE EN LIGNE = DISPONIBLE 🚘🚘🚘PEUGEOT 206 RC 2.0 16V 177CV🚘🚘🚘 CHÂSSIS EN SUPER ÉTAT ROULE PARFAITEMENT PAS DE FRAIS A PRÉVOIR MÉCANIQUE VENDU AVEC CT OPTIONS INTÉRIEUR CUIR CHAUFFANT DIRECTION ASSISTÉE VITRES ELECTRIQUES RÉTROVISEURS ELECTRIQUES FERMETURE CENTRALISÉE ABS ESP CLIMATISATION AUTOMATIQUE 2 CLÉS 🔧🔧🔧VENDU RÉVISÉE AVEC🔧🔧🔧 VIDANGE FILTRE HUILE NEUF KIT DISTRIBUTION POMPE À EAU NEUF CONTACT UNIQUEMENT PAR TÉLÉPHONE VISITE SUR</t>
        </is>
      </c>
      <c r="AO296" s="10" t="inlineStr">
        <is>
          <t>Dommages : Bon état général ; Sellerie : Cuir partiel ; Équipements intérieurs : Climatisation, Essuie-glaces automatiques, Jantes en alliage, Ordinateur de bord ; Permis : Avec permis ; VO récent : false ; vehicle_commercial_warranty : Non ; vehicle_manufacturer_warranty : Non ; custom_ref : Rc ; Importé : false ; spare_parts_availability : Non renseignée</t>
        </is>
      </c>
      <c r="AP296" s="19" t="inlineStr">
        <is>
          <t>Voir</t>
        </is>
      </c>
      <c r="AQ296" s="10" t="inlineStr">
        <is>
          <t>3283563302</t>
        </is>
      </c>
    </row>
    <row r="297">
      <c r="A297" s="10" t="inlineStr">
        <is>
          <t>Peugeot 206 RC</t>
        </is>
      </c>
      <c r="B297" s="10" t="inlineStr">
        <is>
          <t>206 rc</t>
        </is>
      </c>
      <c r="C297" s="10" t="n"/>
      <c r="D297" s="10" t="n"/>
      <c r="E297" s="10" t="inlineStr">
        <is>
          <t>En vente</t>
        </is>
      </c>
      <c r="F297" s="18" t="n">
        <v>46301</v>
      </c>
      <c r="G297" s="18" t="n">
        <v>46301</v>
      </c>
      <c r="H297" s="18" t="n">
        <v>46310</v>
      </c>
      <c r="I297" s="18" t="n"/>
      <c r="J297" s="17">
        <f>IF(OR(ISNUMBER(F297),ISNUMBER(G297)),IF(ISNUMBER(I297),I297,H297)-IF(ISNUMBER(F297),F297,G297),"")</f>
        <v/>
      </c>
      <c r="K297" s="12" t="n">
        <v>6500</v>
      </c>
      <c r="L297" s="12" t="n">
        <v>6500</v>
      </c>
      <c r="M297" s="13">
        <f>IF(AND(ISNUMBER(K297),ISNUMBER(L297),K297&gt;0),1-L297/K297,"")</f>
        <v/>
      </c>
      <c r="N297" s="16" t="n">
        <v>0</v>
      </c>
      <c r="O297" s="12" t="n"/>
      <c r="P297" s="12" t="n"/>
      <c r="Q297" s="12" t="n"/>
      <c r="R297" s="14">
        <f>IF(AND(ISNUMBER(L297),ISNUMBER(P297),ISNUMBER(Q297)),L297/((P297+Q297)/2)-1,"")</f>
        <v/>
      </c>
      <c r="S297" s="10" t="n"/>
      <c r="T297" s="15" t="n">
        <v>249000</v>
      </c>
      <c r="U297" s="16" t="n">
        <v>2003</v>
      </c>
      <c r="V297" s="10" t="inlineStr">
        <is>
          <t>07/2003</t>
        </is>
      </c>
      <c r="W297" s="10" t="inlineStr">
        <is>
          <t>Essence</t>
        </is>
      </c>
      <c r="X297" s="10" t="inlineStr">
        <is>
          <t>Manuelle</t>
        </is>
      </c>
      <c r="Y297" s="16" t="n">
        <v>180</v>
      </c>
      <c r="Z297" s="16" t="n">
        <v>11</v>
      </c>
      <c r="AA297" s="10" t="inlineStr">
        <is>
          <t>Noir</t>
        </is>
      </c>
      <c r="AB297" s="16" t="n">
        <v>3</v>
      </c>
      <c r="AC297" s="10" t="inlineStr">
        <is>
          <t>Berline</t>
        </is>
      </c>
      <c r="AD297" s="10" t="n"/>
      <c r="AE297" s="10" t="n"/>
      <c r="AF297" s="10" t="inlineStr">
        <is>
          <t>Particulier</t>
        </is>
      </c>
      <c r="AG297" s="10" t="inlineStr">
        <is>
          <t>Valognes</t>
        </is>
      </c>
      <c r="AH297" s="10" t="inlineStr">
        <is>
          <t>50700</t>
        </is>
      </c>
      <c r="AI297" s="10" t="inlineStr">
        <is>
          <t>Manche</t>
        </is>
      </c>
      <c r="AJ297" s="10" t="inlineStr">
        <is>
          <t>Basse-Normandie</t>
        </is>
      </c>
      <c r="AK297" s="16" t="n">
        <v>3</v>
      </c>
      <c r="AL297" s="10" t="n"/>
      <c r="AM297" s="10" t="inlineStr">
        <is>
          <t>Non</t>
        </is>
      </c>
      <c r="AN297" s="10" t="inlineStr">
        <is>
          <t>Bonjour, Je propose à la vente ma Peugeot 206 RC. C’est un véhicule que je possède depuis 9 ans, avec lequel j’ai parcouru environ 60 000 km. De nombreux frais ont été effectués récemment (moins de 5 000 km) : -Train arrière neuf -Amortisseurs arrière neufs -Triangles avant neufs -Distribution de moins d’un ans / ~1 200 km (kit Gates) -Embrayage et câble neufs -Bobines Valeo et bougies neuves -Vidange effectuée -Supports moteur (côté distribution et inférieur) neufs -Durite d’air entre boîte à a</t>
        </is>
      </c>
      <c r="AO297" s="10" t="inlineStr">
        <is>
          <t>Permis : Avec permis ; Importé : false ; vehicle_history_report_status : visible</t>
        </is>
      </c>
      <c r="AP297" s="19" t="inlineStr">
        <is>
          <t>Voir</t>
        </is>
      </c>
      <c r="AQ297" s="10" t="inlineStr">
        <is>
          <t>3283596159</t>
        </is>
      </c>
    </row>
    <row r="298">
      <c r="A298" s="10" t="inlineStr">
        <is>
          <t>Peugeot 206 RC</t>
        </is>
      </c>
      <c r="B298" s="10" t="inlineStr">
        <is>
          <t>Vends 206 RC</t>
        </is>
      </c>
      <c r="C298" s="10" t="inlineStr">
        <is>
          <t>206 2.0 16v  RC 3p</t>
        </is>
      </c>
      <c r="D298" s="10" t="inlineStr">
        <is>
          <t>RC</t>
        </is>
      </c>
      <c r="E298" s="10" t="inlineStr">
        <is>
          <t>En vente</t>
        </is>
      </c>
      <c r="F298" s="18" t="n">
        <v>46301</v>
      </c>
      <c r="G298" s="18" t="n">
        <v>46301</v>
      </c>
      <c r="H298" s="18" t="n">
        <v>46310</v>
      </c>
      <c r="I298" s="18" t="n"/>
      <c r="J298" s="17">
        <f>IF(OR(ISNUMBER(F298),ISNUMBER(G298)),IF(ISNUMBER(I298),I298,H298)-IF(ISNUMBER(F298),F298,G298),"")</f>
        <v/>
      </c>
      <c r="K298" s="12" t="n">
        <v>6000</v>
      </c>
      <c r="L298" s="12" t="n">
        <v>6000</v>
      </c>
      <c r="M298" s="13">
        <f>IF(AND(ISNUMBER(K298),ISNUMBER(L298),K298&gt;0),1-L298/K298,"")</f>
        <v/>
      </c>
      <c r="N298" s="16" t="n">
        <v>0</v>
      </c>
      <c r="O298" s="12" t="n"/>
      <c r="P298" s="12" t="n"/>
      <c r="Q298" s="12" t="n"/>
      <c r="R298" s="14">
        <f>IF(AND(ISNUMBER(L298),ISNUMBER(P298),ISNUMBER(Q298)),L298/((P298+Q298)/2)-1,"")</f>
        <v/>
      </c>
      <c r="S298" s="10" t="n"/>
      <c r="T298" s="15" t="n">
        <v>183000</v>
      </c>
      <c r="U298" s="16" t="n">
        <v>2004</v>
      </c>
      <c r="V298" s="10" t="inlineStr">
        <is>
          <t>07/2004</t>
        </is>
      </c>
      <c r="W298" s="10" t="inlineStr">
        <is>
          <t>Essence</t>
        </is>
      </c>
      <c r="X298" s="10" t="inlineStr">
        <is>
          <t>Manuelle</t>
        </is>
      </c>
      <c r="Y298" s="16" t="n">
        <v>180</v>
      </c>
      <c r="Z298" s="16" t="n">
        <v>11</v>
      </c>
      <c r="AA298" s="10" t="inlineStr">
        <is>
          <t>Autre</t>
        </is>
      </c>
      <c r="AB298" s="16" t="n">
        <v>3</v>
      </c>
      <c r="AC298" s="10" t="inlineStr">
        <is>
          <t>Berline</t>
        </is>
      </c>
      <c r="AD298" s="10" t="n"/>
      <c r="AE298" s="10" t="n"/>
      <c r="AF298" s="10" t="inlineStr">
        <is>
          <t>Particulier</t>
        </is>
      </c>
      <c r="AG298" s="10" t="inlineStr">
        <is>
          <t>Uzès</t>
        </is>
      </c>
      <c r="AH298" s="10" t="inlineStr">
        <is>
          <t>30700</t>
        </is>
      </c>
      <c r="AI298" s="10" t="inlineStr">
        <is>
          <t>Gard</t>
        </is>
      </c>
      <c r="AJ298" s="10" t="inlineStr">
        <is>
          <t>Languedoc-Roussillon</t>
        </is>
      </c>
      <c r="AK298" s="16" t="n">
        <v>3</v>
      </c>
      <c r="AL298" s="10" t="n"/>
      <c r="AM298" s="10" t="inlineStr">
        <is>
          <t>Non</t>
        </is>
      </c>
      <c r="AN298" s="10" t="inlineStr">
        <is>
          <t>A vendre 206 RC 183 000 km. Voiture entièrement refaite, intérieur comme extérieur, avec un style unique. Boîtier éthanol et d’une demi-ligne inox. 206 RC propre et agréable à conduire, idéale pour quelqu’un qui cherche un modèle qui sort de l’ordinaire. Prix : 6000 €</t>
        </is>
      </c>
      <c r="AO298" s="10" t="inlineStr">
        <is>
          <t>Permis : Avec permis ; Importé : false ; vehicle_history_report_status : visible</t>
        </is>
      </c>
      <c r="AP298" s="19" t="inlineStr">
        <is>
          <t>Voir</t>
        </is>
      </c>
      <c r="AQ298" s="10" t="inlineStr">
        <is>
          <t>3283596303</t>
        </is>
      </c>
    </row>
    <row r="299">
      <c r="A299" s="10" t="inlineStr">
        <is>
          <t>Peugeot 206 RC</t>
        </is>
      </c>
      <c r="B299" s="10" t="inlineStr">
        <is>
          <t>206 rc</t>
        </is>
      </c>
      <c r="C299" s="10" t="inlineStr">
        <is>
          <t>206 2.0 16v  RC 3p</t>
        </is>
      </c>
      <c r="D299" s="10" t="inlineStr">
        <is>
          <t>RC</t>
        </is>
      </c>
      <c r="E299" s="10" t="inlineStr">
        <is>
          <t>En vente</t>
        </is>
      </c>
      <c r="F299" s="18" t="n">
        <v>46302</v>
      </c>
      <c r="G299" s="18" t="n">
        <v>46302</v>
      </c>
      <c r="H299" s="18" t="n">
        <v>46310</v>
      </c>
      <c r="I299" s="18" t="n"/>
      <c r="J299" s="17">
        <f>IF(OR(ISNUMBER(F299),ISNUMBER(G299)),IF(ISNUMBER(I299),I299,H299)-IF(ISNUMBER(F299),F299,G299),"")</f>
        <v/>
      </c>
      <c r="K299" s="12" t="n">
        <v>6900</v>
      </c>
      <c r="L299" s="12" t="n">
        <v>6900</v>
      </c>
      <c r="M299" s="13">
        <f>IF(AND(ISNUMBER(K299),ISNUMBER(L299),K299&gt;0),1-L299/K299,"")</f>
        <v/>
      </c>
      <c r="N299" s="16" t="n">
        <v>0</v>
      </c>
      <c r="O299" s="12" t="n"/>
      <c r="P299" s="12" t="n"/>
      <c r="Q299" s="12" t="n"/>
      <c r="R299" s="14">
        <f>IF(AND(ISNUMBER(L299),ISNUMBER(P299),ISNUMBER(Q299)),L299/((P299+Q299)/2)-1,"")</f>
        <v/>
      </c>
      <c r="S299" s="10" t="n"/>
      <c r="T299" s="15" t="n">
        <v>175000</v>
      </c>
      <c r="U299" s="16" t="n">
        <v>2004</v>
      </c>
      <c r="V299" s="10" t="inlineStr">
        <is>
          <t>05/2004</t>
        </is>
      </c>
      <c r="W299" s="10" t="inlineStr">
        <is>
          <t>Essence</t>
        </is>
      </c>
      <c r="X299" s="10" t="inlineStr">
        <is>
          <t>Manuelle</t>
        </is>
      </c>
      <c r="Y299" s="16" t="n">
        <v>180</v>
      </c>
      <c r="Z299" s="16" t="n">
        <v>11</v>
      </c>
      <c r="AA299" s="10" t="inlineStr">
        <is>
          <t>Autre</t>
        </is>
      </c>
      <c r="AB299" s="16" t="n">
        <v>3</v>
      </c>
      <c r="AC299" s="10" t="inlineStr">
        <is>
          <t>Berline</t>
        </is>
      </c>
      <c r="AD299" s="10" t="inlineStr">
        <is>
          <t>Réparations utiles déjà faites, Véhicule non fumeur, Factures disponibles</t>
        </is>
      </c>
      <c r="AE299" s="10" t="n"/>
      <c r="AF299" s="10" t="inlineStr">
        <is>
          <t>Particulier</t>
        </is>
      </c>
      <c r="AG299" s="10" t="inlineStr">
        <is>
          <t>Plouigneau</t>
        </is>
      </c>
      <c r="AH299" s="10" t="inlineStr">
        <is>
          <t>29610</t>
        </is>
      </c>
      <c r="AI299" s="10" t="inlineStr">
        <is>
          <t>Finistère</t>
        </is>
      </c>
      <c r="AJ299" s="10" t="inlineStr">
        <is>
          <t>Bretagne</t>
        </is>
      </c>
      <c r="AK299" s="16" t="n">
        <v>3</v>
      </c>
      <c r="AL299" s="10" t="n"/>
      <c r="AM299" s="10" t="inlineStr">
        <is>
          <t>Non</t>
        </is>
      </c>
      <c r="AN299" s="10" t="inlineStr">
        <is>
          <t>Je vends ma Peugeot 206 RC qui totalise 176 000 km. Voiture importée d’Angleterre et convertie par l’ancien propriétaire qui travaillait auparavant chez NJ Motors Le volant a été passé à gauche. La carte grise française a été réalisée avant la conversion du volant. Je ne possède pas de carnet d’entretien, je n’ai que mes factures et celle de l’ancien propriétaire. Beaucoup de frais réalisés récemment : Embrayage : moins de 10 000 km (Sachs) Distribution : moins de 10 000 km (Gates) Kit accessoir</t>
        </is>
      </c>
      <c r="AO299" s="10" t="inlineStr">
        <is>
          <t>Dommages : Bon état général ; Permis : Avec permis ; Importé : false ; vehicle_history_teaser_critair : 3 ; vehicle_history_teaser_owners : 3 ; vehicle_history_teaser_expertises : false ; vehicle_history_teaser_special_uses : false ; vehicle_history_teaser_atypical_operations : true ; vehicle_history_teaser_importations : true</t>
        </is>
      </c>
      <c r="AP299" s="19" t="inlineStr">
        <is>
          <t>Voir</t>
        </is>
      </c>
      <c r="AQ299" s="10" t="inlineStr">
        <is>
          <t>3284050430</t>
        </is>
      </c>
    </row>
    <row r="300">
      <c r="A300" s="10" t="inlineStr">
        <is>
          <t>Peugeot 206 RC</t>
        </is>
      </c>
      <c r="B300" s="10" t="inlineStr">
        <is>
          <t>Peugeot 206 RC 177ch</t>
        </is>
      </c>
      <c r="C300" s="10" t="inlineStr">
        <is>
          <t>RC_206 2.0 16v RC 3p</t>
        </is>
      </c>
      <c r="D300" s="10" t="inlineStr">
        <is>
          <t>RC</t>
        </is>
      </c>
      <c r="E300" s="10" t="inlineStr">
        <is>
          <t>En vente</t>
        </is>
      </c>
      <c r="F300" s="18" t="n">
        <v>46303</v>
      </c>
      <c r="G300" s="18" t="n">
        <v>46303</v>
      </c>
      <c r="H300" s="18" t="n">
        <v>46310</v>
      </c>
      <c r="I300" s="18" t="n"/>
      <c r="J300" s="17">
        <f>IF(OR(ISNUMBER(F300),ISNUMBER(G300)),IF(ISNUMBER(I300),I300,H300)-IF(ISNUMBER(F300),F300,G300),"")</f>
        <v/>
      </c>
      <c r="K300" s="12" t="n">
        <v>16900</v>
      </c>
      <c r="L300" s="12" t="n">
        <v>16900</v>
      </c>
      <c r="M300" s="13">
        <f>IF(AND(ISNUMBER(K300),ISNUMBER(L300),K300&gt;0),1-L300/K300,"")</f>
        <v/>
      </c>
      <c r="N300" s="16" t="n">
        <v>0</v>
      </c>
      <c r="O300" s="12" t="n"/>
      <c r="P300" s="12" t="n"/>
      <c r="Q300" s="12" t="n"/>
      <c r="R300" s="14">
        <f>IF(AND(ISNUMBER(L300),ISNUMBER(P300),ISNUMBER(Q300)),L300/((P300+Q300)/2)-1,"")</f>
        <v/>
      </c>
      <c r="S300" s="10" t="n"/>
      <c r="T300" s="15" t="n">
        <v>69500</v>
      </c>
      <c r="U300" s="16" t="n">
        <v>2003</v>
      </c>
      <c r="V300" s="10" t="inlineStr">
        <is>
          <t>12/2003</t>
        </is>
      </c>
      <c r="W300" s="10" t="inlineStr">
        <is>
          <t>Essence</t>
        </is>
      </c>
      <c r="X300" s="10" t="inlineStr">
        <is>
          <t>Manuelle</t>
        </is>
      </c>
      <c r="Y300" s="16" t="n">
        <v>180</v>
      </c>
      <c r="Z300" s="16" t="n">
        <v>11</v>
      </c>
      <c r="AA300" s="10" t="inlineStr">
        <is>
          <t>Rouge</t>
        </is>
      </c>
      <c r="AB300" s="16" t="n">
        <v>3</v>
      </c>
      <c r="AC300" s="10" t="inlineStr">
        <is>
          <t>Berline</t>
        </is>
      </c>
      <c r="AD300" s="10" t="inlineStr">
        <is>
          <t>Carnet d'entretien disponible, Factures disponibles, Véhicule non fumeur, Réparations utiles déjà faites</t>
        </is>
      </c>
      <c r="AE300" s="10" t="inlineStr">
        <is>
          <t>Véhicule importé</t>
        </is>
      </c>
      <c r="AF300" s="10" t="inlineStr">
        <is>
          <t>Particulier</t>
        </is>
      </c>
      <c r="AG300" s="10" t="inlineStr">
        <is>
          <t>Carros</t>
        </is>
      </c>
      <c r="AH300" s="10" t="inlineStr">
        <is>
          <t>06510</t>
        </is>
      </c>
      <c r="AI300" s="10" t="inlineStr">
        <is>
          <t>Alpes-Maritimes</t>
        </is>
      </c>
      <c r="AJ300" s="10" t="inlineStr">
        <is>
          <t>Provence-Alpes-Côte d'Azur</t>
        </is>
      </c>
      <c r="AK300" s="16" t="n">
        <v>3</v>
      </c>
      <c r="AL300" s="10" t="n"/>
      <c r="AM300" s="10" t="inlineStr">
        <is>
          <t>Non</t>
        </is>
      </c>
      <c r="AN300" s="10" t="inlineStr">
        <is>
          <t>Bonjour, Vends cette magnifique Peugeot 206 RC de couleur plutôt rare en Rouge Aden de décembre 2003 avec aujourd'hui 69 500kms au compteur (légèrement évolutifs). Cette 206 RC a vécu toute sa vie au Japon jusqu'en 2020 où elle est revenue ici en France. Ce qui a été fait dessus depuis que je la possède (fin novembre 2025). Pour info: voici la liste des frais effectués récemment (depuis mon acquisition): - Train avant complet refait à neuf (biellette de barre stab, silentbloc de barre stab, biel</t>
        </is>
      </c>
      <c r="AO300" s="10" t="inlineStr">
        <is>
          <t>vehicle_technical_inspection_valid : Oui ; Contrôle technique : 2027 ; Dommages : Excellent état (proche du neuf) ; Sellerie : Alcantara, Cuir partiel, Tissu ; Équipements intérieurs : Allumage automatique des phares, Apple CarPlay / Android Auto, Bluetooth, Chargeurs USB, Climatisation, Essuie-glaces automatiques, Jantes en alliage, Ordinateur de bord, Phares anti-brouillard, Phares LED / Xenon, Radio numérique DAB, Rétroviseurs dégivrants, Rétroviseurs rabattables électriquement, Siège arrière rabattable, Siège réglable en hauteur, Sièges sport, Système audio haut de gamme, Volant réglable en hauteur ; vehicle_euro_emissions_standard : Euro 3 ; Permis : Avec permis ; Importé : false ; vehicle_history_report_status : visible</t>
        </is>
      </c>
      <c r="AP300" s="19" t="inlineStr">
        <is>
          <t>Voir</t>
        </is>
      </c>
      <c r="AQ300" s="10" t="inlineStr">
        <is>
          <t>3284347419</t>
        </is>
      </c>
    </row>
    <row r="301">
      <c r="A301" s="10" t="inlineStr">
        <is>
          <t>Peugeot 206 RC</t>
        </is>
      </c>
      <c r="B301" s="10" t="inlineStr">
        <is>
          <t>206 rc</t>
        </is>
      </c>
      <c r="C301" s="10" t="inlineStr">
        <is>
          <t>206 2.0 16v  RC 3p</t>
        </is>
      </c>
      <c r="D301" s="10" t="inlineStr">
        <is>
          <t>RC</t>
        </is>
      </c>
      <c r="E301" s="10" t="inlineStr">
        <is>
          <t>En vente</t>
        </is>
      </c>
      <c r="F301" s="18" t="n">
        <v>46305</v>
      </c>
      <c r="G301" s="18" t="n">
        <v>46305</v>
      </c>
      <c r="H301" s="18" t="n">
        <v>46310</v>
      </c>
      <c r="I301" s="18" t="n"/>
      <c r="J301" s="17">
        <f>IF(OR(ISNUMBER(F301),ISNUMBER(G301)),IF(ISNUMBER(I301),I301,H301)-IF(ISNUMBER(F301),F301,G301),"")</f>
        <v/>
      </c>
      <c r="K301" s="12" t="n">
        <v>9000</v>
      </c>
      <c r="L301" s="12" t="n">
        <v>9000</v>
      </c>
      <c r="M301" s="13">
        <f>IF(AND(ISNUMBER(K301),ISNUMBER(L301),K301&gt;0),1-L301/K301,"")</f>
        <v/>
      </c>
      <c r="N301" s="16" t="n">
        <v>0</v>
      </c>
      <c r="O301" s="12" t="n"/>
      <c r="P301" s="12" t="n"/>
      <c r="Q301" s="12" t="n"/>
      <c r="R301" s="14">
        <f>IF(AND(ISNUMBER(L301),ISNUMBER(P301),ISNUMBER(Q301)),L301/((P301+Q301)/2)-1,"")</f>
        <v/>
      </c>
      <c r="S301" s="10" t="n"/>
      <c r="T301" s="15" t="n">
        <v>169000</v>
      </c>
      <c r="U301" s="16" t="n">
        <v>2003</v>
      </c>
      <c r="V301" s="10" t="inlineStr">
        <is>
          <t>10/2003</t>
        </is>
      </c>
      <c r="W301" s="10" t="inlineStr">
        <is>
          <t>Essence</t>
        </is>
      </c>
      <c r="X301" s="10" t="inlineStr">
        <is>
          <t>Manuelle</t>
        </is>
      </c>
      <c r="Y301" s="16" t="n">
        <v>180</v>
      </c>
      <c r="Z301" s="16" t="n">
        <v>11</v>
      </c>
      <c r="AA301" s="10" t="inlineStr">
        <is>
          <t>Gris</t>
        </is>
      </c>
      <c r="AB301" s="16" t="n">
        <v>3</v>
      </c>
      <c r="AC301" s="10" t="inlineStr">
        <is>
          <t>Berline</t>
        </is>
      </c>
      <c r="AD301" s="10" t="n"/>
      <c r="AE301" s="10" t="n"/>
      <c r="AF301" s="10" t="inlineStr">
        <is>
          <t>Particulier</t>
        </is>
      </c>
      <c r="AG301" s="10" t="inlineStr">
        <is>
          <t>Landivisiau</t>
        </is>
      </c>
      <c r="AH301" s="10" t="inlineStr">
        <is>
          <t>29400</t>
        </is>
      </c>
      <c r="AI301" s="10" t="inlineStr">
        <is>
          <t>Finistère</t>
        </is>
      </c>
      <c r="AJ301" s="10" t="inlineStr">
        <is>
          <t>Bretagne</t>
        </is>
      </c>
      <c r="AK301" s="16" t="n">
        <v>3</v>
      </c>
      <c r="AL301" s="10" t="n"/>
      <c r="AM301" s="10" t="inlineStr">
        <is>
          <t>Non</t>
        </is>
      </c>
      <c r="AN301" s="10" t="inlineStr">
        <is>
          <t>206 année 2003 rc 16 cv 3 portes excellent état 169000 kms uniquement par téléphone</t>
        </is>
      </c>
      <c r="AO301" s="10" t="inlineStr">
        <is>
          <t>Dommages : Excellent état (proche du neuf) ; Sellerie : Cuir partiel ; Permis : Avec permis ; Importé : false</t>
        </is>
      </c>
      <c r="AP301" s="19" t="inlineStr">
        <is>
          <t>Voir</t>
        </is>
      </c>
      <c r="AQ301" s="10" t="inlineStr">
        <is>
          <t>3285484109</t>
        </is>
      </c>
    </row>
    <row r="302">
      <c r="A302" s="10" t="inlineStr">
        <is>
          <t>Peugeot 206 RC</t>
        </is>
      </c>
      <c r="B302" s="10" t="inlineStr">
        <is>
          <t>Peugeot 206 rc</t>
        </is>
      </c>
      <c r="C302" s="10" t="inlineStr">
        <is>
          <t>RC_206 2.0 16v RC 3p</t>
        </is>
      </c>
      <c r="D302" s="10" t="inlineStr">
        <is>
          <t>RC</t>
        </is>
      </c>
      <c r="E302" s="10" t="inlineStr">
        <is>
          <t>En vente</t>
        </is>
      </c>
      <c r="F302" s="18" t="n">
        <v>46308</v>
      </c>
      <c r="G302" s="18" t="n">
        <v>46308</v>
      </c>
      <c r="H302" s="18" t="n">
        <v>46310</v>
      </c>
      <c r="I302" s="18" t="n"/>
      <c r="J302" s="17">
        <f>IF(OR(ISNUMBER(F302),ISNUMBER(G302)),IF(ISNUMBER(I302),I302,H302)-IF(ISNUMBER(F302),F302,G302),"")</f>
        <v/>
      </c>
      <c r="K302" s="12" t="n">
        <v>10500</v>
      </c>
      <c r="L302" s="12" t="n">
        <v>10500</v>
      </c>
      <c r="M302" s="13">
        <f>IF(AND(ISNUMBER(K302),ISNUMBER(L302),K302&gt;0),1-L302/K302,"")</f>
        <v/>
      </c>
      <c r="N302" s="16" t="n">
        <v>0</v>
      </c>
      <c r="O302" s="12" t="n"/>
      <c r="P302" s="12" t="n"/>
      <c r="Q302" s="12" t="n"/>
      <c r="R302" s="14">
        <f>IF(AND(ISNUMBER(L302),ISNUMBER(P302),ISNUMBER(Q302)),L302/((P302+Q302)/2)-1,"")</f>
        <v/>
      </c>
      <c r="S302" s="10" t="n"/>
      <c r="T302" s="15" t="n">
        <v>175000</v>
      </c>
      <c r="U302" s="16" t="n">
        <v>2005</v>
      </c>
      <c r="V302" s="10" t="inlineStr">
        <is>
          <t>04/2005</t>
        </is>
      </c>
      <c r="W302" s="10" t="inlineStr">
        <is>
          <t>Essence</t>
        </is>
      </c>
      <c r="X302" s="10" t="inlineStr">
        <is>
          <t>Manuelle</t>
        </is>
      </c>
      <c r="Y302" s="16" t="n">
        <v>180</v>
      </c>
      <c r="Z302" s="16" t="n">
        <v>11</v>
      </c>
      <c r="AA302" s="10" t="inlineStr">
        <is>
          <t>Noir</t>
        </is>
      </c>
      <c r="AB302" s="16" t="n">
        <v>3</v>
      </c>
      <c r="AC302" s="10" t="inlineStr">
        <is>
          <t>Berline</t>
        </is>
      </c>
      <c r="AD302" s="10" t="n"/>
      <c r="AE302" s="10" t="n"/>
      <c r="AF302" s="10" t="inlineStr">
        <is>
          <t>Particulier</t>
        </is>
      </c>
      <c r="AG302" s="10" t="inlineStr">
        <is>
          <t>Mélisey</t>
        </is>
      </c>
      <c r="AH302" s="10" t="inlineStr">
        <is>
          <t>70270</t>
        </is>
      </c>
      <c r="AI302" s="10" t="inlineStr">
        <is>
          <t>Haute-Saône</t>
        </is>
      </c>
      <c r="AJ302" s="10" t="inlineStr">
        <is>
          <t>Franche-Comté</t>
        </is>
      </c>
      <c r="AK302" s="16" t="n">
        <v>3</v>
      </c>
      <c r="AL302" s="10" t="n"/>
      <c r="AM302" s="10" t="inlineStr">
        <is>
          <t>Non</t>
        </is>
      </c>
      <c r="AN302" s="10" t="inlineStr">
        <is>
          <t>Je vends ma Peugeot 206 RC de 2005, une citadine sportive au caractère affirmé. - Marque : Peugeot - Modèle : 206 - Finition : RC - Année : 2005 - Kilométrage : 175 000 km - Motorisation : 2.0 16v 180 ch - Carburant : Essence - Boîte de vitesses : Manuelle - Type de véhicule : Berline - Nombre de portes : 3 - Nombre de sièges : 5 - Couleur : Noir - Puissance fiscale : 11 Cv - Contrôle technique : Valide - Moteur entièrement révisé en 2020 à 150000 KMS - Echange coussinets vilebrequin - Echange c</t>
        </is>
      </c>
      <c r="AO302" s="10" t="inlineStr">
        <is>
          <t>vehicle_technical_inspection_valid : Oui ; Dommages : Bon état général ; Sellerie : Alcantara ; Équipements intérieurs : Allumage automatique des phares, Jantes en alliage, Phares anti-brouillard, Siège arrière rabattable, Siège réglable en hauteur, Sièges chauffants, Sièges sport, Volant réglable en hauteur ; Permis : Avec permis ; Importé : false</t>
        </is>
      </c>
      <c r="AP302" s="19" t="inlineStr">
        <is>
          <t>Voir</t>
        </is>
      </c>
      <c r="AQ302" s="10" t="inlineStr">
        <is>
          <t>3286388415</t>
        </is>
      </c>
    </row>
    <row r="303">
      <c r="A303" s="10" t="inlineStr">
        <is>
          <t>Peugeot 206 RC</t>
        </is>
      </c>
      <c r="B303" s="10" t="inlineStr">
        <is>
          <t>Peugeot 206 RC 2.0 16V 200 CH</t>
        </is>
      </c>
      <c r="C303" s="10" t="inlineStr">
        <is>
          <t>206 2.0 16v RC 3p</t>
        </is>
      </c>
      <c r="D303" s="10" t="inlineStr">
        <is>
          <t>RC</t>
        </is>
      </c>
      <c r="E303" s="10" t="inlineStr">
        <is>
          <t>En vente</t>
        </is>
      </c>
      <c r="F303" s="18" t="n">
        <v>46306</v>
      </c>
      <c r="G303" s="18" t="n">
        <v>46306</v>
      </c>
      <c r="H303" s="18" t="n">
        <v>46310</v>
      </c>
      <c r="I303" s="18" t="n"/>
      <c r="J303" s="17">
        <f>IF(OR(ISNUMBER(F303),ISNUMBER(G303)),IF(ISNUMBER(I303),I303,H303)-IF(ISNUMBER(F303),F303,G303),"")</f>
        <v/>
      </c>
      <c r="K303" s="12" t="n">
        <v>15000</v>
      </c>
      <c r="L303" s="12" t="n">
        <v>15000</v>
      </c>
      <c r="M303" s="13">
        <f>IF(AND(ISNUMBER(K303),ISNUMBER(L303),K303&gt;0),1-L303/K303,"")</f>
        <v/>
      </c>
      <c r="N303" s="16" t="n">
        <v>0</v>
      </c>
      <c r="O303" s="12" t="n"/>
      <c r="P303" s="12" t="n"/>
      <c r="Q303" s="12" t="n"/>
      <c r="R303" s="14">
        <f>IF(AND(ISNUMBER(L303),ISNUMBER(P303),ISNUMBER(Q303)),L303/((P303+Q303)/2)-1,"")</f>
        <v/>
      </c>
      <c r="S303" s="10" t="n"/>
      <c r="T303" s="15" t="n">
        <v>198000</v>
      </c>
      <c r="U303" s="16" t="n">
        <v>2003</v>
      </c>
      <c r="V303" s="10" t="inlineStr">
        <is>
          <t>08/2003</t>
        </is>
      </c>
      <c r="W303" s="10" t="inlineStr">
        <is>
          <t>Essence</t>
        </is>
      </c>
      <c r="X303" s="10" t="inlineStr">
        <is>
          <t>Manuelle</t>
        </is>
      </c>
      <c r="Y303" s="16" t="n">
        <v>180</v>
      </c>
      <c r="Z303" s="16" t="n">
        <v>11</v>
      </c>
      <c r="AA303" s="10" t="inlineStr">
        <is>
          <t>Bleu</t>
        </is>
      </c>
      <c r="AB303" s="16" t="n">
        <v>3</v>
      </c>
      <c r="AC303" s="10" t="inlineStr">
        <is>
          <t>Berline</t>
        </is>
      </c>
      <c r="AD303" s="10" t="inlineStr">
        <is>
          <t>Carnet d'entretien disponible, Factures disponibles, Véhicule non fumeur, Réparations utiles déjà faites</t>
        </is>
      </c>
      <c r="AE303" s="10" t="inlineStr">
        <is>
          <t>Véhicule importé</t>
        </is>
      </c>
      <c r="AF303" s="10" t="inlineStr">
        <is>
          <t>Particulier</t>
        </is>
      </c>
      <c r="AG303" s="10" t="inlineStr">
        <is>
          <t>Besançon</t>
        </is>
      </c>
      <c r="AH303" s="10" t="inlineStr">
        <is>
          <t>25000</t>
        </is>
      </c>
      <c r="AI303" s="10" t="inlineStr">
        <is>
          <t>Doubs</t>
        </is>
      </c>
      <c r="AJ303" s="10" t="inlineStr">
        <is>
          <t>Franche-Comté</t>
        </is>
      </c>
      <c r="AK303" s="16" t="n">
        <v>3</v>
      </c>
      <c r="AL303" s="10" t="n"/>
      <c r="AM303" s="10" t="inlineStr">
        <is>
          <t>Non</t>
        </is>
      </c>
      <c r="AN303" s="10" t="inlineStr">
        <is>
          <t>Je mets en vente ma Peugeot 206 RC 2.0 16V de 2003, une véritable sportive au caractère affirmé, bénéficiant d’une remise en état esthétique et d’une préparation mécanique et châssis destinée aux passionnés. La voiture a bénéficié d’une peinture complète neuve ,paré brise neuf ,lunette arrière et d’une préparation axée sur le comportement routier, avec des pièces de qualité. Un exemplaire qui se distingue par son look sportif, son châssis travaillé et son moteur atmosphérique réputé pour son car</t>
        </is>
      </c>
      <c r="AO303" s="10" t="inlineStr">
        <is>
          <t>Dommages : Non endommagé ; Sellerie : Alcantara ; Équipements intérieurs : Climatisation, Essuie-glaces automatiques, Jantes en alliage, Ordinateur de bord, Phares anti-brouillard, Sièges chauffants, Sièges sport ; vehicle_euro_emissions_standard : Euro 4 ; Permis : Avec permis ; Importé : false</t>
        </is>
      </c>
      <c r="AP303" s="19" t="inlineStr">
        <is>
          <t>Voir</t>
        </is>
      </c>
      <c r="AQ303" s="10" t="inlineStr">
        <is>
          <t>3286475955</t>
        </is>
      </c>
    </row>
    <row r="304">
      <c r="A304" s="10" t="inlineStr">
        <is>
          <t>Peugeot 206 RC</t>
        </is>
      </c>
      <c r="B304" s="10" t="inlineStr">
        <is>
          <t>Peugeot 206 rc 2.0 180cv</t>
        </is>
      </c>
      <c r="C304" s="10" t="inlineStr">
        <is>
          <t>206 2.0 16v RC 3p</t>
        </is>
      </c>
      <c r="D304" s="10" t="inlineStr">
        <is>
          <t>RC</t>
        </is>
      </c>
      <c r="E304" s="10" t="inlineStr">
        <is>
          <t>En vente</t>
        </is>
      </c>
      <c r="F304" s="18" t="n">
        <v>46307</v>
      </c>
      <c r="G304" s="18" t="n">
        <v>46307</v>
      </c>
      <c r="H304" s="18" t="n">
        <v>46310</v>
      </c>
      <c r="I304" s="18" t="n"/>
      <c r="J304" s="17">
        <f>IF(OR(ISNUMBER(F304),ISNUMBER(G304)),IF(ISNUMBER(I304),I304,H304)-IF(ISNUMBER(F304),F304,G304),"")</f>
        <v/>
      </c>
      <c r="K304" s="12" t="n">
        <v>11900</v>
      </c>
      <c r="L304" s="12" t="n">
        <v>11900</v>
      </c>
      <c r="M304" s="13">
        <f>IF(AND(ISNUMBER(K304),ISNUMBER(L304),K304&gt;0),1-L304/K304,"")</f>
        <v/>
      </c>
      <c r="N304" s="16" t="n">
        <v>0</v>
      </c>
      <c r="O304" s="12" t="n"/>
      <c r="P304" s="12" t="n"/>
      <c r="Q304" s="12" t="n"/>
      <c r="R304" s="14">
        <f>IF(AND(ISNUMBER(L304),ISNUMBER(P304),ISNUMBER(Q304)),L304/((P304+Q304)/2)-1,"")</f>
        <v/>
      </c>
      <c r="S304" s="10" t="n"/>
      <c r="T304" s="15" t="n">
        <v>126000</v>
      </c>
      <c r="U304" s="16" t="n">
        <v>2004</v>
      </c>
      <c r="V304" s="10" t="inlineStr">
        <is>
          <t>09/2004</t>
        </is>
      </c>
      <c r="W304" s="10" t="inlineStr">
        <is>
          <t>Essence</t>
        </is>
      </c>
      <c r="X304" s="10" t="inlineStr">
        <is>
          <t>Manuelle</t>
        </is>
      </c>
      <c r="Y304" s="16" t="n">
        <v>180</v>
      </c>
      <c r="Z304" s="16" t="n">
        <v>11</v>
      </c>
      <c r="AA304" s="10" t="inlineStr">
        <is>
          <t>Rouge</t>
        </is>
      </c>
      <c r="AB304" s="16" t="n">
        <v>3</v>
      </c>
      <c r="AC304" s="10" t="inlineStr">
        <is>
          <t>Berline</t>
        </is>
      </c>
      <c r="AD304" s="10" t="inlineStr">
        <is>
          <t>Factures disponibles</t>
        </is>
      </c>
      <c r="AE304" s="10" t="n"/>
      <c r="AF304" s="10" t="inlineStr">
        <is>
          <t>Particulier</t>
        </is>
      </c>
      <c r="AG304" s="10" t="inlineStr">
        <is>
          <t>Perpignan</t>
        </is>
      </c>
      <c r="AH304" s="10" t="inlineStr">
        <is>
          <t>66000</t>
        </is>
      </c>
      <c r="AI304" s="10" t="inlineStr">
        <is>
          <t>Pyrénées-Orientales</t>
        </is>
      </c>
      <c r="AJ304" s="10" t="inlineStr">
        <is>
          <t>Languedoc-Roussillon</t>
        </is>
      </c>
      <c r="AK304" s="16" t="n">
        <v>3</v>
      </c>
      <c r="AL304" s="10" t="n"/>
      <c r="AM304" s="10" t="inlineStr">
        <is>
          <t>Non</t>
        </is>
      </c>
      <c r="AN304" s="10" t="inlineStr">
        <is>
          <t>Vend Peugeot 206 rc 2.0 180cv totalisant 126000km (peu évolutif) année 2004 Double de clé Dossier factures disponibles Véhicule qui dort dans un garage et roule peu Très peu d exemplaires en rouge Aden Options : -Climatisation -Direction assistée -Rétroviseur rabattable électrique -Jante d origine en 17p -Silencieux cobra sur ligne d origine -4 amortisseur KR -Phare auto Une révision avec bougies sera faite pour la vente 4 pneus proche du neuf Freinage récent Dernière distribution faite il y’a 5</t>
        </is>
      </c>
      <c r="AO304" s="10" t="inlineStr">
        <is>
          <t>Dommages : Excellent état (proche du neuf) ; Équipements intérieurs : Climatisation, Essuie-glaces automatiques, Jantes en alliage, Ordinateur de bord, Rétroviseurs dégivrants, Rétroviseurs rabattables électriquement ; vehicle_euro_emissions_standard : Euro 6 ; Permis : Avec permis ; Importé : false</t>
        </is>
      </c>
      <c r="AP304" s="19" t="inlineStr">
        <is>
          <t>Voir</t>
        </is>
      </c>
      <c r="AQ304" s="10" t="inlineStr">
        <is>
          <t>3286858631</t>
        </is>
      </c>
    </row>
    <row r="305">
      <c r="A305" s="10" t="inlineStr">
        <is>
          <t>Peugeot 206 RC</t>
        </is>
      </c>
      <c r="B305" s="10" t="inlineStr">
        <is>
          <t>206 rc</t>
        </is>
      </c>
      <c r="C305" s="10" t="inlineStr">
        <is>
          <t>206 2.0 16v RC 3p</t>
        </is>
      </c>
      <c r="D305" s="10" t="inlineStr">
        <is>
          <t>RC</t>
        </is>
      </c>
      <c r="E305" s="10" t="inlineStr">
        <is>
          <t>En vente</t>
        </is>
      </c>
      <c r="F305" s="18" t="n">
        <v>46307</v>
      </c>
      <c r="G305" s="18" t="n">
        <v>46307</v>
      </c>
      <c r="H305" s="18" t="n">
        <v>46310</v>
      </c>
      <c r="I305" s="18" t="n"/>
      <c r="J305" s="17">
        <f>IF(OR(ISNUMBER(F305),ISNUMBER(G305)),IF(ISNUMBER(I305),I305,H305)-IF(ISNUMBER(F305),F305,G305),"")</f>
        <v/>
      </c>
      <c r="K305" s="12" t="n">
        <v>17500</v>
      </c>
      <c r="L305" s="12" t="n">
        <v>17500</v>
      </c>
      <c r="M305" s="13">
        <f>IF(AND(ISNUMBER(K305),ISNUMBER(L305),K305&gt;0),1-L305/K305,"")</f>
        <v/>
      </c>
      <c r="N305" s="16" t="n">
        <v>0</v>
      </c>
      <c r="O305" s="12" t="n"/>
      <c r="P305" s="12" t="n"/>
      <c r="Q305" s="12" t="n"/>
      <c r="R305" s="14">
        <f>IF(AND(ISNUMBER(L305),ISNUMBER(P305),ISNUMBER(Q305)),L305/((P305+Q305)/2)-1,"")</f>
        <v/>
      </c>
      <c r="S305" s="10" t="n"/>
      <c r="T305" s="15" t="n">
        <v>166903</v>
      </c>
      <c r="U305" s="16" t="n">
        <v>2006</v>
      </c>
      <c r="V305" s="10" t="inlineStr">
        <is>
          <t>02/2006</t>
        </is>
      </c>
      <c r="W305" s="10" t="inlineStr">
        <is>
          <t>Essence</t>
        </is>
      </c>
      <c r="X305" s="10" t="inlineStr">
        <is>
          <t>Manuelle</t>
        </is>
      </c>
      <c r="Y305" s="16" t="n">
        <v>180</v>
      </c>
      <c r="Z305" s="16" t="n">
        <v>11</v>
      </c>
      <c r="AA305" s="10" t="inlineStr">
        <is>
          <t>Bleu</t>
        </is>
      </c>
      <c r="AB305" s="16" t="n">
        <v>3</v>
      </c>
      <c r="AC305" s="10" t="inlineStr">
        <is>
          <t>Berline</t>
        </is>
      </c>
      <c r="AD305" s="10" t="inlineStr">
        <is>
          <t>Réparations utiles déjà faites, Véhicule non fumeur, Factures disponibles</t>
        </is>
      </c>
      <c r="AE305" s="10" t="n"/>
      <c r="AF305" s="10" t="inlineStr">
        <is>
          <t>Particulier</t>
        </is>
      </c>
      <c r="AG305" s="10" t="inlineStr">
        <is>
          <t>Saillenard</t>
        </is>
      </c>
      <c r="AH305" s="10" t="inlineStr">
        <is>
          <t>71580</t>
        </is>
      </c>
      <c r="AI305" s="10" t="inlineStr">
        <is>
          <t>Saône-et-Loire</t>
        </is>
      </c>
      <c r="AJ305" s="10" t="inlineStr">
        <is>
          <t>Bourgogne</t>
        </is>
      </c>
      <c r="AK305" s="16" t="n">
        <v>3</v>
      </c>
      <c r="AL305" s="10" t="n"/>
      <c r="AM305" s="10" t="inlineStr">
        <is>
          <t>Non</t>
        </is>
      </c>
      <c r="AN305" s="10" t="inlineStr">
        <is>
          <t>Bonjour je vend ma 206 rc avec carte grise a mon nom voiture préparer pour le circuit elle possède amortisseur avant arrière Bilstein ligne decata 2 set de jante carto faite chez banet 208 cv arceaux, boulonnais, moteur, propre, sans fuite d’huile sièges baquet et nombreuses pièces en plus me contacter pour plus d’informations Prix négociables</t>
        </is>
      </c>
      <c r="AO305" s="10" t="inlineStr">
        <is>
          <t>Dommages : Excellent état (proche du neuf) ; Sellerie : Alcantara ; Permis : Avec permis ; Importé : false</t>
        </is>
      </c>
      <c r="AP305" s="19" t="inlineStr">
        <is>
          <t>Voir</t>
        </is>
      </c>
      <c r="AQ305" s="10" t="inlineStr">
        <is>
          <t>3287278903</t>
        </is>
      </c>
    </row>
    <row r="306">
      <c r="A306" s="10" t="inlineStr">
        <is>
          <t>Peugeot 206 RC</t>
        </is>
      </c>
      <c r="B306" s="10" t="inlineStr">
        <is>
          <t>206 rc</t>
        </is>
      </c>
      <c r="C306" s="10" t="n"/>
      <c r="D306" s="10" t="n"/>
      <c r="E306" s="10" t="inlineStr">
        <is>
          <t>En vente</t>
        </is>
      </c>
      <c r="F306" s="18" t="n">
        <v>46307</v>
      </c>
      <c r="G306" s="18" t="n">
        <v>46307</v>
      </c>
      <c r="H306" s="18" t="n">
        <v>46310</v>
      </c>
      <c r="I306" s="18" t="n"/>
      <c r="J306" s="17">
        <f>IF(OR(ISNUMBER(F306),ISNUMBER(G306)),IF(ISNUMBER(I306),I306,H306)-IF(ISNUMBER(F306),F306,G306),"")</f>
        <v/>
      </c>
      <c r="K306" s="12" t="n">
        <v>10000</v>
      </c>
      <c r="L306" s="12" t="n">
        <v>10000</v>
      </c>
      <c r="M306" s="13">
        <f>IF(AND(ISNUMBER(K306),ISNUMBER(L306),K306&gt;0),1-L306/K306,"")</f>
        <v/>
      </c>
      <c r="N306" s="16" t="n">
        <v>0</v>
      </c>
      <c r="O306" s="12" t="n"/>
      <c r="P306" s="12" t="n"/>
      <c r="Q306" s="12" t="n"/>
      <c r="R306" s="14">
        <f>IF(AND(ISNUMBER(L306),ISNUMBER(P306),ISNUMBER(Q306)),L306/((P306+Q306)/2)-1,"")</f>
        <v/>
      </c>
      <c r="S306" s="10" t="n"/>
      <c r="T306" s="15" t="n">
        <v>138000</v>
      </c>
      <c r="U306" s="16" t="n">
        <v>2003</v>
      </c>
      <c r="V306" s="10" t="inlineStr">
        <is>
          <t>03/2003</t>
        </is>
      </c>
      <c r="W306" s="10" t="inlineStr">
        <is>
          <t>Essence</t>
        </is>
      </c>
      <c r="X306" s="10" t="inlineStr">
        <is>
          <t>Manuelle</t>
        </is>
      </c>
      <c r="Y306" s="16" t="n">
        <v>180</v>
      </c>
      <c r="Z306" s="16" t="n">
        <v>11</v>
      </c>
      <c r="AA306" s="10" t="inlineStr">
        <is>
          <t>Bleu</t>
        </is>
      </c>
      <c r="AB306" s="16" t="n">
        <v>3</v>
      </c>
      <c r="AC306" s="10" t="inlineStr">
        <is>
          <t>Berline</t>
        </is>
      </c>
      <c r="AD306" s="10" t="inlineStr">
        <is>
          <t>Factures disponibles, Réparations utiles déjà faites</t>
        </is>
      </c>
      <c r="AE306" s="10" t="n"/>
      <c r="AF306" s="10" t="inlineStr">
        <is>
          <t>Particulier</t>
        </is>
      </c>
      <c r="AG306" s="10" t="inlineStr">
        <is>
          <t>Valserhône</t>
        </is>
      </c>
      <c r="AH306" s="10" t="inlineStr">
        <is>
          <t>01200</t>
        </is>
      </c>
      <c r="AI306" s="10" t="inlineStr">
        <is>
          <t>Ain</t>
        </is>
      </c>
      <c r="AJ306" s="10" t="inlineStr">
        <is>
          <t>Rhône-Alpes</t>
        </is>
      </c>
      <c r="AK306" s="16" t="n">
        <v>3</v>
      </c>
      <c r="AL306" s="10" t="n"/>
      <c r="AM306" s="10" t="inlineStr">
        <is>
          <t>Non</t>
        </is>
      </c>
      <c r="AN306" s="10" t="inlineStr">
        <is>
          <t xml:space="preserve">206 rc d’origine sauf sortie (équivalente à l’origine) et jantes noires. Jantes d’origine fournie (1 jante à refaire car fuite). Kilométrage (+/-138000) peu évolutif (je roules de temps en temps pour ne pas qu’elle s’abîme). + 3000€ de frais en avril 2024 (facture disponible) Carte grise à jour. Mécanique ok; Carrosserie un peu abîmé, mais pas trop mal vu l’âge. Plus d’info sur demande. AUCUN ÉCHANGE. Pas de négociation sans avoir vu la voiture; Annonce visible = disponible Et non, il n’y a pas </t>
        </is>
      </c>
      <c r="AO306" s="10" t="inlineStr">
        <is>
          <t>vehicle_technical_inspection_valid : Oui ; Dommages : Traces d’usure normales ; Sellerie : Alcantara ; Équipements intérieurs : Allumage automatique des phares, Climatisation, Jantes en alliage, Phares anti-brouillard, Sièges sport ; Permis : Avec permis ; Importé : false</t>
        </is>
      </c>
      <c r="AP306" s="19" t="inlineStr">
        <is>
          <t>Voir</t>
        </is>
      </c>
      <c r="AQ306" s="10" t="inlineStr">
        <is>
          <t>3287308524</t>
        </is>
      </c>
    </row>
    <row r="307">
      <c r="A307" s="10" t="inlineStr">
        <is>
          <t>Peugeot 206 RC</t>
        </is>
      </c>
      <c r="B307" s="10" t="inlineStr">
        <is>
          <t>206 rc</t>
        </is>
      </c>
      <c r="C307" s="10" t="inlineStr">
        <is>
          <t>RC_206 2.0 16v  RC 3p</t>
        </is>
      </c>
      <c r="D307" s="10" t="inlineStr">
        <is>
          <t>RC</t>
        </is>
      </c>
      <c r="E307" s="10" t="inlineStr">
        <is>
          <t>En vente</t>
        </is>
      </c>
      <c r="F307" s="18" t="n">
        <v>46309</v>
      </c>
      <c r="G307" s="18" t="n">
        <v>46309</v>
      </c>
      <c r="H307" s="18" t="n">
        <v>46310</v>
      </c>
      <c r="I307" s="18" t="n"/>
      <c r="J307" s="17">
        <f>IF(OR(ISNUMBER(F307),ISNUMBER(G307)),IF(ISNUMBER(I307),I307,H307)-IF(ISNUMBER(F307),F307,G307),"")</f>
        <v/>
      </c>
      <c r="K307" s="12" t="n">
        <v>7800</v>
      </c>
      <c r="L307" s="12" t="n">
        <v>7800</v>
      </c>
      <c r="M307" s="13">
        <f>IF(AND(ISNUMBER(K307),ISNUMBER(L307),K307&gt;0),1-L307/K307,"")</f>
        <v/>
      </c>
      <c r="N307" s="16" t="n">
        <v>0</v>
      </c>
      <c r="O307" s="12" t="n"/>
      <c r="P307" s="12" t="n"/>
      <c r="Q307" s="12" t="n"/>
      <c r="R307" s="14">
        <f>IF(AND(ISNUMBER(L307),ISNUMBER(P307),ISNUMBER(Q307)),L307/((P307+Q307)/2)-1,"")</f>
        <v/>
      </c>
      <c r="S307" s="10" t="n"/>
      <c r="T307" s="15" t="n">
        <v>194000</v>
      </c>
      <c r="U307" s="16" t="n">
        <v>2003</v>
      </c>
      <c r="V307" s="10" t="inlineStr">
        <is>
          <t>08/2003</t>
        </is>
      </c>
      <c r="W307" s="10" t="inlineStr">
        <is>
          <t>Essence</t>
        </is>
      </c>
      <c r="X307" s="10" t="inlineStr">
        <is>
          <t>Manuelle</t>
        </is>
      </c>
      <c r="Y307" s="16" t="n">
        <v>180</v>
      </c>
      <c r="Z307" s="16" t="n">
        <v>11</v>
      </c>
      <c r="AA307" s="10" t="inlineStr">
        <is>
          <t>Gris</t>
        </is>
      </c>
      <c r="AB307" s="16" t="n">
        <v>3</v>
      </c>
      <c r="AC307" s="10" t="inlineStr">
        <is>
          <t>Berline</t>
        </is>
      </c>
      <c r="AD307" s="10" t="n"/>
      <c r="AE307" s="10" t="n"/>
      <c r="AF307" s="10" t="inlineStr">
        <is>
          <t>Particulier</t>
        </is>
      </c>
      <c r="AG307" s="10" t="inlineStr">
        <is>
          <t>Toulon</t>
        </is>
      </c>
      <c r="AH307" s="10" t="inlineStr">
        <is>
          <t>83000</t>
        </is>
      </c>
      <c r="AI307" s="10" t="inlineStr">
        <is>
          <t>Var</t>
        </is>
      </c>
      <c r="AJ307" s="10" t="inlineStr">
        <is>
          <t>Provence-Alpes-Côte d'Azur</t>
        </is>
      </c>
      <c r="AK307" s="16" t="n">
        <v>3</v>
      </c>
      <c r="AL307" s="10" t="n"/>
      <c r="AM307" s="10" t="inlineStr">
        <is>
          <t>Non</t>
        </is>
      </c>
      <c r="AN307" s="10" t="inlineStr">
        <is>
          <t xml:space="preserve">Bonjour , Je vends ma 206 rc -distri faite en 2024 a 189000 -embrayage en 2024 -train arrière 2024 Y a deux mois les roulements arrière et bielle axial faite Et recharge de clim Les plus y a une puce digitronic sa fait 15 ans Admission gra écope en façade Decata et silicieux style gra Durite aviation au quatre coin et plaquette avant rc6 Amortisseur avant koni réglable en dureté ressort court a l arrière b6 -y a quatre jante rcc Peugeot sport 4 pneus presque neuf La voiture a toujours tourné au </t>
        </is>
      </c>
      <c r="AO307" s="10" t="inlineStr">
        <is>
          <t>Dommages : Bon état général ; Sellerie : Cuir partiel, Alcantara ; Permis : Avec permis ; Importé : false</t>
        </is>
      </c>
      <c r="AP307" s="19" t="inlineStr">
        <is>
          <t>Voir</t>
        </is>
      </c>
      <c r="AQ307" s="10" t="inlineStr">
        <is>
          <t>3288515556</t>
        </is>
      </c>
    </row>
    <row r="308">
      <c r="A308" s="10" t="inlineStr">
        <is>
          <t>Peugeot 206 RC</t>
        </is>
      </c>
      <c r="B308" s="10" t="inlineStr">
        <is>
          <t>206 rc</t>
        </is>
      </c>
      <c r="C308" s="10" t="n"/>
      <c r="D308" s="10" t="n"/>
      <c r="E308" s="10" t="inlineStr">
        <is>
          <t>En vente</t>
        </is>
      </c>
      <c r="F308" s="18" t="n">
        <v>46268</v>
      </c>
      <c r="G308" s="18" t="n">
        <v>46296</v>
      </c>
      <c r="H308" s="18" t="n">
        <v>46296</v>
      </c>
      <c r="I308" s="18" t="n"/>
      <c r="J308" s="17">
        <f>IF(OR(ISNUMBER(F308),ISNUMBER(G308)),IF(ISNUMBER(I308),I308,H308)-IF(ISNUMBER(F308),F308,G308),"")</f>
        <v/>
      </c>
      <c r="K308" s="12" t="n">
        <v>11000</v>
      </c>
      <c r="L308" s="12" t="n">
        <v>11000</v>
      </c>
      <c r="M308" s="13">
        <f>IF(AND(ISNUMBER(K308),ISNUMBER(L308),K308&gt;0),1-L308/K308,"")</f>
        <v/>
      </c>
      <c r="N308" s="16" t="n">
        <v>0</v>
      </c>
      <c r="O308" s="12" t="n"/>
      <c r="P308" s="12" t="n"/>
      <c r="Q308" s="12" t="n"/>
      <c r="R308" s="14">
        <f>IF(AND(ISNUMBER(L308),ISNUMBER(P308),ISNUMBER(Q308)),L308/((P308+Q308)/2)-1,"")</f>
        <v/>
      </c>
      <c r="S308" s="10" t="n"/>
      <c r="T308" s="15" t="n">
        <v>138000</v>
      </c>
      <c r="U308" s="16" t="n">
        <v>2003</v>
      </c>
      <c r="V308" s="10" t="n"/>
      <c r="W308" s="10" t="inlineStr">
        <is>
          <t>Essence</t>
        </is>
      </c>
      <c r="X308" s="10" t="inlineStr">
        <is>
          <t>Manuelle</t>
        </is>
      </c>
      <c r="Y308" s="16" t="n">
        <v>180</v>
      </c>
      <c r="Z308" s="16" t="n">
        <v>11</v>
      </c>
      <c r="AA308" s="10" t="inlineStr">
        <is>
          <t>Bleu</t>
        </is>
      </c>
      <c r="AB308" s="16" t="n">
        <v>3</v>
      </c>
      <c r="AC308" s="10" t="inlineStr">
        <is>
          <t>Coupe</t>
        </is>
      </c>
      <c r="AD308" s="10" t="n"/>
      <c r="AE308" s="10" t="n"/>
      <c r="AF308" s="10" t="inlineStr">
        <is>
          <t>Particulier</t>
        </is>
      </c>
      <c r="AG308" s="10" t="inlineStr">
        <is>
          <t>Valserhône</t>
        </is>
      </c>
      <c r="AH308" s="10" t="inlineStr">
        <is>
          <t>01200</t>
        </is>
      </c>
      <c r="AI308" s="10" t="inlineStr">
        <is>
          <t>Ain</t>
        </is>
      </c>
      <c r="AJ308" s="10" t="inlineStr">
        <is>
          <t>Rhône-Alpes</t>
        </is>
      </c>
      <c r="AK308" s="16" t="n"/>
      <c r="AL308" s="10" t="n"/>
      <c r="AM308" s="10" t="n"/>
      <c r="AN308" s="10" t="n"/>
      <c r="AO308" s="10" t="n"/>
      <c r="AP308" s="19" t="inlineStr">
        <is>
          <t>Voir</t>
        </is>
      </c>
      <c r="AQ308" s="10" t="inlineStr">
        <is>
          <t>3123040394</t>
        </is>
      </c>
    </row>
    <row r="309">
      <c r="A309" s="10" t="inlineStr">
        <is>
          <t>Peugeot 206 RC</t>
        </is>
      </c>
      <c r="B309" s="10" t="inlineStr">
        <is>
          <t>206 rc f2014</t>
        </is>
      </c>
      <c r="C309" s="10" t="n"/>
      <c r="D309" s="10" t="n"/>
      <c r="E309" s="10" t="inlineStr">
        <is>
          <t>En vente</t>
        </is>
      </c>
      <c r="F309" s="18" t="n">
        <v>46263</v>
      </c>
      <c r="G309" s="18" t="n">
        <v>46296</v>
      </c>
      <c r="H309" s="18" t="n">
        <v>46296</v>
      </c>
      <c r="I309" s="18" t="n"/>
      <c r="J309" s="17">
        <f>IF(OR(ISNUMBER(F309),ISNUMBER(G309)),IF(ISNUMBER(I309),I309,H309)-IF(ISNUMBER(F309),F309,G309),"")</f>
        <v/>
      </c>
      <c r="K309" s="12" t="n">
        <v>18500</v>
      </c>
      <c r="L309" s="12" t="n">
        <v>18500</v>
      </c>
      <c r="M309" s="13">
        <f>IF(AND(ISNUMBER(K309),ISNUMBER(L309),K309&gt;0),1-L309/K309,"")</f>
        <v/>
      </c>
      <c r="N309" s="16" t="n">
        <v>0</v>
      </c>
      <c r="O309" s="12" t="n"/>
      <c r="P309" s="12" t="n"/>
      <c r="Q309" s="12" t="n"/>
      <c r="R309" s="14">
        <f>IF(AND(ISNUMBER(L309),ISNUMBER(P309),ISNUMBER(Q309)),L309/((P309+Q309)/2)-1,"")</f>
        <v/>
      </c>
      <c r="S309" s="10" t="n"/>
      <c r="T309" s="15" t="n">
        <v>240000</v>
      </c>
      <c r="U309" s="16" t="n">
        <v>2003</v>
      </c>
      <c r="V309" s="10" t="n"/>
      <c r="W309" s="10" t="inlineStr">
        <is>
          <t>Essence</t>
        </is>
      </c>
      <c r="X309" s="10" t="inlineStr">
        <is>
          <t>Manuelle</t>
        </is>
      </c>
      <c r="Y309" s="16" t="n">
        <v>180</v>
      </c>
      <c r="Z309" s="16" t="n">
        <v>11</v>
      </c>
      <c r="AA309" s="10" t="inlineStr">
        <is>
          <t>Autre</t>
        </is>
      </c>
      <c r="AB309" s="16" t="n">
        <v>3</v>
      </c>
      <c r="AC309" s="10" t="inlineStr">
        <is>
          <t>Berline</t>
        </is>
      </c>
      <c r="AD309" s="10" t="n"/>
      <c r="AE309" s="10" t="n"/>
      <c r="AF309" s="10" t="inlineStr">
        <is>
          <t>Particulier</t>
        </is>
      </c>
      <c r="AG309" s="10" t="inlineStr">
        <is>
          <t>Blesle</t>
        </is>
      </c>
      <c r="AH309" s="10" t="inlineStr">
        <is>
          <t>43450</t>
        </is>
      </c>
      <c r="AI309" s="10" t="inlineStr">
        <is>
          <t>Haute-Loire</t>
        </is>
      </c>
      <c r="AJ309" s="10" t="inlineStr">
        <is>
          <t>Auvergne</t>
        </is>
      </c>
      <c r="AK309" s="16" t="n"/>
      <c r="AL309" s="10" t="n"/>
      <c r="AM309" s="10" t="n"/>
      <c r="AN309" s="10" t="n"/>
      <c r="AO309" s="10" t="n"/>
      <c r="AP309" s="19" t="inlineStr">
        <is>
          <t>Voir</t>
        </is>
      </c>
      <c r="AQ309" s="10" t="inlineStr">
        <is>
          <t>3151025653</t>
        </is>
      </c>
    </row>
    <row r="310">
      <c r="A310" s="10" t="inlineStr">
        <is>
          <t>Peugeot 206 RC</t>
        </is>
      </c>
      <c r="B310" s="10" t="inlineStr">
        <is>
          <t>Peugeot 206 rc</t>
        </is>
      </c>
      <c r="C310" s="10" t="n"/>
      <c r="D310" s="10" t="n"/>
      <c r="E310" s="10" t="inlineStr">
        <is>
          <t>En vente</t>
        </is>
      </c>
      <c r="F310" s="18" t="n">
        <v>46268</v>
      </c>
      <c r="G310" s="18" t="n">
        <v>46296</v>
      </c>
      <c r="H310" s="18" t="n">
        <v>46296</v>
      </c>
      <c r="I310" s="18" t="n"/>
      <c r="J310" s="17">
        <f>IF(OR(ISNUMBER(F310),ISNUMBER(G310)),IF(ISNUMBER(I310),I310,H310)-IF(ISNUMBER(F310),F310,G310),"")</f>
        <v/>
      </c>
      <c r="K310" s="12" t="n">
        <v>8800</v>
      </c>
      <c r="L310" s="12" t="n">
        <v>8800</v>
      </c>
      <c r="M310" s="13">
        <f>IF(AND(ISNUMBER(K310),ISNUMBER(L310),K310&gt;0),1-L310/K310,"")</f>
        <v/>
      </c>
      <c r="N310" s="16" t="n">
        <v>0</v>
      </c>
      <c r="O310" s="12" t="n"/>
      <c r="P310" s="12" t="n"/>
      <c r="Q310" s="12" t="n"/>
      <c r="R310" s="14">
        <f>IF(AND(ISNUMBER(L310),ISNUMBER(P310),ISNUMBER(Q310)),L310/((P310+Q310)/2)-1,"")</f>
        <v/>
      </c>
      <c r="S310" s="10" t="n"/>
      <c r="T310" s="15" t="n">
        <v>197500</v>
      </c>
      <c r="U310" s="16" t="n">
        <v>2003</v>
      </c>
      <c r="V310" s="10" t="n"/>
      <c r="W310" s="10" t="inlineStr">
        <is>
          <t>Essence</t>
        </is>
      </c>
      <c r="X310" s="10" t="inlineStr">
        <is>
          <t>Manuelle</t>
        </is>
      </c>
      <c r="Y310" s="16" t="n">
        <v>180</v>
      </c>
      <c r="Z310" s="16" t="n">
        <v>11</v>
      </c>
      <c r="AA310" s="10" t="inlineStr">
        <is>
          <t>Bleu</t>
        </is>
      </c>
      <c r="AB310" s="16" t="n">
        <v>3</v>
      </c>
      <c r="AC310" s="10" t="inlineStr">
        <is>
          <t>Berline</t>
        </is>
      </c>
      <c r="AD310" s="10" t="n"/>
      <c r="AE310" s="10" t="n"/>
      <c r="AF310" s="10" t="inlineStr">
        <is>
          <t>Particulier</t>
        </is>
      </c>
      <c r="AG310" s="10" t="inlineStr">
        <is>
          <t>Saint-Amand-Montrond</t>
        </is>
      </c>
      <c r="AH310" s="10" t="inlineStr">
        <is>
          <t>18200</t>
        </is>
      </c>
      <c r="AI310" s="10" t="inlineStr">
        <is>
          <t>Cher</t>
        </is>
      </c>
      <c r="AJ310" s="10" t="inlineStr">
        <is>
          <t>Centre</t>
        </is>
      </c>
      <c r="AK310" s="16" t="n"/>
      <c r="AL310" s="10" t="n"/>
      <c r="AM310" s="10" t="n"/>
      <c r="AN310" s="10" t="n"/>
      <c r="AO310" s="10" t="n"/>
      <c r="AP310" s="19" t="inlineStr">
        <is>
          <t>Voir</t>
        </is>
      </c>
      <c r="AQ310" s="10" t="inlineStr">
        <is>
          <t>3227695185</t>
        </is>
      </c>
    </row>
    <row r="311">
      <c r="A311" s="10" t="inlineStr">
        <is>
          <t>Peugeot 206 RC</t>
        </is>
      </c>
      <c r="B311" s="10" t="inlineStr">
        <is>
          <t>PEUGEOT 206 2.0e 180 RC / LIGNE A CLAPET / COURROIE OK</t>
        </is>
      </c>
      <c r="C311" s="10" t="n"/>
      <c r="D311" s="10" t="n"/>
      <c r="E311" s="10" t="inlineStr">
        <is>
          <t>En vente</t>
        </is>
      </c>
      <c r="F311" s="18" t="n">
        <v>46220</v>
      </c>
      <c r="G311" s="18" t="n">
        <v>46296</v>
      </c>
      <c r="H311" s="18" t="n">
        <v>46296</v>
      </c>
      <c r="I311" s="18" t="n"/>
      <c r="J311" s="17">
        <f>IF(OR(ISNUMBER(F311),ISNUMBER(G311)),IF(ISNUMBER(I311),I311,H311)-IF(ISNUMBER(F311),F311,G311),"")</f>
        <v/>
      </c>
      <c r="K311" s="12" t="n">
        <v>9990</v>
      </c>
      <c r="L311" s="12" t="n">
        <v>9990</v>
      </c>
      <c r="M311" s="13">
        <f>IF(AND(ISNUMBER(K311),ISNUMBER(L311),K311&gt;0),1-L311/K311,"")</f>
        <v/>
      </c>
      <c r="N311" s="16" t="n">
        <v>0</v>
      </c>
      <c r="O311" s="12" t="n"/>
      <c r="P311" s="12" t="n"/>
      <c r="Q311" s="12" t="n"/>
      <c r="R311" s="14">
        <f>IF(AND(ISNUMBER(L311),ISNUMBER(P311),ISNUMBER(Q311)),L311/((P311+Q311)/2)-1,"")</f>
        <v/>
      </c>
      <c r="S311" s="10" t="n"/>
      <c r="T311" s="15" t="n">
        <v>150000</v>
      </c>
      <c r="U311" s="16" t="n">
        <v>2004</v>
      </c>
      <c r="V311" s="10" t="n"/>
      <c r="W311" s="10" t="inlineStr">
        <is>
          <t>Essence</t>
        </is>
      </c>
      <c r="X311" s="10" t="inlineStr">
        <is>
          <t>Manuelle</t>
        </is>
      </c>
      <c r="Y311" s="16" t="n">
        <v>177</v>
      </c>
      <c r="Z311" s="16" t="n">
        <v>11</v>
      </c>
      <c r="AA311" s="10" t="inlineStr">
        <is>
          <t>Gris</t>
        </is>
      </c>
      <c r="AB311" s="16" t="n">
        <v>3</v>
      </c>
      <c r="AC311" s="10" t="n"/>
      <c r="AD311" s="10" t="n"/>
      <c r="AE311" s="10" t="n"/>
      <c r="AF311" s="10" t="inlineStr">
        <is>
          <t>Pro</t>
        </is>
      </c>
      <c r="AG311" s="10" t="inlineStr">
        <is>
          <t>Lyon</t>
        </is>
      </c>
      <c r="AH311" s="10" t="inlineStr">
        <is>
          <t>69008</t>
        </is>
      </c>
      <c r="AI311" s="10" t="inlineStr">
        <is>
          <t>Rhône</t>
        </is>
      </c>
      <c r="AJ311" s="10" t="inlineStr">
        <is>
          <t>Rhône-Alpes</t>
        </is>
      </c>
      <c r="AK311" s="16" t="n"/>
      <c r="AL311" s="10" t="inlineStr">
        <is>
          <t>Oui</t>
        </is>
      </c>
      <c r="AM311" s="10" t="n"/>
      <c r="AN311" s="10" t="n"/>
      <c r="AO311" s="10" t="n"/>
      <c r="AP311" s="19" t="inlineStr">
        <is>
          <t>Voir</t>
        </is>
      </c>
      <c r="AQ311" s="10" t="inlineStr">
        <is>
          <t>3234323904</t>
        </is>
      </c>
    </row>
    <row r="312">
      <c r="A312" s="10" t="inlineStr">
        <is>
          <t>Peugeot 206 RC</t>
        </is>
      </c>
      <c r="B312" s="10" t="inlineStr">
        <is>
          <t>Peugeot 206 2.0 177ch RC - SUIVI COMPLET - DISTRIBUTION OK - BLUETOOTH</t>
        </is>
      </c>
      <c r="C312" s="10" t="n"/>
      <c r="D312" s="10" t="n"/>
      <c r="E312" s="10" t="inlineStr">
        <is>
          <t>En vente</t>
        </is>
      </c>
      <c r="F312" s="18" t="n">
        <v>46245</v>
      </c>
      <c r="G312" s="18" t="n">
        <v>46296</v>
      </c>
      <c r="H312" s="18" t="n">
        <v>46296</v>
      </c>
      <c r="I312" s="18" t="n"/>
      <c r="J312" s="17">
        <f>IF(OR(ISNUMBER(F312),ISNUMBER(G312)),IF(ISNUMBER(I312),I312,H312)-IF(ISNUMBER(F312),F312,G312),"")</f>
        <v/>
      </c>
      <c r="K312" s="12" t="n">
        <v>13990</v>
      </c>
      <c r="L312" s="12" t="n">
        <v>13990</v>
      </c>
      <c r="M312" s="13">
        <f>IF(AND(ISNUMBER(K312),ISNUMBER(L312),K312&gt;0),1-L312/K312,"")</f>
        <v/>
      </c>
      <c r="N312" s="16" t="n">
        <v>0</v>
      </c>
      <c r="O312" s="12" t="n"/>
      <c r="P312" s="12" t="n"/>
      <c r="Q312" s="12" t="n"/>
      <c r="R312" s="14">
        <f>IF(AND(ISNUMBER(L312),ISNUMBER(P312),ISNUMBER(Q312)),L312/((P312+Q312)/2)-1,"")</f>
        <v/>
      </c>
      <c r="S312" s="10" t="n"/>
      <c r="T312" s="15" t="n">
        <v>67500</v>
      </c>
      <c r="U312" s="16" t="n">
        <v>2006</v>
      </c>
      <c r="V312" s="10" t="n"/>
      <c r="W312" s="10" t="inlineStr">
        <is>
          <t>Essence</t>
        </is>
      </c>
      <c r="X312" s="10" t="inlineStr">
        <is>
          <t>Manuelle</t>
        </is>
      </c>
      <c r="Y312" s="16" t="n">
        <v>177</v>
      </c>
      <c r="Z312" s="16" t="n">
        <v>11</v>
      </c>
      <c r="AA312" s="10" t="inlineStr">
        <is>
          <t>Bleu</t>
        </is>
      </c>
      <c r="AB312" s="16" t="n">
        <v>3</v>
      </c>
      <c r="AC312" s="10" t="inlineStr">
        <is>
          <t>Berline</t>
        </is>
      </c>
      <c r="AD312" s="10" t="n"/>
      <c r="AE312" s="10" t="n"/>
      <c r="AF312" s="10" t="inlineStr">
        <is>
          <t>Pro</t>
        </is>
      </c>
      <c r="AG312" s="10" t="inlineStr">
        <is>
          <t>La Ciotat</t>
        </is>
      </c>
      <c r="AH312" s="10" t="inlineStr">
        <is>
          <t>13600</t>
        </is>
      </c>
      <c r="AI312" s="10" t="inlineStr">
        <is>
          <t>Bouches-du-Rhône</t>
        </is>
      </c>
      <c r="AJ312" s="10" t="inlineStr">
        <is>
          <t>Provence-Alpes-Côte d'Azur</t>
        </is>
      </c>
      <c r="AK312" s="16" t="n"/>
      <c r="AL312" s="10" t="n"/>
      <c r="AM312" s="10" t="n"/>
      <c r="AN312" s="10" t="n"/>
      <c r="AO312" s="10" t="n"/>
      <c r="AP312" s="19" t="inlineStr">
        <is>
          <t>Voir</t>
        </is>
      </c>
      <c r="AQ312" s="10" t="inlineStr">
        <is>
          <t>3248463615</t>
        </is>
      </c>
    </row>
    <row r="313">
      <c r="A313" s="10" t="inlineStr">
        <is>
          <t>Peugeot 206 RC</t>
        </is>
      </c>
      <c r="B313" s="10" t="inlineStr">
        <is>
          <t>206 rc</t>
        </is>
      </c>
      <c r="C313" s="10" t="n"/>
      <c r="D313" s="10" t="n"/>
      <c r="E313" s="10" t="inlineStr">
        <is>
          <t>En vente</t>
        </is>
      </c>
      <c r="F313" s="18" t="n"/>
      <c r="G313" s="18" t="n">
        <v>46296</v>
      </c>
      <c r="H313" s="18" t="n">
        <v>46296</v>
      </c>
      <c r="I313" s="18" t="n"/>
      <c r="J313" s="17">
        <f>IF(OR(ISNUMBER(F313),ISNUMBER(G313)),IF(ISNUMBER(I313),I313,H313)-IF(ISNUMBER(F313),F313,G313),"")</f>
        <v/>
      </c>
      <c r="K313" s="12" t="n">
        <v>11500</v>
      </c>
      <c r="L313" s="12" t="n">
        <v>11500</v>
      </c>
      <c r="M313" s="13">
        <f>IF(AND(ISNUMBER(K313),ISNUMBER(L313),K313&gt;0),1-L313/K313,"")</f>
        <v/>
      </c>
      <c r="N313" s="16" t="n">
        <v>0</v>
      </c>
      <c r="O313" s="12" t="n"/>
      <c r="P313" s="12" t="n"/>
      <c r="Q313" s="12" t="n"/>
      <c r="R313" s="14">
        <f>IF(AND(ISNUMBER(L313),ISNUMBER(P313),ISNUMBER(Q313)),L313/((P313+Q313)/2)-1,"")</f>
        <v/>
      </c>
      <c r="S313" s="10" t="n"/>
      <c r="T313" s="15" t="n">
        <v>118200</v>
      </c>
      <c r="U313" s="16" t="n"/>
      <c r="V313" s="10" t="n"/>
      <c r="W313" s="10" t="n"/>
      <c r="X313" s="10" t="n"/>
      <c r="Y313" s="16" t="n"/>
      <c r="Z313" s="16" t="n"/>
      <c r="AA313" s="10" t="n"/>
      <c r="AB313" s="16" t="n"/>
      <c r="AC313" s="10" t="n"/>
      <c r="AD313" s="10" t="n"/>
      <c r="AE313" s="10" t="n"/>
      <c r="AF313" s="10" t="n"/>
      <c r="AG313" s="10" t="inlineStr">
        <is>
          <t>Montaigu-Vendée</t>
        </is>
      </c>
      <c r="AH313" s="10" t="n"/>
      <c r="AI313" s="10" t="n"/>
      <c r="AJ313" s="10" t="n"/>
      <c r="AK313" s="16" t="n"/>
      <c r="AL313" s="10" t="n"/>
      <c r="AM313" s="10" t="n"/>
      <c r="AN313" s="10" t="n"/>
      <c r="AO313" s="10" t="n"/>
      <c r="AP313" s="19" t="inlineStr">
        <is>
          <t>Voir</t>
        </is>
      </c>
      <c r="AQ313" s="10" t="inlineStr">
        <is>
          <t>3254206684</t>
        </is>
      </c>
    </row>
    <row r="314">
      <c r="A314" s="10" t="inlineStr">
        <is>
          <t>Peugeot 206 RC</t>
        </is>
      </c>
      <c r="B314" s="10" t="inlineStr">
        <is>
          <t>206 rc</t>
        </is>
      </c>
      <c r="C314" s="10" t="n"/>
      <c r="D314" s="10" t="n"/>
      <c r="E314" s="10" t="inlineStr">
        <is>
          <t>En vente</t>
        </is>
      </c>
      <c r="F314" s="18" t="n">
        <v>46259</v>
      </c>
      <c r="G314" s="18" t="n">
        <v>46296</v>
      </c>
      <c r="H314" s="18" t="n">
        <v>46296</v>
      </c>
      <c r="I314" s="18" t="n"/>
      <c r="J314" s="17">
        <f>IF(OR(ISNUMBER(F314),ISNUMBER(G314)),IF(ISNUMBER(I314),I314,H314)-IF(ISNUMBER(F314),F314,G314),"")</f>
        <v/>
      </c>
      <c r="K314" s="12" t="n">
        <v>7000</v>
      </c>
      <c r="L314" s="12" t="n">
        <v>7000</v>
      </c>
      <c r="M314" s="13">
        <f>IF(AND(ISNUMBER(K314),ISNUMBER(L314),K314&gt;0),1-L314/K314,"")</f>
        <v/>
      </c>
      <c r="N314" s="16" t="n">
        <v>0</v>
      </c>
      <c r="O314" s="12" t="n"/>
      <c r="P314" s="12" t="n"/>
      <c r="Q314" s="12" t="n"/>
      <c r="R314" s="14">
        <f>IF(AND(ISNUMBER(L314),ISNUMBER(P314),ISNUMBER(Q314)),L314/((P314+Q314)/2)-1,"")</f>
        <v/>
      </c>
      <c r="S314" s="10" t="n"/>
      <c r="T314" s="15" t="n">
        <v>215000</v>
      </c>
      <c r="U314" s="16" t="n">
        <v>2003</v>
      </c>
      <c r="V314" s="10" t="n"/>
      <c r="W314" s="10" t="inlineStr">
        <is>
          <t>Essence</t>
        </is>
      </c>
      <c r="X314" s="10" t="inlineStr">
        <is>
          <t>Manuelle</t>
        </is>
      </c>
      <c r="Y314" s="16" t="n">
        <v>180</v>
      </c>
      <c r="Z314" s="16" t="n">
        <v>11</v>
      </c>
      <c r="AA314" s="10" t="inlineStr">
        <is>
          <t>Autre</t>
        </is>
      </c>
      <c r="AB314" s="16" t="n">
        <v>3</v>
      </c>
      <c r="AC314" s="10" t="inlineStr">
        <is>
          <t>Berline</t>
        </is>
      </c>
      <c r="AD314" s="10" t="n"/>
      <c r="AE314" s="10" t="n"/>
      <c r="AF314" s="10" t="inlineStr">
        <is>
          <t>Particulier</t>
        </is>
      </c>
      <c r="AG314" s="10" t="inlineStr">
        <is>
          <t>Sanary-sur-Mer</t>
        </is>
      </c>
      <c r="AH314" s="10" t="inlineStr">
        <is>
          <t>83110</t>
        </is>
      </c>
      <c r="AI314" s="10" t="inlineStr">
        <is>
          <t>Var</t>
        </is>
      </c>
      <c r="AJ314" s="10" t="inlineStr">
        <is>
          <t>Provence-Alpes-Côte d'Azur</t>
        </is>
      </c>
      <c r="AK314" s="16" t="n"/>
      <c r="AL314" s="10" t="n"/>
      <c r="AM314" s="10" t="n"/>
      <c r="AN314" s="10" t="n"/>
      <c r="AO314" s="10" t="n"/>
      <c r="AP314" s="19" t="inlineStr">
        <is>
          <t>Voir</t>
        </is>
      </c>
      <c r="AQ314" s="10" t="inlineStr">
        <is>
          <t>3256639318</t>
        </is>
      </c>
    </row>
    <row r="315">
      <c r="A315" s="10" t="inlineStr">
        <is>
          <t>Peugeot 206 RC</t>
        </is>
      </c>
      <c r="B315" s="10" t="inlineStr">
        <is>
          <t>Peugeot 206 RC</t>
        </is>
      </c>
      <c r="C315" s="10" t="n"/>
      <c r="D315" s="10" t="n"/>
      <c r="E315" s="10" t="inlineStr">
        <is>
          <t>En vente</t>
        </is>
      </c>
      <c r="F315" s="18" t="n">
        <v>46262</v>
      </c>
      <c r="G315" s="18" t="n">
        <v>46262</v>
      </c>
      <c r="H315" s="18" t="n">
        <v>46296</v>
      </c>
      <c r="I315" s="18" t="n"/>
      <c r="J315" s="17">
        <f>IF(OR(ISNUMBER(F315),ISNUMBER(G315)),IF(ISNUMBER(I315),I315,H315)-IF(ISNUMBER(F315),F315,G315),"")</f>
        <v/>
      </c>
      <c r="K315" s="12" t="n">
        <v>15500</v>
      </c>
      <c r="L315" s="12" t="n">
        <v>15500</v>
      </c>
      <c r="M315" s="13">
        <f>IF(AND(ISNUMBER(K315),ISNUMBER(L315),K315&gt;0),1-L315/K315,"")</f>
        <v/>
      </c>
      <c r="N315" s="16" t="n">
        <v>0</v>
      </c>
      <c r="O315" s="12" t="n"/>
      <c r="P315" s="12" t="n"/>
      <c r="Q315" s="12" t="n"/>
      <c r="R315" s="14">
        <f>IF(AND(ISNUMBER(L315),ISNUMBER(P315),ISNUMBER(Q315)),L315/((P315+Q315)/2)-1,"")</f>
        <v/>
      </c>
      <c r="S315" s="10" t="n"/>
      <c r="T315" s="15" t="n">
        <v>82300</v>
      </c>
      <c r="U315" s="16" t="n">
        <v>2003</v>
      </c>
      <c r="V315" s="10" t="n"/>
      <c r="W315" s="10" t="inlineStr">
        <is>
          <t>Essence</t>
        </is>
      </c>
      <c r="X315" s="10" t="inlineStr">
        <is>
          <t>Manuelle</t>
        </is>
      </c>
      <c r="Y315" s="16" t="n">
        <v>180</v>
      </c>
      <c r="Z315" s="16" t="n">
        <v>11</v>
      </c>
      <c r="AA315" s="10" t="inlineStr">
        <is>
          <t>Bleu</t>
        </is>
      </c>
      <c r="AB315" s="16" t="n">
        <v>3</v>
      </c>
      <c r="AC315" s="10" t="inlineStr">
        <is>
          <t>Berline</t>
        </is>
      </c>
      <c r="AD315" s="10" t="n"/>
      <c r="AE315" s="10" t="n"/>
      <c r="AF315" s="10" t="inlineStr">
        <is>
          <t>Particulier</t>
        </is>
      </c>
      <c r="AG315" s="10" t="inlineStr">
        <is>
          <t>La Gaude</t>
        </is>
      </c>
      <c r="AH315" s="10" t="inlineStr">
        <is>
          <t>06610</t>
        </is>
      </c>
      <c r="AI315" s="10" t="inlineStr">
        <is>
          <t>Alpes-Maritimes</t>
        </is>
      </c>
      <c r="AJ315" s="10" t="inlineStr">
        <is>
          <t>Provence-Alpes-Côte d'Azur</t>
        </is>
      </c>
      <c r="AK315" s="16" t="n"/>
      <c r="AL315" s="10" t="n"/>
      <c r="AM315" s="10" t="n"/>
      <c r="AN315" s="10" t="n"/>
      <c r="AO315" s="10" t="n"/>
      <c r="AP315" s="19" t="inlineStr">
        <is>
          <t>Voir</t>
        </is>
      </c>
      <c r="AQ315" s="10" t="inlineStr">
        <is>
          <t>3258113450</t>
        </is>
      </c>
    </row>
    <row r="316">
      <c r="A316" s="10" t="inlineStr">
        <is>
          <t>Peugeot 206 RC</t>
        </is>
      </c>
      <c r="B316" s="10" t="inlineStr">
        <is>
          <t>206 rc</t>
        </is>
      </c>
      <c r="C316" s="10" t="n"/>
      <c r="D316" s="10" t="n"/>
      <c r="E316" s="10" t="inlineStr">
        <is>
          <t>En vente</t>
        </is>
      </c>
      <c r="F316" s="18" t="n">
        <v>46262</v>
      </c>
      <c r="G316" s="18" t="n">
        <v>46296</v>
      </c>
      <c r="H316" s="18" t="n">
        <v>46296</v>
      </c>
      <c r="I316" s="18" t="n"/>
      <c r="J316" s="17">
        <f>IF(OR(ISNUMBER(F316),ISNUMBER(G316)),IF(ISNUMBER(I316),I316,H316)-IF(ISNUMBER(F316),F316,G316),"")</f>
        <v/>
      </c>
      <c r="K316" s="12" t="n">
        <v>16300</v>
      </c>
      <c r="L316" s="12" t="n">
        <v>16300</v>
      </c>
      <c r="M316" s="13">
        <f>IF(AND(ISNUMBER(K316),ISNUMBER(L316),K316&gt;0),1-L316/K316,"")</f>
        <v/>
      </c>
      <c r="N316" s="16" t="n">
        <v>0</v>
      </c>
      <c r="O316" s="12" t="n"/>
      <c r="P316" s="12" t="n"/>
      <c r="Q316" s="12" t="n"/>
      <c r="R316" s="14">
        <f>IF(AND(ISNUMBER(L316),ISNUMBER(P316),ISNUMBER(Q316)),L316/((P316+Q316)/2)-1,"")</f>
        <v/>
      </c>
      <c r="S316" s="10" t="n"/>
      <c r="T316" s="15" t="n">
        <v>60600</v>
      </c>
      <c r="U316" s="16" t="n">
        <v>2004</v>
      </c>
      <c r="V316" s="10" t="n"/>
      <c r="W316" s="10" t="inlineStr">
        <is>
          <t>Essence</t>
        </is>
      </c>
      <c r="X316" s="10" t="inlineStr">
        <is>
          <t>Manuelle</t>
        </is>
      </c>
      <c r="Y316" s="16" t="n">
        <v>180</v>
      </c>
      <c r="Z316" s="16" t="n">
        <v>11</v>
      </c>
      <c r="AA316" s="10" t="inlineStr">
        <is>
          <t>Noir</t>
        </is>
      </c>
      <c r="AB316" s="16" t="n">
        <v>3</v>
      </c>
      <c r="AC316" s="10" t="inlineStr">
        <is>
          <t>Berline</t>
        </is>
      </c>
      <c r="AD316" s="10" t="n"/>
      <c r="AE316" s="10" t="n"/>
      <c r="AF316" s="10" t="inlineStr">
        <is>
          <t>Particulier</t>
        </is>
      </c>
      <c r="AG316" s="10" t="inlineStr">
        <is>
          <t>Épernay</t>
        </is>
      </c>
      <c r="AH316" s="10" t="inlineStr">
        <is>
          <t>51200</t>
        </is>
      </c>
      <c r="AI316" s="10" t="inlineStr">
        <is>
          <t>Marne</t>
        </is>
      </c>
      <c r="AJ316" s="10" t="inlineStr">
        <is>
          <t>Champagne-Ardenne</t>
        </is>
      </c>
      <c r="AK316" s="16" t="n"/>
      <c r="AL316" s="10" t="n"/>
      <c r="AM316" s="10" t="n"/>
      <c r="AN316" s="10" t="n"/>
      <c r="AO316" s="10" t="n"/>
      <c r="AP316" s="19" t="inlineStr">
        <is>
          <t>Voir</t>
        </is>
      </c>
      <c r="AQ316" s="10" t="inlineStr">
        <is>
          <t>3258422146</t>
        </is>
      </c>
    </row>
    <row r="317">
      <c r="A317" s="10" t="inlineStr">
        <is>
          <t>Peugeot 206 RC</t>
        </is>
      </c>
      <c r="B317" s="10" t="inlineStr">
        <is>
          <t>206 rc</t>
        </is>
      </c>
      <c r="C317" s="10" t="n"/>
      <c r="D317" s="10" t="n"/>
      <c r="E317" s="10" t="inlineStr">
        <is>
          <t>En vente</t>
        </is>
      </c>
      <c r="F317" s="18" t="n">
        <v>46263</v>
      </c>
      <c r="G317" s="18" t="n">
        <v>46296</v>
      </c>
      <c r="H317" s="18" t="n">
        <v>46296</v>
      </c>
      <c r="I317" s="18" t="n"/>
      <c r="J317" s="17">
        <f>IF(OR(ISNUMBER(F317),ISNUMBER(G317)),IF(ISNUMBER(I317),I317,H317)-IF(ISNUMBER(F317),F317,G317),"")</f>
        <v/>
      </c>
      <c r="K317" s="12" t="n">
        <v>7500</v>
      </c>
      <c r="L317" s="12" t="n">
        <v>7500</v>
      </c>
      <c r="M317" s="13">
        <f>IF(AND(ISNUMBER(K317),ISNUMBER(L317),K317&gt;0),1-L317/K317,"")</f>
        <v/>
      </c>
      <c r="N317" s="16" t="n">
        <v>0</v>
      </c>
      <c r="O317" s="12" t="n"/>
      <c r="P317" s="12" t="n"/>
      <c r="Q317" s="12" t="n"/>
      <c r="R317" s="14">
        <f>IF(AND(ISNUMBER(L317),ISNUMBER(P317),ISNUMBER(Q317)),L317/((P317+Q317)/2)-1,"")</f>
        <v/>
      </c>
      <c r="S317" s="10" t="n"/>
      <c r="T317" s="15" t="n">
        <v>220000</v>
      </c>
      <c r="U317" s="16" t="n">
        <v>2003</v>
      </c>
      <c r="V317" s="10" t="n"/>
      <c r="W317" s="10" t="inlineStr">
        <is>
          <t>Essence</t>
        </is>
      </c>
      <c r="X317" s="10" t="inlineStr">
        <is>
          <t>Manuelle</t>
        </is>
      </c>
      <c r="Y317" s="16" t="n">
        <v>180</v>
      </c>
      <c r="Z317" s="16" t="n">
        <v>11</v>
      </c>
      <c r="AA317" s="10" t="inlineStr">
        <is>
          <t>Noir</t>
        </is>
      </c>
      <c r="AB317" s="16" t="n">
        <v>3</v>
      </c>
      <c r="AC317" s="10" t="inlineStr">
        <is>
          <t>Berline</t>
        </is>
      </c>
      <c r="AD317" s="10" t="n"/>
      <c r="AE317" s="10" t="n"/>
      <c r="AF317" s="10" t="inlineStr">
        <is>
          <t>Particulier</t>
        </is>
      </c>
      <c r="AG317" s="10" t="inlineStr">
        <is>
          <t>Les Grandes-Ventes</t>
        </is>
      </c>
      <c r="AH317" s="10" t="inlineStr">
        <is>
          <t>76950</t>
        </is>
      </c>
      <c r="AI317" s="10" t="inlineStr">
        <is>
          <t>Seine-Maritime</t>
        </is>
      </c>
      <c r="AJ317" s="10" t="inlineStr">
        <is>
          <t>Haute-Normandie</t>
        </is>
      </c>
      <c r="AK317" s="16" t="n"/>
      <c r="AL317" s="10" t="n"/>
      <c r="AM317" s="10" t="n"/>
      <c r="AN317" s="10" t="n"/>
      <c r="AO317" s="10" t="n"/>
      <c r="AP317" s="19" t="inlineStr">
        <is>
          <t>Voir</t>
        </is>
      </c>
      <c r="AQ317" s="10" t="inlineStr">
        <is>
          <t>3259064609</t>
        </is>
      </c>
    </row>
    <row r="318">
      <c r="A318" s="10" t="inlineStr">
        <is>
          <t>Peugeot 206 RC</t>
        </is>
      </c>
      <c r="B318" s="10" t="inlineStr">
        <is>
          <t>206 rc 180</t>
        </is>
      </c>
      <c r="C318" s="10" t="n"/>
      <c r="D318" s="10" t="n"/>
      <c r="E318" s="10" t="inlineStr">
        <is>
          <t>En vente</t>
        </is>
      </c>
      <c r="F318" s="18" t="n">
        <v>46269</v>
      </c>
      <c r="G318" s="18" t="n">
        <v>46296</v>
      </c>
      <c r="H318" s="18" t="n">
        <v>46296</v>
      </c>
      <c r="I318" s="18" t="n"/>
      <c r="J318" s="17">
        <f>IF(OR(ISNUMBER(F318),ISNUMBER(G318)),IF(ISNUMBER(I318),I318,H318)-IF(ISNUMBER(F318),F318,G318),"")</f>
        <v/>
      </c>
      <c r="K318" s="12" t="n">
        <v>11000</v>
      </c>
      <c r="L318" s="12" t="n">
        <v>11000</v>
      </c>
      <c r="M318" s="13">
        <f>IF(AND(ISNUMBER(K318),ISNUMBER(L318),K318&gt;0),1-L318/K318,"")</f>
        <v/>
      </c>
      <c r="N318" s="16" t="n">
        <v>0</v>
      </c>
      <c r="O318" s="12" t="n"/>
      <c r="P318" s="12" t="n"/>
      <c r="Q318" s="12" t="n"/>
      <c r="R318" s="14">
        <f>IF(AND(ISNUMBER(L318),ISNUMBER(P318),ISNUMBER(Q318)),L318/((P318+Q318)/2)-1,"")</f>
        <v/>
      </c>
      <c r="S318" s="10" t="n"/>
      <c r="T318" s="15" t="n">
        <v>154500</v>
      </c>
      <c r="U318" s="16" t="n">
        <v>2004</v>
      </c>
      <c r="V318" s="10" t="n"/>
      <c r="W318" s="10" t="inlineStr">
        <is>
          <t>Essence</t>
        </is>
      </c>
      <c r="X318" s="10" t="inlineStr">
        <is>
          <t>Manuelle</t>
        </is>
      </c>
      <c r="Y318" s="16" t="n">
        <v>180</v>
      </c>
      <c r="Z318" s="16" t="n">
        <v>11</v>
      </c>
      <c r="AA318" s="10" t="inlineStr">
        <is>
          <t>Noir</t>
        </is>
      </c>
      <c r="AB318" s="16" t="n">
        <v>3</v>
      </c>
      <c r="AC318" s="10" t="inlineStr">
        <is>
          <t>Berline</t>
        </is>
      </c>
      <c r="AD318" s="10" t="n"/>
      <c r="AE318" s="10" t="n"/>
      <c r="AF318" s="10" t="inlineStr">
        <is>
          <t>Particulier</t>
        </is>
      </c>
      <c r="AG318" s="10" t="inlineStr">
        <is>
          <t>Champagnole</t>
        </is>
      </c>
      <c r="AH318" s="10" t="inlineStr">
        <is>
          <t>39300</t>
        </is>
      </c>
      <c r="AI318" s="10" t="inlineStr">
        <is>
          <t>Jura</t>
        </is>
      </c>
      <c r="AJ318" s="10" t="inlineStr">
        <is>
          <t>Franche-Comté</t>
        </is>
      </c>
      <c r="AK318" s="16" t="n"/>
      <c r="AL318" s="10" t="n"/>
      <c r="AM318" s="10" t="n"/>
      <c r="AN318" s="10" t="n"/>
      <c r="AO318" s="10" t="n"/>
      <c r="AP318" s="19" t="inlineStr">
        <is>
          <t>Voir</t>
        </is>
      </c>
      <c r="AQ318" s="10" t="inlineStr">
        <is>
          <t>3262442354</t>
        </is>
      </c>
    </row>
    <row r="319">
      <c r="A319" s="10" t="inlineStr">
        <is>
          <t>Peugeot 206 RC</t>
        </is>
      </c>
      <c r="B319" s="10" t="inlineStr">
        <is>
          <t>206 rc</t>
        </is>
      </c>
      <c r="C319" s="10" t="n"/>
      <c r="D319" s="10" t="n"/>
      <c r="E319" s="10" t="inlineStr">
        <is>
          <t>En vente</t>
        </is>
      </c>
      <c r="F319" s="18" t="n">
        <v>46272</v>
      </c>
      <c r="G319" s="18" t="n">
        <v>46296</v>
      </c>
      <c r="H319" s="18" t="n">
        <v>46296</v>
      </c>
      <c r="I319" s="18" t="n"/>
      <c r="J319" s="17">
        <f>IF(OR(ISNUMBER(F319),ISNUMBER(G319)),IF(ISNUMBER(I319),I319,H319)-IF(ISNUMBER(F319),F319,G319),"")</f>
        <v/>
      </c>
      <c r="K319" s="12" t="n">
        <v>11000</v>
      </c>
      <c r="L319" s="12" t="n">
        <v>11000</v>
      </c>
      <c r="M319" s="13">
        <f>IF(AND(ISNUMBER(K319),ISNUMBER(L319),K319&gt;0),1-L319/K319,"")</f>
        <v/>
      </c>
      <c r="N319" s="16" t="n">
        <v>0</v>
      </c>
      <c r="O319" s="12" t="n"/>
      <c r="P319" s="12" t="n"/>
      <c r="Q319" s="12" t="n"/>
      <c r="R319" s="14">
        <f>IF(AND(ISNUMBER(L319),ISNUMBER(P319),ISNUMBER(Q319)),L319/((P319+Q319)/2)-1,"")</f>
        <v/>
      </c>
      <c r="S319" s="10" t="n"/>
      <c r="T319" s="15" t="n">
        <v>147000</v>
      </c>
      <c r="U319" s="16" t="n">
        <v>2005</v>
      </c>
      <c r="V319" s="10" t="n"/>
      <c r="W319" s="10" t="inlineStr">
        <is>
          <t>Essence</t>
        </is>
      </c>
      <c r="X319" s="10" t="inlineStr">
        <is>
          <t>Manuelle</t>
        </is>
      </c>
      <c r="Y319" s="16" t="n">
        <v>180</v>
      </c>
      <c r="Z319" s="16" t="n">
        <v>11</v>
      </c>
      <c r="AA319" s="10" t="inlineStr">
        <is>
          <t>Gris</t>
        </is>
      </c>
      <c r="AB319" s="16" t="n">
        <v>3</v>
      </c>
      <c r="AC319" s="10" t="inlineStr">
        <is>
          <t>Berline</t>
        </is>
      </c>
      <c r="AD319" s="10" t="n"/>
      <c r="AE319" s="10" t="n"/>
      <c r="AF319" s="10" t="inlineStr">
        <is>
          <t>Particulier</t>
        </is>
      </c>
      <c r="AG319" s="10" t="inlineStr">
        <is>
          <t>Caen</t>
        </is>
      </c>
      <c r="AH319" s="10" t="inlineStr">
        <is>
          <t>14000</t>
        </is>
      </c>
      <c r="AI319" s="10" t="inlineStr">
        <is>
          <t>Calvados</t>
        </is>
      </c>
      <c r="AJ319" s="10" t="inlineStr">
        <is>
          <t>Basse-Normandie</t>
        </is>
      </c>
      <c r="AK319" s="16" t="n"/>
      <c r="AL319" s="10" t="n"/>
      <c r="AM319" s="10" t="n"/>
      <c r="AN319" s="10" t="n"/>
      <c r="AO319" s="10" t="n"/>
      <c r="AP319" s="19" t="inlineStr">
        <is>
          <t>Voir</t>
        </is>
      </c>
      <c r="AQ319" s="10" t="inlineStr">
        <is>
          <t>3265358347</t>
        </is>
      </c>
    </row>
    <row r="320">
      <c r="A320" s="10" t="inlineStr">
        <is>
          <t>Peugeot 206 RC</t>
        </is>
      </c>
      <c r="B320" s="10" t="inlineStr">
        <is>
          <t>206 RC Rouge Aden</t>
        </is>
      </c>
      <c r="C320" s="10" t="n"/>
      <c r="D320" s="10" t="n"/>
      <c r="E320" s="10" t="inlineStr">
        <is>
          <t>En vente</t>
        </is>
      </c>
      <c r="F320" s="18" t="n">
        <v>46272</v>
      </c>
      <c r="G320" s="18" t="n">
        <v>46296</v>
      </c>
      <c r="H320" s="18" t="n">
        <v>46296</v>
      </c>
      <c r="I320" s="18" t="n"/>
      <c r="J320" s="17">
        <f>IF(OR(ISNUMBER(F320),ISNUMBER(G320)),IF(ISNUMBER(I320),I320,H320)-IF(ISNUMBER(F320),F320,G320),"")</f>
        <v/>
      </c>
      <c r="K320" s="12" t="n">
        <v>13990</v>
      </c>
      <c r="L320" s="12" t="n">
        <v>13990</v>
      </c>
      <c r="M320" s="13">
        <f>IF(AND(ISNUMBER(K320),ISNUMBER(L320),K320&gt;0),1-L320/K320,"")</f>
        <v/>
      </c>
      <c r="N320" s="16" t="n">
        <v>0</v>
      </c>
      <c r="O320" s="12" t="n"/>
      <c r="P320" s="12" t="n"/>
      <c r="Q320" s="12" t="n"/>
      <c r="R320" s="14">
        <f>IF(AND(ISNUMBER(L320),ISNUMBER(P320),ISNUMBER(Q320)),L320/((P320+Q320)/2)-1,"")</f>
        <v/>
      </c>
      <c r="S320" s="10" t="n"/>
      <c r="T320" s="15" t="n">
        <v>98842</v>
      </c>
      <c r="U320" s="16" t="n">
        <v>2005</v>
      </c>
      <c r="V320" s="10" t="n"/>
      <c r="W320" s="10" t="inlineStr">
        <is>
          <t>Essence</t>
        </is>
      </c>
      <c r="X320" s="10" t="inlineStr">
        <is>
          <t>Manuelle</t>
        </is>
      </c>
      <c r="Y320" s="16" t="n">
        <v>177</v>
      </c>
      <c r="Z320" s="16" t="n">
        <v>11</v>
      </c>
      <c r="AA320" s="10" t="inlineStr">
        <is>
          <t>Rouge</t>
        </is>
      </c>
      <c r="AB320" s="16" t="n">
        <v>3</v>
      </c>
      <c r="AC320" s="10" t="inlineStr">
        <is>
          <t>Citadine</t>
        </is>
      </c>
      <c r="AD320" s="10" t="n"/>
      <c r="AE320" s="10" t="n"/>
      <c r="AF320" s="10" t="inlineStr">
        <is>
          <t>Particulier</t>
        </is>
      </c>
      <c r="AG320" s="10" t="inlineStr">
        <is>
          <t>Souleuvre en Bocage</t>
        </is>
      </c>
      <c r="AH320" s="10" t="inlineStr">
        <is>
          <t>14350</t>
        </is>
      </c>
      <c r="AI320" s="10" t="inlineStr">
        <is>
          <t>Calvados</t>
        </is>
      </c>
      <c r="AJ320" s="10" t="inlineStr">
        <is>
          <t>Basse-Normandie</t>
        </is>
      </c>
      <c r="AK320" s="16" t="n"/>
      <c r="AL320" s="10" t="n"/>
      <c r="AM320" s="10" t="n"/>
      <c r="AN320" s="10" t="n"/>
      <c r="AO320" s="10" t="n"/>
      <c r="AP320" s="19" t="inlineStr">
        <is>
          <t>Voir</t>
        </is>
      </c>
      <c r="AQ320" s="10" t="inlineStr">
        <is>
          <t>3265384769</t>
        </is>
      </c>
    </row>
    <row r="321">
      <c r="A321" s="10" t="inlineStr">
        <is>
          <t>Peugeot 206 RC</t>
        </is>
      </c>
      <c r="B321" s="10" t="inlineStr">
        <is>
          <t>Peugeot 206 RC - Rouge Aden - 180cv</t>
        </is>
      </c>
      <c r="C321" s="10" t="n"/>
      <c r="D321" s="10" t="n"/>
      <c r="E321" s="10" t="inlineStr">
        <is>
          <t>En vente</t>
        </is>
      </c>
      <c r="F321" s="18" t="n">
        <v>46276</v>
      </c>
      <c r="G321" s="18" t="n">
        <v>46296</v>
      </c>
      <c r="H321" s="18" t="n">
        <v>46296</v>
      </c>
      <c r="I321" s="18" t="n"/>
      <c r="J321" s="17">
        <f>IF(OR(ISNUMBER(F321),ISNUMBER(G321)),IF(ISNUMBER(I321),I321,H321)-IF(ISNUMBER(F321),F321,G321),"")</f>
        <v/>
      </c>
      <c r="K321" s="12" t="n">
        <v>12500</v>
      </c>
      <c r="L321" s="12" t="n">
        <v>12500</v>
      </c>
      <c r="M321" s="13">
        <f>IF(AND(ISNUMBER(K321),ISNUMBER(L321),K321&gt;0),1-L321/K321,"")</f>
        <v/>
      </c>
      <c r="N321" s="16" t="n">
        <v>0</v>
      </c>
      <c r="O321" s="12" t="n"/>
      <c r="P321" s="12" t="n"/>
      <c r="Q321" s="12" t="n"/>
      <c r="R321" s="14">
        <f>IF(AND(ISNUMBER(L321),ISNUMBER(P321),ISNUMBER(Q321)),L321/((P321+Q321)/2)-1,"")</f>
        <v/>
      </c>
      <c r="S321" s="10" t="n"/>
      <c r="T321" s="15" t="n">
        <v>131500</v>
      </c>
      <c r="U321" s="16" t="n">
        <v>2004</v>
      </c>
      <c r="V321" s="10" t="n"/>
      <c r="W321" s="10" t="inlineStr">
        <is>
          <t>Essence</t>
        </is>
      </c>
      <c r="X321" s="10" t="inlineStr">
        <is>
          <t>Manuelle</t>
        </is>
      </c>
      <c r="Y321" s="16" t="n">
        <v>180</v>
      </c>
      <c r="Z321" s="16" t="n">
        <v>11</v>
      </c>
      <c r="AA321" s="10" t="inlineStr">
        <is>
          <t>Rouge</t>
        </is>
      </c>
      <c r="AB321" s="16" t="n">
        <v>3</v>
      </c>
      <c r="AC321" s="10" t="inlineStr">
        <is>
          <t>Berline</t>
        </is>
      </c>
      <c r="AD321" s="10" t="n"/>
      <c r="AE321" s="10" t="n"/>
      <c r="AF321" s="10" t="inlineStr">
        <is>
          <t>Particulier</t>
        </is>
      </c>
      <c r="AG321" s="10" t="inlineStr">
        <is>
          <t>Molsheim</t>
        </is>
      </c>
      <c r="AH321" s="10" t="inlineStr">
        <is>
          <t>67120</t>
        </is>
      </c>
      <c r="AI321" s="10" t="inlineStr">
        <is>
          <t>Bas-Rhin</t>
        </is>
      </c>
      <c r="AJ321" s="10" t="inlineStr">
        <is>
          <t>Alsace</t>
        </is>
      </c>
      <c r="AK321" s="16" t="n"/>
      <c r="AL321" s="10" t="n"/>
      <c r="AM321" s="10" t="n"/>
      <c r="AN321" s="10" t="n"/>
      <c r="AO321" s="10" t="n"/>
      <c r="AP321" s="19" t="inlineStr">
        <is>
          <t>Voir</t>
        </is>
      </c>
      <c r="AQ321" s="10" t="inlineStr">
        <is>
          <t>3267576253</t>
        </is>
      </c>
    </row>
    <row r="322">
      <c r="A322" s="10" t="inlineStr">
        <is>
          <t>Peugeot 206 RC</t>
        </is>
      </c>
      <c r="B322" s="10" t="inlineStr">
        <is>
          <t>Peugeot 206 RC 2.0 177ch</t>
        </is>
      </c>
      <c r="C322" s="10" t="n"/>
      <c r="D322" s="10" t="n"/>
      <c r="E322" s="10" t="inlineStr">
        <is>
          <t>En vente</t>
        </is>
      </c>
      <c r="F322" s="18" t="n">
        <v>46278</v>
      </c>
      <c r="G322" s="18" t="n">
        <v>46296</v>
      </c>
      <c r="H322" s="18" t="n">
        <v>46296</v>
      </c>
      <c r="I322" s="18" t="n"/>
      <c r="J322" s="17">
        <f>IF(OR(ISNUMBER(F322),ISNUMBER(G322)),IF(ISNUMBER(I322),I322,H322)-IF(ISNUMBER(F322),F322,G322),"")</f>
        <v/>
      </c>
      <c r="K322" s="12" t="n">
        <v>9800</v>
      </c>
      <c r="L322" s="12" t="n">
        <v>9800</v>
      </c>
      <c r="M322" s="13">
        <f>IF(AND(ISNUMBER(K322),ISNUMBER(L322),K322&gt;0),1-L322/K322,"")</f>
        <v/>
      </c>
      <c r="N322" s="16" t="n">
        <v>0</v>
      </c>
      <c r="O322" s="12" t="n"/>
      <c r="P322" s="12" t="n"/>
      <c r="Q322" s="12" t="n"/>
      <c r="R322" s="14">
        <f>IF(AND(ISNUMBER(L322),ISNUMBER(P322),ISNUMBER(Q322)),L322/((P322+Q322)/2)-1,"")</f>
        <v/>
      </c>
      <c r="S322" s="10" t="n"/>
      <c r="T322" s="15" t="n">
        <v>165500</v>
      </c>
      <c r="U322" s="16" t="n">
        <v>2003</v>
      </c>
      <c r="V322" s="10" t="n"/>
      <c r="W322" s="10" t="inlineStr">
        <is>
          <t>Essence</t>
        </is>
      </c>
      <c r="X322" s="10" t="inlineStr">
        <is>
          <t>Manuelle</t>
        </is>
      </c>
      <c r="Y322" s="16" t="n">
        <v>130</v>
      </c>
      <c r="Z322" s="16" t="n">
        <v>11</v>
      </c>
      <c r="AA322" s="10" t="inlineStr">
        <is>
          <t>Gris</t>
        </is>
      </c>
      <c r="AB322" s="16" t="n">
        <v>3</v>
      </c>
      <c r="AC322" s="10" t="inlineStr">
        <is>
          <t>Berline</t>
        </is>
      </c>
      <c r="AD322" s="10" t="n"/>
      <c r="AE322" s="10" t="n"/>
      <c r="AF322" s="10" t="inlineStr">
        <is>
          <t>Particulier</t>
        </is>
      </c>
      <c r="AG322" s="10" t="inlineStr">
        <is>
          <t>Châteaudun</t>
        </is>
      </c>
      <c r="AH322" s="10" t="inlineStr">
        <is>
          <t>28200</t>
        </is>
      </c>
      <c r="AI322" s="10" t="inlineStr">
        <is>
          <t>Eure-et-Loir</t>
        </is>
      </c>
      <c r="AJ322" s="10" t="inlineStr">
        <is>
          <t>Centre</t>
        </is>
      </c>
      <c r="AK322" s="16" t="n"/>
      <c r="AL322" s="10" t="n"/>
      <c r="AM322" s="10" t="n"/>
      <c r="AN322" s="10" t="n"/>
      <c r="AO322" s="10" t="n"/>
      <c r="AP322" s="19" t="inlineStr">
        <is>
          <t>Voir</t>
        </is>
      </c>
      <c r="AQ322" s="10" t="inlineStr">
        <is>
          <t>3269057716</t>
        </is>
      </c>
    </row>
    <row r="323">
      <c r="A323" s="10" t="inlineStr">
        <is>
          <t>Peugeot 206 RC</t>
        </is>
      </c>
      <c r="B323" s="10" t="inlineStr">
        <is>
          <t>Peugeot 206 rc 2.0 180</t>
        </is>
      </c>
      <c r="C323" s="10" t="n"/>
      <c r="D323" s="10" t="n"/>
      <c r="E323" s="10" t="inlineStr">
        <is>
          <t>En vente</t>
        </is>
      </c>
      <c r="F323" s="18" t="n">
        <v>46281</v>
      </c>
      <c r="G323" s="18" t="n">
        <v>46296</v>
      </c>
      <c r="H323" s="18" t="n">
        <v>46296</v>
      </c>
      <c r="I323" s="18" t="n"/>
      <c r="J323" s="17">
        <f>IF(OR(ISNUMBER(F323),ISNUMBER(G323)),IF(ISNUMBER(I323),I323,H323)-IF(ISNUMBER(F323),F323,G323),"")</f>
        <v/>
      </c>
      <c r="K323" s="12" t="n">
        <v>13990</v>
      </c>
      <c r="L323" s="12" t="n">
        <v>13990</v>
      </c>
      <c r="M323" s="13">
        <f>IF(AND(ISNUMBER(K323),ISNUMBER(L323),K323&gt;0),1-L323/K323,"")</f>
        <v/>
      </c>
      <c r="N323" s="16" t="n">
        <v>0</v>
      </c>
      <c r="O323" s="12" t="n"/>
      <c r="P323" s="12" t="n"/>
      <c r="Q323" s="12" t="n"/>
      <c r="R323" s="14">
        <f>IF(AND(ISNUMBER(L323),ISNUMBER(P323),ISNUMBER(Q323)),L323/((P323+Q323)/2)-1,"")</f>
        <v/>
      </c>
      <c r="S323" s="10" t="n"/>
      <c r="T323" s="15" t="n">
        <v>125800</v>
      </c>
      <c r="U323" s="16" t="n">
        <v>2004</v>
      </c>
      <c r="V323" s="10" t="n"/>
      <c r="W323" s="10" t="inlineStr">
        <is>
          <t>Essence</t>
        </is>
      </c>
      <c r="X323" s="10" t="inlineStr">
        <is>
          <t>Manuelle</t>
        </is>
      </c>
      <c r="Y323" s="16" t="n">
        <v>180</v>
      </c>
      <c r="Z323" s="16" t="n">
        <v>11</v>
      </c>
      <c r="AA323" s="10" t="inlineStr">
        <is>
          <t>Rouge</t>
        </is>
      </c>
      <c r="AB323" s="16" t="n">
        <v>3</v>
      </c>
      <c r="AC323" s="10" t="inlineStr">
        <is>
          <t>Berline</t>
        </is>
      </c>
      <c r="AD323" s="10" t="n"/>
      <c r="AE323" s="10" t="n"/>
      <c r="AF323" s="10" t="inlineStr">
        <is>
          <t>Particulier</t>
        </is>
      </c>
      <c r="AG323" s="10" t="inlineStr">
        <is>
          <t>Saint-Féliu-d'Avall</t>
        </is>
      </c>
      <c r="AH323" s="10" t="inlineStr">
        <is>
          <t>66170</t>
        </is>
      </c>
      <c r="AI323" s="10" t="inlineStr">
        <is>
          <t>Pyrénées-Orientales</t>
        </is>
      </c>
      <c r="AJ323" s="10" t="inlineStr">
        <is>
          <t>Languedoc-Roussillon</t>
        </is>
      </c>
      <c r="AK323" s="16" t="n"/>
      <c r="AL323" s="10" t="n"/>
      <c r="AM323" s="10" t="n"/>
      <c r="AN323" s="10" t="n"/>
      <c r="AO323" s="10" t="n"/>
      <c r="AP323" s="19" t="inlineStr">
        <is>
          <t>Voir</t>
        </is>
      </c>
      <c r="AQ323" s="10" t="inlineStr">
        <is>
          <t>3270650631</t>
        </is>
      </c>
    </row>
    <row r="324">
      <c r="A324" s="10" t="inlineStr">
        <is>
          <t>Peugeot 206 RC</t>
        </is>
      </c>
      <c r="B324" s="10" t="inlineStr">
        <is>
          <t>Peugeot 206 rc</t>
        </is>
      </c>
      <c r="C324" s="10" t="n"/>
      <c r="D324" s="10" t="n"/>
      <c r="E324" s="10" t="inlineStr">
        <is>
          <t>En vente</t>
        </is>
      </c>
      <c r="F324" s="18" t="n">
        <v>46281</v>
      </c>
      <c r="G324" s="18" t="n">
        <v>46296</v>
      </c>
      <c r="H324" s="18" t="n">
        <v>46296</v>
      </c>
      <c r="I324" s="18" t="n"/>
      <c r="J324" s="17">
        <f>IF(OR(ISNUMBER(F324),ISNUMBER(G324)),IF(ISNUMBER(I324),I324,H324)-IF(ISNUMBER(F324),F324,G324),"")</f>
        <v/>
      </c>
      <c r="K324" s="12" t="n">
        <v>7800</v>
      </c>
      <c r="L324" s="12" t="n">
        <v>7800</v>
      </c>
      <c r="M324" s="13">
        <f>IF(AND(ISNUMBER(K324),ISNUMBER(L324),K324&gt;0),1-L324/K324,"")</f>
        <v/>
      </c>
      <c r="N324" s="16" t="n">
        <v>0</v>
      </c>
      <c r="O324" s="12" t="n"/>
      <c r="P324" s="12" t="n"/>
      <c r="Q324" s="12" t="n"/>
      <c r="R324" s="14">
        <f>IF(AND(ISNUMBER(L324),ISNUMBER(P324),ISNUMBER(Q324)),L324/((P324+Q324)/2)-1,"")</f>
        <v/>
      </c>
      <c r="S324" s="10" t="n"/>
      <c r="T324" s="15" t="n">
        <v>197000</v>
      </c>
      <c r="U324" s="16" t="n">
        <v>2003</v>
      </c>
      <c r="V324" s="10" t="n"/>
      <c r="W324" s="10" t="inlineStr">
        <is>
          <t>Essence</t>
        </is>
      </c>
      <c r="X324" s="10" t="inlineStr">
        <is>
          <t>Manuelle</t>
        </is>
      </c>
      <c r="Y324" s="16" t="n">
        <v>180</v>
      </c>
      <c r="Z324" s="16" t="n">
        <v>11</v>
      </c>
      <c r="AA324" s="10" t="inlineStr">
        <is>
          <t>Noir</t>
        </is>
      </c>
      <c r="AB324" s="16" t="n">
        <v>3</v>
      </c>
      <c r="AC324" s="10" t="inlineStr">
        <is>
          <t>Berline</t>
        </is>
      </c>
      <c r="AD324" s="10" t="n"/>
      <c r="AE324" s="10" t="n"/>
      <c r="AF324" s="10" t="inlineStr">
        <is>
          <t>Particulier</t>
        </is>
      </c>
      <c r="AG324" s="10" t="inlineStr">
        <is>
          <t>Lavelanet</t>
        </is>
      </c>
      <c r="AH324" s="10" t="inlineStr">
        <is>
          <t>09300</t>
        </is>
      </c>
      <c r="AI324" s="10" t="inlineStr">
        <is>
          <t>Ariège</t>
        </is>
      </c>
      <c r="AJ324" s="10" t="inlineStr">
        <is>
          <t>Midi-Pyrénées</t>
        </is>
      </c>
      <c r="AK324" s="16" t="n"/>
      <c r="AL324" s="10" t="n"/>
      <c r="AM324" s="10" t="n"/>
      <c r="AN324" s="10" t="n"/>
      <c r="AO324" s="10" t="n"/>
      <c r="AP324" s="19" t="inlineStr">
        <is>
          <t>Voir</t>
        </is>
      </c>
      <c r="AQ324" s="10" t="inlineStr">
        <is>
          <t>3271026847</t>
        </is>
      </c>
    </row>
    <row r="325">
      <c r="A325" s="10" t="inlineStr">
        <is>
          <t>Peugeot 206 RC</t>
        </is>
      </c>
      <c r="B325" s="10" t="inlineStr">
        <is>
          <t>206 rc</t>
        </is>
      </c>
      <c r="C325" s="10" t="n"/>
      <c r="D325" s="10" t="n"/>
      <c r="E325" s="10" t="inlineStr">
        <is>
          <t>En vente</t>
        </is>
      </c>
      <c r="F325" s="18" t="n">
        <v>46288</v>
      </c>
      <c r="G325" s="18" t="n">
        <v>46296</v>
      </c>
      <c r="H325" s="18" t="n">
        <v>46296</v>
      </c>
      <c r="I325" s="18" t="n"/>
      <c r="J325" s="17">
        <f>IF(OR(ISNUMBER(F325),ISNUMBER(G325)),IF(ISNUMBER(I325),I325,H325)-IF(ISNUMBER(F325),F325,G325),"")</f>
        <v/>
      </c>
      <c r="K325" s="12" t="n">
        <v>7500</v>
      </c>
      <c r="L325" s="12" t="n">
        <v>7500</v>
      </c>
      <c r="M325" s="13">
        <f>IF(AND(ISNUMBER(K325),ISNUMBER(L325),K325&gt;0),1-L325/K325,"")</f>
        <v/>
      </c>
      <c r="N325" s="16" t="n">
        <v>0</v>
      </c>
      <c r="O325" s="12" t="n"/>
      <c r="P325" s="12" t="n"/>
      <c r="Q325" s="12" t="n"/>
      <c r="R325" s="14">
        <f>IF(AND(ISNUMBER(L325),ISNUMBER(P325),ISNUMBER(Q325)),L325/((P325+Q325)/2)-1,"")</f>
        <v/>
      </c>
      <c r="S325" s="10" t="n"/>
      <c r="T325" s="15" t="n">
        <v>290000</v>
      </c>
      <c r="U325" s="16" t="n">
        <v>2005</v>
      </c>
      <c r="V325" s="10" t="n"/>
      <c r="W325" s="10" t="inlineStr">
        <is>
          <t>Essence</t>
        </is>
      </c>
      <c r="X325" s="10" t="inlineStr">
        <is>
          <t>Manuelle</t>
        </is>
      </c>
      <c r="Y325" s="16" t="n">
        <v>180</v>
      </c>
      <c r="Z325" s="16" t="n">
        <v>11</v>
      </c>
      <c r="AA325" s="10" t="inlineStr">
        <is>
          <t>Bleu</t>
        </is>
      </c>
      <c r="AB325" s="16" t="n">
        <v>3</v>
      </c>
      <c r="AC325" s="10" t="inlineStr">
        <is>
          <t>Berline</t>
        </is>
      </c>
      <c r="AD325" s="10" t="n"/>
      <c r="AE325" s="10" t="n"/>
      <c r="AF325" s="10" t="inlineStr">
        <is>
          <t>Particulier</t>
        </is>
      </c>
      <c r="AG325" s="10" t="inlineStr">
        <is>
          <t>Perriers-sur-Andelle</t>
        </is>
      </c>
      <c r="AH325" s="10" t="inlineStr">
        <is>
          <t>27910</t>
        </is>
      </c>
      <c r="AI325" s="10" t="inlineStr">
        <is>
          <t>Eure</t>
        </is>
      </c>
      <c r="AJ325" s="10" t="inlineStr">
        <is>
          <t>Haute-Normandie</t>
        </is>
      </c>
      <c r="AK325" s="16" t="n"/>
      <c r="AL325" s="10" t="n"/>
      <c r="AM325" s="10" t="n"/>
      <c r="AN325" s="10" t="n"/>
      <c r="AO325" s="10" t="n"/>
      <c r="AP325" s="19" t="inlineStr">
        <is>
          <t>Voir</t>
        </is>
      </c>
      <c r="AQ325" s="10" t="inlineStr">
        <is>
          <t>3275531733</t>
        </is>
      </c>
    </row>
    <row r="326">
      <c r="A326" s="10" t="inlineStr">
        <is>
          <t>Peugeot 206 RC</t>
        </is>
      </c>
      <c r="B326" s="10" t="inlineStr">
        <is>
          <t>206 rc line 1.6 110 cv</t>
        </is>
      </c>
      <c r="C326" s="10" t="n"/>
      <c r="D326" s="10" t="n"/>
      <c r="E326" s="10" t="inlineStr">
        <is>
          <t>En vente</t>
        </is>
      </c>
      <c r="F326" s="18" t="n"/>
      <c r="G326" s="18" t="n">
        <v>46296</v>
      </c>
      <c r="H326" s="18" t="n">
        <v>46296</v>
      </c>
      <c r="I326" s="18" t="n"/>
      <c r="J326" s="17">
        <f>IF(OR(ISNUMBER(F326),ISNUMBER(G326)),IF(ISNUMBER(I326),I326,H326)-IF(ISNUMBER(F326),F326,G326),"")</f>
        <v/>
      </c>
      <c r="K326" s="12" t="n">
        <v>6800</v>
      </c>
      <c r="L326" s="12" t="n">
        <v>6800</v>
      </c>
      <c r="M326" s="13">
        <f>IF(AND(ISNUMBER(K326),ISNUMBER(L326),K326&gt;0),1-L326/K326,"")</f>
        <v/>
      </c>
      <c r="N326" s="16" t="n">
        <v>0</v>
      </c>
      <c r="O326" s="12" t="n"/>
      <c r="P326" s="12" t="n"/>
      <c r="Q326" s="12" t="n"/>
      <c r="R326" s="14">
        <f>IF(AND(ISNUMBER(L326),ISNUMBER(P326),ISNUMBER(Q326)),L326/((P326+Q326)/2)-1,"")</f>
        <v/>
      </c>
      <c r="S326" s="10" t="n"/>
      <c r="T326" s="15" t="n">
        <v>124000</v>
      </c>
      <c r="U326" s="16" t="n"/>
      <c r="V326" s="10" t="n"/>
      <c r="W326" s="10" t="n"/>
      <c r="X326" s="10" t="n"/>
      <c r="Y326" s="16" t="n"/>
      <c r="Z326" s="16" t="n"/>
      <c r="AA326" s="10" t="n"/>
      <c r="AB326" s="16" t="n"/>
      <c r="AC326" s="10" t="n"/>
      <c r="AD326" s="10" t="n"/>
      <c r="AE326" s="10" t="n"/>
      <c r="AF326" s="10" t="n"/>
      <c r="AG326" s="10" t="inlineStr">
        <is>
          <t>Cernay</t>
        </is>
      </c>
      <c r="AH326" s="10" t="n"/>
      <c r="AI326" s="10" t="n"/>
      <c r="AJ326" s="10" t="n"/>
      <c r="AK326" s="16" t="n"/>
      <c r="AL326" s="10" t="n"/>
      <c r="AM326" s="10" t="n"/>
      <c r="AN326" s="10" t="n"/>
      <c r="AO326" s="10" t="n"/>
      <c r="AP326" s="19" t="inlineStr">
        <is>
          <t>Voir</t>
        </is>
      </c>
      <c r="AQ326" s="10" t="inlineStr">
        <is>
          <t>3276929411</t>
        </is>
      </c>
    </row>
    <row r="327">
      <c r="A327" s="10" t="inlineStr">
        <is>
          <t>Peugeot 206 RC</t>
        </is>
      </c>
      <c r="B327" s="10" t="inlineStr">
        <is>
          <t>Peugeot 206 RC 2.0 177ch - Bleu Récif</t>
        </is>
      </c>
      <c r="C327" s="10" t="n"/>
      <c r="D327" s="10" t="n"/>
      <c r="E327" s="10" t="inlineStr">
        <is>
          <t>En vente</t>
        </is>
      </c>
      <c r="F327" s="18" t="n"/>
      <c r="G327" s="18" t="n">
        <v>46296</v>
      </c>
      <c r="H327" s="18" t="n">
        <v>46296</v>
      </c>
      <c r="I327" s="18" t="n"/>
      <c r="J327" s="17">
        <f>IF(OR(ISNUMBER(F327),ISNUMBER(G327)),IF(ISNUMBER(I327),I327,H327)-IF(ISNUMBER(F327),F327,G327),"")</f>
        <v/>
      </c>
      <c r="K327" s="12" t="n">
        <v>5300</v>
      </c>
      <c r="L327" s="12" t="n">
        <v>5300</v>
      </c>
      <c r="M327" s="13">
        <f>IF(AND(ISNUMBER(K327),ISNUMBER(L327),K327&gt;0),1-L327/K327,"")</f>
        <v/>
      </c>
      <c r="N327" s="16" t="n">
        <v>0</v>
      </c>
      <c r="O327" s="12" t="n"/>
      <c r="P327" s="12" t="n"/>
      <c r="Q327" s="12" t="n"/>
      <c r="R327" s="14">
        <f>IF(AND(ISNUMBER(L327),ISNUMBER(P327),ISNUMBER(Q327)),L327/((P327+Q327)/2)-1,"")</f>
        <v/>
      </c>
      <c r="S327" s="10" t="n"/>
      <c r="T327" s="15" t="n">
        <v>234000</v>
      </c>
      <c r="U327" s="16" t="n"/>
      <c r="V327" s="10" t="n"/>
      <c r="W327" s="10" t="n"/>
      <c r="X327" s="10" t="n"/>
      <c r="Y327" s="16" t="n"/>
      <c r="Z327" s="16" t="n"/>
      <c r="AA327" s="10" t="n"/>
      <c r="AB327" s="16" t="n"/>
      <c r="AC327" s="10" t="n"/>
      <c r="AD327" s="10" t="n"/>
      <c r="AE327" s="10" t="n"/>
      <c r="AF327" s="10" t="n"/>
      <c r="AG327" s="10" t="inlineStr">
        <is>
          <t>Belley</t>
        </is>
      </c>
      <c r="AH327" s="10" t="n"/>
      <c r="AI327" s="10" t="n"/>
      <c r="AJ327" s="10" t="n"/>
      <c r="AK327" s="16" t="n"/>
      <c r="AL327" s="10" t="n"/>
      <c r="AM327" s="10" t="n"/>
      <c r="AN327" s="10" t="n"/>
      <c r="AO327" s="10" t="n"/>
      <c r="AP327" s="19" t="inlineStr">
        <is>
          <t>Voir</t>
        </is>
      </c>
      <c r="AQ327" s="10" t="inlineStr">
        <is>
          <t>3277073683</t>
        </is>
      </c>
    </row>
    <row r="328">
      <c r="A328" s="10" t="inlineStr">
        <is>
          <t>Peugeot 206 RC</t>
        </is>
      </c>
      <c r="B328" s="10" t="inlineStr">
        <is>
          <t>206 rc</t>
        </is>
      </c>
      <c r="C328" s="10" t="n"/>
      <c r="D328" s="10" t="n"/>
      <c r="E328" s="10" t="inlineStr">
        <is>
          <t>En vente</t>
        </is>
      </c>
      <c r="F328" s="18" t="n">
        <v>46293</v>
      </c>
      <c r="G328" s="18" t="n">
        <v>46296</v>
      </c>
      <c r="H328" s="18" t="n">
        <v>46296</v>
      </c>
      <c r="I328" s="18" t="n"/>
      <c r="J328" s="17">
        <f>IF(OR(ISNUMBER(F328),ISNUMBER(G328)),IF(ISNUMBER(I328),I328,H328)-IF(ISNUMBER(F328),F328,G328),"")</f>
        <v/>
      </c>
      <c r="K328" s="12" t="n">
        <v>8500</v>
      </c>
      <c r="L328" s="12" t="n">
        <v>8500</v>
      </c>
      <c r="M328" s="13">
        <f>IF(AND(ISNUMBER(K328),ISNUMBER(L328),K328&gt;0),1-L328/K328,"")</f>
        <v/>
      </c>
      <c r="N328" s="16" t="n">
        <v>0</v>
      </c>
      <c r="O328" s="12" t="n"/>
      <c r="P328" s="12" t="n"/>
      <c r="Q328" s="12" t="n"/>
      <c r="R328" s="14">
        <f>IF(AND(ISNUMBER(L328),ISNUMBER(P328),ISNUMBER(Q328)),L328/((P328+Q328)/2)-1,"")</f>
        <v/>
      </c>
      <c r="S328" s="10" t="n"/>
      <c r="T328" s="15" t="n">
        <v>192000</v>
      </c>
      <c r="U328" s="16" t="n">
        <v>2004</v>
      </c>
      <c r="V328" s="10" t="n"/>
      <c r="W328" s="10" t="inlineStr">
        <is>
          <t>Essence</t>
        </is>
      </c>
      <c r="X328" s="10" t="inlineStr">
        <is>
          <t>Manuelle</t>
        </is>
      </c>
      <c r="Y328" s="16" t="n">
        <v>180</v>
      </c>
      <c r="Z328" s="16" t="n">
        <v>11</v>
      </c>
      <c r="AA328" s="10" t="inlineStr">
        <is>
          <t>Bleu</t>
        </is>
      </c>
      <c r="AB328" s="16" t="n">
        <v>3</v>
      </c>
      <c r="AC328" s="10" t="inlineStr">
        <is>
          <t>Berline</t>
        </is>
      </c>
      <c r="AD328" s="10" t="n"/>
      <c r="AE328" s="10" t="n"/>
      <c r="AF328" s="10" t="inlineStr">
        <is>
          <t>Particulier</t>
        </is>
      </c>
      <c r="AG328" s="10" t="inlineStr">
        <is>
          <t>Perrecy-les-Forges</t>
        </is>
      </c>
      <c r="AH328" s="10" t="inlineStr">
        <is>
          <t>71420</t>
        </is>
      </c>
      <c r="AI328" s="10" t="inlineStr">
        <is>
          <t>Saône-et-Loire</t>
        </is>
      </c>
      <c r="AJ328" s="10" t="inlineStr">
        <is>
          <t>Bourgogne</t>
        </is>
      </c>
      <c r="AK328" s="16" t="n"/>
      <c r="AL328" s="10" t="n"/>
      <c r="AM328" s="10" t="n"/>
      <c r="AN328" s="10" t="n"/>
      <c r="AO328" s="10" t="n"/>
      <c r="AP328" s="19" t="inlineStr">
        <is>
          <t>Voir</t>
        </is>
      </c>
      <c r="AQ328" s="10" t="inlineStr">
        <is>
          <t>3278631826</t>
        </is>
      </c>
    </row>
    <row r="329">
      <c r="A329" s="10" t="inlineStr">
        <is>
          <t>Peugeot 206 RC</t>
        </is>
      </c>
      <c r="B329" s="10" t="inlineStr">
        <is>
          <t>Peugeot 206 RC</t>
        </is>
      </c>
      <c r="C329" s="10" t="n"/>
      <c r="D329" s="10" t="n"/>
      <c r="E329" s="10" t="inlineStr">
        <is>
          <t>En vente</t>
        </is>
      </c>
      <c r="F329" s="18" t="n">
        <v>46294</v>
      </c>
      <c r="G329" s="18" t="n">
        <v>46296</v>
      </c>
      <c r="H329" s="18" t="n">
        <v>46296</v>
      </c>
      <c r="I329" s="18" t="n"/>
      <c r="J329" s="17">
        <f>IF(OR(ISNUMBER(F329),ISNUMBER(G329)),IF(ISNUMBER(I329),I329,H329)-IF(ISNUMBER(F329),F329,G329),"")</f>
        <v/>
      </c>
      <c r="K329" s="12" t="n">
        <v>5400</v>
      </c>
      <c r="L329" s="12" t="n">
        <v>5400</v>
      </c>
      <c r="M329" s="13">
        <f>IF(AND(ISNUMBER(K329),ISNUMBER(L329),K329&gt;0),1-L329/K329,"")</f>
        <v/>
      </c>
      <c r="N329" s="16" t="n">
        <v>0</v>
      </c>
      <c r="O329" s="12" t="n"/>
      <c r="P329" s="12" t="n"/>
      <c r="Q329" s="12" t="n"/>
      <c r="R329" s="14">
        <f>IF(AND(ISNUMBER(L329),ISNUMBER(P329),ISNUMBER(Q329)),L329/((P329+Q329)/2)-1,"")</f>
        <v/>
      </c>
      <c r="S329" s="10" t="n"/>
      <c r="T329" s="15" t="n">
        <v>244000</v>
      </c>
      <c r="U329" s="16" t="n">
        <v>2003</v>
      </c>
      <c r="V329" s="10" t="n"/>
      <c r="W329" s="10" t="inlineStr">
        <is>
          <t>Essence</t>
        </is>
      </c>
      <c r="X329" s="10" t="inlineStr">
        <is>
          <t>Manuelle</t>
        </is>
      </c>
      <c r="Y329" s="16" t="n">
        <v>180</v>
      </c>
      <c r="Z329" s="16" t="n">
        <v>11</v>
      </c>
      <c r="AA329" s="10" t="inlineStr">
        <is>
          <t>Gris</t>
        </is>
      </c>
      <c r="AB329" s="16" t="n">
        <v>3</v>
      </c>
      <c r="AC329" s="10" t="inlineStr">
        <is>
          <t>Berline</t>
        </is>
      </c>
      <c r="AD329" s="10" t="n"/>
      <c r="AE329" s="10" t="n"/>
      <c r="AF329" s="10" t="inlineStr">
        <is>
          <t>Particulier</t>
        </is>
      </c>
      <c r="AG329" s="10" t="inlineStr">
        <is>
          <t>La Roche-sur-Foron</t>
        </is>
      </c>
      <c r="AH329" s="10" t="inlineStr">
        <is>
          <t>74800</t>
        </is>
      </c>
      <c r="AI329" s="10" t="inlineStr">
        <is>
          <t>Haute-Savoie</t>
        </is>
      </c>
      <c r="AJ329" s="10" t="inlineStr">
        <is>
          <t>Rhône-Alpes</t>
        </is>
      </c>
      <c r="AK329" s="16" t="n"/>
      <c r="AL329" s="10" t="n"/>
      <c r="AM329" s="10" t="n"/>
      <c r="AN329" s="10" t="n"/>
      <c r="AO329" s="10" t="n"/>
      <c r="AP329" s="19" t="inlineStr">
        <is>
          <t>Voir</t>
        </is>
      </c>
      <c r="AQ329" s="10" t="inlineStr">
        <is>
          <t>3278866640</t>
        </is>
      </c>
    </row>
    <row r="330">
      <c r="A330" s="10" t="inlineStr">
        <is>
          <t>Peugeot 206 RC</t>
        </is>
      </c>
      <c r="B330" s="10" t="inlineStr">
        <is>
          <t>Peugeot 206 RC</t>
        </is>
      </c>
      <c r="C330" s="10" t="n"/>
      <c r="D330" s="10" t="n"/>
      <c r="E330" s="10" t="inlineStr">
        <is>
          <t>En vente</t>
        </is>
      </c>
      <c r="F330" s="18" t="n">
        <v>46294</v>
      </c>
      <c r="G330" s="18" t="n">
        <v>46296</v>
      </c>
      <c r="H330" s="18" t="n">
        <v>46296</v>
      </c>
      <c r="I330" s="18" t="n"/>
      <c r="J330" s="17">
        <f>IF(OR(ISNUMBER(F330),ISNUMBER(G330)),IF(ISNUMBER(I330),I330,H330)-IF(ISNUMBER(F330),F330,G330),"")</f>
        <v/>
      </c>
      <c r="K330" s="12" t="n">
        <v>14500</v>
      </c>
      <c r="L330" s="12" t="n">
        <v>14500</v>
      </c>
      <c r="M330" s="13">
        <f>IF(AND(ISNUMBER(K330),ISNUMBER(L330),K330&gt;0),1-L330/K330,"")</f>
        <v/>
      </c>
      <c r="N330" s="16" t="n">
        <v>0</v>
      </c>
      <c r="O330" s="12" t="n"/>
      <c r="P330" s="12" t="n"/>
      <c r="Q330" s="12" t="n"/>
      <c r="R330" s="14">
        <f>IF(AND(ISNUMBER(L330),ISNUMBER(P330),ISNUMBER(Q330)),L330/((P330+Q330)/2)-1,"")</f>
        <v/>
      </c>
      <c r="S330" s="10" t="n"/>
      <c r="T330" s="15" t="n">
        <v>111000</v>
      </c>
      <c r="U330" s="16" t="n">
        <v>2006</v>
      </c>
      <c r="V330" s="10" t="n"/>
      <c r="W330" s="10" t="inlineStr">
        <is>
          <t>Essence</t>
        </is>
      </c>
      <c r="X330" s="10" t="inlineStr">
        <is>
          <t>Manuelle</t>
        </is>
      </c>
      <c r="Y330" s="16" t="n">
        <v>180</v>
      </c>
      <c r="Z330" s="16" t="n">
        <v>11</v>
      </c>
      <c r="AA330" s="10" t="inlineStr">
        <is>
          <t>Bleu</t>
        </is>
      </c>
      <c r="AB330" s="16" t="n">
        <v>3</v>
      </c>
      <c r="AC330" s="10" t="inlineStr">
        <is>
          <t>Berline</t>
        </is>
      </c>
      <c r="AD330" s="10" t="n"/>
      <c r="AE330" s="10" t="n"/>
      <c r="AF330" s="10" t="inlineStr">
        <is>
          <t>Particulier</t>
        </is>
      </c>
      <c r="AG330" s="10" t="inlineStr">
        <is>
          <t>Chamalières</t>
        </is>
      </c>
      <c r="AH330" s="10" t="inlineStr">
        <is>
          <t>63400</t>
        </is>
      </c>
      <c r="AI330" s="10" t="inlineStr">
        <is>
          <t>Puy-de-Dôme</t>
        </is>
      </c>
      <c r="AJ330" s="10" t="inlineStr">
        <is>
          <t>Auvergne</t>
        </is>
      </c>
      <c r="AK330" s="16" t="n"/>
      <c r="AL330" s="10" t="n"/>
      <c r="AM330" s="10" t="n"/>
      <c r="AN330" s="10" t="n"/>
      <c r="AO330" s="10" t="n"/>
      <c r="AP330" s="19" t="inlineStr">
        <is>
          <t>Voir</t>
        </is>
      </c>
      <c r="AQ330" s="10" t="inlineStr">
        <is>
          <t>3278894245</t>
        </is>
      </c>
    </row>
    <row r="331">
      <c r="A331" s="10" t="inlineStr">
        <is>
          <t>Peugeot 206 RC</t>
        </is>
      </c>
      <c r="B331" s="10" t="inlineStr">
        <is>
          <t>Peugeot 206 rc</t>
        </is>
      </c>
      <c r="C331" s="10" t="n"/>
      <c r="D331" s="10" t="n"/>
      <c r="E331" s="10" t="inlineStr">
        <is>
          <t>En vente</t>
        </is>
      </c>
      <c r="F331" s="18" t="n">
        <v>46294</v>
      </c>
      <c r="G331" s="18" t="n">
        <v>46296</v>
      </c>
      <c r="H331" s="18" t="n">
        <v>46296</v>
      </c>
      <c r="I331" s="18" t="n"/>
      <c r="J331" s="17">
        <f>IF(OR(ISNUMBER(F331),ISNUMBER(G331)),IF(ISNUMBER(I331),I331,H331)-IF(ISNUMBER(F331),F331,G331),"")</f>
        <v/>
      </c>
      <c r="K331" s="12" t="n">
        <v>9190</v>
      </c>
      <c r="L331" s="12" t="n">
        <v>9190</v>
      </c>
      <c r="M331" s="13">
        <f>IF(AND(ISNUMBER(K331),ISNUMBER(L331),K331&gt;0),1-L331/K331,"")</f>
        <v/>
      </c>
      <c r="N331" s="16" t="n">
        <v>0</v>
      </c>
      <c r="O331" s="12" t="n"/>
      <c r="P331" s="12" t="n"/>
      <c r="Q331" s="12" t="n"/>
      <c r="R331" s="14">
        <f>IF(AND(ISNUMBER(L331),ISNUMBER(P331),ISNUMBER(Q331)),L331/((P331+Q331)/2)-1,"")</f>
        <v/>
      </c>
      <c r="S331" s="10" t="n"/>
      <c r="T331" s="15" t="n">
        <v>170000</v>
      </c>
      <c r="U331" s="16" t="n">
        <v>2004</v>
      </c>
      <c r="V331" s="10" t="n"/>
      <c r="W331" s="10" t="inlineStr">
        <is>
          <t>Essence</t>
        </is>
      </c>
      <c r="X331" s="10" t="inlineStr">
        <is>
          <t>Manuelle</t>
        </is>
      </c>
      <c r="Y331" s="16" t="n">
        <v>180</v>
      </c>
      <c r="Z331" s="16" t="n">
        <v>11</v>
      </c>
      <c r="AA331" s="10" t="inlineStr">
        <is>
          <t>Gris</t>
        </is>
      </c>
      <c r="AB331" s="16" t="n">
        <v>3</v>
      </c>
      <c r="AC331" s="10" t="inlineStr">
        <is>
          <t>Berline</t>
        </is>
      </c>
      <c r="AD331" s="10" t="n"/>
      <c r="AE331" s="10" t="n"/>
      <c r="AF331" s="10" t="inlineStr">
        <is>
          <t>Particulier</t>
        </is>
      </c>
      <c r="AG331" s="10" t="inlineStr">
        <is>
          <t>Saint-Dizier</t>
        </is>
      </c>
      <c r="AH331" s="10" t="inlineStr">
        <is>
          <t>52100</t>
        </is>
      </c>
      <c r="AI331" s="10" t="inlineStr">
        <is>
          <t>Haute-Marne</t>
        </is>
      </c>
      <c r="AJ331" s="10" t="inlineStr">
        <is>
          <t>Champagne-Ardenne</t>
        </is>
      </c>
      <c r="AK331" s="16" t="n"/>
      <c r="AL331" s="10" t="n"/>
      <c r="AM331" s="10" t="n"/>
      <c r="AN331" s="10" t="n"/>
      <c r="AO331" s="10" t="n"/>
      <c r="AP331" s="19" t="inlineStr">
        <is>
          <t>Voir</t>
        </is>
      </c>
      <c r="AQ331" s="10" t="inlineStr">
        <is>
          <t>3279236263</t>
        </is>
      </c>
    </row>
    <row r="332">
      <c r="A332" s="10" t="inlineStr">
        <is>
          <t>Peugeot 206 RC</t>
        </is>
      </c>
      <c r="B332" s="10" t="inlineStr">
        <is>
          <t>Peugeot 206 RC / 2ème Main JBL</t>
        </is>
      </c>
      <c r="C332" s="10" t="n"/>
      <c r="D332" s="10" t="n"/>
      <c r="E332" s="10" t="inlineStr">
        <is>
          <t>En vente</t>
        </is>
      </c>
      <c r="F332" s="18" t="n">
        <v>46296</v>
      </c>
      <c r="G332" s="18" t="n">
        <v>46296</v>
      </c>
      <c r="H332" s="18" t="n">
        <v>46296</v>
      </c>
      <c r="I332" s="18" t="n"/>
      <c r="J332" s="17">
        <f>IF(OR(ISNUMBER(F332),ISNUMBER(G332)),IF(ISNUMBER(I332),I332,H332)-IF(ISNUMBER(F332),F332,G332),"")</f>
        <v/>
      </c>
      <c r="K332" s="12" t="n">
        <v>11990</v>
      </c>
      <c r="L332" s="12" t="n">
        <v>11990</v>
      </c>
      <c r="M332" s="13">
        <f>IF(AND(ISNUMBER(K332),ISNUMBER(L332),K332&gt;0),1-L332/K332,"")</f>
        <v/>
      </c>
      <c r="N332" s="16" t="n">
        <v>0</v>
      </c>
      <c r="O332" s="12" t="n"/>
      <c r="P332" s="12" t="n"/>
      <c r="Q332" s="12" t="n"/>
      <c r="R332" s="14">
        <f>IF(AND(ISNUMBER(L332),ISNUMBER(P332),ISNUMBER(Q332)),L332/((P332+Q332)/2)-1,"")</f>
        <v/>
      </c>
      <c r="S332" s="10" t="n"/>
      <c r="T332" s="15" t="n">
        <v>121500</v>
      </c>
      <c r="U332" s="16" t="n">
        <v>2006</v>
      </c>
      <c r="V332" s="10" t="n"/>
      <c r="W332" s="10" t="inlineStr">
        <is>
          <t>Essence</t>
        </is>
      </c>
      <c r="X332" s="10" t="inlineStr">
        <is>
          <t>Manuelle</t>
        </is>
      </c>
      <c r="Y332" s="16" t="n">
        <v>177</v>
      </c>
      <c r="Z332" s="16" t="n">
        <v>11</v>
      </c>
      <c r="AA332" s="10" t="inlineStr">
        <is>
          <t>Gris</t>
        </is>
      </c>
      <c r="AB332" s="16" t="n">
        <v>3</v>
      </c>
      <c r="AC332" s="10" t="inlineStr">
        <is>
          <t>Berline</t>
        </is>
      </c>
      <c r="AD332" s="10" t="n"/>
      <c r="AE332" s="10" t="n"/>
      <c r="AF332" s="10" t="inlineStr">
        <is>
          <t>Pro</t>
        </is>
      </c>
      <c r="AG332" s="10" t="inlineStr">
        <is>
          <t>Chilly-Mazarin</t>
        </is>
      </c>
      <c r="AH332" s="10" t="inlineStr">
        <is>
          <t>91380</t>
        </is>
      </c>
      <c r="AI332" s="10" t="inlineStr">
        <is>
          <t>Essonne</t>
        </is>
      </c>
      <c r="AJ332" s="10" t="inlineStr">
        <is>
          <t>Ile-de-France</t>
        </is>
      </c>
      <c r="AK332" s="16" t="n"/>
      <c r="AL332" s="10" t="n"/>
      <c r="AM332" s="10" t="n"/>
      <c r="AN332" s="10" t="n"/>
      <c r="AO332" s="10" t="n"/>
      <c r="AP332" s="19" t="inlineStr">
        <is>
          <t>Voir</t>
        </is>
      </c>
      <c r="AQ332" s="10" t="inlineStr">
        <is>
          <t>3280307630</t>
        </is>
      </c>
    </row>
    <row r="333">
      <c r="A333" s="10" t="inlineStr">
        <is>
          <t>Peugeot 208 GTi 30th</t>
        </is>
      </c>
      <c r="B333" s="10" t="inlineStr">
        <is>
          <t>PEUGEOT 208 GTi 1.6 30Th Numérotée 898</t>
        </is>
      </c>
      <c r="C333" s="10" t="inlineStr">
        <is>
          <t>1.6 THP 208ch GTI 30th S&amp;S 3p</t>
        </is>
      </c>
      <c r="D333" s="10" t="inlineStr">
        <is>
          <t>GTi 30th</t>
        </is>
      </c>
      <c r="E333" s="10" t="inlineStr">
        <is>
          <t>En vente</t>
        </is>
      </c>
      <c r="F333" s="18" t="n">
        <v>46100</v>
      </c>
      <c r="G333" s="18" t="n">
        <v>46100</v>
      </c>
      <c r="H333" s="18" t="n">
        <v>46310</v>
      </c>
      <c r="I333" s="18" t="n"/>
      <c r="J333" s="17">
        <f>IF(OR(ISNUMBER(F333),ISNUMBER(G333)),IF(ISNUMBER(I333),I333,H333)-IF(ISNUMBER(F333),F333,G333),"")</f>
        <v/>
      </c>
      <c r="K333" s="12" t="n">
        <v>23490</v>
      </c>
      <c r="L333" s="12" t="n">
        <v>23490</v>
      </c>
      <c r="M333" s="13">
        <f>IF(AND(ISNUMBER(K333),ISNUMBER(L333),K333&gt;0),1-L333/K333,"")</f>
        <v/>
      </c>
      <c r="N333" s="16" t="n">
        <v>0</v>
      </c>
      <c r="O333" s="12" t="n">
        <v>25490</v>
      </c>
      <c r="P333" s="12" t="n">
        <v>14560</v>
      </c>
      <c r="Q333" s="12" t="n">
        <v>16090</v>
      </c>
      <c r="R333" s="14">
        <f>IF(AND(ISNUMBER(L333),ISNUMBER(P333),ISNUMBER(Q333)),L333/((P333+Q333)/2)-1,"")</f>
        <v/>
      </c>
      <c r="S333" s="10" t="inlineStr">
        <is>
          <t>Estimation indisponible</t>
        </is>
      </c>
      <c r="T333" s="15" t="n">
        <v>20800</v>
      </c>
      <c r="U333" s="16" t="n">
        <v>2015</v>
      </c>
      <c r="V333" s="10" t="inlineStr">
        <is>
          <t>12/2015</t>
        </is>
      </c>
      <c r="W333" s="10" t="inlineStr">
        <is>
          <t>Essence</t>
        </is>
      </c>
      <c r="X333" s="10" t="inlineStr">
        <is>
          <t>Manuelle</t>
        </is>
      </c>
      <c r="Y333" s="16" t="n">
        <v>208</v>
      </c>
      <c r="Z333" s="16" t="n">
        <v>11</v>
      </c>
      <c r="AA333" s="10" t="inlineStr">
        <is>
          <t>Noir</t>
        </is>
      </c>
      <c r="AB333" s="16" t="n">
        <v>3</v>
      </c>
      <c r="AC333" s="10" t="inlineStr">
        <is>
          <t>Citadine</t>
        </is>
      </c>
      <c r="AD333" s="10" t="n"/>
      <c r="AE333" s="10" t="n"/>
      <c r="AF333" s="10" t="inlineStr">
        <is>
          <t>Pro</t>
        </is>
      </c>
      <c r="AG333" s="10" t="inlineStr">
        <is>
          <t>Sausheim</t>
        </is>
      </c>
      <c r="AH333" s="10" t="inlineStr">
        <is>
          <t>68390</t>
        </is>
      </c>
      <c r="AI333" s="10" t="inlineStr">
        <is>
          <t>Haut-Rhin</t>
        </is>
      </c>
      <c r="AJ333" s="10" t="inlineStr">
        <is>
          <t>Alsace</t>
        </is>
      </c>
      <c r="AK333" s="16" t="n">
        <v>22</v>
      </c>
      <c r="AL333" s="10" t="inlineStr">
        <is>
          <t>Oui</t>
        </is>
      </c>
      <c r="AM333" s="10" t="inlineStr">
        <is>
          <t>Non</t>
        </is>
      </c>
      <c r="AN333" s="10" t="inlineStr">
        <is>
          <t>Entretien suivi depuis le début Contrôle technique vierge Révision faite Numéro 898, et sur la plaque d'immatriculation le hasard a bien fait les choses car elle a le même numéro ! Stage 1 (219 cv) fait chez pro Plaquettes racing + tuyau aviation Traitement carrosserie intérieur et extérieur Vraie roue de secours jantes alu d'origine Tapis Peugeot Gti Tags : 30eme anniversaire n° 898 Pour vous garantir un accueil personnalisé et un accompagnement de qualité, tous nos véhicules sont visibles uniq</t>
        </is>
      </c>
      <c r="AO333" s="10" t="inlineStr">
        <is>
          <t>Équipements intérieurs : Aide au stationnement, Allumage automatique des phares, Bluetooth, Climatisation, Ordinateur de bord, Roue de secours, Régulateur de vitesse, Rétroviseurs rabattables électriquement, Sièges sport, Vitres électriques arrières ; VO récent : false ; custom_ref : 500430 ; Importé : true ; vehicle_history_report_status : visible ; spare_parts_availability : Non renseignée</t>
        </is>
      </c>
      <c r="AP333" s="19" t="inlineStr">
        <is>
          <t>Voir</t>
        </is>
      </c>
      <c r="AQ333" s="10" t="inlineStr">
        <is>
          <t>3164531752</t>
        </is>
      </c>
    </row>
    <row r="334">
      <c r="A334" s="10" t="inlineStr">
        <is>
          <t>Peugeot 208 GTi 30th</t>
        </is>
      </c>
      <c r="B334" s="10" t="inlineStr">
        <is>
          <t>Peugeot 208 gti 30th by peugeot sport 208ch 2 ou 5 places</t>
        </is>
      </c>
      <c r="C334" s="10" t="inlineStr">
        <is>
          <t>1.6 THP 208ch GTi by Peugeot Sport S&amp;S 3p</t>
        </is>
      </c>
      <c r="D334" s="10" t="inlineStr">
        <is>
          <t>GTi by Peugeot Sport</t>
        </is>
      </c>
      <c r="E334" s="10" t="inlineStr">
        <is>
          <t>En vente</t>
        </is>
      </c>
      <c r="F334" s="18" t="n">
        <v>46234</v>
      </c>
      <c r="G334" s="18" t="n">
        <v>46234</v>
      </c>
      <c r="H334" s="18" t="n">
        <v>46310</v>
      </c>
      <c r="I334" s="18" t="n"/>
      <c r="J334" s="17">
        <f>IF(OR(ISNUMBER(F334),ISNUMBER(G334)),IF(ISNUMBER(I334),I334,H334)-IF(ISNUMBER(F334),F334,G334),"")</f>
        <v/>
      </c>
      <c r="K334" s="12" t="n">
        <v>14990</v>
      </c>
      <c r="L334" s="12" t="n">
        <v>14990</v>
      </c>
      <c r="M334" s="13">
        <f>IF(AND(ISNUMBER(K334),ISNUMBER(L334),K334&gt;0),1-L334/K334,"")</f>
        <v/>
      </c>
      <c r="N334" s="16" t="n">
        <v>0</v>
      </c>
      <c r="O334" s="12" t="n">
        <v>15990</v>
      </c>
      <c r="P334" s="12" t="n">
        <v>9410</v>
      </c>
      <c r="Q334" s="12" t="n">
        <v>10410</v>
      </c>
      <c r="R334" s="14">
        <f>IF(AND(ISNUMBER(L334),ISNUMBER(P334),ISNUMBER(Q334)),L334/((P334+Q334)/2)-1,"")</f>
        <v/>
      </c>
      <c r="S334" s="10" t="inlineStr">
        <is>
          <t>Estimation indisponible</t>
        </is>
      </c>
      <c r="T334" s="15" t="n">
        <v>136572</v>
      </c>
      <c r="U334" s="16" t="n">
        <v>2015</v>
      </c>
      <c r="V334" s="10" t="inlineStr">
        <is>
          <t>06/2015</t>
        </is>
      </c>
      <c r="W334" s="10" t="inlineStr">
        <is>
          <t>Essence</t>
        </is>
      </c>
      <c r="X334" s="10" t="inlineStr">
        <is>
          <t>Manuelle</t>
        </is>
      </c>
      <c r="Y334" s="16" t="n">
        <v>208</v>
      </c>
      <c r="Z334" s="16" t="n">
        <v>9</v>
      </c>
      <c r="AA334" s="10" t="inlineStr">
        <is>
          <t>Blanc</t>
        </is>
      </c>
      <c r="AB334" s="16" t="n">
        <v>3</v>
      </c>
      <c r="AC334" s="10" t="inlineStr">
        <is>
          <t>Berline</t>
        </is>
      </c>
      <c r="AD334" s="10" t="n"/>
      <c r="AE334" s="10" t="n"/>
      <c r="AF334" s="10" t="inlineStr">
        <is>
          <t>Pro</t>
        </is>
      </c>
      <c r="AG334" s="10" t="inlineStr">
        <is>
          <t>Grenoble</t>
        </is>
      </c>
      <c r="AH334" s="10" t="inlineStr">
        <is>
          <t>38000</t>
        </is>
      </c>
      <c r="AI334" s="10" t="inlineStr">
        <is>
          <t>Isère</t>
        </is>
      </c>
      <c r="AJ334" s="10" t="inlineStr">
        <is>
          <t>Rhône-Alpes</t>
        </is>
      </c>
      <c r="AK334" s="16" t="n">
        <v>18</v>
      </c>
      <c r="AL334" s="10" t="inlineStr">
        <is>
          <t>Oui</t>
        </is>
      </c>
      <c r="AM334" s="10" t="inlineStr">
        <is>
          <t>Non</t>
        </is>
      </c>
      <c r="AN334" s="10" t="inlineStr">
        <is>
          <t>La Peugeot 208 2015 est une voiture énergique essence avec une finition GTI 30th by Peugeot Sport. Ce véhicule compact et élégant offre des performances sportives et un style distinctif. Dotée d'un moteur puissant et d'une suspension précise, la 208 assure une conduite dynamique et agréable. L'intérieur est spacieux et confortable, avec des équipements mode es et des finitions de qualité. La 208 est également équipée de technologies avancées en matière de sécurité et de connectivité, offrant une</t>
        </is>
      </c>
      <c r="AO334" s="10" t="inlineStr">
        <is>
          <t>Dommages : Excellent état (proche du neuf) ; Équipements intérieurs : Allumage automatique des phares, Bluetooth, Climatisation, Jantes en alliage, Ordinateur de bord, Régulateur de vitesse, Sièges chauffants ; vehicle_euro_emissions_standard : Euro 1 ; VO récent : false ; custom_ref : 1512819 ; Importé : true ; vehicle_history_report_status : visible ; spare_parts_availability : Non renseignée</t>
        </is>
      </c>
      <c r="AP334" s="19" t="inlineStr">
        <is>
          <t>Voir</t>
        </is>
      </c>
      <c r="AQ334" s="10" t="inlineStr">
        <is>
          <t>3242289072</t>
        </is>
      </c>
    </row>
    <row r="335">
      <c r="A335" s="10" t="inlineStr">
        <is>
          <t>Peugeot 208 GTi 30th</t>
        </is>
      </c>
      <c r="B335" s="10" t="inlineStr">
        <is>
          <t>208 Gti 30th</t>
        </is>
      </c>
      <c r="C335" s="10" t="n"/>
      <c r="D335" s="10" t="n"/>
      <c r="E335" s="10" t="inlineStr">
        <is>
          <t>En vente</t>
        </is>
      </c>
      <c r="F335" s="18" t="n">
        <v>46277</v>
      </c>
      <c r="G335" s="18" t="n">
        <v>46277</v>
      </c>
      <c r="H335" s="18" t="n">
        <v>46310</v>
      </c>
      <c r="I335" s="18" t="n"/>
      <c r="J335" s="17">
        <f>IF(OR(ISNUMBER(F335),ISNUMBER(G335)),IF(ISNUMBER(I335),I335,H335)-IF(ISNUMBER(F335),F335,G335),"")</f>
        <v/>
      </c>
      <c r="K335" s="12" t="n">
        <v>14890</v>
      </c>
      <c r="L335" s="12" t="n">
        <v>14890</v>
      </c>
      <c r="M335" s="13">
        <f>IF(AND(ISNUMBER(K335),ISNUMBER(L335),K335&gt;0),1-L335/K335,"")</f>
        <v/>
      </c>
      <c r="N335" s="16" t="n">
        <v>0</v>
      </c>
      <c r="O335" s="12" t="n"/>
      <c r="P335" s="12" t="n">
        <v>10580</v>
      </c>
      <c r="Q335" s="12" t="n">
        <v>11690</v>
      </c>
      <c r="R335" s="14">
        <f>IF(AND(ISNUMBER(L335),ISNUMBER(P335),ISNUMBER(Q335)),L335/((P335+Q335)/2)-1,"")</f>
        <v/>
      </c>
      <c r="S335" s="10" t="inlineStr">
        <is>
          <t>Estimation indisponible</t>
        </is>
      </c>
      <c r="T335" s="15" t="n">
        <v>105000</v>
      </c>
      <c r="U335" s="16" t="n">
        <v>2015</v>
      </c>
      <c r="V335" s="10" t="inlineStr">
        <is>
          <t>07/2015</t>
        </is>
      </c>
      <c r="W335" s="10" t="inlineStr">
        <is>
          <t>Essence</t>
        </is>
      </c>
      <c r="X335" s="10" t="inlineStr">
        <is>
          <t>Manuelle</t>
        </is>
      </c>
      <c r="Y335" s="16" t="n">
        <v>208</v>
      </c>
      <c r="Z335" s="16" t="n">
        <v>11</v>
      </c>
      <c r="AA335" s="10" t="inlineStr">
        <is>
          <t>Autre</t>
        </is>
      </c>
      <c r="AB335" s="16" t="n">
        <v>3</v>
      </c>
      <c r="AC335" s="10" t="inlineStr">
        <is>
          <t>Berline</t>
        </is>
      </c>
      <c r="AD335" s="10" t="n"/>
      <c r="AE335" s="10" t="n"/>
      <c r="AF335" s="10" t="inlineStr">
        <is>
          <t>Particulier</t>
        </is>
      </c>
      <c r="AG335" s="10" t="inlineStr">
        <is>
          <t>Voiron</t>
        </is>
      </c>
      <c r="AH335" s="10" t="inlineStr">
        <is>
          <t>38500</t>
        </is>
      </c>
      <c r="AI335" s="10" t="inlineStr">
        <is>
          <t>Isère</t>
        </is>
      </c>
      <c r="AJ335" s="10" t="inlineStr">
        <is>
          <t>Rhône-Alpes</t>
        </is>
      </c>
      <c r="AK335" s="16" t="n">
        <v>3</v>
      </c>
      <c r="AL335" s="10" t="n"/>
      <c r="AM335" s="10" t="inlineStr">
        <is>
          <t>Non</t>
        </is>
      </c>
      <c r="AN335" s="10" t="inlineStr">
        <is>
          <t>Vend Peugeot 208 Gti Édition 30Th N*444 • Kilométrage : 105000 km peu évolutif • Contrôle technique vierge Toutes démarches commerciales sera refusées, cordialement. Date révision : - 05/10/2019 - 07/11/2020 - 17/11/2021 - 28/11/2022 - 01/12/2023 - 30/11/2024 - 05/12/2025 Pièces changées : - Tendeur Chaîne Distribution : 27/08/2020 - Amortisseurs : 19/03/2021 à 56.500km - Disques et plaquettes AV : 06/09/2023 à 83.500km - Electrovanne de Turbo : 04/10/2023 à 84.714km - Disques et plaquettes AR :</t>
        </is>
      </c>
      <c r="AO335" s="10" t="inlineStr">
        <is>
          <t>vehicle_technical_inspection_valid : Oui ; Permis : Avec permis ; ad_warranty_type : essential ; Importé : false</t>
        </is>
      </c>
      <c r="AP335" s="19" t="inlineStr">
        <is>
          <t>Voir</t>
        </is>
      </c>
      <c r="AQ335" s="10" t="inlineStr">
        <is>
          <t>3268508446</t>
        </is>
      </c>
    </row>
    <row r="336">
      <c r="A336" s="10" t="inlineStr">
        <is>
          <t>Peugeot 208 GTi 30th</t>
        </is>
      </c>
      <c r="B336" s="10" t="inlineStr">
        <is>
          <t>208 GTI 30th BPS</t>
        </is>
      </c>
      <c r="C336" s="10" t="inlineStr">
        <is>
          <t>GTi 30th_1.6 THP 208ch GTI 30th S&amp;S 3p</t>
        </is>
      </c>
      <c r="D336" s="10" t="inlineStr">
        <is>
          <t>GTi 30th</t>
        </is>
      </c>
      <c r="E336" s="10" t="inlineStr">
        <is>
          <t>En vente</t>
        </is>
      </c>
      <c r="F336" s="18" t="n">
        <v>46281</v>
      </c>
      <c r="G336" s="18" t="n">
        <v>46281</v>
      </c>
      <c r="H336" s="18" t="n">
        <v>46310</v>
      </c>
      <c r="I336" s="18" t="n"/>
      <c r="J336" s="17">
        <f>IF(OR(ISNUMBER(F336),ISNUMBER(G336)),IF(ISNUMBER(I336),I336,H336)-IF(ISNUMBER(F336),F336,G336),"")</f>
        <v/>
      </c>
      <c r="K336" s="12" t="n">
        <v>15900</v>
      </c>
      <c r="L336" s="12" t="n">
        <v>15900</v>
      </c>
      <c r="M336" s="13">
        <f>IF(AND(ISNUMBER(K336),ISNUMBER(L336),K336&gt;0),1-L336/K336,"")</f>
        <v/>
      </c>
      <c r="N336" s="16" t="n">
        <v>0</v>
      </c>
      <c r="O336" s="12" t="n"/>
      <c r="P336" s="12" t="n">
        <v>11290</v>
      </c>
      <c r="Q336" s="12" t="n">
        <v>12470</v>
      </c>
      <c r="R336" s="14">
        <f>IF(AND(ISNUMBER(L336),ISNUMBER(P336),ISNUMBER(Q336)),L336/((P336+Q336)/2)-1,"")</f>
        <v/>
      </c>
      <c r="S336" s="10" t="inlineStr">
        <is>
          <t>Estimation indisponible</t>
        </is>
      </c>
      <c r="T336" s="15" t="n">
        <v>81500</v>
      </c>
      <c r="U336" s="16" t="n">
        <v>2015</v>
      </c>
      <c r="V336" s="10" t="inlineStr">
        <is>
          <t>05/2015</t>
        </is>
      </c>
      <c r="W336" s="10" t="inlineStr">
        <is>
          <t>Essence</t>
        </is>
      </c>
      <c r="X336" s="10" t="inlineStr">
        <is>
          <t>Manuelle</t>
        </is>
      </c>
      <c r="Y336" s="16" t="n">
        <v>208</v>
      </c>
      <c r="Z336" s="16" t="n">
        <v>11</v>
      </c>
      <c r="AA336" s="10" t="inlineStr">
        <is>
          <t>Autre</t>
        </is>
      </c>
      <c r="AB336" s="16" t="n">
        <v>3</v>
      </c>
      <c r="AC336" s="10" t="inlineStr">
        <is>
          <t>Berline</t>
        </is>
      </c>
      <c r="AD336" s="10" t="n"/>
      <c r="AE336" s="10" t="n"/>
      <c r="AF336" s="10" t="inlineStr">
        <is>
          <t>Particulier</t>
        </is>
      </c>
      <c r="AG336" s="10" t="inlineStr">
        <is>
          <t>Bachant</t>
        </is>
      </c>
      <c r="AH336" s="10" t="inlineStr">
        <is>
          <t>59138</t>
        </is>
      </c>
      <c r="AI336" s="10" t="inlineStr">
        <is>
          <t>Nord</t>
        </is>
      </c>
      <c r="AJ336" s="10" t="inlineStr">
        <is>
          <t>Nord-Pas-de-Calais</t>
        </is>
      </c>
      <c r="AK336" s="16" t="n">
        <v>3</v>
      </c>
      <c r="AL336" s="10" t="n"/>
      <c r="AM336" s="10" t="inlineStr">
        <is>
          <t>Non</t>
        </is>
      </c>
      <c r="AN336" s="10" t="inlineStr">
        <is>
          <t>Vds Vds 208 GTI 30th BPS Coupe franche Alarme anti soulévement Elle est d'origine,elle porte le numéro 592. Vh importé. 2em mains le Carnet d'entretien est a jour mais je n'ai pas les factures. CT OK plaquettes frein avant neuves Vidange moteur + filtre fait Car vertical disponible Véhicule sous garantie CIRANO longue durée 09/2028 Pour plus de détails me contacter. Les curieux... sans commentaires</t>
        </is>
      </c>
      <c r="AO336" s="10" t="inlineStr">
        <is>
          <t>Permis : Avec permis ; ad_warranty_type : essential ; Importé : false</t>
        </is>
      </c>
      <c r="AP336" s="19" t="inlineStr">
        <is>
          <t>Voir</t>
        </is>
      </c>
      <c r="AQ336" s="10" t="inlineStr">
        <is>
          <t>3270584772</t>
        </is>
      </c>
    </row>
    <row r="337">
      <c r="A337" s="10" t="inlineStr">
        <is>
          <t>Peugeot 208 GTi 30th</t>
        </is>
      </c>
      <c r="B337" s="10" t="inlineStr">
        <is>
          <t>208 git 30th anniversaire</t>
        </is>
      </c>
      <c r="C337" s="10" t="n"/>
      <c r="D337" s="10" t="n"/>
      <c r="E337" s="10" t="inlineStr">
        <is>
          <t>En vente</t>
        </is>
      </c>
      <c r="F337" s="18" t="n">
        <v>46282</v>
      </c>
      <c r="G337" s="18" t="n">
        <v>46282</v>
      </c>
      <c r="H337" s="18" t="n">
        <v>46310</v>
      </c>
      <c r="I337" s="18" t="n"/>
      <c r="J337" s="17">
        <f>IF(OR(ISNUMBER(F337),ISNUMBER(G337)),IF(ISNUMBER(I337),I337,H337)-IF(ISNUMBER(F337),F337,G337),"")</f>
        <v/>
      </c>
      <c r="K337" s="12" t="n">
        <v>10500</v>
      </c>
      <c r="L337" s="12" t="n">
        <v>10500</v>
      </c>
      <c r="M337" s="13">
        <f>IF(AND(ISNUMBER(K337),ISNUMBER(L337),K337&gt;0),1-L337/K337,"")</f>
        <v/>
      </c>
      <c r="N337" s="16" t="n">
        <v>0</v>
      </c>
      <c r="O337" s="12" t="n"/>
      <c r="P337" s="12" t="n">
        <v>8420</v>
      </c>
      <c r="Q337" s="12" t="n">
        <v>9300</v>
      </c>
      <c r="R337" s="14">
        <f>IF(AND(ISNUMBER(L337),ISNUMBER(P337),ISNUMBER(Q337)),L337/((P337+Q337)/2)-1,"")</f>
        <v/>
      </c>
      <c r="S337" s="10" t="inlineStr">
        <is>
          <t>Légèrement supérieur</t>
        </is>
      </c>
      <c r="T337" s="15" t="n">
        <v>158000</v>
      </c>
      <c r="U337" s="16" t="n">
        <v>2015</v>
      </c>
      <c r="V337" s="10" t="inlineStr">
        <is>
          <t>07/2015</t>
        </is>
      </c>
      <c r="W337" s="10" t="inlineStr">
        <is>
          <t>Essence</t>
        </is>
      </c>
      <c r="X337" s="10" t="inlineStr">
        <is>
          <t>Manuelle</t>
        </is>
      </c>
      <c r="Y337" s="16" t="n">
        <v>208</v>
      </c>
      <c r="Z337" s="16" t="n">
        <v>11</v>
      </c>
      <c r="AA337" s="10" t="inlineStr">
        <is>
          <t>Noir</t>
        </is>
      </c>
      <c r="AB337" s="16" t="n">
        <v>3</v>
      </c>
      <c r="AC337" s="10" t="inlineStr">
        <is>
          <t>Berline</t>
        </is>
      </c>
      <c r="AD337" s="10" t="n"/>
      <c r="AE337" s="10" t="n"/>
      <c r="AF337" s="10" t="inlineStr">
        <is>
          <t>Particulier</t>
        </is>
      </c>
      <c r="AG337" s="10" t="inlineStr">
        <is>
          <t>Chaumont-en-Vexin</t>
        </is>
      </c>
      <c r="AH337" s="10" t="inlineStr">
        <is>
          <t>60240</t>
        </is>
      </c>
      <c r="AI337" s="10" t="inlineStr">
        <is>
          <t>Oise</t>
        </is>
      </c>
      <c r="AJ337" s="10" t="inlineStr">
        <is>
          <t>Picardie</t>
        </is>
      </c>
      <c r="AK337" s="16" t="n">
        <v>3</v>
      </c>
      <c r="AL337" s="10" t="n"/>
      <c r="AM337" s="10" t="inlineStr">
        <is>
          <t>Non</t>
        </is>
      </c>
      <c r="AN337" s="10" t="inlineStr">
        <is>
          <t>Je mets en vente ma Peugeot 208 GTI 30th, édition limitée et numérotée, produite à seulement 1 000 exemplaires. Une voiture rare et recherchée, idéale pour un passionné à la recherche d’une petite sportive avec un caractère bien marqué. 🔧 Entretien / mécanique : * Embrayage neuf * Boîte de vitesses neuve * Révision complète effectuée * Ligne d’échappement à clapet * Admission libre * Léger Stage 1 * Carte grise à jour * Contrôle technique de moins de 6 mois * Véhicule prêt à rouler ✨ État génér</t>
        </is>
      </c>
      <c r="AO337" s="10" t="inlineStr">
        <is>
          <t>Permis : Avec permis ; ad_warranty_type : essential ; Importé : false</t>
        </is>
      </c>
      <c r="AP337" s="19" t="inlineStr">
        <is>
          <t>Voir</t>
        </is>
      </c>
      <c r="AQ337" s="10" t="inlineStr">
        <is>
          <t>3271215938</t>
        </is>
      </c>
    </row>
    <row r="338">
      <c r="A338" s="10" t="inlineStr">
        <is>
          <t>Peugeot 208 GTi 30th</t>
        </is>
      </c>
      <c r="B338" s="10" t="inlineStr">
        <is>
          <t>208 GTI 30th</t>
        </is>
      </c>
      <c r="C338" s="10" t="inlineStr">
        <is>
          <t>GTi by Peugeot Sport_1.6 THP 208ch GTi by Peugeot Sport S&amp;S 3p</t>
        </is>
      </c>
      <c r="D338" s="10" t="inlineStr">
        <is>
          <t>GTi by Peugeot Sport</t>
        </is>
      </c>
      <c r="E338" s="10" t="inlineStr">
        <is>
          <t>En vente</t>
        </is>
      </c>
      <c r="F338" s="18" t="n">
        <v>46288</v>
      </c>
      <c r="G338" s="18" t="n">
        <v>46288</v>
      </c>
      <c r="H338" s="18" t="n">
        <v>46310</v>
      </c>
      <c r="I338" s="18" t="n"/>
      <c r="J338" s="17">
        <f>IF(OR(ISNUMBER(F338),ISNUMBER(G338)),IF(ISNUMBER(I338),I338,H338)-IF(ISNUMBER(F338),F338,G338),"")</f>
        <v/>
      </c>
      <c r="K338" s="12" t="n">
        <v>14500</v>
      </c>
      <c r="L338" s="12" t="n">
        <v>14500</v>
      </c>
      <c r="M338" s="13">
        <f>IF(AND(ISNUMBER(K338),ISNUMBER(L338),K338&gt;0),1-L338/K338,"")</f>
        <v/>
      </c>
      <c r="N338" s="16" t="n">
        <v>0</v>
      </c>
      <c r="O338" s="12" t="n"/>
      <c r="P338" s="12" t="n">
        <v>10220</v>
      </c>
      <c r="Q338" s="12" t="n">
        <v>11300</v>
      </c>
      <c r="R338" s="14">
        <f>IF(AND(ISNUMBER(L338),ISNUMBER(P338),ISNUMBER(Q338)),L338/((P338+Q338)/2)-1,"")</f>
        <v/>
      </c>
      <c r="S338" s="10" t="inlineStr">
        <is>
          <t>Estimation indisponible</t>
        </is>
      </c>
      <c r="T338" s="15" t="n">
        <v>105000</v>
      </c>
      <c r="U338" s="16" t="n">
        <v>2015</v>
      </c>
      <c r="V338" s="10" t="inlineStr">
        <is>
          <t>03/2015</t>
        </is>
      </c>
      <c r="W338" s="10" t="inlineStr">
        <is>
          <t>Essence</t>
        </is>
      </c>
      <c r="X338" s="10" t="inlineStr">
        <is>
          <t>Manuelle</t>
        </is>
      </c>
      <c r="Y338" s="16" t="n">
        <v>208</v>
      </c>
      <c r="Z338" s="16" t="n">
        <v>11</v>
      </c>
      <c r="AA338" s="10" t="inlineStr">
        <is>
          <t>Rouge</t>
        </is>
      </c>
      <c r="AB338" s="16" t="n">
        <v>3</v>
      </c>
      <c r="AC338" s="10" t="inlineStr">
        <is>
          <t>Berline</t>
        </is>
      </c>
      <c r="AD338" s="10" t="inlineStr">
        <is>
          <t>Factures disponibles, Carnet d'entretien disponible</t>
        </is>
      </c>
      <c r="AE338" s="10" t="n"/>
      <c r="AF338" s="10" t="inlineStr">
        <is>
          <t>Particulier</t>
        </is>
      </c>
      <c r="AG338" s="10" t="inlineStr">
        <is>
          <t>Champdieu</t>
        </is>
      </c>
      <c r="AH338" s="10" t="inlineStr">
        <is>
          <t>42600</t>
        </is>
      </c>
      <c r="AI338" s="10" t="inlineStr">
        <is>
          <t>Loire</t>
        </is>
      </c>
      <c r="AJ338" s="10" t="inlineStr">
        <is>
          <t>Rhône-Alpes</t>
        </is>
      </c>
      <c r="AK338" s="16" t="n">
        <v>3</v>
      </c>
      <c r="AL338" s="10" t="n"/>
      <c r="AM338" s="10" t="inlineStr">
        <is>
          <t>Non</t>
        </is>
      </c>
      <c r="AN338" s="10" t="inlineStr">
        <is>
          <t>208 GTI 30th en très bonne état, facture complète, pour connaisseurs, ce n'est pas une BPS, avec toute ces spécificités. Carnet, facture en ma possession. Pneus quasi neuf, le CT sera fait pour la vente. Vente cause, je roule trop peu avec.</t>
        </is>
      </c>
      <c r="AO338" s="10" t="inlineStr">
        <is>
          <t>Dommages : Bon état général ; Sellerie : Alcantara ; Permis : Avec permis ; ad_warranty_type : essential ; Importé : false</t>
        </is>
      </c>
      <c r="AP338" s="19" t="inlineStr">
        <is>
          <t>Voir</t>
        </is>
      </c>
      <c r="AQ338" s="10" t="inlineStr">
        <is>
          <t>3275390710</t>
        </is>
      </c>
    </row>
    <row r="339">
      <c r="A339" s="10" t="inlineStr">
        <is>
          <t>Peugeot 208 GTi 30th</t>
        </is>
      </c>
      <c r="B339" s="10" t="inlineStr">
        <is>
          <t>Peugeot 208 GTI 30th</t>
        </is>
      </c>
      <c r="C339" s="10" t="inlineStr">
        <is>
          <t>1.6 THP 208ch GTI 30th S&amp;S 3p</t>
        </is>
      </c>
      <c r="D339" s="10" t="inlineStr">
        <is>
          <t>GTi 30th</t>
        </is>
      </c>
      <c r="E339" s="10" t="inlineStr">
        <is>
          <t>En vente</t>
        </is>
      </c>
      <c r="F339" s="18" t="n">
        <v>46288</v>
      </c>
      <c r="G339" s="18" t="n">
        <v>46288</v>
      </c>
      <c r="H339" s="18" t="n">
        <v>46310</v>
      </c>
      <c r="I339" s="18" t="n"/>
      <c r="J339" s="17">
        <f>IF(OR(ISNUMBER(F339),ISNUMBER(G339)),IF(ISNUMBER(I339),I339,H339)-IF(ISNUMBER(F339),F339,G339),"")</f>
        <v/>
      </c>
      <c r="K339" s="12" t="n">
        <v>17900</v>
      </c>
      <c r="L339" s="12" t="n">
        <v>17900</v>
      </c>
      <c r="M339" s="13">
        <f>IF(AND(ISNUMBER(K339),ISNUMBER(L339),K339&gt;0),1-L339/K339,"")</f>
        <v/>
      </c>
      <c r="N339" s="16" t="n">
        <v>0</v>
      </c>
      <c r="O339" s="12" t="n"/>
      <c r="P339" s="12" t="n">
        <v>11480</v>
      </c>
      <c r="Q339" s="12" t="n">
        <v>12680</v>
      </c>
      <c r="R339" s="14">
        <f>IF(AND(ISNUMBER(L339),ISNUMBER(P339),ISNUMBER(Q339)),L339/((P339+Q339)/2)-1,"")</f>
        <v/>
      </c>
      <c r="S339" s="10" t="inlineStr">
        <is>
          <t>Estimation indisponible</t>
        </is>
      </c>
      <c r="T339" s="15" t="n">
        <v>84000</v>
      </c>
      <c r="U339" s="16" t="n">
        <v>2015</v>
      </c>
      <c r="V339" s="10" t="inlineStr">
        <is>
          <t>09/2015</t>
        </is>
      </c>
      <c r="W339" s="10" t="inlineStr">
        <is>
          <t>Essence</t>
        </is>
      </c>
      <c r="X339" s="10" t="inlineStr">
        <is>
          <t>Manuelle</t>
        </is>
      </c>
      <c r="Y339" s="16" t="n">
        <v>208</v>
      </c>
      <c r="Z339" s="16" t="n">
        <v>11</v>
      </c>
      <c r="AA339" s="10" t="n"/>
      <c r="AB339" s="16" t="n">
        <v>3</v>
      </c>
      <c r="AC339" s="10" t="inlineStr">
        <is>
          <t>Berline</t>
        </is>
      </c>
      <c r="AD339" s="10" t="n"/>
      <c r="AE339" s="10" t="n"/>
      <c r="AF339" s="10" t="inlineStr">
        <is>
          <t>Particulier</t>
        </is>
      </c>
      <c r="AG339" s="10" t="inlineStr">
        <is>
          <t>Saint-Jean-du-Gard</t>
        </is>
      </c>
      <c r="AH339" s="10" t="inlineStr">
        <is>
          <t>30270</t>
        </is>
      </c>
      <c r="AI339" s="10" t="inlineStr">
        <is>
          <t>Gard</t>
        </is>
      </c>
      <c r="AJ339" s="10" t="inlineStr">
        <is>
          <t>Languedoc-Roussillon</t>
        </is>
      </c>
      <c r="AK339" s="16" t="n">
        <v>3</v>
      </c>
      <c r="AL339" s="10" t="n"/>
      <c r="AM339" s="10" t="inlineStr">
        <is>
          <t>Non</t>
        </is>
      </c>
      <c r="AN339" s="10" t="inlineStr">
        <is>
          <t>Peugeot 208 GTI édition 30th coupe franche rouge et noir Voiture numéroté avec plaque Carnet entretien complet Merci de me contacter pour plus d’informations</t>
        </is>
      </c>
      <c r="AO339" s="10" t="inlineStr">
        <is>
          <t>Permis : Avec permis ; ad_warranty_type : essential ; Importé : false ; vehicle_history_report_status : visible</t>
        </is>
      </c>
      <c r="AP339" s="19" t="inlineStr">
        <is>
          <t>Voir</t>
        </is>
      </c>
      <c r="AQ339" s="10" t="inlineStr">
        <is>
          <t>3275427165</t>
        </is>
      </c>
    </row>
    <row r="340">
      <c r="A340" s="10" t="inlineStr">
        <is>
          <t>Peugeot 208 GTi 30th</t>
        </is>
      </c>
      <c r="B340" s="10" t="inlineStr">
        <is>
          <t>Peugeot 208 generation-i 1.6 thp 210 gti 30th peugeot sport - suivi complet/garantie 12 mois</t>
        </is>
      </c>
      <c r="C340" s="10" t="inlineStr">
        <is>
          <t>1.6 THP 208ch GTI 30th S&amp;S 3p</t>
        </is>
      </c>
      <c r="D340" s="10" t="inlineStr">
        <is>
          <t>GTi 30th</t>
        </is>
      </c>
      <c r="E340" s="10" t="inlineStr">
        <is>
          <t>En vente</t>
        </is>
      </c>
      <c r="F340" s="18" t="n">
        <v>46241</v>
      </c>
      <c r="G340" s="18" t="n">
        <v>46241</v>
      </c>
      <c r="H340" s="18" t="n">
        <v>46310</v>
      </c>
      <c r="I340" s="18" t="n"/>
      <c r="J340" s="17">
        <f>IF(OR(ISNUMBER(F340),ISNUMBER(G340)),IF(ISNUMBER(I340),I340,H340)-IF(ISNUMBER(F340),F340,G340),"")</f>
        <v/>
      </c>
      <c r="K340" s="12" t="n">
        <v>12990</v>
      </c>
      <c r="L340" s="12" t="n">
        <v>12490</v>
      </c>
      <c r="M340" s="13">
        <f>IF(AND(ISNUMBER(K340),ISNUMBER(L340),K340&gt;0),1-L340/K340,"")</f>
        <v/>
      </c>
      <c r="N340" s="16" t="n">
        <v>1</v>
      </c>
      <c r="O340" s="12" t="n">
        <v>12990</v>
      </c>
      <c r="P340" s="12" t="n">
        <v>10760</v>
      </c>
      <c r="Q340" s="12" t="n">
        <v>11890</v>
      </c>
      <c r="R340" s="14">
        <f>IF(AND(ISNUMBER(L340),ISNUMBER(P340),ISNUMBER(Q340)),L340/((P340+Q340)/2)-1,"")</f>
        <v/>
      </c>
      <c r="S340" s="10" t="inlineStr">
        <is>
          <t>Légèrement supérieur</t>
        </is>
      </c>
      <c r="T340" s="15" t="n">
        <v>130000</v>
      </c>
      <c r="U340" s="16" t="n">
        <v>2015</v>
      </c>
      <c r="V340" s="10" t="inlineStr">
        <is>
          <t>04/2015</t>
        </is>
      </c>
      <c r="W340" s="10" t="inlineStr">
        <is>
          <t>Essence</t>
        </is>
      </c>
      <c r="X340" s="10" t="inlineStr">
        <is>
          <t>Manuelle</t>
        </is>
      </c>
      <c r="Y340" s="16" t="n">
        <v>208</v>
      </c>
      <c r="Z340" s="16" t="n">
        <v>11</v>
      </c>
      <c r="AA340" s="10" t="inlineStr">
        <is>
          <t>Noir</t>
        </is>
      </c>
      <c r="AB340" s="16" t="n">
        <v>3</v>
      </c>
      <c r="AC340" s="10" t="inlineStr">
        <is>
          <t>Berline</t>
        </is>
      </c>
      <c r="AD340" s="10" t="n"/>
      <c r="AE340" s="10" t="n"/>
      <c r="AF340" s="10" t="inlineStr">
        <is>
          <t>Pro</t>
        </is>
      </c>
      <c r="AG340" s="10" t="inlineStr">
        <is>
          <t>Ville-la-Grand</t>
        </is>
      </c>
      <c r="AH340" s="10" t="inlineStr">
        <is>
          <t>74100</t>
        </is>
      </c>
      <c r="AI340" s="10" t="inlineStr">
        <is>
          <t>Haute-Savoie</t>
        </is>
      </c>
      <c r="AJ340" s="10" t="inlineStr">
        <is>
          <t>Rhône-Alpes</t>
        </is>
      </c>
      <c r="AK340" s="16" t="n">
        <v>26</v>
      </c>
      <c r="AL340" s="10" t="n"/>
      <c r="AM340" s="10" t="inlineStr">
        <is>
          <t>Non</t>
        </is>
      </c>
      <c r="AN340" s="10" t="inlineStr">
        <is>
          <t>INFORMATIONS GÉNÉRALES : Modèle : PEUGEOT 208 Motorisation : ESSENCE - 208 CH Boîte : Manuelle Année : 2015 Kilométrage : 130000 Origine : France Main : 2 Dernière révision : 07/08/2026 129900 : bougies + chaine distrib + air + huile + habitacle + coupelles ammortisseur + bielette de barres stabilisatrice + disques AV + plaquettes AV + joint couvre culasse + courroie accessoire Historique d'entretien : SUIVI COMPLET PEUGEOT : CARNET TAMPONNÉ 21/12/2015 : 9719KMS 10/01/2017 : 25707KMS Autres gara</t>
        </is>
      </c>
      <c r="AO340" s="10" t="inlineStr">
        <is>
          <t>Dommages : Bon état général ; Sellerie : Tout cuir ; Permis : Avec permis ; VO récent : false ; custom_ref : 1363-0000997 ; Importé : true ; vehicle_history_report_status : visible ; spare_parts_availability : Non renseignée</t>
        </is>
      </c>
      <c r="AP340" s="19" t="inlineStr">
        <is>
          <t>Voir</t>
        </is>
      </c>
      <c r="AQ340" s="10" t="inlineStr">
        <is>
          <t>3278215050</t>
        </is>
      </c>
    </row>
    <row r="341">
      <c r="A341" s="10" t="inlineStr">
        <is>
          <t>Peugeot 208 GTi 30th</t>
        </is>
      </c>
      <c r="B341" s="10" t="inlineStr">
        <is>
          <t>208 GTI 30th</t>
        </is>
      </c>
      <c r="C341" s="10" t="inlineStr">
        <is>
          <t>1.6 THP 208ch GTI 30th S&amp;S 3p</t>
        </is>
      </c>
      <c r="D341" s="10" t="inlineStr">
        <is>
          <t>GTi 30th</t>
        </is>
      </c>
      <c r="E341" s="10" t="inlineStr">
        <is>
          <t>En vente</t>
        </is>
      </c>
      <c r="F341" s="18" t="n">
        <v>46301</v>
      </c>
      <c r="G341" s="18" t="n">
        <v>46301</v>
      </c>
      <c r="H341" s="18" t="n">
        <v>46310</v>
      </c>
      <c r="I341" s="18" t="n"/>
      <c r="J341" s="17">
        <f>IF(OR(ISNUMBER(F341),ISNUMBER(G341)),IF(ISNUMBER(I341),I341,H341)-IF(ISNUMBER(F341),F341,G341),"")</f>
        <v/>
      </c>
      <c r="K341" s="12" t="n">
        <v>16000</v>
      </c>
      <c r="L341" s="12" t="n">
        <v>16000</v>
      </c>
      <c r="M341" s="13">
        <f>IF(AND(ISNUMBER(K341),ISNUMBER(L341),K341&gt;0),1-L341/K341,"")</f>
        <v/>
      </c>
      <c r="N341" s="16" t="n">
        <v>0</v>
      </c>
      <c r="O341" s="12" t="n"/>
      <c r="P341" s="12" t="n">
        <v>10830</v>
      </c>
      <c r="Q341" s="12" t="n">
        <v>11970</v>
      </c>
      <c r="R341" s="14">
        <f>IF(AND(ISNUMBER(L341),ISNUMBER(P341),ISNUMBER(Q341)),L341/((P341+Q341)/2)-1,"")</f>
        <v/>
      </c>
      <c r="S341" s="10" t="inlineStr">
        <is>
          <t>Estimation indisponible</t>
        </is>
      </c>
      <c r="T341" s="15" t="n">
        <v>35000</v>
      </c>
      <c r="U341" s="16" t="n">
        <v>2014</v>
      </c>
      <c r="V341" s="10" t="inlineStr">
        <is>
          <t>11/2014</t>
        </is>
      </c>
      <c r="W341" s="10" t="inlineStr">
        <is>
          <t>Essence</t>
        </is>
      </c>
      <c r="X341" s="10" t="inlineStr">
        <is>
          <t>Manuelle</t>
        </is>
      </c>
      <c r="Y341" s="16" t="n">
        <v>208</v>
      </c>
      <c r="Z341" s="16" t="n">
        <v>11</v>
      </c>
      <c r="AA341" s="10" t="inlineStr">
        <is>
          <t>Noir</t>
        </is>
      </c>
      <c r="AB341" s="16" t="n">
        <v>3</v>
      </c>
      <c r="AC341" s="10" t="inlineStr">
        <is>
          <t>Berline</t>
        </is>
      </c>
      <c r="AD341" s="10" t="inlineStr">
        <is>
          <t>Factures disponibles</t>
        </is>
      </c>
      <c r="AE341" s="10" t="n"/>
      <c r="AF341" s="10" t="inlineStr">
        <is>
          <t>Particulier</t>
        </is>
      </c>
      <c r="AG341" s="10" t="inlineStr">
        <is>
          <t>Paris</t>
        </is>
      </c>
      <c r="AH341" s="10" t="inlineStr">
        <is>
          <t>75001</t>
        </is>
      </c>
      <c r="AI341" s="10" t="inlineStr">
        <is>
          <t>Paris</t>
        </is>
      </c>
      <c r="AJ341" s="10" t="inlineStr">
        <is>
          <t>Ile-de-France</t>
        </is>
      </c>
      <c r="AK341" s="16" t="n">
        <v>3</v>
      </c>
      <c r="AL341" s="10" t="n"/>
      <c r="AM341" s="10" t="inlineStr">
        <is>
          <t>Non</t>
        </is>
      </c>
      <c r="AN341" s="10" t="inlineStr">
        <is>
          <t>A vendre 208 GTI 30TH Bien lire l’annonce. Elle est totalement courcifiée, elle ne peut plus être remise en état de circuler sur route. C’était la numéro 3, celle vu quasiment dans tous les reportages à l’époque de sa sortie. C’est d’ailleurs une journaliste qui l’a achetée et revendue à un garage Peugeot qui l’a transformé. 208 GTI 30th, 230 cv (passée au banc), elle est vide. Il lui manque juste un arceau pour les puristes. Boite MCS (donc Peugeot sport) Plaquette Carbon lorraine Suspension PT</t>
        </is>
      </c>
      <c r="AO341" s="10" t="inlineStr">
        <is>
          <t>vehicle_technical_inspection_valid : Non ; Dommages : Bon état général ; Sellerie : Autre ; Permis : Avec permis ; ad_warranty_type : essential ; Importé : false</t>
        </is>
      </c>
      <c r="AP341" s="19" t="inlineStr">
        <is>
          <t>Voir</t>
        </is>
      </c>
      <c r="AQ341" s="10" t="inlineStr">
        <is>
          <t>3283621933</t>
        </is>
      </c>
    </row>
    <row r="342">
      <c r="A342" s="10" t="inlineStr">
        <is>
          <t>Peugeot 208 GTi 30th</t>
        </is>
      </c>
      <c r="B342" s="10" t="inlineStr">
        <is>
          <t>Peugeot 208 1.6 THP 208ch S&amp;S BVM6 GTi 30th</t>
        </is>
      </c>
      <c r="C342" s="10" t="inlineStr">
        <is>
          <t>1.6 THP 208ch GTI 30th S&amp;S 3p</t>
        </is>
      </c>
      <c r="D342" s="10" t="inlineStr">
        <is>
          <t>GTi 30th</t>
        </is>
      </c>
      <c r="E342" s="10" t="inlineStr">
        <is>
          <t>En vente</t>
        </is>
      </c>
      <c r="F342" s="18" t="n">
        <v>46303</v>
      </c>
      <c r="G342" s="18" t="n">
        <v>46303</v>
      </c>
      <c r="H342" s="18" t="n">
        <v>46310</v>
      </c>
      <c r="I342" s="18" t="n"/>
      <c r="J342" s="17">
        <f>IF(OR(ISNUMBER(F342),ISNUMBER(G342)),IF(ISNUMBER(I342),I342,H342)-IF(ISNUMBER(F342),F342,G342),"")</f>
        <v/>
      </c>
      <c r="K342" s="12" t="n">
        <v>18990</v>
      </c>
      <c r="L342" s="12" t="n">
        <v>18990</v>
      </c>
      <c r="M342" s="13">
        <f>IF(AND(ISNUMBER(K342),ISNUMBER(L342),K342&gt;0),1-L342/K342,"")</f>
        <v/>
      </c>
      <c r="N342" s="16" t="n">
        <v>0</v>
      </c>
      <c r="O342" s="12" t="n"/>
      <c r="P342" s="12" t="n">
        <v>14480</v>
      </c>
      <c r="Q342" s="12" t="n">
        <v>16000</v>
      </c>
      <c r="R342" s="14">
        <f>IF(AND(ISNUMBER(L342),ISNUMBER(P342),ISNUMBER(Q342)),L342/((P342+Q342)/2)-1,"")</f>
        <v/>
      </c>
      <c r="S342" s="10" t="inlineStr">
        <is>
          <t>Au-dessus du marché</t>
        </is>
      </c>
      <c r="T342" s="15" t="n">
        <v>45500</v>
      </c>
      <c r="U342" s="16" t="n">
        <v>2015</v>
      </c>
      <c r="V342" s="10" t="inlineStr">
        <is>
          <t>07/2015</t>
        </is>
      </c>
      <c r="W342" s="10" t="inlineStr">
        <is>
          <t>Essence</t>
        </is>
      </c>
      <c r="X342" s="10" t="inlineStr">
        <is>
          <t>Manuelle</t>
        </is>
      </c>
      <c r="Y342" s="16" t="n">
        <v>208</v>
      </c>
      <c r="Z342" s="16" t="n">
        <v>11</v>
      </c>
      <c r="AA342" s="10" t="inlineStr">
        <is>
          <t>Blanc</t>
        </is>
      </c>
      <c r="AB342" s="16" t="n">
        <v>3</v>
      </c>
      <c r="AC342" s="10" t="inlineStr">
        <is>
          <t>Berline</t>
        </is>
      </c>
      <c r="AD342" s="10" t="inlineStr">
        <is>
          <t>Carnet d'entretien disponible</t>
        </is>
      </c>
      <c r="AE342" s="10" t="n"/>
      <c r="AF342" s="10" t="inlineStr">
        <is>
          <t>Pro</t>
        </is>
      </c>
      <c r="AG342" s="10" t="inlineStr">
        <is>
          <t>Bergerac</t>
        </is>
      </c>
      <c r="AH342" s="10" t="inlineStr">
        <is>
          <t>24100</t>
        </is>
      </c>
      <c r="AI342" s="10" t="inlineStr">
        <is>
          <t>Dordogne</t>
        </is>
      </c>
      <c r="AJ342" s="10" t="inlineStr">
        <is>
          <t>Aquitaine</t>
        </is>
      </c>
      <c r="AK342" s="16" t="n">
        <v>30</v>
      </c>
      <c r="AL342" s="10" t="n"/>
      <c r="AM342" s="10" t="inlineStr">
        <is>
          <t>Non</t>
        </is>
      </c>
      <c r="AN342" s="10" t="inlineStr">
        <is>
          <t>Peugeot 208 1.6 THP 208ch S&amp;S BVM6 GTi 30th berline, blanc, 11 cv, 3 portes, première mise en circulation le 27/07/2015, garantie 6 mois. 5 places, carnet d'entretien OPTIONS ET ÉQUIPEMENTS : Audio - Télécommunications : - Bluetooth - ecran tactile Conduite : - allumage automatique des feux - limiteur de vitesse - pack visibilite Extérieur : - Eclairage statique d'intersection - Pack LEDs - Peinture Nacrée - Peinture Rouge Rubis ou Blanc Perle Nacré - Rétroviseurs extérieurs rabattables à la tél</t>
        </is>
      </c>
      <c r="AO342" s="10" t="inlineStr">
        <is>
          <t>Équipements intérieurs : Aide au stationnement, Allumage automatique des phares, Bluetooth, Jantes en alliage, Phares anti-brouillard, Régulateur de vitesse, Rétroviseurs dégivrants ; Permis : Avec permis ; VO récent : false ; custom_ref : 473595 ; Importé : true ; vehicle_history_report_status : visible ; spare_parts_availability : Non renseignée</t>
        </is>
      </c>
      <c r="AP342" s="19" t="inlineStr">
        <is>
          <t>Voir</t>
        </is>
      </c>
      <c r="AQ342" s="10" t="inlineStr">
        <is>
          <t>3284771851</t>
        </is>
      </c>
    </row>
    <row r="343">
      <c r="A343" s="10" t="inlineStr">
        <is>
          <t>Peugeot 208 GTi 30th</t>
        </is>
      </c>
      <c r="B343" s="10" t="inlineStr">
        <is>
          <t>Peugeot 208 1.6 THP 208ch GTI 30th S&amp;S 3p</t>
        </is>
      </c>
      <c r="C343" s="10" t="inlineStr">
        <is>
          <t>1.6 THP 208ch GTI 30th S&amp;S 3p</t>
        </is>
      </c>
      <c r="D343" s="10" t="inlineStr">
        <is>
          <t>GTi 30th</t>
        </is>
      </c>
      <c r="E343" s="10" t="inlineStr">
        <is>
          <t>En vente</t>
        </is>
      </c>
      <c r="F343" s="18" t="n">
        <v>46308</v>
      </c>
      <c r="G343" s="18" t="n">
        <v>46308</v>
      </c>
      <c r="H343" s="18" t="n">
        <v>46310</v>
      </c>
      <c r="I343" s="18" t="n"/>
      <c r="J343" s="17">
        <f>IF(OR(ISNUMBER(F343),ISNUMBER(G343)),IF(ISNUMBER(I343),I343,H343)-IF(ISNUMBER(F343),F343,G343),"")</f>
        <v/>
      </c>
      <c r="K343" s="12" t="n">
        <v>17870</v>
      </c>
      <c r="L343" s="12" t="n">
        <v>17870</v>
      </c>
      <c r="M343" s="13">
        <f>IF(AND(ISNUMBER(K343),ISNUMBER(L343),K343&gt;0),1-L343/K343,"")</f>
        <v/>
      </c>
      <c r="N343" s="16" t="n">
        <v>0</v>
      </c>
      <c r="O343" s="12" t="n"/>
      <c r="P343" s="12" t="n">
        <v>13730</v>
      </c>
      <c r="Q343" s="12" t="n">
        <v>15170</v>
      </c>
      <c r="R343" s="14">
        <f>IF(AND(ISNUMBER(L343),ISNUMBER(P343),ISNUMBER(Q343)),L343/((P343+Q343)/2)-1,"")</f>
        <v/>
      </c>
      <c r="S343" s="10" t="inlineStr">
        <is>
          <t>Au-dessus du marché</t>
        </is>
      </c>
      <c r="T343" s="15" t="n">
        <v>72870</v>
      </c>
      <c r="U343" s="16" t="n">
        <v>2015</v>
      </c>
      <c r="V343" s="10" t="inlineStr">
        <is>
          <t>09/2015</t>
        </is>
      </c>
      <c r="W343" s="10" t="inlineStr">
        <is>
          <t>Essence</t>
        </is>
      </c>
      <c r="X343" s="10" t="inlineStr">
        <is>
          <t>Manuelle</t>
        </is>
      </c>
      <c r="Y343" s="16" t="n">
        <v>208</v>
      </c>
      <c r="Z343" s="16" t="n">
        <v>12</v>
      </c>
      <c r="AA343" s="10" t="inlineStr">
        <is>
          <t>Blanc</t>
        </is>
      </c>
      <c r="AB343" s="16" t="n">
        <v>3</v>
      </c>
      <c r="AC343" s="10" t="inlineStr">
        <is>
          <t>Berline</t>
        </is>
      </c>
      <c r="AD343" s="10" t="n"/>
      <c r="AE343" s="10" t="n"/>
      <c r="AF343" s="10" t="inlineStr">
        <is>
          <t>Pro</t>
        </is>
      </c>
      <c r="AG343" s="10" t="inlineStr">
        <is>
          <t>Saint-Jean-de-Maurienne</t>
        </is>
      </c>
      <c r="AH343" s="10" t="inlineStr">
        <is>
          <t>73300</t>
        </is>
      </c>
      <c r="AI343" s="10" t="inlineStr">
        <is>
          <t>Savoie</t>
        </is>
      </c>
      <c r="AJ343" s="10" t="inlineStr">
        <is>
          <t>Rhône-Alpes</t>
        </is>
      </c>
      <c r="AK343" s="16" t="n">
        <v>17</v>
      </c>
      <c r="AL343" s="10" t="n"/>
      <c r="AM343" s="10" t="inlineStr">
        <is>
          <t>Non</t>
        </is>
      </c>
      <c r="AN343" s="10" t="inlineStr">
        <is>
          <t xml:space="preserve">Peugeot 208 1.6 THP 208ch GTI 30th S&amp;S 3p, (Berline), Blanc Perle nacré, 12cv, 3 portes, mise en circulation le 25-09-2015, garantie 6 mois (Spoticar-Essential 6 mois). 5 places, couleur intérieur : MF, longueur : 3,96 mètres, contrôle technique : 08-09-2022, boîte de vitesse : manuelle OPTIONS ET EQUIPEMENTS : Audio - Télécommunications - Commandes du système audio au volant - Ecran tactile - Kit mains-libres Bluetooth - Navigation et USB déporté Conduite - Blocage électronique du différentiel </t>
        </is>
      </c>
      <c r="AO343" s="10" t="inlineStr">
        <is>
          <t>Permis : Avec permis ; VO récent : false ; custom_ref : 100553 ; Importé : true ; vehicle_history_report_status : visible ; spare_parts_availability : Non renseignée</t>
        </is>
      </c>
      <c r="AP343" s="19" t="inlineStr">
        <is>
          <t>Voir</t>
        </is>
      </c>
      <c r="AQ343" s="10" t="inlineStr">
        <is>
          <t>3287435688</t>
        </is>
      </c>
    </row>
    <row r="344">
      <c r="A344" s="10" t="inlineStr">
        <is>
          <t>Peugeot 208 GTi 30th</t>
        </is>
      </c>
      <c r="B344" s="10" t="inlineStr">
        <is>
          <t>PEUGEOT 208 GTI 30th 1.6 THP 208CV FULL OPTION</t>
        </is>
      </c>
      <c r="C344" s="10" t="n"/>
      <c r="D344" s="10" t="n"/>
      <c r="E344" s="10" t="inlineStr">
        <is>
          <t>Partie</t>
        </is>
      </c>
      <c r="F344" s="18" t="n">
        <v>46239</v>
      </c>
      <c r="G344" s="18" t="n">
        <v>46239</v>
      </c>
      <c r="H344" s="18" t="n">
        <v>46296</v>
      </c>
      <c r="I344" s="18" t="n">
        <v>46310</v>
      </c>
      <c r="J344" s="17">
        <f>IF(OR(ISNUMBER(F344),ISNUMBER(G344)),IF(ISNUMBER(I344),I344,H344)-IF(ISNUMBER(F344),F344,G344),"")</f>
        <v/>
      </c>
      <c r="K344" s="12" t="n">
        <v>12000</v>
      </c>
      <c r="L344" s="12" t="n">
        <v>12000</v>
      </c>
      <c r="M344" s="13">
        <f>IF(AND(ISNUMBER(K344),ISNUMBER(L344),K344&gt;0),1-L344/K344,"")</f>
        <v/>
      </c>
      <c r="N344" s="16" t="n">
        <v>0</v>
      </c>
      <c r="O344" s="12" t="n"/>
      <c r="P344" s="12" t="n"/>
      <c r="Q344" s="12" t="n"/>
      <c r="R344" s="14">
        <f>IF(AND(ISNUMBER(L344),ISNUMBER(P344),ISNUMBER(Q344)),L344/((P344+Q344)/2)-1,"")</f>
        <v/>
      </c>
      <c r="S344" s="10" t="n"/>
      <c r="T344" s="15" t="n">
        <v>168800</v>
      </c>
      <c r="U344" s="16" t="n">
        <v>2015</v>
      </c>
      <c r="V344" s="10" t="n"/>
      <c r="W344" s="10" t="inlineStr">
        <is>
          <t>Essence</t>
        </is>
      </c>
      <c r="X344" s="10" t="inlineStr">
        <is>
          <t>Manuelle</t>
        </is>
      </c>
      <c r="Y344" s="16" t="n">
        <v>208</v>
      </c>
      <c r="Z344" s="16" t="n">
        <v>11</v>
      </c>
      <c r="AA344" s="10" t="n"/>
      <c r="AB344" s="16" t="n">
        <v>3</v>
      </c>
      <c r="AC344" s="10" t="inlineStr">
        <is>
          <t>Citadine</t>
        </is>
      </c>
      <c r="AD344" s="10" t="n"/>
      <c r="AE344" s="10" t="inlineStr"/>
      <c r="AF344" s="10" t="inlineStr">
        <is>
          <t>Pro</t>
        </is>
      </c>
      <c r="AG344" s="10" t="inlineStr">
        <is>
          <t>Freyming-Merlebach</t>
        </is>
      </c>
      <c r="AH344" s="10" t="inlineStr">
        <is>
          <t>57800</t>
        </is>
      </c>
      <c r="AI344" s="10" t="inlineStr">
        <is>
          <t>Moselle</t>
        </is>
      </c>
      <c r="AJ344" s="10" t="inlineStr">
        <is>
          <t>Lorraine</t>
        </is>
      </c>
      <c r="AK344" s="16" t="n"/>
      <c r="AL344" s="10" t="inlineStr">
        <is>
          <t>Oui</t>
        </is>
      </c>
      <c r="AM344" s="10" t="n"/>
      <c r="AN344" s="10" t="n"/>
      <c r="AO344" s="10" t="n"/>
      <c r="AP344" s="19" t="inlineStr">
        <is>
          <t>Voir</t>
        </is>
      </c>
      <c r="AQ344" s="10" t="inlineStr">
        <is>
          <t>3210880878</t>
        </is>
      </c>
    </row>
    <row r="345">
      <c r="A345" s="10" t="inlineStr">
        <is>
          <t>Peugeot 208 GTi 30th</t>
        </is>
      </c>
      <c r="B345" s="10" t="inlineStr">
        <is>
          <t>Peugeot 208 30th n°205</t>
        </is>
      </c>
      <c r="C345" s="10" t="n"/>
      <c r="D345" s="10" t="n"/>
      <c r="E345" s="10" t="inlineStr">
        <is>
          <t>Partie</t>
        </is>
      </c>
      <c r="F345" s="18" t="n">
        <v>46246</v>
      </c>
      <c r="G345" s="18" t="n">
        <v>46246</v>
      </c>
      <c r="H345" s="18" t="n">
        <v>46296</v>
      </c>
      <c r="I345" s="18" t="n">
        <v>46310</v>
      </c>
      <c r="J345" s="17">
        <f>IF(OR(ISNUMBER(F345),ISNUMBER(G345)),IF(ISNUMBER(I345),I345,H345)-IF(ISNUMBER(F345),F345,G345),"")</f>
        <v/>
      </c>
      <c r="K345" s="12" t="n">
        <v>17500</v>
      </c>
      <c r="L345" s="12" t="n">
        <v>17500</v>
      </c>
      <c r="M345" s="13">
        <f>IF(AND(ISNUMBER(K345),ISNUMBER(L345),K345&gt;0),1-L345/K345,"")</f>
        <v/>
      </c>
      <c r="N345" s="16" t="n">
        <v>0</v>
      </c>
      <c r="O345" s="12" t="n"/>
      <c r="P345" s="12" t="n"/>
      <c r="Q345" s="12" t="n"/>
      <c r="R345" s="14">
        <f>IF(AND(ISNUMBER(L345),ISNUMBER(P345),ISNUMBER(Q345)),L345/((P345+Q345)/2)-1,"")</f>
        <v/>
      </c>
      <c r="S345" s="10" t="n"/>
      <c r="T345" s="15" t="n">
        <v>115000</v>
      </c>
      <c r="U345" s="16" t="n">
        <v>2014</v>
      </c>
      <c r="V345" s="10" t="n"/>
      <c r="W345" s="10" t="inlineStr">
        <is>
          <t>Essence</t>
        </is>
      </c>
      <c r="X345" s="10" t="inlineStr">
        <is>
          <t>Manuelle</t>
        </is>
      </c>
      <c r="Y345" s="16" t="n">
        <v>208</v>
      </c>
      <c r="Z345" s="16" t="n">
        <v>11</v>
      </c>
      <c r="AA345" s="10" t="inlineStr">
        <is>
          <t>Blanc</t>
        </is>
      </c>
      <c r="AB345" s="16" t="n">
        <v>3</v>
      </c>
      <c r="AC345" s="10" t="inlineStr">
        <is>
          <t>Berline</t>
        </is>
      </c>
      <c r="AD345" s="10" t="n"/>
      <c r="AE345" s="10" t="n"/>
      <c r="AF345" s="10" t="inlineStr">
        <is>
          <t>Particulier</t>
        </is>
      </c>
      <c r="AG345" s="10" t="inlineStr">
        <is>
          <t>Saint-Laurent-de-Chamousset</t>
        </is>
      </c>
      <c r="AH345" s="10" t="inlineStr">
        <is>
          <t>69930</t>
        </is>
      </c>
      <c r="AI345" s="10" t="inlineStr">
        <is>
          <t>Rhône</t>
        </is>
      </c>
      <c r="AJ345" s="10" t="inlineStr">
        <is>
          <t>Rhône-Alpes</t>
        </is>
      </c>
      <c r="AK345" s="16" t="n"/>
      <c r="AL345" s="10" t="n"/>
      <c r="AM345" s="10" t="n"/>
      <c r="AN345" s="10" t="n"/>
      <c r="AO345" s="10" t="n"/>
      <c r="AP345" s="19" t="inlineStr">
        <is>
          <t>Voir</t>
        </is>
      </c>
      <c r="AQ345" s="10" t="inlineStr">
        <is>
          <t>3249108312</t>
        </is>
      </c>
    </row>
    <row r="346">
      <c r="A346" s="10" t="inlineStr">
        <is>
          <t>Peugeot 306 S16</t>
        </is>
      </c>
      <c r="B346" s="10" t="inlineStr">
        <is>
          <t>306 s16 ACAV 1997 boite 6</t>
        </is>
      </c>
      <c r="C346" s="10" t="inlineStr">
        <is>
          <t>306 2.0 S16 BV6 3p</t>
        </is>
      </c>
      <c r="D346" s="10" t="inlineStr">
        <is>
          <t>S16</t>
        </is>
      </c>
      <c r="E346" s="10" t="inlineStr">
        <is>
          <t>En vente</t>
        </is>
      </c>
      <c r="F346" s="18" t="n">
        <v>46301</v>
      </c>
      <c r="G346" s="18" t="n">
        <v>46241</v>
      </c>
      <c r="H346" s="18" t="n">
        <v>46310</v>
      </c>
      <c r="I346" s="18" t="n"/>
      <c r="J346" s="17">
        <f>IF(OR(ISNUMBER(F346),ISNUMBER(G346)),IF(ISNUMBER(I346),I346,H346)-IF(ISNUMBER(F346),F346,G346),"")</f>
        <v/>
      </c>
      <c r="K346" s="12" t="n">
        <v>12800</v>
      </c>
      <c r="L346" s="12" t="n">
        <v>12800</v>
      </c>
      <c r="M346" s="13">
        <f>IF(AND(ISNUMBER(K346),ISNUMBER(L346),K346&gt;0),1-L346/K346,"")</f>
        <v/>
      </c>
      <c r="N346" s="16" t="n">
        <v>0</v>
      </c>
      <c r="O346" s="12" t="n"/>
      <c r="P346" s="12" t="n"/>
      <c r="Q346" s="12" t="n"/>
      <c r="R346" s="14">
        <f>IF(AND(ISNUMBER(L346),ISNUMBER(P346),ISNUMBER(Q346)),L346/((P346+Q346)/2)-1,"")</f>
        <v/>
      </c>
      <c r="S346" s="10" t="n"/>
      <c r="T346" s="15" t="n">
        <v>249000</v>
      </c>
      <c r="U346" s="16" t="n">
        <v>1997</v>
      </c>
      <c r="V346" s="10" t="inlineStr">
        <is>
          <t>06/1997</t>
        </is>
      </c>
      <c r="W346" s="10" t="inlineStr">
        <is>
          <t>Essence</t>
        </is>
      </c>
      <c r="X346" s="10" t="inlineStr">
        <is>
          <t>Manuelle</t>
        </is>
      </c>
      <c r="Y346" s="16" t="n">
        <v>155</v>
      </c>
      <c r="Z346" s="16" t="n">
        <v>11</v>
      </c>
      <c r="AA346" s="10" t="inlineStr">
        <is>
          <t>Gris</t>
        </is>
      </c>
      <c r="AB346" s="16" t="n">
        <v>3</v>
      </c>
      <c r="AC346" s="10" t="inlineStr">
        <is>
          <t>Berline</t>
        </is>
      </c>
      <c r="AD346" s="10" t="n"/>
      <c r="AE346" s="10" t="n"/>
      <c r="AF346" s="10" t="inlineStr">
        <is>
          <t>Particulier</t>
        </is>
      </c>
      <c r="AG346" s="10" t="inlineStr">
        <is>
          <t>Valencisse</t>
        </is>
      </c>
      <c r="AH346" s="10" t="inlineStr">
        <is>
          <t>41190</t>
        </is>
      </c>
      <c r="AI346" s="10" t="inlineStr">
        <is>
          <t>Loir-et-Cher</t>
        </is>
      </c>
      <c r="AJ346" s="10" t="inlineStr">
        <is>
          <t>Centre</t>
        </is>
      </c>
      <c r="AK346" s="16" t="n">
        <v>3</v>
      </c>
      <c r="AL346" s="10" t="n"/>
      <c r="AM346" s="10" t="inlineStr">
        <is>
          <t>Non</t>
        </is>
      </c>
      <c r="AN346" s="10" t="inlineStr">
        <is>
          <t>306 s16 très bonne état de 1997 avec boîte de vitesse 6 rapports de phase 2 Options : tatouage anti vol , intérieur cuir complet , climatisation automatique , pack électrique comprenant toit ouvrant , rétroviseurs électrique , vitres électrique , lave phares très rare , centralisation des portes , plages arrière avec enceintes intégrées , auto radio alpine Clignotants d aile , jantes PTS , amortisseurs PTS , ligne échappement complète devil , filtre à air KN , boîtier injection additionnel , bar</t>
        </is>
      </c>
      <c r="AO346" s="10" t="inlineStr">
        <is>
          <t>Dommages : Bon état général ; Sellerie : Tout cuir ; Équipements intérieurs : Climatisation, Jantes en alliage, Toit ouvrant / Toit panoramique ; Permis : Avec permis ; Importé : false</t>
        </is>
      </c>
      <c r="AP346" s="19" t="inlineStr">
        <is>
          <t>Voir</t>
        </is>
      </c>
      <c r="AQ346" s="10" t="inlineStr">
        <is>
          <t>3006219965</t>
        </is>
      </c>
    </row>
    <row r="347">
      <c r="A347" s="10" t="inlineStr">
        <is>
          <t>Peugeot 306 S16</t>
        </is>
      </c>
      <c r="B347" s="10" t="inlineStr">
        <is>
          <t>205 piste</t>
        </is>
      </c>
      <c r="C347" s="10" t="n"/>
      <c r="D347" s="10" t="n"/>
      <c r="E347" s="10" t="inlineStr">
        <is>
          <t>En vente</t>
        </is>
      </c>
      <c r="F347" s="18" t="n">
        <v>46283</v>
      </c>
      <c r="G347" s="18" t="n">
        <v>46283</v>
      </c>
      <c r="H347" s="18" t="n">
        <v>46310</v>
      </c>
      <c r="I347" s="18" t="n"/>
      <c r="J347" s="17">
        <f>IF(OR(ISNUMBER(F347),ISNUMBER(G347)),IF(ISNUMBER(I347),I347,H347)-IF(ISNUMBER(F347),F347,G347),"")</f>
        <v/>
      </c>
      <c r="K347" s="12" t="n">
        <v>7000</v>
      </c>
      <c r="L347" s="12" t="n">
        <v>7000</v>
      </c>
      <c r="M347" s="13">
        <f>IF(AND(ISNUMBER(K347),ISNUMBER(L347),K347&gt;0),1-L347/K347,"")</f>
        <v/>
      </c>
      <c r="N347" s="16" t="n">
        <v>0</v>
      </c>
      <c r="O347" s="12" t="n">
        <v>8500</v>
      </c>
      <c r="P347" s="12" t="n"/>
      <c r="Q347" s="12" t="n"/>
      <c r="R347" s="14">
        <f>IF(AND(ISNUMBER(L347),ISNUMBER(P347),ISNUMBER(Q347)),L347/((P347+Q347)/2)-1,"")</f>
        <v/>
      </c>
      <c r="S347" s="10" t="n"/>
      <c r="T347" s="15" t="n">
        <v>10000</v>
      </c>
      <c r="U347" s="16" t="n">
        <v>1995</v>
      </c>
      <c r="V347" s="10" t="inlineStr">
        <is>
          <t>01/1995</t>
        </is>
      </c>
      <c r="W347" s="10" t="inlineStr">
        <is>
          <t>Essence</t>
        </is>
      </c>
      <c r="X347" s="10" t="inlineStr">
        <is>
          <t>Manuelle</t>
        </is>
      </c>
      <c r="Y347" s="16" t="n">
        <v>60</v>
      </c>
      <c r="Z347" s="16" t="n">
        <v>5</v>
      </c>
      <c r="AA347" s="10" t="inlineStr">
        <is>
          <t>Autre</t>
        </is>
      </c>
      <c r="AB347" s="16" t="n">
        <v>5</v>
      </c>
      <c r="AC347" s="10" t="inlineStr">
        <is>
          <t>Berline</t>
        </is>
      </c>
      <c r="AD347" s="10" t="n"/>
      <c r="AE347" s="10" t="n"/>
      <c r="AF347" s="10" t="inlineStr">
        <is>
          <t>Particulier</t>
        </is>
      </c>
      <c r="AG347" s="10" t="inlineStr">
        <is>
          <t>Nemours</t>
        </is>
      </c>
      <c r="AH347" s="10" t="inlineStr">
        <is>
          <t>77140</t>
        </is>
      </c>
      <c r="AI347" s="10" t="inlineStr">
        <is>
          <t>Seine-et-Marne</t>
        </is>
      </c>
      <c r="AJ347" s="10" t="inlineStr">
        <is>
          <t>Ile-de-France</t>
        </is>
      </c>
      <c r="AK347" s="16" t="n">
        <v>2</v>
      </c>
      <c r="AL347" s="10" t="n"/>
      <c r="AM347" s="10" t="inlineStr">
        <is>
          <t>Non</t>
        </is>
      </c>
      <c r="AN347" s="10" t="inlineStr">
        <is>
          <t>Vend 205 piste Train de 306 s16 avec freinage Kit carrosserie neuf Plus dinfo mp Par numéro de téléphone</t>
        </is>
      </c>
      <c r="AO347" s="10" t="inlineStr">
        <is>
          <t>Permis : Avec permis ; Importé : false</t>
        </is>
      </c>
      <c r="AP347" s="19" t="inlineStr">
        <is>
          <t>Voir</t>
        </is>
      </c>
      <c r="AQ347" s="10" t="inlineStr">
        <is>
          <t>3235223068</t>
        </is>
      </c>
    </row>
    <row r="348">
      <c r="A348" s="10" t="inlineStr">
        <is>
          <t>Peugeot 306 S16</t>
        </is>
      </c>
      <c r="B348" s="10" t="inlineStr">
        <is>
          <t>306 s16 Le Mans</t>
        </is>
      </c>
      <c r="C348" s="10" t="n"/>
      <c r="D348" s="10" t="n"/>
      <c r="E348" s="10" t="inlineStr">
        <is>
          <t>En vente</t>
        </is>
      </c>
      <c r="F348" s="18" t="n">
        <v>46261</v>
      </c>
      <c r="G348" s="18" t="n">
        <v>46261</v>
      </c>
      <c r="H348" s="18" t="n">
        <v>46310</v>
      </c>
      <c r="I348" s="18" t="n"/>
      <c r="J348" s="17">
        <f>IF(OR(ISNUMBER(F348),ISNUMBER(G348)),IF(ISNUMBER(I348),I348,H348)-IF(ISNUMBER(F348),F348,G348),"")</f>
        <v/>
      </c>
      <c r="K348" s="12" t="n">
        <v>12000</v>
      </c>
      <c r="L348" s="12" t="n">
        <v>12000</v>
      </c>
      <c r="M348" s="13">
        <f>IF(AND(ISNUMBER(K348),ISNUMBER(L348),K348&gt;0),1-L348/K348,"")</f>
        <v/>
      </c>
      <c r="N348" s="16" t="n">
        <v>0</v>
      </c>
      <c r="O348" s="12" t="n"/>
      <c r="P348" s="12" t="n"/>
      <c r="Q348" s="12" t="n"/>
      <c r="R348" s="14">
        <f>IF(AND(ISNUMBER(L348),ISNUMBER(P348),ISNUMBER(Q348)),L348/((P348+Q348)/2)-1,"")</f>
        <v/>
      </c>
      <c r="S348" s="10" t="n"/>
      <c r="T348" s="15" t="n">
        <v>174000</v>
      </c>
      <c r="U348" s="16" t="n">
        <v>1994</v>
      </c>
      <c r="V348" s="10" t="inlineStr">
        <is>
          <t>03/1994</t>
        </is>
      </c>
      <c r="W348" s="10" t="inlineStr">
        <is>
          <t>Essence</t>
        </is>
      </c>
      <c r="X348" s="10" t="inlineStr">
        <is>
          <t>Manuelle</t>
        </is>
      </c>
      <c r="Y348" s="16" t="n">
        <v>150</v>
      </c>
      <c r="Z348" s="16" t="n">
        <v>11</v>
      </c>
      <c r="AA348" s="10" t="inlineStr">
        <is>
          <t>Rouge</t>
        </is>
      </c>
      <c r="AB348" s="16" t="n">
        <v>3</v>
      </c>
      <c r="AC348" s="10" t="inlineStr">
        <is>
          <t>Berline</t>
        </is>
      </c>
      <c r="AD348" s="10" t="inlineStr">
        <is>
          <t>Véhicule non fumeur</t>
        </is>
      </c>
      <c r="AE348" s="10" t="n"/>
      <c r="AF348" s="10" t="inlineStr">
        <is>
          <t>Particulier</t>
        </is>
      </c>
      <c r="AG348" s="10" t="inlineStr">
        <is>
          <t>Fontaine-le-Bourg</t>
        </is>
      </c>
      <c r="AH348" s="10" t="inlineStr">
        <is>
          <t>76690</t>
        </is>
      </c>
      <c r="AI348" s="10" t="inlineStr">
        <is>
          <t>Seine-Maritime</t>
        </is>
      </c>
      <c r="AJ348" s="10" t="inlineStr">
        <is>
          <t>Haute-Normandie</t>
        </is>
      </c>
      <c r="AK348" s="16" t="n">
        <v>3</v>
      </c>
      <c r="AL348" s="10" t="n"/>
      <c r="AM348" s="10" t="inlineStr">
        <is>
          <t>Non</t>
        </is>
      </c>
      <c r="AN348" s="10" t="inlineStr">
        <is>
          <t>Je vends ma Peugeot 306 S16 Le Mans de 1994, une berline sportive emblématique avec 174 000 km au compteur. - Marque : Peugeot - Modèle : 306 S16 Le Mans - Année : 1994 - Kilométrage : 174 000 km - Motorisation : 150 Ch - Puissance fiscale : 11 Cv - Carburant : Essence - Boîte de vitesses : Manuelle - Type de véhicule : Berline - Nombre de portes : 3 - Couleur : Rouge - Contrôle technique : Valide jusqu'en 07/2027 N'hésitez pas à me contacter. Véhicule en états de restauration. Un historique com</t>
        </is>
      </c>
      <c r="AO348" s="10" t="inlineStr">
        <is>
          <t>vehicle_technical_inspection_valid : Oui ; Contrôle technique : 2027 ; Dommages : Bon état général ; Sellerie : Cuir partiel, Alcantara ; Équipements intérieurs : Jantes en alliage, Phares anti-brouillard ; Permis : Avec permis ; Importé : false</t>
        </is>
      </c>
      <c r="AP348" s="19" t="inlineStr">
        <is>
          <t>Voir</t>
        </is>
      </c>
      <c r="AQ348" s="10" t="inlineStr">
        <is>
          <t>3257692927</t>
        </is>
      </c>
    </row>
    <row r="349">
      <c r="A349" s="10" t="inlineStr">
        <is>
          <t>Peugeot 306 S16</t>
        </is>
      </c>
      <c r="B349" s="10" t="inlineStr">
        <is>
          <t>306 s16 phase 3</t>
        </is>
      </c>
      <c r="C349" s="10" t="inlineStr">
        <is>
          <t>S16_306 2.0 S16 BV6 3p</t>
        </is>
      </c>
      <c r="D349" s="10" t="inlineStr">
        <is>
          <t>S16</t>
        </is>
      </c>
      <c r="E349" s="10" t="inlineStr">
        <is>
          <t>En vente</t>
        </is>
      </c>
      <c r="F349" s="18" t="n">
        <v>46267</v>
      </c>
      <c r="G349" s="18" t="n">
        <v>46267</v>
      </c>
      <c r="H349" s="18" t="n">
        <v>46310</v>
      </c>
      <c r="I349" s="18" t="n"/>
      <c r="J349" s="17">
        <f>IF(OR(ISNUMBER(F349),ISNUMBER(G349)),IF(ISNUMBER(I349),I349,H349)-IF(ISNUMBER(F349),F349,G349),"")</f>
        <v/>
      </c>
      <c r="K349" s="12" t="n">
        <v>15000</v>
      </c>
      <c r="L349" s="12" t="n">
        <v>15000</v>
      </c>
      <c r="M349" s="13">
        <f>IF(AND(ISNUMBER(K349),ISNUMBER(L349),K349&gt;0),1-L349/K349,"")</f>
        <v/>
      </c>
      <c r="N349" s="16" t="n">
        <v>0</v>
      </c>
      <c r="O349" s="12" t="n"/>
      <c r="P349" s="12" t="n"/>
      <c r="Q349" s="12" t="n"/>
      <c r="R349" s="14">
        <f>IF(AND(ISNUMBER(L349),ISNUMBER(P349),ISNUMBER(Q349)),L349/((P349+Q349)/2)-1,"")</f>
        <v/>
      </c>
      <c r="S349" s="10" t="n"/>
      <c r="T349" s="15" t="n">
        <v>214000</v>
      </c>
      <c r="U349" s="16" t="n">
        <v>1999</v>
      </c>
      <c r="V349" s="10" t="inlineStr">
        <is>
          <t>03/1999</t>
        </is>
      </c>
      <c r="W349" s="10" t="inlineStr">
        <is>
          <t>Essence</t>
        </is>
      </c>
      <c r="X349" s="10" t="inlineStr">
        <is>
          <t>Manuelle</t>
        </is>
      </c>
      <c r="Y349" s="16" t="n">
        <v>167</v>
      </c>
      <c r="Z349" s="16" t="n">
        <v>11</v>
      </c>
      <c r="AA349" s="10" t="inlineStr">
        <is>
          <t>Rouge</t>
        </is>
      </c>
      <c r="AB349" s="16" t="n">
        <v>3</v>
      </c>
      <c r="AC349" s="10" t="inlineStr">
        <is>
          <t>Berline</t>
        </is>
      </c>
      <c r="AD349" s="10" t="n"/>
      <c r="AE349" s="10" t="n"/>
      <c r="AF349" s="10" t="inlineStr">
        <is>
          <t>Particulier</t>
        </is>
      </c>
      <c r="AG349" s="10" t="inlineStr">
        <is>
          <t>Le Tampon</t>
        </is>
      </c>
      <c r="AH349" s="10" t="inlineStr">
        <is>
          <t>97430</t>
        </is>
      </c>
      <c r="AI349" s="10" t="n"/>
      <c r="AJ349" s="10" t="inlineStr">
        <is>
          <t>Réunion</t>
        </is>
      </c>
      <c r="AK349" s="16" t="n">
        <v>3</v>
      </c>
      <c r="AL349" s="10" t="n"/>
      <c r="AM349" s="10" t="inlineStr">
        <is>
          <t>Non</t>
        </is>
      </c>
      <c r="AN349" s="10" t="inlineStr">
        <is>
          <t>Vehicule très propre complet clim neuve Vehicule d'origine Boite 6 167cv Jante neuve turini</t>
        </is>
      </c>
      <c r="AO349" s="10" t="inlineStr">
        <is>
          <t>vehicle_technical_inspection_valid : Oui ; Contrôle technique : 2028 ; Dommages : Excellent état (proche du neuf) ; Sellerie : Alcantara, Cuir partiel ; Permis : Avec permis ; Importé : false</t>
        </is>
      </c>
      <c r="AP349" s="19" t="inlineStr">
        <is>
          <t>Voir</t>
        </is>
      </c>
      <c r="AQ349" s="10" t="inlineStr">
        <is>
          <t>3261609180</t>
        </is>
      </c>
    </row>
    <row r="350">
      <c r="A350" s="10" t="inlineStr">
        <is>
          <t>Peugeot 306 S16</t>
        </is>
      </c>
      <c r="B350" s="10" t="inlineStr">
        <is>
          <t>Peugeot 306 S16 155Ch</t>
        </is>
      </c>
      <c r="C350" s="10" t="n"/>
      <c r="D350" s="10" t="n"/>
      <c r="E350" s="10" t="inlineStr">
        <is>
          <t>En vente</t>
        </is>
      </c>
      <c r="F350" s="18" t="n">
        <v>46267</v>
      </c>
      <c r="G350" s="18" t="n">
        <v>46267</v>
      </c>
      <c r="H350" s="18" t="n">
        <v>46310</v>
      </c>
      <c r="I350" s="18" t="n"/>
      <c r="J350" s="17">
        <f>IF(OR(ISNUMBER(F350),ISNUMBER(G350)),IF(ISNUMBER(I350),I350,H350)-IF(ISNUMBER(F350),F350,G350),"")</f>
        <v/>
      </c>
      <c r="K350" s="12" t="n">
        <v>7800</v>
      </c>
      <c r="L350" s="12" t="n">
        <v>7800</v>
      </c>
      <c r="M350" s="13">
        <f>IF(AND(ISNUMBER(K350),ISNUMBER(L350),K350&gt;0),1-L350/K350,"")</f>
        <v/>
      </c>
      <c r="N350" s="16" t="n">
        <v>0</v>
      </c>
      <c r="O350" s="12" t="n"/>
      <c r="P350" s="12" t="n"/>
      <c r="Q350" s="12" t="n"/>
      <c r="R350" s="14">
        <f>IF(AND(ISNUMBER(L350),ISNUMBER(P350),ISNUMBER(Q350)),L350/((P350+Q350)/2)-1,"")</f>
        <v/>
      </c>
      <c r="S350" s="10" t="n"/>
      <c r="T350" s="15" t="n">
        <v>132723</v>
      </c>
      <c r="U350" s="16" t="n">
        <v>1994</v>
      </c>
      <c r="V350" s="10" t="inlineStr">
        <is>
          <t>12/1994</t>
        </is>
      </c>
      <c r="W350" s="10" t="inlineStr">
        <is>
          <t>Essence</t>
        </is>
      </c>
      <c r="X350" s="10" t="inlineStr">
        <is>
          <t>Manuelle</t>
        </is>
      </c>
      <c r="Y350" s="16" t="n">
        <v>155</v>
      </c>
      <c r="Z350" s="16" t="n">
        <v>11</v>
      </c>
      <c r="AA350" s="10" t="inlineStr">
        <is>
          <t>Noir</t>
        </is>
      </c>
      <c r="AB350" s="16" t="n">
        <v>3</v>
      </c>
      <c r="AC350" s="10" t="inlineStr">
        <is>
          <t>Coupé</t>
        </is>
      </c>
      <c r="AD350" s="10" t="n"/>
      <c r="AE350" s="10" t="n"/>
      <c r="AF350" s="10" t="inlineStr">
        <is>
          <t>Particulier</t>
        </is>
      </c>
      <c r="AG350" s="10" t="inlineStr">
        <is>
          <t>Villers-Cotterêts</t>
        </is>
      </c>
      <c r="AH350" s="10" t="inlineStr">
        <is>
          <t>02600</t>
        </is>
      </c>
      <c r="AI350" s="10" t="inlineStr">
        <is>
          <t>Aisne</t>
        </is>
      </c>
      <c r="AJ350" s="10" t="inlineStr">
        <is>
          <t>Picardie</t>
        </is>
      </c>
      <c r="AK350" s="16" t="n">
        <v>3</v>
      </c>
      <c r="AL350" s="10" t="n"/>
      <c r="AM350" s="10" t="inlineStr">
        <is>
          <t>Non</t>
        </is>
      </c>
      <c r="AN350" s="10" t="inlineStr">
        <is>
          <t>Conversation uniquement par tél de vive voix, ne répond PAS aux MAILS ni aux SMS et pour ceux qui ne savent pas lire une annonce, pas de temps à perdre, laisser tomber Peugeot 306 S16 155CH du 12/12/94 mod 95, 13273km d'origine, noir, SANS MOTEUR ou a voir, FC, VE, DA, Clim, ABS, Cuir, Airbags, Volant réglable, Alarme + Codacar, Rabaissé PTS performance, Frein BT6 167ch, Durite Aviation, Jtes 17 p, Pot Remus, Glastint, Rétro M3 Carmania, Pédalier PLS, Volant Sparco, Pommeau Momo, Calandre et cap</t>
        </is>
      </c>
      <c r="AO350" s="10" t="inlineStr">
        <is>
          <t>Sellerie : Tout cuir ; Permis : Avec permis ; Importé : false</t>
        </is>
      </c>
      <c r="AP350" s="19" t="inlineStr">
        <is>
          <t>Voir</t>
        </is>
      </c>
      <c r="AQ350" s="10" t="inlineStr">
        <is>
          <t>3261852437</t>
        </is>
      </c>
    </row>
    <row r="351">
      <c r="A351" s="10" t="inlineStr">
        <is>
          <t>Peugeot 306 S16</t>
        </is>
      </c>
      <c r="B351" s="10" t="inlineStr">
        <is>
          <t>306 xsi swap TCT</t>
        </is>
      </c>
      <c r="C351" s="10" t="n"/>
      <c r="D351" s="10" t="n"/>
      <c r="E351" s="10" t="inlineStr">
        <is>
          <t>En vente</t>
        </is>
      </c>
      <c r="F351" s="18" t="n">
        <v>46276</v>
      </c>
      <c r="G351" s="18" t="n">
        <v>46276</v>
      </c>
      <c r="H351" s="18" t="n">
        <v>46310</v>
      </c>
      <c r="I351" s="18" t="n"/>
      <c r="J351" s="17">
        <f>IF(OR(ISNUMBER(F351),ISNUMBER(G351)),IF(ISNUMBER(I351),I351,H351)-IF(ISNUMBER(F351),F351,G351),"")</f>
        <v/>
      </c>
      <c r="K351" s="12" t="n">
        <v>3500</v>
      </c>
      <c r="L351" s="12" t="n">
        <v>3500</v>
      </c>
      <c r="M351" s="13">
        <f>IF(AND(ISNUMBER(K351),ISNUMBER(L351),K351&gt;0),1-L351/K351,"")</f>
        <v/>
      </c>
      <c r="N351" s="16" t="n">
        <v>0</v>
      </c>
      <c r="O351" s="12" t="n"/>
      <c r="P351" s="12" t="n"/>
      <c r="Q351" s="12" t="n"/>
      <c r="R351" s="14">
        <f>IF(AND(ISNUMBER(L351),ISNUMBER(P351),ISNUMBER(Q351)),L351/((P351+Q351)/2)-1,"")</f>
        <v/>
      </c>
      <c r="S351" s="10" t="n"/>
      <c r="T351" s="15" t="n">
        <v>240000</v>
      </c>
      <c r="U351" s="16" t="n">
        <v>1996</v>
      </c>
      <c r="V351" s="10" t="inlineStr">
        <is>
          <t>03/1996</t>
        </is>
      </c>
      <c r="W351" s="10" t="inlineStr">
        <is>
          <t>Essence</t>
        </is>
      </c>
      <c r="X351" s="10" t="inlineStr">
        <is>
          <t>Manuelle</t>
        </is>
      </c>
      <c r="Y351" s="16" t="n">
        <v>122</v>
      </c>
      <c r="Z351" s="16" t="n">
        <v>10</v>
      </c>
      <c r="AA351" s="10" t="inlineStr">
        <is>
          <t>Autre</t>
        </is>
      </c>
      <c r="AB351" s="16" t="n">
        <v>5</v>
      </c>
      <c r="AC351" s="10" t="inlineStr">
        <is>
          <t>Berline</t>
        </is>
      </c>
      <c r="AD351" s="10" t="n"/>
      <c r="AE351" s="10" t="n"/>
      <c r="AF351" s="10" t="inlineStr">
        <is>
          <t>Particulier</t>
        </is>
      </c>
      <c r="AG351" s="10" t="inlineStr">
        <is>
          <t>Les Angles</t>
        </is>
      </c>
      <c r="AH351" s="10" t="inlineStr">
        <is>
          <t>30133</t>
        </is>
      </c>
      <c r="AI351" s="10" t="inlineStr">
        <is>
          <t>Gard</t>
        </is>
      </c>
      <c r="AJ351" s="10" t="inlineStr">
        <is>
          <t>Languedoc-Roussillon</t>
        </is>
      </c>
      <c r="AK351" s="16" t="n">
        <v>3</v>
      </c>
      <c r="AL351" s="10" t="n"/>
      <c r="AM351" s="10" t="inlineStr">
        <is>
          <t>Non</t>
        </is>
      </c>
      <c r="AN351" s="10" t="inlineStr">
        <is>
          <t>Bonjour je vend ma 306 swap TCT La caisse est une XSI 122cv phase 1.2 Turbo autotech 2871 gen2 à roulement Collecteur type bélier en inox Injecteurs siemens deka 630cc Vis de culasse en 12.9 Joint de culasse de 306 S16 en métal(moins de 500km) Pompe dans le réserve AEM320l/h + pompe externe 340L/H spécial e85 montée en mai de cette année Réservoir tampon OBP Embrayage 4 patins SFA de gt2i avec VM de 405 MI16 (tres léger) Échangeur en façade circuit de sural soudé (un minimum de manchon en silico</t>
        </is>
      </c>
      <c r="AO351" s="10" t="inlineStr">
        <is>
          <t>Permis : Avec permis ; Importé : false</t>
        </is>
      </c>
      <c r="AP351" s="19" t="inlineStr">
        <is>
          <t>Voir</t>
        </is>
      </c>
      <c r="AQ351" s="10" t="inlineStr">
        <is>
          <t>3267746572</t>
        </is>
      </c>
    </row>
    <row r="352">
      <c r="A352" s="10" t="inlineStr">
        <is>
          <t>Peugeot 306 S16</t>
        </is>
      </c>
      <c r="B352" s="10" t="inlineStr">
        <is>
          <t>306 s16 bv6</t>
        </is>
      </c>
      <c r="C352" s="10" t="n"/>
      <c r="D352" s="10" t="n"/>
      <c r="E352" s="10" t="inlineStr">
        <is>
          <t>En vente</t>
        </is>
      </c>
      <c r="F352" s="18" t="n">
        <v>46280</v>
      </c>
      <c r="G352" s="18" t="n">
        <v>46280</v>
      </c>
      <c r="H352" s="18" t="n">
        <v>46310</v>
      </c>
      <c r="I352" s="18" t="n"/>
      <c r="J352" s="17">
        <f>IF(OR(ISNUMBER(F352),ISNUMBER(G352)),IF(ISNUMBER(I352),I352,H352)-IF(ISNUMBER(F352),F352,G352),"")</f>
        <v/>
      </c>
      <c r="K352" s="12" t="n">
        <v>10000</v>
      </c>
      <c r="L352" s="12" t="n">
        <v>10000</v>
      </c>
      <c r="M352" s="13">
        <f>IF(AND(ISNUMBER(K352),ISNUMBER(L352),K352&gt;0),1-L352/K352,"")</f>
        <v/>
      </c>
      <c r="N352" s="16" t="n">
        <v>0</v>
      </c>
      <c r="O352" s="12" t="n"/>
      <c r="P352" s="12" t="n"/>
      <c r="Q352" s="12" t="n"/>
      <c r="R352" s="14">
        <f>IF(AND(ISNUMBER(L352),ISNUMBER(P352),ISNUMBER(Q352)),L352/((P352+Q352)/2)-1,"")</f>
        <v/>
      </c>
      <c r="S352" s="10" t="n"/>
      <c r="T352" s="15" t="n">
        <v>210000</v>
      </c>
      <c r="U352" s="16" t="n">
        <v>2000</v>
      </c>
      <c r="V352" s="10" t="inlineStr">
        <is>
          <t>12/2000</t>
        </is>
      </c>
      <c r="W352" s="10" t="inlineStr">
        <is>
          <t>Essence</t>
        </is>
      </c>
      <c r="X352" s="10" t="inlineStr">
        <is>
          <t>Manuelle</t>
        </is>
      </c>
      <c r="Y352" s="16" t="n">
        <v>167</v>
      </c>
      <c r="Z352" s="16" t="n">
        <v>11</v>
      </c>
      <c r="AA352" s="10" t="inlineStr">
        <is>
          <t>Autre</t>
        </is>
      </c>
      <c r="AB352" s="16" t="n">
        <v>3</v>
      </c>
      <c r="AC352" s="10" t="inlineStr">
        <is>
          <t>Berline</t>
        </is>
      </c>
      <c r="AD352" s="10" t="n"/>
      <c r="AE352" s="10" t="n"/>
      <c r="AF352" s="10" t="inlineStr">
        <is>
          <t>Particulier</t>
        </is>
      </c>
      <c r="AG352" s="10" t="inlineStr">
        <is>
          <t>Losne</t>
        </is>
      </c>
      <c r="AH352" s="10" t="inlineStr">
        <is>
          <t>21170</t>
        </is>
      </c>
      <c r="AI352" s="10" t="inlineStr">
        <is>
          <t>Côte-d'Or</t>
        </is>
      </c>
      <c r="AJ352" s="10" t="inlineStr">
        <is>
          <t>Bourgogne</t>
        </is>
      </c>
      <c r="AK352" s="16" t="n">
        <v>2</v>
      </c>
      <c r="AL352" s="10" t="n"/>
      <c r="AM352" s="10" t="inlineStr">
        <is>
          <t>Non</t>
        </is>
      </c>
      <c r="AN352" s="10" t="inlineStr">
        <is>
          <t>vend 306 s16 bv6 probleme moteur claquement 4 amortisseurs via rouge neuf voiture equiper gpl manque reservoir gpl faire offre serieuse</t>
        </is>
      </c>
      <c r="AO352" s="10" t="inlineStr">
        <is>
          <t>vehicle_technical_inspection_valid : Non ; Permis : Avec permis ; Importé : false</t>
        </is>
      </c>
      <c r="AP352" s="19" t="inlineStr">
        <is>
          <t>Voir</t>
        </is>
      </c>
      <c r="AQ352" s="10" t="inlineStr">
        <is>
          <t>3270051665</t>
        </is>
      </c>
    </row>
    <row r="353">
      <c r="A353" s="10" t="inlineStr">
        <is>
          <t>Peugeot 306 S16</t>
        </is>
      </c>
      <c r="B353" s="10" t="inlineStr">
        <is>
          <t>306 s16 167cv</t>
        </is>
      </c>
      <c r="C353" s="10" t="n"/>
      <c r="D353" s="10" t="n"/>
      <c r="E353" s="10" t="inlineStr">
        <is>
          <t>En vente</t>
        </is>
      </c>
      <c r="F353" s="18" t="n">
        <v>46280</v>
      </c>
      <c r="G353" s="18" t="n">
        <v>46280</v>
      </c>
      <c r="H353" s="18" t="n">
        <v>46310</v>
      </c>
      <c r="I353" s="18" t="n"/>
      <c r="J353" s="17">
        <f>IF(OR(ISNUMBER(F353),ISNUMBER(G353)),IF(ISNUMBER(I353),I353,H353)-IF(ISNUMBER(F353),F353,G353),"")</f>
        <v/>
      </c>
      <c r="K353" s="12" t="n">
        <v>8000</v>
      </c>
      <c r="L353" s="12" t="n">
        <v>8000</v>
      </c>
      <c r="M353" s="13">
        <f>IF(AND(ISNUMBER(K353),ISNUMBER(L353),K353&gt;0),1-L353/K353,"")</f>
        <v/>
      </c>
      <c r="N353" s="16" t="n">
        <v>0</v>
      </c>
      <c r="O353" s="12" t="n"/>
      <c r="P353" s="12" t="n"/>
      <c r="Q353" s="12" t="n"/>
      <c r="R353" s="14">
        <f>IF(AND(ISNUMBER(L353),ISNUMBER(P353),ISNUMBER(Q353)),L353/((P353+Q353)/2)-1,"")</f>
        <v/>
      </c>
      <c r="S353" s="10" t="n"/>
      <c r="T353" s="15" t="n">
        <v>164000</v>
      </c>
      <c r="U353" s="16" t="n">
        <v>1997</v>
      </c>
      <c r="V353" s="10" t="inlineStr">
        <is>
          <t>10/1997</t>
        </is>
      </c>
      <c r="W353" s="10" t="inlineStr">
        <is>
          <t>Essence</t>
        </is>
      </c>
      <c r="X353" s="10" t="inlineStr">
        <is>
          <t>Manuelle</t>
        </is>
      </c>
      <c r="Y353" s="16" t="n">
        <v>167</v>
      </c>
      <c r="Z353" s="16" t="n">
        <v>11</v>
      </c>
      <c r="AA353" s="10" t="inlineStr">
        <is>
          <t>Noir</t>
        </is>
      </c>
      <c r="AB353" s="16" t="n">
        <v>3</v>
      </c>
      <c r="AC353" s="10" t="inlineStr">
        <is>
          <t>Berline</t>
        </is>
      </c>
      <c r="AD353" s="10" t="inlineStr">
        <is>
          <t>Véhicule non fumeur</t>
        </is>
      </c>
      <c r="AE353" s="10" t="n"/>
      <c r="AF353" s="10" t="inlineStr">
        <is>
          <t>Particulier</t>
        </is>
      </c>
      <c r="AG353" s="10" t="inlineStr">
        <is>
          <t>Noeux-les-Mines</t>
        </is>
      </c>
      <c r="AH353" s="10" t="inlineStr">
        <is>
          <t>62290</t>
        </is>
      </c>
      <c r="AI353" s="10" t="inlineStr">
        <is>
          <t>Pas-de-Calais</t>
        </is>
      </c>
      <c r="AJ353" s="10" t="inlineStr">
        <is>
          <t>Nord-Pas-de-Calais</t>
        </is>
      </c>
      <c r="AK353" s="16" t="n">
        <v>3</v>
      </c>
      <c r="AL353" s="10" t="n"/>
      <c r="AM353" s="10" t="inlineStr">
        <is>
          <t>Non</t>
        </is>
      </c>
      <c r="AN353" s="10" t="inlineStr">
        <is>
          <t>306 s16 bv6 167 cv Frein avant 406 v6 flexibles aviation Disque rainuré percé 307 Frein arrière 0MP Flexible aviation arrière Distribution ok Plus d info par sms Les jantes pour la vente seront des 307 17 pouces</t>
        </is>
      </c>
      <c r="AO353" s="10" t="inlineStr">
        <is>
          <t>Dommages : Bon état général ; Équipements intérieurs : Climatisation, Essuie-glaces automatiques, Jantes en alliage, Roue de secours, Siège arrière rabattable, Siège réglable en hauteur, Toit ouvrant / Toit panoramique, Volant réglable en hauteur ; Permis : Avec permis ; Importé : false</t>
        </is>
      </c>
      <c r="AP353" s="19" t="inlineStr">
        <is>
          <t>Voir</t>
        </is>
      </c>
      <c r="AQ353" s="10" t="inlineStr">
        <is>
          <t>3270125349</t>
        </is>
      </c>
    </row>
    <row r="354">
      <c r="A354" s="10" t="inlineStr">
        <is>
          <t>Peugeot 306 S16</t>
        </is>
      </c>
      <c r="B354" s="10" t="inlineStr">
        <is>
          <t>Peugeot 306 s16 bv6</t>
        </is>
      </c>
      <c r="C354" s="10" t="inlineStr">
        <is>
          <t>306 2.0 S16 Pack Premium BV6 3p</t>
        </is>
      </c>
      <c r="D354" s="10" t="inlineStr">
        <is>
          <t>S16 Pack Premium</t>
        </is>
      </c>
      <c r="E354" s="10" t="inlineStr">
        <is>
          <t>En vente</t>
        </is>
      </c>
      <c r="F354" s="18" t="n">
        <v>46281</v>
      </c>
      <c r="G354" s="18" t="n">
        <v>46281</v>
      </c>
      <c r="H354" s="18" t="n">
        <v>46310</v>
      </c>
      <c r="I354" s="18" t="n"/>
      <c r="J354" s="17">
        <f>IF(OR(ISNUMBER(F354),ISNUMBER(G354)),IF(ISNUMBER(I354),I354,H354)-IF(ISNUMBER(F354),F354,G354),"")</f>
        <v/>
      </c>
      <c r="K354" s="12" t="n">
        <v>15000</v>
      </c>
      <c r="L354" s="12" t="n">
        <v>15000</v>
      </c>
      <c r="M354" s="13">
        <f>IF(AND(ISNUMBER(K354),ISNUMBER(L354),K354&gt;0),1-L354/K354,"")</f>
        <v/>
      </c>
      <c r="N354" s="16" t="n">
        <v>0</v>
      </c>
      <c r="O354" s="12" t="n"/>
      <c r="P354" s="12" t="n"/>
      <c r="Q354" s="12" t="n"/>
      <c r="R354" s="14">
        <f>IF(AND(ISNUMBER(L354),ISNUMBER(P354),ISNUMBER(Q354)),L354/((P354+Q354)/2)-1,"")</f>
        <v/>
      </c>
      <c r="S354" s="10" t="n"/>
      <c r="T354" s="15" t="n">
        <v>217600</v>
      </c>
      <c r="U354" s="16" t="n">
        <v>1997</v>
      </c>
      <c r="V354" s="10" t="inlineStr">
        <is>
          <t>08/1997</t>
        </is>
      </c>
      <c r="W354" s="10" t="inlineStr">
        <is>
          <t>Essence</t>
        </is>
      </c>
      <c r="X354" s="10" t="inlineStr">
        <is>
          <t>Manuelle</t>
        </is>
      </c>
      <c r="Y354" s="16" t="n">
        <v>167</v>
      </c>
      <c r="Z354" s="16" t="n">
        <v>11</v>
      </c>
      <c r="AA354" s="10" t="inlineStr">
        <is>
          <t>Gris</t>
        </is>
      </c>
      <c r="AB354" s="16" t="n">
        <v>3</v>
      </c>
      <c r="AC354" s="10" t="inlineStr">
        <is>
          <t>Berline</t>
        </is>
      </c>
      <c r="AD354" s="10" t="inlineStr">
        <is>
          <t>Factures disponibles, Véhicule non fumeur, Réparations utiles déjà faites</t>
        </is>
      </c>
      <c r="AE354" s="10" t="n"/>
      <c r="AF354" s="10" t="inlineStr">
        <is>
          <t>Particulier</t>
        </is>
      </c>
      <c r="AG354" s="10" t="inlineStr">
        <is>
          <t>Audincthun</t>
        </is>
      </c>
      <c r="AH354" s="10" t="inlineStr">
        <is>
          <t>62560</t>
        </is>
      </c>
      <c r="AI354" s="10" t="inlineStr">
        <is>
          <t>Pas-de-Calais</t>
        </is>
      </c>
      <c r="AJ354" s="10" t="inlineStr">
        <is>
          <t>Nord-Pas-de-Calais</t>
        </is>
      </c>
      <c r="AK354" s="16" t="n">
        <v>3</v>
      </c>
      <c r="AL354" s="10" t="n"/>
      <c r="AM354" s="10" t="inlineStr">
        <is>
          <t>Non</t>
        </is>
      </c>
      <c r="AN354" s="10" t="inlineStr">
        <is>
          <t>Bonjour Vends Peugeot 306 s16 boîte 6 d’août 1997 217600 km Points négatifs: -carrosserie qui a son âge , elle est de 1997 pas repeinte et ancienne voiture de ville -Clim qui présente une fuite(mais compresseur changé) -je n’ai pas la boîte à air d’origine Point positifs: -3700 euros de factures disponibles prouvant : Culasse remise à neuf 16 soupapes guides,joints de queues Segmentation neuve Distribution neuve Joint de culasse neuf Radiateur neuf Calorstat pmh biellettes de commande de boîte é</t>
        </is>
      </c>
      <c r="AO354" s="10" t="inlineStr">
        <is>
          <t>Dommages : Bon état général ; Sellerie : Cuir partiel, Tissu ; Équipements intérieurs : Alarme antivol, Climatisation, Essuie-glaces automatiques, Jantes en alliage, Phares anti-brouillard, Roue de secours, Rétroviseurs dégivrants, Siège arrière rabattable, Siège réglable en hauteur, Sièges sport, Volant réglable en hauteur ; Permis : Avec permis ; Importé : false</t>
        </is>
      </c>
      <c r="AP354" s="19" t="inlineStr">
        <is>
          <t>Voir</t>
        </is>
      </c>
      <c r="AQ354" s="10" t="inlineStr">
        <is>
          <t>3271090302</t>
        </is>
      </c>
    </row>
    <row r="355">
      <c r="A355" s="10" t="inlineStr">
        <is>
          <t>Peugeot 306 S16</t>
        </is>
      </c>
      <c r="B355" s="10" t="inlineStr">
        <is>
          <t>306 s16 Bv6</t>
        </is>
      </c>
      <c r="C355" s="10" t="inlineStr">
        <is>
          <t>S16_306 2.0 S16 BV6 3p</t>
        </is>
      </c>
      <c r="D355" s="10" t="inlineStr">
        <is>
          <t>S16</t>
        </is>
      </c>
      <c r="E355" s="10" t="inlineStr">
        <is>
          <t>En vente</t>
        </is>
      </c>
      <c r="F355" s="18" t="n">
        <v>46283</v>
      </c>
      <c r="G355" s="18" t="n">
        <v>46283</v>
      </c>
      <c r="H355" s="18" t="n">
        <v>46310</v>
      </c>
      <c r="I355" s="18" t="n"/>
      <c r="J355" s="17">
        <f>IF(OR(ISNUMBER(F355),ISNUMBER(G355)),IF(ISNUMBER(I355),I355,H355)-IF(ISNUMBER(F355),F355,G355),"")</f>
        <v/>
      </c>
      <c r="K355" s="12" t="n">
        <v>26800</v>
      </c>
      <c r="L355" s="12" t="n">
        <v>26800</v>
      </c>
      <c r="M355" s="13">
        <f>IF(AND(ISNUMBER(K355),ISNUMBER(L355),K355&gt;0),1-L355/K355,"")</f>
        <v/>
      </c>
      <c r="N355" s="16" t="n">
        <v>0</v>
      </c>
      <c r="O355" s="12" t="n"/>
      <c r="P355" s="12" t="n"/>
      <c r="Q355" s="12" t="n"/>
      <c r="R355" s="14">
        <f>IF(AND(ISNUMBER(L355),ISNUMBER(P355),ISNUMBER(Q355)),L355/((P355+Q355)/2)-1,"")</f>
        <v/>
      </c>
      <c r="S355" s="10" t="n"/>
      <c r="T355" s="15" t="n">
        <v>74000</v>
      </c>
      <c r="U355" s="16" t="n">
        <v>1999</v>
      </c>
      <c r="V355" s="10" t="inlineStr">
        <is>
          <t>09/1999</t>
        </is>
      </c>
      <c r="W355" s="10" t="inlineStr">
        <is>
          <t>Essence</t>
        </is>
      </c>
      <c r="X355" s="10" t="inlineStr">
        <is>
          <t>Manuelle</t>
        </is>
      </c>
      <c r="Y355" s="16" t="n">
        <v>167</v>
      </c>
      <c r="Z355" s="16" t="n">
        <v>11</v>
      </c>
      <c r="AA355" s="10" t="inlineStr">
        <is>
          <t>Gris</t>
        </is>
      </c>
      <c r="AB355" s="16" t="n">
        <v>3</v>
      </c>
      <c r="AC355" s="10" t="inlineStr">
        <is>
          <t>Berline</t>
        </is>
      </c>
      <c r="AD355" s="10" t="n"/>
      <c r="AE355" s="10" t="n"/>
      <c r="AF355" s="10" t="inlineStr">
        <is>
          <t>Particulier</t>
        </is>
      </c>
      <c r="AG355" s="10" t="inlineStr">
        <is>
          <t>Riom</t>
        </is>
      </c>
      <c r="AH355" s="10" t="inlineStr">
        <is>
          <t>63200</t>
        </is>
      </c>
      <c r="AI355" s="10" t="inlineStr">
        <is>
          <t>Puy-de-Dôme</t>
        </is>
      </c>
      <c r="AJ355" s="10" t="inlineStr">
        <is>
          <t>Auvergne</t>
        </is>
      </c>
      <c r="AK355" s="16" t="n">
        <v>3</v>
      </c>
      <c r="AL355" s="10" t="n"/>
      <c r="AM355" s="10" t="inlineStr">
        <is>
          <t>Non</t>
        </is>
      </c>
      <c r="AN355" s="10" t="inlineStr">
        <is>
          <t>306 s16 bv6 Première main Facture d'achat du véhicule en ma possession avec tout l'historique Fait le 19 août 2026: Distribution pompe à eau Vidange moteur + filtre Filtre à air Filtre essence 4 pneus neuf Disques et plaquettes avant et arrière Tout d'origine à part le silencieux Contrôle technique moins de 6 mois Pour tous renseignements me contacter uniquement par téléphone merci .</t>
        </is>
      </c>
      <c r="AO355" s="10" t="inlineStr">
        <is>
          <t>Dommages : Excellent état (proche du neuf) ; Permis : Avec permis ; Importé : false ; vehicle_history_report_status : visible</t>
        </is>
      </c>
      <c r="AP355" s="19" t="inlineStr">
        <is>
          <t>Voir</t>
        </is>
      </c>
      <c r="AQ355" s="10" t="inlineStr">
        <is>
          <t>3272177449</t>
        </is>
      </c>
    </row>
    <row r="356">
      <c r="A356" s="10" t="inlineStr">
        <is>
          <t>Peugeot 306 S16</t>
        </is>
      </c>
      <c r="B356" s="10" t="inlineStr">
        <is>
          <t>Peugeot 306 s16</t>
        </is>
      </c>
      <c r="C356" s="10" t="n"/>
      <c r="D356" s="10" t="n"/>
      <c r="E356" s="10" t="inlineStr">
        <is>
          <t>En vente</t>
        </is>
      </c>
      <c r="F356" s="18" t="n">
        <v>46284</v>
      </c>
      <c r="G356" s="18" t="n">
        <v>46284</v>
      </c>
      <c r="H356" s="18" t="n">
        <v>46310</v>
      </c>
      <c r="I356" s="18" t="n"/>
      <c r="J356" s="17">
        <f>IF(OR(ISNUMBER(F356),ISNUMBER(G356)),IF(ISNUMBER(I356),I356,H356)-IF(ISNUMBER(F356),F356,G356),"")</f>
        <v/>
      </c>
      <c r="K356" s="12" t="n">
        <v>9000</v>
      </c>
      <c r="L356" s="12" t="n">
        <v>9000</v>
      </c>
      <c r="M356" s="13">
        <f>IF(AND(ISNUMBER(K356),ISNUMBER(L356),K356&gt;0),1-L356/K356,"")</f>
        <v/>
      </c>
      <c r="N356" s="16" t="n">
        <v>0</v>
      </c>
      <c r="O356" s="12" t="n"/>
      <c r="P356" s="12" t="n"/>
      <c r="Q356" s="12" t="n"/>
      <c r="R356" s="14">
        <f>IF(AND(ISNUMBER(L356),ISNUMBER(P356),ISNUMBER(Q356)),L356/((P356+Q356)/2)-1,"")</f>
        <v/>
      </c>
      <c r="S356" s="10" t="n"/>
      <c r="T356" s="15" t="n">
        <v>191000</v>
      </c>
      <c r="U356" s="16" t="n">
        <v>1996</v>
      </c>
      <c r="V356" s="10" t="inlineStr">
        <is>
          <t>06/1996</t>
        </is>
      </c>
      <c r="W356" s="10" t="inlineStr">
        <is>
          <t>Essence</t>
        </is>
      </c>
      <c r="X356" s="10" t="inlineStr">
        <is>
          <t>Manuelle</t>
        </is>
      </c>
      <c r="Y356" s="16" t="n">
        <v>155</v>
      </c>
      <c r="Z356" s="16" t="n">
        <v>11</v>
      </c>
      <c r="AA356" s="10" t="inlineStr">
        <is>
          <t>Rouge</t>
        </is>
      </c>
      <c r="AB356" s="16" t="n">
        <v>3</v>
      </c>
      <c r="AC356" s="10" t="inlineStr">
        <is>
          <t>Berline</t>
        </is>
      </c>
      <c r="AD356" s="10" t="n"/>
      <c r="AE356" s="10" t="n"/>
      <c r="AF356" s="10" t="inlineStr">
        <is>
          <t>Particulier</t>
        </is>
      </c>
      <c r="AG356" s="10" t="inlineStr">
        <is>
          <t>Besançon</t>
        </is>
      </c>
      <c r="AH356" s="10" t="inlineStr">
        <is>
          <t>25000</t>
        </is>
      </c>
      <c r="AI356" s="10" t="inlineStr">
        <is>
          <t>Doubs</t>
        </is>
      </c>
      <c r="AJ356" s="10" t="inlineStr">
        <is>
          <t>Franche-Comté</t>
        </is>
      </c>
      <c r="AK356" s="16" t="n">
        <v>3</v>
      </c>
      <c r="AL356" s="10" t="n"/>
      <c r="AM356" s="10" t="inlineStr">
        <is>
          <t>Non</t>
        </is>
      </c>
      <c r="AN356" s="10" t="inlineStr">
        <is>
          <t>À vendre Peugeot 306 S16 155 ch. La voiture est mécaniquement suivie et plusieurs frais récents ont été réalisés : * Vidange moteur récente * Tous les filtres remplacés * Bougies neuves * Amortisseurs arrière neufs * Contrôle technique OK de moins de 6 mois réaliser * Aucune trace de rouille voiture extrêmement saine La carrosserie est à revoir par endroits, ce qui reste cohérent avec l’âge du véhicule. Elle présente quelques défauts esthétiques, mais la voiture reste une bonne base pour quelqu’</t>
        </is>
      </c>
      <c r="AO356" s="10" t="inlineStr">
        <is>
          <t>Permis : Avec permis ; Importé : false</t>
        </is>
      </c>
      <c r="AP356" s="19" t="inlineStr">
        <is>
          <t>Voir</t>
        </is>
      </c>
      <c r="AQ356" s="10" t="inlineStr">
        <is>
          <t>3272423201</t>
        </is>
      </c>
    </row>
    <row r="357">
      <c r="A357" s="10" t="inlineStr">
        <is>
          <t>Peugeot 306 S16</t>
        </is>
      </c>
      <c r="B357" s="10" t="inlineStr">
        <is>
          <t>306 S16 phase 1 BV6 / 167 cv</t>
        </is>
      </c>
      <c r="C357" s="10" t="n"/>
      <c r="D357" s="10" t="n"/>
      <c r="E357" s="10" t="inlineStr">
        <is>
          <t>En vente</t>
        </is>
      </c>
      <c r="F357" s="18" t="n">
        <v>46284</v>
      </c>
      <c r="G357" s="18" t="n">
        <v>46284</v>
      </c>
      <c r="H357" s="18" t="n">
        <v>46310</v>
      </c>
      <c r="I357" s="18" t="n"/>
      <c r="J357" s="17">
        <f>IF(OR(ISNUMBER(F357),ISNUMBER(G357)),IF(ISNUMBER(I357),I357,H357)-IF(ISNUMBER(F357),F357,G357),"")</f>
        <v/>
      </c>
      <c r="K357" s="12" t="n">
        <v>6800</v>
      </c>
      <c r="L357" s="12" t="n">
        <v>6800</v>
      </c>
      <c r="M357" s="13">
        <f>IF(AND(ISNUMBER(K357),ISNUMBER(L357),K357&gt;0),1-L357/K357,"")</f>
        <v/>
      </c>
      <c r="N357" s="16" t="n">
        <v>0</v>
      </c>
      <c r="O357" s="12" t="n"/>
      <c r="P357" s="12" t="n"/>
      <c r="Q357" s="12" t="n"/>
      <c r="R357" s="14">
        <f>IF(AND(ISNUMBER(L357),ISNUMBER(P357),ISNUMBER(Q357)),L357/((P357+Q357)/2)-1,"")</f>
        <v/>
      </c>
      <c r="S357" s="10" t="n"/>
      <c r="T357" s="15" t="n">
        <v>165000</v>
      </c>
      <c r="U357" s="16" t="n">
        <v>1996</v>
      </c>
      <c r="V357" s="10" t="n"/>
      <c r="W357" s="10" t="inlineStr">
        <is>
          <t>Essence</t>
        </is>
      </c>
      <c r="X357" s="10" t="inlineStr">
        <is>
          <t>Manuelle</t>
        </is>
      </c>
      <c r="Y357" s="16" t="n">
        <v>167</v>
      </c>
      <c r="Z357" s="16" t="n">
        <v>11</v>
      </c>
      <c r="AA357" s="10" t="inlineStr">
        <is>
          <t>Bleu</t>
        </is>
      </c>
      <c r="AB357" s="16" t="n">
        <v>3</v>
      </c>
      <c r="AC357" s="10" t="inlineStr">
        <is>
          <t>Berline</t>
        </is>
      </c>
      <c r="AD357" s="10" t="n"/>
      <c r="AE357" s="10" t="inlineStr">
        <is>
          <t>Véhicule importé</t>
        </is>
      </c>
      <c r="AF357" s="10" t="inlineStr">
        <is>
          <t>Particulier</t>
        </is>
      </c>
      <c r="AG357" s="10" t="inlineStr">
        <is>
          <t>Pithiviers</t>
        </is>
      </c>
      <c r="AH357" s="10" t="inlineStr">
        <is>
          <t>45300</t>
        </is>
      </c>
      <c r="AI357" s="10" t="inlineStr">
        <is>
          <t>Loiret</t>
        </is>
      </c>
      <c r="AJ357" s="10" t="inlineStr">
        <is>
          <t>Centre</t>
        </is>
      </c>
      <c r="AK357" s="16" t="n">
        <v>3</v>
      </c>
      <c r="AL357" s="10" t="n"/>
      <c r="AM357" s="10" t="inlineStr">
        <is>
          <t>Non</t>
        </is>
      </c>
      <c r="AN357" s="10" t="inlineStr">
        <is>
          <t>Vends 306 S16 phase 1 BV6 XU10J4RS 167cv 165000km. Bleu sigma. Intérieur cuir / alcantara. Le véhicule est une version hollandaise. À l’arrêt depuis de nombreuses années au sec. Une remise en route est à prévoir, distribution, vidange, bougies etc etc… Je comptais la refaire, mais je possède plusieurs véhicules, il fallait faire un choix. Peinture refaite il y à plusieurs années, mais mal réalisée. Version hollandaise, donc équipée d’origine des pare-chocs de la griffe. Je possède des pare-chocs</t>
        </is>
      </c>
      <c r="AO357" s="10" t="inlineStr">
        <is>
          <t>Dommages : Bon état général ; Sellerie : Cuir partiel ; Permis : Avec permis ; Importé : false</t>
        </is>
      </c>
      <c r="AP357" s="19" t="inlineStr">
        <is>
          <t>Voir</t>
        </is>
      </c>
      <c r="AQ357" s="10" t="inlineStr">
        <is>
          <t>3272452236</t>
        </is>
      </c>
    </row>
    <row r="358">
      <c r="A358" s="10" t="inlineStr">
        <is>
          <t>Peugeot 306 S16</t>
        </is>
      </c>
      <c r="B358" s="10" t="inlineStr">
        <is>
          <t>306</t>
        </is>
      </c>
      <c r="C358" s="10" t="n"/>
      <c r="D358" s="10" t="n"/>
      <c r="E358" s="10" t="inlineStr">
        <is>
          <t>En vente</t>
        </is>
      </c>
      <c r="F358" s="18" t="n">
        <v>46286</v>
      </c>
      <c r="G358" s="18" t="n">
        <v>46286</v>
      </c>
      <c r="H358" s="18" t="n">
        <v>46310</v>
      </c>
      <c r="I358" s="18" t="n"/>
      <c r="J358" s="17">
        <f>IF(OR(ISNUMBER(F358),ISNUMBER(G358)),IF(ISNUMBER(I358),I358,H358)-IF(ISNUMBER(F358),F358,G358),"")</f>
        <v/>
      </c>
      <c r="K358" s="12" t="n">
        <v>5200</v>
      </c>
      <c r="L358" s="12" t="n">
        <v>5200</v>
      </c>
      <c r="M358" s="13">
        <f>IF(AND(ISNUMBER(K358),ISNUMBER(L358),K358&gt;0),1-L358/K358,"")</f>
        <v/>
      </c>
      <c r="N358" s="16" t="n">
        <v>0</v>
      </c>
      <c r="O358" s="12" t="n"/>
      <c r="P358" s="12" t="n"/>
      <c r="Q358" s="12" t="n"/>
      <c r="R358" s="14">
        <f>IF(AND(ISNUMBER(L358),ISNUMBER(P358),ISNUMBER(Q358)),L358/((P358+Q358)/2)-1,"")</f>
        <v/>
      </c>
      <c r="S358" s="10" t="n"/>
      <c r="T358" s="15" t="n">
        <v>179800</v>
      </c>
      <c r="U358" s="16" t="n">
        <v>1997</v>
      </c>
      <c r="V358" s="10" t="inlineStr">
        <is>
          <t>03/1997</t>
        </is>
      </c>
      <c r="W358" s="10" t="inlineStr">
        <is>
          <t>Essence</t>
        </is>
      </c>
      <c r="X358" s="10" t="inlineStr">
        <is>
          <t>Manuelle</t>
        </is>
      </c>
      <c r="Y358" s="16" t="n">
        <v>75</v>
      </c>
      <c r="Z358" s="16" t="n">
        <v>6</v>
      </c>
      <c r="AA358" s="10" t="inlineStr">
        <is>
          <t>Gris</t>
        </is>
      </c>
      <c r="AB358" s="16" t="n">
        <v>5</v>
      </c>
      <c r="AC358" s="10" t="inlineStr">
        <is>
          <t>Berline</t>
        </is>
      </c>
      <c r="AD358" s="10" t="n"/>
      <c r="AE358" s="10" t="n"/>
      <c r="AF358" s="10" t="inlineStr">
        <is>
          <t>Particulier</t>
        </is>
      </c>
      <c r="AG358" s="10" t="inlineStr">
        <is>
          <t>Yenne</t>
        </is>
      </c>
      <c r="AH358" s="10" t="inlineStr">
        <is>
          <t>73170</t>
        </is>
      </c>
      <c r="AI358" s="10" t="inlineStr">
        <is>
          <t>Savoie</t>
        </is>
      </c>
      <c r="AJ358" s="10" t="inlineStr">
        <is>
          <t>Rhône-Alpes</t>
        </is>
      </c>
      <c r="AK358" s="16" t="n">
        <v>2</v>
      </c>
      <c r="AL358" s="10" t="n"/>
      <c r="AM358" s="10" t="inlineStr">
        <is>
          <t>Non</t>
        </is>
      </c>
      <c r="AN358" s="10" t="inlineStr">
        <is>
          <t>306.14 75cv ( de base ) Swap tu5jp4 1.6s16 de 206 AAC catcam groupe n Poulie catcam réglable Collecteur 4/2/1 inox Injecteur gros débit éthanol Rampe injection modifier Papillon 72mm Bougie iridium 4 électrode Bobine apr Admission sur mesure 70mm Cône bmc Calculateur programmable ecu master ému black Classic Faisceau sur mesure Compteur ( tablette donner direct) Disque brembo rainurer percé 206s16 Étrier 206s16 Maître cylindre 206 s16 Jantes 15 pouces tôles 4 semi slick Cg/ct à jour -6 mois Hési</t>
        </is>
      </c>
      <c r="AO358" s="10" t="inlineStr">
        <is>
          <t>vehicle_technical_inspection_valid : Non ; Dommages : Non endommagé ; Sellerie : Tissu ; Permis : Avec permis ; Importé : false</t>
        </is>
      </c>
      <c r="AP358" s="19" t="inlineStr">
        <is>
          <t>Voir</t>
        </is>
      </c>
      <c r="AQ358" s="10" t="inlineStr">
        <is>
          <t>3273929462</t>
        </is>
      </c>
    </row>
    <row r="359">
      <c r="A359" s="10" t="inlineStr">
        <is>
          <t>Peugeot 306 S16</t>
        </is>
      </c>
      <c r="B359" s="10" t="inlineStr">
        <is>
          <t>Citroën zx 16v</t>
        </is>
      </c>
      <c r="C359" s="10" t="n"/>
      <c r="D359" s="10" t="n"/>
      <c r="E359" s="10" t="inlineStr">
        <is>
          <t>En vente</t>
        </is>
      </c>
      <c r="F359" s="18" t="n">
        <v>46289</v>
      </c>
      <c r="G359" s="18" t="n">
        <v>46289</v>
      </c>
      <c r="H359" s="18" t="n">
        <v>46310</v>
      </c>
      <c r="I359" s="18" t="n"/>
      <c r="J359" s="17">
        <f>IF(OR(ISNUMBER(F359),ISNUMBER(G359)),IF(ISNUMBER(I359),I359,H359)-IF(ISNUMBER(F359),F359,G359),"")</f>
        <v/>
      </c>
      <c r="K359" s="12" t="n">
        <v>8200</v>
      </c>
      <c r="L359" s="12" t="n">
        <v>8200</v>
      </c>
      <c r="M359" s="13">
        <f>IF(AND(ISNUMBER(K359),ISNUMBER(L359),K359&gt;0),1-L359/K359,"")</f>
        <v/>
      </c>
      <c r="N359" s="16" t="n">
        <v>0</v>
      </c>
      <c r="O359" s="12" t="n"/>
      <c r="P359" s="12" t="n"/>
      <c r="Q359" s="12" t="n"/>
      <c r="R359" s="14">
        <f>IF(AND(ISNUMBER(L359),ISNUMBER(P359),ISNUMBER(Q359)),L359/((P359+Q359)/2)-1,"")</f>
        <v/>
      </c>
      <c r="S359" s="10" t="n"/>
      <c r="T359" s="15" t="n">
        <v>239000</v>
      </c>
      <c r="U359" s="16" t="n">
        <v>1997</v>
      </c>
      <c r="V359" s="10" t="inlineStr">
        <is>
          <t>02/1997</t>
        </is>
      </c>
      <c r="W359" s="10" t="inlineStr">
        <is>
          <t>Essence</t>
        </is>
      </c>
      <c r="X359" s="10" t="inlineStr">
        <is>
          <t>Manuelle</t>
        </is>
      </c>
      <c r="Y359" s="16" t="n">
        <v>167</v>
      </c>
      <c r="Z359" s="16" t="n">
        <v>11</v>
      </c>
      <c r="AA359" s="10" t="inlineStr">
        <is>
          <t>Bleu</t>
        </is>
      </c>
      <c r="AB359" s="16" t="n">
        <v>3</v>
      </c>
      <c r="AC359" s="10" t="inlineStr">
        <is>
          <t>Berline</t>
        </is>
      </c>
      <c r="AD359" s="10" t="n"/>
      <c r="AE359" s="10" t="n"/>
      <c r="AF359" s="10" t="inlineStr">
        <is>
          <t>Particulier</t>
        </is>
      </c>
      <c r="AG359" s="10" t="inlineStr">
        <is>
          <t>Venerque</t>
        </is>
      </c>
      <c r="AH359" s="10" t="inlineStr">
        <is>
          <t>31810</t>
        </is>
      </c>
      <c r="AI359" s="10" t="inlineStr">
        <is>
          <t>Haute-Garonne</t>
        </is>
      </c>
      <c r="AJ359" s="10" t="inlineStr">
        <is>
          <t>Midi-Pyrénées</t>
        </is>
      </c>
      <c r="AK359" s="16" t="n">
        <v>3</v>
      </c>
      <c r="AL359" s="10" t="n"/>
      <c r="AM359" s="10" t="inlineStr">
        <is>
          <t>Non</t>
        </is>
      </c>
      <c r="AN359" s="10" t="inlineStr">
        <is>
          <t>Vends suite à l’achat d’une nouvelle voiture je vends ma Citroën Zx 16v 1997 Achetée en 2023 moteur 167ch équivalent Peugeot 306 s16 La voiture a 30 ans Factures d’entretien avec kilométrage liste non exhaustive : Disques et plaquettes avant à 92Mkm Cardan Gauche Droit vidange boîte de vitesse à 113Mkm Disques et plaquettes arrières à 121Km Embrayage à 149Mkm Triangle de suspension à 161Mkm Rotule de direction Bielette à 197Mkm Batterie en 2023 DISTRIBUTION ET VIDANGE fait le 8 Août 2026 CT ok</t>
        </is>
      </c>
      <c r="AO359" s="10" t="inlineStr">
        <is>
          <t>vehicle_technical_inspection_valid : Non ; Permis : Avec permis ; Importé : false ; vehicle_history_teaser_critair : 3 ; vehicle_history_teaser_owners : 7 ; vehicle_history_teaser_expertises : true ; vehicle_history_teaser_special_uses : false ; vehicle_history_teaser_atypical_operations : false ; vehicle_history_teaser_importations : false</t>
        </is>
      </c>
      <c r="AP359" s="19" t="inlineStr">
        <is>
          <t>Voir</t>
        </is>
      </c>
      <c r="AQ359" s="10" t="inlineStr">
        <is>
          <t>3276024169</t>
        </is>
      </c>
    </row>
    <row r="360">
      <c r="A360" s="10" t="inlineStr">
        <is>
          <t>Peugeot 306 S16</t>
        </is>
      </c>
      <c r="B360" s="10" t="inlineStr">
        <is>
          <t>Peugeot 306 S16 BV6</t>
        </is>
      </c>
      <c r="C360" s="10" t="inlineStr">
        <is>
          <t>306 2.0 S16 BV6 3p</t>
        </is>
      </c>
      <c r="D360" s="10" t="inlineStr">
        <is>
          <t>S16</t>
        </is>
      </c>
      <c r="E360" s="10" t="inlineStr">
        <is>
          <t>En vente</t>
        </is>
      </c>
      <c r="F360" s="18" t="n">
        <v>46290</v>
      </c>
      <c r="G360" s="18" t="n">
        <v>46290</v>
      </c>
      <c r="H360" s="18" t="n">
        <v>46310</v>
      </c>
      <c r="I360" s="18" t="n"/>
      <c r="J360" s="17">
        <f>IF(OR(ISNUMBER(F360),ISNUMBER(G360)),IF(ISNUMBER(I360),I360,H360)-IF(ISNUMBER(F360),F360,G360),"")</f>
        <v/>
      </c>
      <c r="K360" s="12" t="n">
        <v>8000</v>
      </c>
      <c r="L360" s="12" t="n">
        <v>8000</v>
      </c>
      <c r="M360" s="13">
        <f>IF(AND(ISNUMBER(K360),ISNUMBER(L360),K360&gt;0),1-L360/K360,"")</f>
        <v/>
      </c>
      <c r="N360" s="16" t="n">
        <v>0</v>
      </c>
      <c r="O360" s="12" t="n"/>
      <c r="P360" s="12" t="n"/>
      <c r="Q360" s="12" t="n"/>
      <c r="R360" s="14">
        <f>IF(AND(ISNUMBER(L360),ISNUMBER(P360),ISNUMBER(Q360)),L360/((P360+Q360)/2)-1,"")</f>
        <v/>
      </c>
      <c r="S360" s="10" t="n"/>
      <c r="T360" s="15" t="n">
        <v>260000</v>
      </c>
      <c r="U360" s="16" t="n">
        <v>2000</v>
      </c>
      <c r="V360" s="10" t="inlineStr">
        <is>
          <t>03/2000</t>
        </is>
      </c>
      <c r="W360" s="10" t="inlineStr">
        <is>
          <t>Essence</t>
        </is>
      </c>
      <c r="X360" s="10" t="inlineStr">
        <is>
          <t>Manuelle</t>
        </is>
      </c>
      <c r="Y360" s="16" t="n">
        <v>167</v>
      </c>
      <c r="Z360" s="16" t="n">
        <v>11</v>
      </c>
      <c r="AA360" s="10" t="inlineStr">
        <is>
          <t>Noir</t>
        </is>
      </c>
      <c r="AB360" s="16" t="n">
        <v>3</v>
      </c>
      <c r="AC360" s="10" t="inlineStr">
        <is>
          <t>Berline</t>
        </is>
      </c>
      <c r="AD360" s="10" t="n"/>
      <c r="AE360" s="10" t="inlineStr">
        <is>
          <t>Véhicule importé</t>
        </is>
      </c>
      <c r="AF360" s="10" t="inlineStr">
        <is>
          <t>Particulier</t>
        </is>
      </c>
      <c r="AG360" s="10" t="inlineStr">
        <is>
          <t>Contrexéville</t>
        </is>
      </c>
      <c r="AH360" s="10" t="inlineStr">
        <is>
          <t>88140</t>
        </is>
      </c>
      <c r="AI360" s="10" t="inlineStr">
        <is>
          <t>Vosges</t>
        </is>
      </c>
      <c r="AJ360" s="10" t="inlineStr">
        <is>
          <t>Lorraine</t>
        </is>
      </c>
      <c r="AK360" s="16" t="n">
        <v>3</v>
      </c>
      <c r="AL360" s="10" t="n"/>
      <c r="AM360" s="10" t="inlineStr">
        <is>
          <t>Non</t>
        </is>
      </c>
      <c r="AN360" s="10" t="inlineStr">
        <is>
          <t>Vends 306 S16 BV6 : - Import Suisse (pack option très complet) - Etat carrosserie moyen - Train arrière refait - Freins refait et majorés - Ligne Inox - Boite à air BMC carbone - Pneus Toyo R888r 195/50r15 Mécanique saine Prévoir carrosserie + intérieur J'ai trop de projets en cours, je réduis le garage --&gt; PAS d'échange</t>
        </is>
      </c>
      <c r="AO360" s="10" t="inlineStr">
        <is>
          <t>vehicle_technical_inspection_valid : Non ; Sellerie : Alcantara ; Permis : Avec permis ; Importé : false ; vehicle_history_teaser_critair : 3 ; vehicle_history_teaser_owners : 5 ; vehicle_history_teaser_expertises : false ; vehicle_history_teaser_special_uses : true ; vehicle_history_teaser_atypical_operations : true ; vehicle_history_teaser_importations : true</t>
        </is>
      </c>
      <c r="AP360" s="19" t="inlineStr">
        <is>
          <t>Voir</t>
        </is>
      </c>
      <c r="AQ360" s="10" t="inlineStr">
        <is>
          <t>3276353657</t>
        </is>
      </c>
    </row>
    <row r="361">
      <c r="A361" s="10" t="inlineStr">
        <is>
          <t>Peugeot 306 S16</t>
        </is>
      </c>
      <c r="B361" s="10" t="inlineStr">
        <is>
          <t>Peugeot 306 s16 / BV6 / 167</t>
        </is>
      </c>
      <c r="C361" s="10" t="n"/>
      <c r="D361" s="10" t="n"/>
      <c r="E361" s="10" t="inlineStr">
        <is>
          <t>En vente</t>
        </is>
      </c>
      <c r="F361" s="18" t="n">
        <v>46290</v>
      </c>
      <c r="G361" s="18" t="n">
        <v>46290</v>
      </c>
      <c r="H361" s="18" t="n">
        <v>46310</v>
      </c>
      <c r="I361" s="18" t="n"/>
      <c r="J361" s="17">
        <f>IF(OR(ISNUMBER(F361),ISNUMBER(G361)),IF(ISNUMBER(I361),I361,H361)-IF(ISNUMBER(F361),F361,G361),"")</f>
        <v/>
      </c>
      <c r="K361" s="12" t="n">
        <v>16500</v>
      </c>
      <c r="L361" s="12" t="n">
        <v>16500</v>
      </c>
      <c r="M361" s="13">
        <f>IF(AND(ISNUMBER(K361),ISNUMBER(L361),K361&gt;0),1-L361/K361,"")</f>
        <v/>
      </c>
      <c r="N361" s="16" t="n">
        <v>0</v>
      </c>
      <c r="O361" s="12" t="n"/>
      <c r="P361" s="12" t="n"/>
      <c r="Q361" s="12" t="n"/>
      <c r="R361" s="14">
        <f>IF(AND(ISNUMBER(L361),ISNUMBER(P361),ISNUMBER(Q361)),L361/((P361+Q361)/2)-1,"")</f>
        <v/>
      </c>
      <c r="S361" s="10" t="n"/>
      <c r="T361" s="15" t="n">
        <v>180000</v>
      </c>
      <c r="U361" s="16" t="n">
        <v>1997</v>
      </c>
      <c r="V361" s="10" t="inlineStr">
        <is>
          <t>01/1997</t>
        </is>
      </c>
      <c r="W361" s="10" t="inlineStr">
        <is>
          <t>Essence</t>
        </is>
      </c>
      <c r="X361" s="10" t="inlineStr">
        <is>
          <t>Manuelle</t>
        </is>
      </c>
      <c r="Y361" s="16" t="n">
        <v>60</v>
      </c>
      <c r="Z361" s="16" t="n">
        <v>5</v>
      </c>
      <c r="AA361" s="10" t="inlineStr">
        <is>
          <t>Rouge</t>
        </is>
      </c>
      <c r="AB361" s="16" t="n">
        <v>3</v>
      </c>
      <c r="AC361" s="10" t="inlineStr">
        <is>
          <t>Berline</t>
        </is>
      </c>
      <c r="AD361" s="10" t="n"/>
      <c r="AE361" s="10" t="n"/>
      <c r="AF361" s="10" t="inlineStr">
        <is>
          <t>Particulier</t>
        </is>
      </c>
      <c r="AG361" s="10" t="inlineStr">
        <is>
          <t>Franconville</t>
        </is>
      </c>
      <c r="AH361" s="10" t="inlineStr">
        <is>
          <t>95130</t>
        </is>
      </c>
      <c r="AI361" s="10" t="inlineStr">
        <is>
          <t>Val-d'Oise</t>
        </is>
      </c>
      <c r="AJ361" s="10" t="inlineStr">
        <is>
          <t>Ile-de-France</t>
        </is>
      </c>
      <c r="AK361" s="16" t="n">
        <v>2</v>
      </c>
      <c r="AL361" s="10" t="n"/>
      <c r="AM361" s="10" t="inlineStr">
        <is>
          <t>Non</t>
        </is>
      </c>
      <c r="AN361" s="10" t="inlineStr">
        <is>
          <t>Bonjour , Je met en vente un de mes véhicules issu de ma collection. Il s’agit d’une Peugeot 306 S16 BV6 2.0 16V 167 ch, mise en circulation le 31/01/1997. Elle affiche 180 000 kms et est en parfait état. Elle est équipée de : • Rouge Lucifer • Sellerie cuir / Alcantara • Toit ouvrant électrique • Jantes Cyclone 15” • Becquet arrière d’origine Peugeot • Rétroviseurs électriques • Vitres électriques • Fermeture centralisée • Direction assistée • Antibrouillards avant La voiture vient de bénéficie</t>
        </is>
      </c>
      <c r="AO361" s="10" t="inlineStr">
        <is>
          <t>Permis : Avec permis ; Importé : false ; vehicle_history_report_status : hidden</t>
        </is>
      </c>
      <c r="AP361" s="19" t="inlineStr">
        <is>
          <t>Voir</t>
        </is>
      </c>
      <c r="AQ361" s="10" t="inlineStr">
        <is>
          <t>3276437381</t>
        </is>
      </c>
    </row>
    <row r="362">
      <c r="A362" s="10" t="inlineStr">
        <is>
          <t>Peugeot 306 S16</t>
        </is>
      </c>
      <c r="B362" s="10" t="inlineStr">
        <is>
          <t>Peugeot 106 1.6L XSI</t>
        </is>
      </c>
      <c r="C362" s="10" t="inlineStr">
        <is>
          <t>XSi_106 1.6 XSi 3p</t>
        </is>
      </c>
      <c r="D362" s="10" t="inlineStr">
        <is>
          <t>XSi</t>
        </is>
      </c>
      <c r="E362" s="10" t="inlineStr">
        <is>
          <t>En vente</t>
        </is>
      </c>
      <c r="F362" s="18" t="n">
        <v>46292</v>
      </c>
      <c r="G362" s="18" t="n">
        <v>46292</v>
      </c>
      <c r="H362" s="18" t="n">
        <v>46310</v>
      </c>
      <c r="I362" s="18" t="n"/>
      <c r="J362" s="17">
        <f>IF(OR(ISNUMBER(F362),ISNUMBER(G362)),IF(ISNUMBER(I362),I362,H362)-IF(ISNUMBER(F362),F362,G362),"")</f>
        <v/>
      </c>
      <c r="K362" s="12" t="n">
        <v>10000</v>
      </c>
      <c r="L362" s="12" t="n">
        <v>10000</v>
      </c>
      <c r="M362" s="13">
        <f>IF(AND(ISNUMBER(K362),ISNUMBER(L362),K362&gt;0),1-L362/K362,"")</f>
        <v/>
      </c>
      <c r="N362" s="16" t="n">
        <v>0</v>
      </c>
      <c r="O362" s="12" t="n"/>
      <c r="P362" s="12" t="n"/>
      <c r="Q362" s="12" t="n"/>
      <c r="R362" s="14">
        <f>IF(AND(ISNUMBER(L362),ISNUMBER(P362),ISNUMBER(Q362)),L362/((P362+Q362)/2)-1,"")</f>
        <v/>
      </c>
      <c r="S362" s="10" t="n"/>
      <c r="T362" s="15" t="n">
        <v>250000</v>
      </c>
      <c r="U362" s="16" t="n">
        <v>1994</v>
      </c>
      <c r="V362" s="10" t="inlineStr">
        <is>
          <t>11/1994</t>
        </is>
      </c>
      <c r="W362" s="10" t="inlineStr">
        <is>
          <t>Essence</t>
        </is>
      </c>
      <c r="X362" s="10" t="inlineStr">
        <is>
          <t>Manuelle</t>
        </is>
      </c>
      <c r="Y362" s="16" t="n">
        <v>105</v>
      </c>
      <c r="Z362" s="16" t="n">
        <v>8</v>
      </c>
      <c r="AA362" s="10" t="inlineStr">
        <is>
          <t>Autre</t>
        </is>
      </c>
      <c r="AB362" s="16" t="n">
        <v>3</v>
      </c>
      <c r="AC362" s="10" t="inlineStr">
        <is>
          <t>Berline</t>
        </is>
      </c>
      <c r="AD362" s="10" t="n"/>
      <c r="AE362" s="10" t="n"/>
      <c r="AF362" s="10" t="inlineStr">
        <is>
          <t>Particulier</t>
        </is>
      </c>
      <c r="AG362" s="10" t="inlineStr">
        <is>
          <t>Lattes</t>
        </is>
      </c>
      <c r="AH362" s="10" t="inlineStr">
        <is>
          <t>34970</t>
        </is>
      </c>
      <c r="AI362" s="10" t="inlineStr">
        <is>
          <t>Hérault</t>
        </is>
      </c>
      <c r="AJ362" s="10" t="inlineStr">
        <is>
          <t>Languedoc-Roussillon</t>
        </is>
      </c>
      <c r="AK362" s="16" t="n">
        <v>3</v>
      </c>
      <c r="AL362" s="10" t="n"/>
      <c r="AM362" s="10" t="inlineStr">
        <is>
          <t>Non</t>
        </is>
      </c>
      <c r="AN362" s="10" t="inlineStr">
        <is>
          <t>Véritable Peugeot 106 XSI 1.6 8 soupapes de 1994, dans sa superbe teinte Bleu Miami (EMY/R), repeinte il y a 5 ans Cette voiture a bénéficié de nombreux travaux mécaniques et châssis afin de repartir sur une base saine. Elle est prête à profiter de la route. Équipements - Vitres électriques - Rétroviseurs électriques - Direction assistée électrohydraulique - Climatisation entièrement remise en état (compresseur, joints, recharge) - Autoradio Phonocar VM063 - 4 haut-parleurs Mac Audio - Vitres te</t>
        </is>
      </c>
      <c r="AO362" s="10" t="inlineStr">
        <is>
          <t>Permis : Avec permis ; Importé : false</t>
        </is>
      </c>
      <c r="AP362" s="19" t="inlineStr">
        <is>
          <t>Voir</t>
        </is>
      </c>
      <c r="AQ362" s="10" t="inlineStr">
        <is>
          <t>3277457567</t>
        </is>
      </c>
    </row>
    <row r="363">
      <c r="A363" s="10" t="inlineStr">
        <is>
          <t>Peugeot 306 S16</t>
        </is>
      </c>
      <c r="B363" s="10" t="inlineStr">
        <is>
          <t>Peugeot 306 S16</t>
        </is>
      </c>
      <c r="C363" s="10" t="n"/>
      <c r="D363" s="10" t="n"/>
      <c r="E363" s="10" t="inlineStr">
        <is>
          <t>En vente</t>
        </is>
      </c>
      <c r="F363" s="18" t="n">
        <v>46296</v>
      </c>
      <c r="G363" s="18" t="n">
        <v>46296</v>
      </c>
      <c r="H363" s="18" t="n">
        <v>46310</v>
      </c>
      <c r="I363" s="18" t="n"/>
      <c r="J363" s="17">
        <f>IF(OR(ISNUMBER(F363),ISNUMBER(G363)),IF(ISNUMBER(I363),I363,H363)-IF(ISNUMBER(F363),F363,G363),"")</f>
        <v/>
      </c>
      <c r="K363" s="12" t="n">
        <v>12500</v>
      </c>
      <c r="L363" s="12" t="n">
        <v>12500</v>
      </c>
      <c r="M363" s="13">
        <f>IF(AND(ISNUMBER(K363),ISNUMBER(L363),K363&gt;0),1-L363/K363,"")</f>
        <v/>
      </c>
      <c r="N363" s="16" t="n">
        <v>0</v>
      </c>
      <c r="O363" s="12" t="n"/>
      <c r="P363" s="12" t="n"/>
      <c r="Q363" s="12" t="n"/>
      <c r="R363" s="14">
        <f>IF(AND(ISNUMBER(L363),ISNUMBER(P363),ISNUMBER(Q363)),L363/((P363+Q363)/2)-1,"")</f>
        <v/>
      </c>
      <c r="S363" s="10" t="n"/>
      <c r="T363" s="15" t="n">
        <v>266000</v>
      </c>
      <c r="U363" s="16" t="n">
        <v>1997</v>
      </c>
      <c r="V363" s="10" t="inlineStr">
        <is>
          <t>09/1997</t>
        </is>
      </c>
      <c r="W363" s="10" t="inlineStr">
        <is>
          <t>Essence</t>
        </is>
      </c>
      <c r="X363" s="10" t="inlineStr">
        <is>
          <t>Manuelle</t>
        </is>
      </c>
      <c r="Y363" s="16" t="n">
        <v>167</v>
      </c>
      <c r="Z363" s="16" t="n">
        <v>9</v>
      </c>
      <c r="AA363" s="10" t="inlineStr">
        <is>
          <t>Jaune</t>
        </is>
      </c>
      <c r="AB363" s="16" t="n">
        <v>3</v>
      </c>
      <c r="AC363" s="10" t="inlineStr">
        <is>
          <t>Berline</t>
        </is>
      </c>
      <c r="AD363" s="10" t="inlineStr">
        <is>
          <t>Réparations utiles déjà faites</t>
        </is>
      </c>
      <c r="AE363" s="10" t="n"/>
      <c r="AF363" s="10" t="inlineStr">
        <is>
          <t>Particulier</t>
        </is>
      </c>
      <c r="AG363" s="10" t="inlineStr">
        <is>
          <t>Fumel</t>
        </is>
      </c>
      <c r="AH363" s="10" t="inlineStr">
        <is>
          <t>47500</t>
        </is>
      </c>
      <c r="AI363" s="10" t="inlineStr">
        <is>
          <t>Lot-et-Garonne</t>
        </is>
      </c>
      <c r="AJ363" s="10" t="inlineStr">
        <is>
          <t>Aquitaine</t>
        </is>
      </c>
      <c r="AK363" s="16" t="n">
        <v>3</v>
      </c>
      <c r="AL363" s="10" t="n"/>
      <c r="AM363" s="10" t="inlineStr">
        <is>
          <t>Non</t>
        </is>
      </c>
      <c r="AN363" s="10" t="inlineStr">
        <is>
          <t>À vendre Peugeot 306 s16 bv6 de 1997 Voiture à finir de restaurer Moteur refait à neuf , vidange moteur, vidange boîte, distribution, volant moteur, embrayage neuf. Catalyseur neuf. Radiateur de chauffage neuf Cardans neuf et je dois en oublier. Ce qui est sur c’est que niveau moteur, ça repart à neuf. 4 pneus neufs toyo r888 neuf La voiture a fait 3000km depuis c’est réparation Clim ne fonctionne pas, chauffage ne fonctionne pas, et radiateur de liquide de refroidissement à changer Sinon tout l</t>
        </is>
      </c>
      <c r="AO363" s="10" t="inlineStr">
        <is>
          <t>Dommages : Traces d’usure normales ; Sellerie : Cuir partiel ; Permis : Avec permis ; Importé : false</t>
        </is>
      </c>
      <c r="AP363" s="19" t="inlineStr">
        <is>
          <t>Voir</t>
        </is>
      </c>
      <c r="AQ363" s="10" t="inlineStr">
        <is>
          <t>3280352100</t>
        </is>
      </c>
    </row>
    <row r="364">
      <c r="A364" s="10" t="inlineStr">
        <is>
          <t>Peugeot 306 S16</t>
        </is>
      </c>
      <c r="B364" s="10" t="inlineStr">
        <is>
          <t>PEUGEOT 306 S16 167cv Boite 6 XU10J4RS GTI</t>
        </is>
      </c>
      <c r="C364" s="10" t="n"/>
      <c r="D364" s="10" t="n"/>
      <c r="E364" s="10" t="inlineStr">
        <is>
          <t>En vente</t>
        </is>
      </c>
      <c r="F364" s="18" t="n">
        <v>46297</v>
      </c>
      <c r="G364" s="18" t="n">
        <v>46297</v>
      </c>
      <c r="H364" s="18" t="n">
        <v>46310</v>
      </c>
      <c r="I364" s="18" t="n"/>
      <c r="J364" s="17">
        <f>IF(OR(ISNUMBER(F364),ISNUMBER(G364)),IF(ISNUMBER(I364),I364,H364)-IF(ISNUMBER(F364),F364,G364),"")</f>
        <v/>
      </c>
      <c r="K364" s="12" t="n">
        <v>9500</v>
      </c>
      <c r="L364" s="12" t="n">
        <v>9500</v>
      </c>
      <c r="M364" s="13">
        <f>IF(AND(ISNUMBER(K364),ISNUMBER(L364),K364&gt;0),1-L364/K364,"")</f>
        <v/>
      </c>
      <c r="N364" s="16" t="n">
        <v>0</v>
      </c>
      <c r="O364" s="12" t="n">
        <v>10500</v>
      </c>
      <c r="P364" s="12" t="n"/>
      <c r="Q364" s="12" t="n"/>
      <c r="R364" s="14">
        <f>IF(AND(ISNUMBER(L364),ISNUMBER(P364),ISNUMBER(Q364)),L364/((P364+Q364)/2)-1,"")</f>
        <v/>
      </c>
      <c r="S364" s="10" t="n"/>
      <c r="T364" s="15" t="n">
        <v>150000</v>
      </c>
      <c r="U364" s="16" t="n">
        <v>1993</v>
      </c>
      <c r="V364" s="10" t="inlineStr">
        <is>
          <t>12/1993</t>
        </is>
      </c>
      <c r="W364" s="10" t="inlineStr">
        <is>
          <t>Essence</t>
        </is>
      </c>
      <c r="X364" s="10" t="inlineStr">
        <is>
          <t>Manuelle</t>
        </is>
      </c>
      <c r="Y364" s="16" t="n">
        <v>167</v>
      </c>
      <c r="Z364" s="16" t="n">
        <v>11</v>
      </c>
      <c r="AA364" s="10" t="inlineStr">
        <is>
          <t>Rouge</t>
        </is>
      </c>
      <c r="AB364" s="16" t="n">
        <v>3</v>
      </c>
      <c r="AC364" s="10" t="inlineStr">
        <is>
          <t>Berline</t>
        </is>
      </c>
      <c r="AD364" s="10" t="inlineStr">
        <is>
          <t>Factures disponibles, Véhicule non fumeur, Carnet d'entretien disponible</t>
        </is>
      </c>
      <c r="AE364" s="10" t="n"/>
      <c r="AF364" s="10" t="inlineStr">
        <is>
          <t>Particulier</t>
        </is>
      </c>
      <c r="AG364" s="10" t="inlineStr">
        <is>
          <t>Angers</t>
        </is>
      </c>
      <c r="AH364" s="10" t="inlineStr">
        <is>
          <t>49100</t>
        </is>
      </c>
      <c r="AI364" s="10" t="inlineStr">
        <is>
          <t>Maine-et-Loire</t>
        </is>
      </c>
      <c r="AJ364" s="10" t="inlineStr">
        <is>
          <t>Pays de la Loire</t>
        </is>
      </c>
      <c r="AK364" s="16" t="n">
        <v>3</v>
      </c>
      <c r="AL364" s="10" t="n"/>
      <c r="AM364" s="10" t="inlineStr">
        <is>
          <t>Non</t>
        </is>
      </c>
      <c r="AN364" s="10" t="inlineStr">
        <is>
          <t>PEUGEOT 306 S16 167cv Boite 6 XU10J4RS 150 000kms En ma possession depuis 2018 Restauration / peinture complète en 2026 Volant 3 branches VITRES ÉLECTRIQUES + RÉTROVISEURS ÉLECTRIQUES JANTES ALU en 15 pouces Entièrement d’origine sauf ligne groupe N après catalyseur : Intermédiaire + silencieux 4 amortisseurs Bilstein Carnet d'entretien avec factures. Contrôle Technique OK ( 10/2025 ) a très peu roulée depuis. Roule toutes distances Tapis de sol Non-fumeur Dort garage</t>
        </is>
      </c>
      <c r="AO364" s="10" t="inlineStr">
        <is>
          <t>vehicle_technical_inspection_valid : Non ; Dommages : Bon état général ; Sellerie : Cuir partiel ; Équipements intérieurs : Jantes en alliage, Phares anti-brouillard, Roue de secours ; Permis : Avec permis ; Importé : false</t>
        </is>
      </c>
      <c r="AP364" s="19" t="inlineStr">
        <is>
          <t>Voir</t>
        </is>
      </c>
      <c r="AQ364" s="10" t="inlineStr">
        <is>
          <t>3280590253</t>
        </is>
      </c>
    </row>
    <row r="365">
      <c r="A365" s="10" t="inlineStr">
        <is>
          <t>Peugeot 306 S16</t>
        </is>
      </c>
      <c r="B365" s="10" t="inlineStr">
        <is>
          <t>Rarissime Peugeot 306 s16 Rs Cup</t>
        </is>
      </c>
      <c r="C365" s="10" t="inlineStr">
        <is>
          <t>S16_306 2.0 S16 BV6 3p</t>
        </is>
      </c>
      <c r="D365" s="10" t="inlineStr">
        <is>
          <t>S16</t>
        </is>
      </c>
      <c r="E365" s="10" t="inlineStr">
        <is>
          <t>En vente</t>
        </is>
      </c>
      <c r="F365" s="18" t="n">
        <v>46298</v>
      </c>
      <c r="G365" s="18" t="n">
        <v>46298</v>
      </c>
      <c r="H365" s="18" t="n">
        <v>46310</v>
      </c>
      <c r="I365" s="18" t="n"/>
      <c r="J365" s="17">
        <f>IF(OR(ISNUMBER(F365),ISNUMBER(G365)),IF(ISNUMBER(I365),I365,H365)-IF(ISNUMBER(F365),F365,G365),"")</f>
        <v/>
      </c>
      <c r="K365" s="12" t="n">
        <v>25000</v>
      </c>
      <c r="L365" s="12" t="n">
        <v>25000</v>
      </c>
      <c r="M365" s="13">
        <f>IF(AND(ISNUMBER(K365),ISNUMBER(L365),K365&gt;0),1-L365/K365,"")</f>
        <v/>
      </c>
      <c r="N365" s="16" t="n">
        <v>0</v>
      </c>
      <c r="O365" s="12" t="n"/>
      <c r="P365" s="12" t="n"/>
      <c r="Q365" s="12" t="n"/>
      <c r="R365" s="14">
        <f>IF(AND(ISNUMBER(L365),ISNUMBER(P365),ISNUMBER(Q365)),L365/((P365+Q365)/2)-1,"")</f>
        <v/>
      </c>
      <c r="S365" s="10" t="n"/>
      <c r="T365" s="15" t="n">
        <v>189000</v>
      </c>
      <c r="U365" s="16" t="n">
        <v>1998</v>
      </c>
      <c r="V365" s="10" t="inlineStr">
        <is>
          <t>11/1998</t>
        </is>
      </c>
      <c r="W365" s="10" t="inlineStr">
        <is>
          <t>Essence</t>
        </is>
      </c>
      <c r="X365" s="10" t="inlineStr">
        <is>
          <t>Manuelle</t>
        </is>
      </c>
      <c r="Y365" s="16" t="n">
        <v>167</v>
      </c>
      <c r="Z365" s="16" t="n">
        <v>11</v>
      </c>
      <c r="AA365" s="10" t="inlineStr">
        <is>
          <t>Blanc</t>
        </is>
      </c>
      <c r="AB365" s="16" t="n">
        <v>3</v>
      </c>
      <c r="AC365" s="10" t="inlineStr">
        <is>
          <t>Berline</t>
        </is>
      </c>
      <c r="AD365" s="10" t="inlineStr">
        <is>
          <t>Réparations utiles déjà faites</t>
        </is>
      </c>
      <c r="AE365" s="10" t="n"/>
      <c r="AF365" s="10" t="inlineStr">
        <is>
          <t>Particulier</t>
        </is>
      </c>
      <c r="AG365" s="10" t="inlineStr">
        <is>
          <t>Orchamps</t>
        </is>
      </c>
      <c r="AH365" s="10" t="inlineStr">
        <is>
          <t>39700</t>
        </is>
      </c>
      <c r="AI365" s="10" t="inlineStr">
        <is>
          <t>Jura</t>
        </is>
      </c>
      <c r="AJ365" s="10" t="inlineStr">
        <is>
          <t>Franche-Comté</t>
        </is>
      </c>
      <c r="AK365" s="16" t="n">
        <v>3</v>
      </c>
      <c r="AL365" s="10" t="n"/>
      <c r="AM365" s="10" t="inlineStr">
        <is>
          <t>Non</t>
        </is>
      </c>
      <c r="AN365" s="10" t="inlineStr">
        <is>
          <t>Vends cause séparation cette magnifique et rarissime Peugeot 306 S16 BV6 167cv entièrement restaurée. Ce véhicule n'a jamais été commercialisé, il a été commandé a des fins de rallye mais celle ci est restée sans modification. Le plus de cette s16 : 60 kilos de moins que la version Confort (la plus légère du catalogue à l'époque) Comment? Pas d'ABS, pas d'air bag, pas de centralisation, pas de vitres électriques, pas de rétro électriques, pas d'essuie vitre arrière bref pas ou très peu d'électro</t>
        </is>
      </c>
      <c r="AO365" s="10" t="inlineStr">
        <is>
          <t>Dommages : Excellent état (proche du neuf) ; Sellerie : Tissu ; vehicle_euro_emissions_standard : Euro 2 ; Permis : Avec permis ; Importé : false ; vehicle_history_report_status : visible</t>
        </is>
      </c>
      <c r="AP365" s="19" t="inlineStr">
        <is>
          <t>Voir</t>
        </is>
      </c>
      <c r="AQ365" s="10" t="inlineStr">
        <is>
          <t>3281619372</t>
        </is>
      </c>
    </row>
    <row r="366">
      <c r="A366" s="10" t="inlineStr">
        <is>
          <t>Peugeot 306 S16</t>
        </is>
      </c>
      <c r="B366" s="10" t="inlineStr">
        <is>
          <t>Peugeot 306 XSI</t>
        </is>
      </c>
      <c r="C366" s="10" t="n"/>
      <c r="D366" s="10" t="n"/>
      <c r="E366" s="10" t="inlineStr">
        <is>
          <t>En vente</t>
        </is>
      </c>
      <c r="F366" s="18" t="n">
        <v>46299</v>
      </c>
      <c r="G366" s="18" t="n">
        <v>46299</v>
      </c>
      <c r="H366" s="18" t="n">
        <v>46310</v>
      </c>
      <c r="I366" s="18" t="n"/>
      <c r="J366" s="17">
        <f>IF(OR(ISNUMBER(F366),ISNUMBER(G366)),IF(ISNUMBER(I366),I366,H366)-IF(ISNUMBER(F366),F366,G366),"")</f>
        <v/>
      </c>
      <c r="K366" s="12" t="n">
        <v>5200</v>
      </c>
      <c r="L366" s="12" t="n">
        <v>5200</v>
      </c>
      <c r="M366" s="13">
        <f>IF(AND(ISNUMBER(K366),ISNUMBER(L366),K366&gt;0),1-L366/K366,"")</f>
        <v/>
      </c>
      <c r="N366" s="16" t="n">
        <v>0</v>
      </c>
      <c r="O366" s="12" t="n"/>
      <c r="P366" s="12" t="n"/>
      <c r="Q366" s="12" t="n"/>
      <c r="R366" s="14">
        <f>IF(AND(ISNUMBER(L366),ISNUMBER(P366),ISNUMBER(Q366)),L366/((P366+Q366)/2)-1,"")</f>
        <v/>
      </c>
      <c r="S366" s="10" t="n"/>
      <c r="T366" s="15" t="n">
        <v>257000</v>
      </c>
      <c r="U366" s="16" t="n">
        <v>1994</v>
      </c>
      <c r="V366" s="10" t="inlineStr">
        <is>
          <t>07/1994</t>
        </is>
      </c>
      <c r="W366" s="10" t="inlineStr">
        <is>
          <t>Essence</t>
        </is>
      </c>
      <c r="X366" s="10" t="inlineStr">
        <is>
          <t>Manuelle</t>
        </is>
      </c>
      <c r="Y366" s="16" t="n">
        <v>123</v>
      </c>
      <c r="Z366" s="16" t="n">
        <v>10</v>
      </c>
      <c r="AA366" s="10" t="inlineStr">
        <is>
          <t>Gris</t>
        </is>
      </c>
      <c r="AB366" s="16" t="n">
        <v>5</v>
      </c>
      <c r="AC366" s="10" t="inlineStr">
        <is>
          <t>Berline</t>
        </is>
      </c>
      <c r="AD366" s="10" t="n"/>
      <c r="AE366" s="10" t="n"/>
      <c r="AF366" s="10" t="inlineStr">
        <is>
          <t>Particulier</t>
        </is>
      </c>
      <c r="AG366" s="10" t="inlineStr">
        <is>
          <t>Saint-Priest</t>
        </is>
      </c>
      <c r="AH366" s="10" t="inlineStr">
        <is>
          <t>69800</t>
        </is>
      </c>
      <c r="AI366" s="10" t="inlineStr">
        <is>
          <t>Rhône</t>
        </is>
      </c>
      <c r="AJ366" s="10" t="inlineStr">
        <is>
          <t>Rhône-Alpes</t>
        </is>
      </c>
      <c r="AK366" s="16" t="n">
        <v>3</v>
      </c>
      <c r="AL366" s="10" t="n"/>
      <c r="AM366" s="10" t="inlineStr">
        <is>
          <t>Non</t>
        </is>
      </c>
      <c r="AN366" s="10" t="inlineStr">
        <is>
          <t>Vend Peugeot 306 2.0 XSI 8 soupapes phase 1 5 portes. Véhicule dans un bon état général. Contrôle technique ok ( - 6 mois ) Carte grise ok Véhicule capable de rouler 100% à l'éthanol comme au SP98. Frais récemment effectués: - Regulateur de pression 3,5 bar - Pompe gros debit HI 180l/h - Injecteur de 306 S16 - Disques AV AR percés - Vidange + filtres.. Tres belle sonorité avec sa demi ligne Groupe N. 5200 euros</t>
        </is>
      </c>
      <c r="AO366" s="10" t="inlineStr">
        <is>
          <t>vehicle_technical_inspection_valid : Oui ; Contrôle technique : 2028 ; Sellerie : Velours ; Permis : Avec permis ; Importé : false</t>
        </is>
      </c>
      <c r="AP366" s="19" t="inlineStr">
        <is>
          <t>Voir</t>
        </is>
      </c>
      <c r="AQ366" s="10" t="inlineStr">
        <is>
          <t>3281988535</t>
        </is>
      </c>
    </row>
    <row r="367">
      <c r="A367" s="10" t="inlineStr">
        <is>
          <t>Peugeot 306 S16</t>
        </is>
      </c>
      <c r="B367" s="10" t="inlineStr">
        <is>
          <t>Peugeot 306 Gti / S16 167cv bv6</t>
        </is>
      </c>
      <c r="C367" s="10" t="inlineStr">
        <is>
          <t>S16 Pack Premium_306 2.0 S16 Pack Premium BV6 3p</t>
        </is>
      </c>
      <c r="D367" s="10" t="inlineStr">
        <is>
          <t>S16 Pack Premium</t>
        </is>
      </c>
      <c r="E367" s="10" t="inlineStr">
        <is>
          <t>En vente</t>
        </is>
      </c>
      <c r="F367" s="18" t="n">
        <v>46299</v>
      </c>
      <c r="G367" s="18" t="n">
        <v>46299</v>
      </c>
      <c r="H367" s="18" t="n">
        <v>46310</v>
      </c>
      <c r="I367" s="18" t="n"/>
      <c r="J367" s="17">
        <f>IF(OR(ISNUMBER(F367),ISNUMBER(G367)),IF(ISNUMBER(I367),I367,H367)-IF(ISNUMBER(F367),F367,G367),"")</f>
        <v/>
      </c>
      <c r="K367" s="12" t="n">
        <v>15990</v>
      </c>
      <c r="L367" s="12" t="n">
        <v>15990</v>
      </c>
      <c r="M367" s="13">
        <f>IF(AND(ISNUMBER(K367),ISNUMBER(L367),K367&gt;0),1-L367/K367,"")</f>
        <v/>
      </c>
      <c r="N367" s="16" t="n">
        <v>0</v>
      </c>
      <c r="O367" s="12" t="n"/>
      <c r="P367" s="12" t="n"/>
      <c r="Q367" s="12" t="n"/>
      <c r="R367" s="14">
        <f>IF(AND(ISNUMBER(L367),ISNUMBER(P367),ISNUMBER(Q367)),L367/((P367+Q367)/2)-1,"")</f>
        <v/>
      </c>
      <c r="S367" s="10" t="n"/>
      <c r="T367" s="15" t="n">
        <v>120000</v>
      </c>
      <c r="U367" s="16" t="n">
        <v>1999</v>
      </c>
      <c r="V367" s="10" t="inlineStr">
        <is>
          <t>09/1999</t>
        </is>
      </c>
      <c r="W367" s="10" t="inlineStr">
        <is>
          <t>Essence</t>
        </is>
      </c>
      <c r="X367" s="10" t="inlineStr">
        <is>
          <t>Manuelle</t>
        </is>
      </c>
      <c r="Y367" s="16" t="n">
        <v>167</v>
      </c>
      <c r="Z367" s="16" t="n">
        <v>11</v>
      </c>
      <c r="AA367" s="10" t="inlineStr">
        <is>
          <t>Noir</t>
        </is>
      </c>
      <c r="AB367" s="16" t="n">
        <v>3</v>
      </c>
      <c r="AC367" s="10" t="inlineStr">
        <is>
          <t>Berline</t>
        </is>
      </c>
      <c r="AD367" s="10" t="inlineStr">
        <is>
          <t>Réparations utiles déjà faites</t>
        </is>
      </c>
      <c r="AE367" s="10" t="inlineStr">
        <is>
          <t>Véhicule importé</t>
        </is>
      </c>
      <c r="AF367" s="10" t="inlineStr">
        <is>
          <t>Particulier</t>
        </is>
      </c>
      <c r="AG367" s="10" t="inlineStr">
        <is>
          <t>Orchamps</t>
        </is>
      </c>
      <c r="AH367" s="10" t="inlineStr">
        <is>
          <t>39700</t>
        </is>
      </c>
      <c r="AI367" s="10" t="inlineStr">
        <is>
          <t>Jura</t>
        </is>
      </c>
      <c r="AJ367" s="10" t="inlineStr">
        <is>
          <t>Franche-Comté</t>
        </is>
      </c>
      <c r="AK367" s="16" t="n">
        <v>3</v>
      </c>
      <c r="AL367" s="10" t="n"/>
      <c r="AM367" s="10" t="inlineStr">
        <is>
          <t>Non</t>
        </is>
      </c>
      <c r="AN367" s="10" t="inlineStr">
        <is>
          <t>Vends cause séparation ma Peugeot 306 Gti 167cv bv6 restaurée en 2025 La caisse a un peu plus de 280000km mais entierement refaite et le bloc moteur boite à 120000km. En ce qui concerne la restauration à neuf : - l'intégralité des trains avant et arriere - haut moteur avec joint de queue de soupape et joint de culasse - embrayage - sieges avant - systeme de refroidissement - distribution et accessoires - peinture et traitement sous bassement... La peinture mériterait un polilustrage car elle pré</t>
        </is>
      </c>
      <c r="AO367" s="10" t="inlineStr">
        <is>
          <t>Dommages : Non endommagé ; Sellerie : Cuir partiel, Alcantara ; Équipements intérieurs : Climatisation, Essuie-glaces automatiques, Siège arrière rabattable, Sièges chauffants, Volant réglable en hauteur ; vehicle_euro_emissions_standard : Euro 2 ; Permis : Avec permis ; Importé : false ; vehicle_history_report_status : visible</t>
        </is>
      </c>
      <c r="AP367" s="19" t="inlineStr">
        <is>
          <t>Voir</t>
        </is>
      </c>
      <c r="AQ367" s="10" t="inlineStr">
        <is>
          <t>3282158064</t>
        </is>
      </c>
    </row>
    <row r="368">
      <c r="A368" s="10" t="inlineStr">
        <is>
          <t>Peugeot 306 S16</t>
        </is>
      </c>
      <c r="B368" s="10" t="inlineStr">
        <is>
          <t>306 s16 bv6</t>
        </is>
      </c>
      <c r="C368" s="10" t="n"/>
      <c r="D368" s="10" t="n"/>
      <c r="E368" s="10" t="inlineStr">
        <is>
          <t>En vente</t>
        </is>
      </c>
      <c r="F368" s="18" t="n">
        <v>46300</v>
      </c>
      <c r="G368" s="18" t="n">
        <v>46300</v>
      </c>
      <c r="H368" s="18" t="n">
        <v>46310</v>
      </c>
      <c r="I368" s="18" t="n"/>
      <c r="J368" s="17">
        <f>IF(OR(ISNUMBER(F368),ISNUMBER(G368)),IF(ISNUMBER(I368),I368,H368)-IF(ISNUMBER(F368),F368,G368),"")</f>
        <v/>
      </c>
      <c r="K368" s="12" t="n">
        <v>17800</v>
      </c>
      <c r="L368" s="12" t="n">
        <v>17800</v>
      </c>
      <c r="M368" s="13">
        <f>IF(AND(ISNUMBER(K368),ISNUMBER(L368),K368&gt;0),1-L368/K368,"")</f>
        <v/>
      </c>
      <c r="N368" s="16" t="n">
        <v>0</v>
      </c>
      <c r="O368" s="12" t="n"/>
      <c r="P368" s="12" t="n"/>
      <c r="Q368" s="12" t="n"/>
      <c r="R368" s="14">
        <f>IF(AND(ISNUMBER(L368),ISNUMBER(P368),ISNUMBER(Q368)),L368/((P368+Q368)/2)-1,"")</f>
        <v/>
      </c>
      <c r="S368" s="10" t="n"/>
      <c r="T368" s="15" t="n">
        <v>159000</v>
      </c>
      <c r="U368" s="16" t="n">
        <v>1997</v>
      </c>
      <c r="V368" s="10" t="inlineStr">
        <is>
          <t>11/1997</t>
        </is>
      </c>
      <c r="W368" s="10" t="inlineStr">
        <is>
          <t>Essence</t>
        </is>
      </c>
      <c r="X368" s="10" t="inlineStr">
        <is>
          <t>Manuelle</t>
        </is>
      </c>
      <c r="Y368" s="16" t="n">
        <v>167</v>
      </c>
      <c r="Z368" s="16" t="n">
        <v>11</v>
      </c>
      <c r="AA368" s="10" t="n"/>
      <c r="AB368" s="16" t="n">
        <v>3</v>
      </c>
      <c r="AC368" s="10" t="n"/>
      <c r="AD368" s="10" t="n"/>
      <c r="AE368" s="10" t="n"/>
      <c r="AF368" s="10" t="inlineStr">
        <is>
          <t>Particulier</t>
        </is>
      </c>
      <c r="AG368" s="10" t="inlineStr">
        <is>
          <t>Écot</t>
        </is>
      </c>
      <c r="AH368" s="10" t="inlineStr">
        <is>
          <t>25150</t>
        </is>
      </c>
      <c r="AI368" s="10" t="inlineStr">
        <is>
          <t>Doubs</t>
        </is>
      </c>
      <c r="AJ368" s="10" t="inlineStr">
        <is>
          <t>Franche-Comté</t>
        </is>
      </c>
      <c r="AK368" s="16" t="n">
        <v>3</v>
      </c>
      <c r="AL368" s="10" t="n"/>
      <c r="AM368" s="10" t="inlineStr">
        <is>
          <t>Non</t>
        </is>
      </c>
      <c r="AN368" s="10" t="inlineStr">
        <is>
          <t>Je mets en vente ma 306 S16 BV6 Jaune Vermeer de 1997, totalisant 159 000 km. Le contrôle technique est OK, réalisé le 21/09/2026. Entretien effectué récemment : Kit distribution, pompe à eau Courroie d'accessoire Remplacement du liquide de refroidissement et du liquide de frein Disques et plaquettes arrière 2 triangles neufs Batterie neuve Équipement : Silencieux RC Racing Amortisseurs avant Koni Ultra SR Ressorts Eibach -30 mm Filtre à air K&amp;N Phares avant phase 3 Je laisse également avec la v</t>
        </is>
      </c>
      <c r="AO368" s="10" t="inlineStr">
        <is>
          <t>vehicle_technical_inspection_valid : Oui ; Permis : Avec permis ; Importé : false ; vehicle_history_report_status : hidden</t>
        </is>
      </c>
      <c r="AP368" s="19" t="inlineStr">
        <is>
          <t>Voir</t>
        </is>
      </c>
      <c r="AQ368" s="10" t="inlineStr">
        <is>
          <t>3282909281</t>
        </is>
      </c>
    </row>
    <row r="369">
      <c r="A369" s="10" t="inlineStr">
        <is>
          <t>Peugeot 306 S16</t>
        </is>
      </c>
      <c r="B369" s="10" t="inlineStr">
        <is>
          <t>Peugeot 306 s16 phase 5 portes</t>
        </is>
      </c>
      <c r="C369" s="10" t="n"/>
      <c r="D369" s="10" t="n"/>
      <c r="E369" s="10" t="inlineStr">
        <is>
          <t>En vente</t>
        </is>
      </c>
      <c r="F369" s="18" t="n">
        <v>46303</v>
      </c>
      <c r="G369" s="18" t="n">
        <v>46303</v>
      </c>
      <c r="H369" s="18" t="n">
        <v>46310</v>
      </c>
      <c r="I369" s="18" t="n"/>
      <c r="J369" s="17">
        <f>IF(OR(ISNUMBER(F369),ISNUMBER(G369)),IF(ISNUMBER(I369),I369,H369)-IF(ISNUMBER(F369),F369,G369),"")</f>
        <v/>
      </c>
      <c r="K369" s="12" t="n">
        <v>6500</v>
      </c>
      <c r="L369" s="12" t="n">
        <v>6500</v>
      </c>
      <c r="M369" s="13">
        <f>IF(AND(ISNUMBER(K369),ISNUMBER(L369),K369&gt;0),1-L369/K369,"")</f>
        <v/>
      </c>
      <c r="N369" s="16" t="n">
        <v>0</v>
      </c>
      <c r="O369" s="12" t="n"/>
      <c r="P369" s="12" t="n"/>
      <c r="Q369" s="12" t="n"/>
      <c r="R369" s="14">
        <f>IF(AND(ISNUMBER(L369),ISNUMBER(P369),ISNUMBER(Q369)),L369/((P369+Q369)/2)-1,"")</f>
        <v/>
      </c>
      <c r="S369" s="10" t="n"/>
      <c r="T369" s="15" t="n">
        <v>216000</v>
      </c>
      <c r="U369" s="16" t="n">
        <v>1995</v>
      </c>
      <c r="V369" s="10" t="inlineStr">
        <is>
          <t>05/1995</t>
        </is>
      </c>
      <c r="W369" s="10" t="inlineStr">
        <is>
          <t>Essence</t>
        </is>
      </c>
      <c r="X369" s="10" t="inlineStr">
        <is>
          <t>Manuelle</t>
        </is>
      </c>
      <c r="Y369" s="16" t="n">
        <v>150</v>
      </c>
      <c r="Z369" s="16" t="n">
        <v>11</v>
      </c>
      <c r="AA369" s="10" t="inlineStr">
        <is>
          <t>Bleu</t>
        </is>
      </c>
      <c r="AB369" s="16" t="n">
        <v>5</v>
      </c>
      <c r="AC369" s="10" t="inlineStr">
        <is>
          <t>Berline</t>
        </is>
      </c>
      <c r="AD369" s="10" t="n"/>
      <c r="AE369" s="10" t="n"/>
      <c r="AF369" s="10" t="inlineStr">
        <is>
          <t>Particulier</t>
        </is>
      </c>
      <c r="AG369" s="10" t="inlineStr">
        <is>
          <t>Saint-Laurent-du-Var</t>
        </is>
      </c>
      <c r="AH369" s="10" t="inlineStr">
        <is>
          <t>06700</t>
        </is>
      </c>
      <c r="AI369" s="10" t="inlineStr">
        <is>
          <t>Alpes-Maritimes</t>
        </is>
      </c>
      <c r="AJ369" s="10" t="inlineStr">
        <is>
          <t>Provence-Alpes-Côte d'Azur</t>
        </is>
      </c>
      <c r="AK369" s="16" t="n">
        <v>20</v>
      </c>
      <c r="AL369" s="10" t="n"/>
      <c r="AM369" s="10" t="inlineStr">
        <is>
          <t>Non</t>
        </is>
      </c>
      <c r="AN369" s="10" t="inlineStr">
        <is>
          <t>Merci de bien l'annonce Vente en toute transparence Pas de rétractation Vends Peugeot 306 s16 phase 1 Motorisation 2.0 150/155 CH Boite 5 vitesses 5 portes Année 1995 216 000 km (évolutifs) Carte grise OK Certificat de non gage OK Histovec OK Contrôle technique avec contre visite Acheté en Mai 2025 Je n'ai plus le temps de m'en occuper . L'entretien fait par l'ancien propriétaire entre 2022 et 2023 Révision , distribution , radiateur , ventilateur , lève vitre avant droit et câbles d'embrayage .</t>
        </is>
      </c>
      <c r="AO369" s="10" t="inlineStr">
        <is>
          <t>vehicle_technical_inspection_valid : Non ; Permis : Avec permis ; Importé : false</t>
        </is>
      </c>
      <c r="AP369" s="19" t="inlineStr">
        <is>
          <t>Voir</t>
        </is>
      </c>
      <c r="AQ369" s="10" t="inlineStr">
        <is>
          <t>3284481051</t>
        </is>
      </c>
    </row>
    <row r="370">
      <c r="A370" s="10" t="inlineStr">
        <is>
          <t>Peugeot 306 S16</t>
        </is>
      </c>
      <c r="B370" s="10" t="inlineStr">
        <is>
          <t>106 s16</t>
        </is>
      </c>
      <c r="C370" s="10" t="inlineStr">
        <is>
          <t>S16_106 1.6 S16 3p</t>
        </is>
      </c>
      <c r="D370" s="10" t="inlineStr">
        <is>
          <t>S16</t>
        </is>
      </c>
      <c r="E370" s="10" t="inlineStr">
        <is>
          <t>En vente</t>
        </is>
      </c>
      <c r="F370" s="18" t="n">
        <v>46303</v>
      </c>
      <c r="G370" s="18" t="n">
        <v>46303</v>
      </c>
      <c r="H370" s="18" t="n">
        <v>46310</v>
      </c>
      <c r="I370" s="18" t="n"/>
      <c r="J370" s="17">
        <f>IF(OR(ISNUMBER(F370),ISNUMBER(G370)),IF(ISNUMBER(I370),I370,H370)-IF(ISNUMBER(F370),F370,G370),"")</f>
        <v/>
      </c>
      <c r="K370" s="12" t="n">
        <v>9300</v>
      </c>
      <c r="L370" s="12" t="n">
        <v>9300</v>
      </c>
      <c r="M370" s="13">
        <f>IF(AND(ISNUMBER(K370),ISNUMBER(L370),K370&gt;0),1-L370/K370,"")</f>
        <v/>
      </c>
      <c r="N370" s="16" t="n">
        <v>0</v>
      </c>
      <c r="O370" s="12" t="n"/>
      <c r="P370" s="12" t="n"/>
      <c r="Q370" s="12" t="n"/>
      <c r="R370" s="14">
        <f>IF(AND(ISNUMBER(L370),ISNUMBER(P370),ISNUMBER(Q370)),L370/((P370+Q370)/2)-1,"")</f>
        <v/>
      </c>
      <c r="S370" s="10" t="n"/>
      <c r="T370" s="15" t="n">
        <v>147000</v>
      </c>
      <c r="U370" s="16" t="n">
        <v>1997</v>
      </c>
      <c r="V370" s="10" t="inlineStr">
        <is>
          <t>07/1997</t>
        </is>
      </c>
      <c r="W370" s="10" t="inlineStr">
        <is>
          <t>Essence</t>
        </is>
      </c>
      <c r="X370" s="10" t="inlineStr">
        <is>
          <t>Manuelle</t>
        </is>
      </c>
      <c r="Y370" s="16" t="n">
        <v>120</v>
      </c>
      <c r="Z370" s="16" t="n">
        <v>8</v>
      </c>
      <c r="AA370" s="10" t="inlineStr">
        <is>
          <t>Blanc</t>
        </is>
      </c>
      <c r="AB370" s="16" t="n">
        <v>3</v>
      </c>
      <c r="AC370" s="10" t="inlineStr">
        <is>
          <t>Berline</t>
        </is>
      </c>
      <c r="AD370" s="10" t="n"/>
      <c r="AE370" s="10" t="n"/>
      <c r="AF370" s="10" t="inlineStr">
        <is>
          <t>Particulier</t>
        </is>
      </c>
      <c r="AG370" s="10" t="inlineStr">
        <is>
          <t>Audruicq</t>
        </is>
      </c>
      <c r="AH370" s="10" t="inlineStr">
        <is>
          <t>62370</t>
        </is>
      </c>
      <c r="AI370" s="10" t="inlineStr">
        <is>
          <t>Pas-de-Calais</t>
        </is>
      </c>
      <c r="AJ370" s="10" t="inlineStr">
        <is>
          <t>Nord-Pas-de-Calais</t>
        </is>
      </c>
      <c r="AK370" s="16" t="n">
        <v>3</v>
      </c>
      <c r="AL370" s="10" t="n"/>
      <c r="AM370" s="10" t="inlineStr">
        <is>
          <t>Non</t>
        </is>
      </c>
      <c r="AN370" s="10" t="inlineStr">
        <is>
          <t>A vendre Peugeot 106 s16 de 97. Vente par manque de temps et de roulage. Kilométrage très peu évolutif. Peinture extérieure refaite en 2021. Intérieur en bon état général. Pièces non origines: admission d'air, amortisseurs, étrier + disques 306 xsi. Frais a prévoir: Distribution a réaliser (seulement 30000kms mais 8 ans), courroie fournie Prévoir de refaire étanchéité moteur+ vidange. Le CT sera réalisé pour la vente Chassis en bon état. Plus d'informations par téléphone a des heures convenables</t>
        </is>
      </c>
      <c r="AO370" s="10" t="inlineStr">
        <is>
          <t>Dommages : Réparations mineures à prévoir ; Sellerie : Tissu ; Permis : Avec permis ; Importé : false ; vehicle_history_report_status : visible</t>
        </is>
      </c>
      <c r="AP370" s="19" t="inlineStr">
        <is>
          <t>Voir</t>
        </is>
      </c>
      <c r="AQ370" s="10" t="inlineStr">
        <is>
          <t>3284558720</t>
        </is>
      </c>
    </row>
    <row r="371">
      <c r="A371" s="10" t="inlineStr">
        <is>
          <t>Peugeot 306 S16</t>
        </is>
      </c>
      <c r="B371" s="10" t="inlineStr">
        <is>
          <t>306 2L S16 3 portes</t>
        </is>
      </c>
      <c r="C371" s="10" t="n"/>
      <c r="D371" s="10" t="n"/>
      <c r="E371" s="10" t="inlineStr">
        <is>
          <t>En vente</t>
        </is>
      </c>
      <c r="F371" s="18" t="n">
        <v>46306</v>
      </c>
      <c r="G371" s="18" t="n">
        <v>46306</v>
      </c>
      <c r="H371" s="18" t="n">
        <v>46310</v>
      </c>
      <c r="I371" s="18" t="n"/>
      <c r="J371" s="17">
        <f>IF(OR(ISNUMBER(F371),ISNUMBER(G371)),IF(ISNUMBER(I371),I371,H371)-IF(ISNUMBER(F371),F371,G371),"")</f>
        <v/>
      </c>
      <c r="K371" s="12" t="n">
        <v>10000</v>
      </c>
      <c r="L371" s="12" t="n">
        <v>10000</v>
      </c>
      <c r="M371" s="13">
        <f>IF(AND(ISNUMBER(K371),ISNUMBER(L371),K371&gt;0),1-L371/K371,"")</f>
        <v/>
      </c>
      <c r="N371" s="16" t="n">
        <v>0</v>
      </c>
      <c r="O371" s="12" t="n"/>
      <c r="P371" s="12" t="n"/>
      <c r="Q371" s="12" t="n"/>
      <c r="R371" s="14">
        <f>IF(AND(ISNUMBER(L371),ISNUMBER(P371),ISNUMBER(Q371)),L371/((P371+Q371)/2)-1,"")</f>
        <v/>
      </c>
      <c r="S371" s="10" t="n"/>
      <c r="T371" s="15" t="n">
        <v>215100</v>
      </c>
      <c r="U371" s="16" t="n">
        <v>1996</v>
      </c>
      <c r="V371" s="10" t="inlineStr">
        <is>
          <t>04/1996</t>
        </is>
      </c>
      <c r="W371" s="10" t="inlineStr">
        <is>
          <t>Essence</t>
        </is>
      </c>
      <c r="X371" s="10" t="inlineStr">
        <is>
          <t>Manuelle</t>
        </is>
      </c>
      <c r="Y371" s="16" t="n">
        <v>155</v>
      </c>
      <c r="Z371" s="16" t="n">
        <v>11</v>
      </c>
      <c r="AA371" s="10" t="inlineStr">
        <is>
          <t>Rouge</t>
        </is>
      </c>
      <c r="AB371" s="16" t="n">
        <v>3</v>
      </c>
      <c r="AC371" s="10" t="inlineStr">
        <is>
          <t>Berline</t>
        </is>
      </c>
      <c r="AD371" s="10" t="inlineStr">
        <is>
          <t>Factures disponibles, Réparations utiles déjà faites, Véhicule non fumeur</t>
        </is>
      </c>
      <c r="AE371" s="10" t="n"/>
      <c r="AF371" s="10" t="inlineStr">
        <is>
          <t>Particulier</t>
        </is>
      </c>
      <c r="AG371" s="10" t="inlineStr">
        <is>
          <t>Saint-Mathieu-de-Tréviers</t>
        </is>
      </c>
      <c r="AH371" s="10" t="inlineStr">
        <is>
          <t>34270</t>
        </is>
      </c>
      <c r="AI371" s="10" t="inlineStr">
        <is>
          <t>Hérault</t>
        </is>
      </c>
      <c r="AJ371" s="10" t="inlineStr">
        <is>
          <t>Languedoc-Roussillon</t>
        </is>
      </c>
      <c r="AK371" s="16" t="n">
        <v>5</v>
      </c>
      <c r="AL371" s="10" t="n"/>
      <c r="AM371" s="10" t="inlineStr">
        <is>
          <t>Non</t>
        </is>
      </c>
      <c r="AN371" s="10" t="inlineStr">
        <is>
          <t>306. 2 l S16 moteur ACAV Clim ABS En parfait, état de conservation, hormis une usure du fauteuil conducteur Travaux réalisés suite à la restauration : - peinture complète - contrôle train arrière - 4 pneu neuf - vidange des liquides et filtre - distribution Pour plus de renseignements n'hésitez pas à me contacter Je précise bien pour les personnes intéressées ! Que les curieux s'abstiennent</t>
        </is>
      </c>
      <c r="AO371" s="10" t="inlineStr">
        <is>
          <t>vehicle_technical_inspection_valid : Oui ; Contrôle technique : 2028 ; Dommages : Bon état général ; Sellerie : Cuir partiel ; Équipements intérieurs : Climatisation, Jantes en alliage, Sièges sport ; Permis : Avec permis ; Importé : false</t>
        </is>
      </c>
      <c r="AP371" s="19" t="inlineStr">
        <is>
          <t>Voir</t>
        </is>
      </c>
      <c r="AQ371" s="10" t="inlineStr">
        <is>
          <t>3286615377</t>
        </is>
      </c>
    </row>
    <row r="372">
      <c r="A372" s="10" t="inlineStr">
        <is>
          <t>Peugeot 306 S16</t>
        </is>
      </c>
      <c r="B372" s="10" t="inlineStr">
        <is>
          <t>306 s16 BV6</t>
        </is>
      </c>
      <c r="C372" s="10" t="inlineStr">
        <is>
          <t>S16 Pack Premium_306 2.0 S16 Pack Premium BV6 3p</t>
        </is>
      </c>
      <c r="D372" s="10" t="inlineStr">
        <is>
          <t>S16 Pack Premium</t>
        </is>
      </c>
      <c r="E372" s="10" t="inlineStr">
        <is>
          <t>En vente</t>
        </is>
      </c>
      <c r="F372" s="18" t="n">
        <v>46306</v>
      </c>
      <c r="G372" s="18" t="n">
        <v>46306</v>
      </c>
      <c r="H372" s="18" t="n">
        <v>46310</v>
      </c>
      <c r="I372" s="18" t="n"/>
      <c r="J372" s="17">
        <f>IF(OR(ISNUMBER(F372),ISNUMBER(G372)),IF(ISNUMBER(I372),I372,H372)-IF(ISNUMBER(F372),F372,G372),"")</f>
        <v/>
      </c>
      <c r="K372" s="12" t="n">
        <v>16000</v>
      </c>
      <c r="L372" s="12" t="n">
        <v>16000</v>
      </c>
      <c r="M372" s="13">
        <f>IF(AND(ISNUMBER(K372),ISNUMBER(L372),K372&gt;0),1-L372/K372,"")</f>
        <v/>
      </c>
      <c r="N372" s="16" t="n">
        <v>0</v>
      </c>
      <c r="O372" s="12" t="n"/>
      <c r="P372" s="12" t="n"/>
      <c r="Q372" s="12" t="n"/>
      <c r="R372" s="14">
        <f>IF(AND(ISNUMBER(L372),ISNUMBER(P372),ISNUMBER(Q372)),L372/((P372+Q372)/2)-1,"")</f>
        <v/>
      </c>
      <c r="S372" s="10" t="n"/>
      <c r="T372" s="15" t="n">
        <v>182000</v>
      </c>
      <c r="U372" s="16" t="n">
        <v>1997</v>
      </c>
      <c r="V372" s="10" t="inlineStr">
        <is>
          <t>06/1997</t>
        </is>
      </c>
      <c r="W372" s="10" t="inlineStr">
        <is>
          <t>Essence</t>
        </is>
      </c>
      <c r="X372" s="10" t="inlineStr">
        <is>
          <t>Manuelle</t>
        </is>
      </c>
      <c r="Y372" s="16" t="n">
        <v>167</v>
      </c>
      <c r="Z372" s="16" t="n">
        <v>11</v>
      </c>
      <c r="AA372" s="10" t="inlineStr">
        <is>
          <t>Rouge</t>
        </is>
      </c>
      <c r="AB372" s="16" t="n">
        <v>3</v>
      </c>
      <c r="AC372" s="10" t="inlineStr">
        <is>
          <t>Berline</t>
        </is>
      </c>
      <c r="AD372" s="10" t="inlineStr">
        <is>
          <t>Carnet d'entretien disponible, Factures disponibles, Véhicule non fumeur</t>
        </is>
      </c>
      <c r="AE372" s="10" t="n"/>
      <c r="AF372" s="10" t="inlineStr">
        <is>
          <t>Particulier</t>
        </is>
      </c>
      <c r="AG372" s="10" t="inlineStr">
        <is>
          <t>La Flèche</t>
        </is>
      </c>
      <c r="AH372" s="10" t="inlineStr">
        <is>
          <t>72200</t>
        </is>
      </c>
      <c r="AI372" s="10" t="inlineStr">
        <is>
          <t>Sarthe</t>
        </is>
      </c>
      <c r="AJ372" s="10" t="inlineStr">
        <is>
          <t>Pays de la Loire</t>
        </is>
      </c>
      <c r="AK372" s="16" t="n">
        <v>3</v>
      </c>
      <c r="AL372" s="10" t="n"/>
      <c r="AM372" s="10" t="inlineStr">
        <is>
          <t>Non</t>
        </is>
      </c>
      <c r="AN372" s="10" t="inlineStr">
        <is>
          <t>Bonjour Vend ma 306 s16 BV6 de 167ch de juin 1997 D'origine a 100% Peinture neuve rouge lucifer Dort en garage Siège bacquet cuir alcantara nickel Toit ouvrant / clim Poste d'origine 2 clés Facture disponible 4 pneus neuf Embrayage neuf Distribution neuve Disque plaquette récent Bougie + filtre fait Vidange ok Carte grise ok Contrôle technique sera fait pour la vente. Carvertical vierge disponible Voiture française.</t>
        </is>
      </c>
      <c r="AO372" s="10" t="inlineStr">
        <is>
          <t>Dommages : Excellent état (proche du neuf) ; Sellerie : Alcantara ; Équipements intérieurs : Climatisation, Essuie-glaces automatiques, Jantes en alliage, Phares anti-brouillard, Roue de secours, Rétroviseurs dégivrants, Siège arrière rabattable, Siège réglable en hauteur, Sièges sport, Toit ouvrant / Toit panoramique ; Permis : Avec permis ; Importé : false</t>
        </is>
      </c>
      <c r="AP372" s="19" t="inlineStr">
        <is>
          <t>Voir</t>
        </is>
      </c>
      <c r="AQ372" s="10" t="inlineStr">
        <is>
          <t>3286754099</t>
        </is>
      </c>
    </row>
    <row r="373">
      <c r="A373" s="10" t="inlineStr">
        <is>
          <t>Peugeot 306 S16</t>
        </is>
      </c>
      <c r="B373" s="10" t="inlineStr">
        <is>
          <t>Audi s4 b5</t>
        </is>
      </c>
      <c r="C373" s="10" t="n"/>
      <c r="D373" s="10" t="n"/>
      <c r="E373" s="10" t="inlineStr">
        <is>
          <t>En vente</t>
        </is>
      </c>
      <c r="F373" s="18" t="n">
        <v>46307</v>
      </c>
      <c r="G373" s="18" t="n">
        <v>46307</v>
      </c>
      <c r="H373" s="18" t="n">
        <v>46310</v>
      </c>
      <c r="I373" s="18" t="n"/>
      <c r="J373" s="17">
        <f>IF(OR(ISNUMBER(F373),ISNUMBER(G373)),IF(ISNUMBER(I373),I373,H373)-IF(ISNUMBER(F373),F373,G373),"")</f>
        <v/>
      </c>
      <c r="K373" s="12" t="n">
        <v>8490</v>
      </c>
      <c r="L373" s="12" t="n">
        <v>8490</v>
      </c>
      <c r="M373" s="13">
        <f>IF(AND(ISNUMBER(K373),ISNUMBER(L373),K373&gt;0),1-L373/K373,"")</f>
        <v/>
      </c>
      <c r="N373" s="16" t="n">
        <v>0</v>
      </c>
      <c r="O373" s="12" t="n"/>
      <c r="P373" s="12" t="n"/>
      <c r="Q373" s="12" t="n"/>
      <c r="R373" s="14">
        <f>IF(AND(ISNUMBER(L373),ISNUMBER(P373),ISNUMBER(Q373)),L373/((P373+Q373)/2)-1,"")</f>
        <v/>
      </c>
      <c r="S373" s="10" t="n"/>
      <c r="T373" s="15" t="n">
        <v>300000</v>
      </c>
      <c r="U373" s="16" t="n">
        <v>1999</v>
      </c>
      <c r="V373" s="10" t="inlineStr">
        <is>
          <t>08/1999</t>
        </is>
      </c>
      <c r="W373" s="10" t="inlineStr">
        <is>
          <t>Essence</t>
        </is>
      </c>
      <c r="X373" s="10" t="inlineStr">
        <is>
          <t>Manuelle</t>
        </is>
      </c>
      <c r="Y373" s="16" t="n">
        <v>270</v>
      </c>
      <c r="Z373" s="16" t="n">
        <v>19</v>
      </c>
      <c r="AA373" s="10" t="inlineStr">
        <is>
          <t>Noir</t>
        </is>
      </c>
      <c r="AB373" s="16" t="n">
        <v>5</v>
      </c>
      <c r="AC373" s="10" t="inlineStr">
        <is>
          <t>Break</t>
        </is>
      </c>
      <c r="AD373" s="10" t="n"/>
      <c r="AE373" s="10" t="n"/>
      <c r="AF373" s="10" t="inlineStr">
        <is>
          <t>Particulier</t>
        </is>
      </c>
      <c r="AG373" s="10" t="inlineStr">
        <is>
          <t>Fos-sur-Mer</t>
        </is>
      </c>
      <c r="AH373" s="10" t="inlineStr">
        <is>
          <t>13270</t>
        </is>
      </c>
      <c r="AI373" s="10" t="inlineStr">
        <is>
          <t>Bouches-du-Rhône</t>
        </is>
      </c>
      <c r="AJ373" s="10" t="inlineStr">
        <is>
          <t>Provence-Alpes-Côte d'Azur</t>
        </is>
      </c>
      <c r="AK373" s="16" t="n">
        <v>2</v>
      </c>
      <c r="AL373" s="10" t="n"/>
      <c r="AM373" s="10" t="inlineStr">
        <is>
          <t>Non</t>
        </is>
      </c>
      <c r="AN373" s="10" t="inlineStr">
        <is>
          <t>Vend audi s4 b5 an99 ph 1.5 préparé rs4 b5 430cv 600nm reprogrammer par mrc Travaux à prévoir démarre mais prévoir remorque à cause de plusieurs fuite .Je donne un stock de pièces avec Prix 8490 euro ou échange contre sportive 205 gti gt turbo 306 s16 audi s3 8l ou autre à voir selon état</t>
        </is>
      </c>
      <c r="AO373" s="10" t="inlineStr">
        <is>
          <t>Dommages : Réparations mineures à prévoir ; Sellerie : Tout cuir ; Équipements intérieurs : 4 roues motrices, Alarme antivol, Attelage de remorque, Barres de toit intégrées ; Permis : Avec permis ; Importé : false</t>
        </is>
      </c>
      <c r="AP373" s="19" t="inlineStr">
        <is>
          <t>Voir</t>
        </is>
      </c>
      <c r="AQ373" s="10" t="inlineStr">
        <is>
          <t>3286927949</t>
        </is>
      </c>
    </row>
    <row r="374">
      <c r="A374" s="10" t="inlineStr">
        <is>
          <t>Peugeot 306 S16</t>
        </is>
      </c>
      <c r="B374" s="10" t="inlineStr">
        <is>
          <t>Volkswagen Golf 2.0 115 CV GTI GTI EDITION</t>
        </is>
      </c>
      <c r="C374" s="10" t="inlineStr">
        <is>
          <t>Golf 2.0 115ch GTI Edition 3p</t>
        </is>
      </c>
      <c r="D374" s="10" t="inlineStr">
        <is>
          <t>GTI Edition</t>
        </is>
      </c>
      <c r="E374" s="10" t="inlineStr">
        <is>
          <t>En vente</t>
        </is>
      </c>
      <c r="F374" s="18" t="n">
        <v>46307</v>
      </c>
      <c r="G374" s="18" t="n">
        <v>46307</v>
      </c>
      <c r="H374" s="18" t="n">
        <v>46310</v>
      </c>
      <c r="I374" s="18" t="n"/>
      <c r="J374" s="17">
        <f>IF(OR(ISNUMBER(F374),ISNUMBER(G374)),IF(ISNUMBER(I374),I374,H374)-IF(ISNUMBER(F374),F374,G374),"")</f>
        <v/>
      </c>
      <c r="K374" s="12" t="n">
        <v>8490</v>
      </c>
      <c r="L374" s="12" t="n">
        <v>8490</v>
      </c>
      <c r="M374" s="13">
        <f>IF(AND(ISNUMBER(K374),ISNUMBER(L374),K374&gt;0),1-L374/K374,"")</f>
        <v/>
      </c>
      <c r="N374" s="16" t="n">
        <v>0</v>
      </c>
      <c r="O374" s="12" t="n"/>
      <c r="P374" s="12" t="n"/>
      <c r="Q374" s="12" t="n"/>
      <c r="R374" s="14">
        <f>IF(AND(ISNUMBER(L374),ISNUMBER(P374),ISNUMBER(Q374)),L374/((P374+Q374)/2)-1,"")</f>
        <v/>
      </c>
      <c r="S374" s="10" t="n"/>
      <c r="T374" s="15" t="n">
        <v>195000</v>
      </c>
      <c r="U374" s="16" t="n">
        <v>1995</v>
      </c>
      <c r="V374" s="10" t="inlineStr">
        <is>
          <t>09/1995</t>
        </is>
      </c>
      <c r="W374" s="10" t="inlineStr">
        <is>
          <t>Essence</t>
        </is>
      </c>
      <c r="X374" s="10" t="inlineStr">
        <is>
          <t>Manuelle</t>
        </is>
      </c>
      <c r="Y374" s="16" t="n">
        <v>115</v>
      </c>
      <c r="Z374" s="16" t="n">
        <v>9</v>
      </c>
      <c r="AA374" s="10" t="inlineStr">
        <is>
          <t>Bleu</t>
        </is>
      </c>
      <c r="AB374" s="16" t="n">
        <v>3</v>
      </c>
      <c r="AC374" s="10" t="inlineStr">
        <is>
          <t>Citadine</t>
        </is>
      </c>
      <c r="AD374" s="10" t="n"/>
      <c r="AE374" s="10" t="n"/>
      <c r="AF374" s="10" t="inlineStr">
        <is>
          <t>Pro</t>
        </is>
      </c>
      <c r="AG374" s="10" t="inlineStr">
        <is>
          <t>Audincourt</t>
        </is>
      </c>
      <c r="AH374" s="10" t="inlineStr">
        <is>
          <t>25400</t>
        </is>
      </c>
      <c r="AI374" s="10" t="inlineStr">
        <is>
          <t>Doubs</t>
        </is>
      </c>
      <c r="AJ374" s="10" t="inlineStr">
        <is>
          <t>Franche-Comté</t>
        </is>
      </c>
      <c r="AK374" s="16" t="n">
        <v>17</v>
      </c>
      <c r="AL374" s="10" t="n"/>
      <c r="AM374" s="10" t="inlineStr">
        <is>
          <t>Non</t>
        </is>
      </c>
      <c r="AN374" s="10" t="inlineStr">
        <is>
          <t>🔥 VOLKSWAGEN GOLF III GTI EDITION 2.0 115 CH Le plaisir GTI des années 90 ! Une véritable youngtimer avec son moteur 2.0 essence de 115 ch et sa finition GTI Edition ! Un modèle emblématique de Volkswagen, idéal pour les passionnés de sportives des années 90 et les amateurs de collection. - Disponible de suite - Entretien suivi à jour - Non fumeur - Révision et courroie de distribution fait en 2026 Alternatives : Peugeot 205 GTI , Peugeot 306 XSi , S16 Renault Clio 16S , Opel Astra GSi , Seat I</t>
        </is>
      </c>
      <c r="AO374" s="10" t="inlineStr">
        <is>
          <t>Équipements intérieurs : Sièges sport, Suspension sport / adaptative ; VO récent : false ; custom_ref : 2000118 ; Importé : true ; vehicle_history_report_status : visible ; spare_parts_availability : Non renseignée</t>
        </is>
      </c>
      <c r="AP374" s="19" t="inlineStr">
        <is>
          <t>Voir</t>
        </is>
      </c>
      <c r="AQ374" s="10" t="inlineStr">
        <is>
          <t>3287213165</t>
        </is>
      </c>
    </row>
    <row r="375">
      <c r="A375" s="10" t="inlineStr">
        <is>
          <t>Peugeot 306 S16</t>
        </is>
      </c>
      <c r="B375" s="10" t="inlineStr">
        <is>
          <t>306 s16 gr.a</t>
        </is>
      </c>
      <c r="C375" s="10" t="n"/>
      <c r="D375" s="10" t="n"/>
      <c r="E375" s="10" t="inlineStr">
        <is>
          <t>En vente</t>
        </is>
      </c>
      <c r="F375" s="18" t="n">
        <v>46309</v>
      </c>
      <c r="G375" s="18" t="n">
        <v>46309</v>
      </c>
      <c r="H375" s="18" t="n">
        <v>46310</v>
      </c>
      <c r="I375" s="18" t="n"/>
      <c r="J375" s="17">
        <f>IF(OR(ISNUMBER(F375),ISNUMBER(G375)),IF(ISNUMBER(I375),I375,H375)-IF(ISNUMBER(F375),F375,G375),"")</f>
        <v/>
      </c>
      <c r="K375" s="12" t="n">
        <v>21500</v>
      </c>
      <c r="L375" s="12" t="n">
        <v>21500</v>
      </c>
      <c r="M375" s="13">
        <f>IF(AND(ISNUMBER(K375),ISNUMBER(L375),K375&gt;0),1-L375/K375,"")</f>
        <v/>
      </c>
      <c r="N375" s="16" t="n">
        <v>0</v>
      </c>
      <c r="O375" s="12" t="n"/>
      <c r="P375" s="12" t="n"/>
      <c r="Q375" s="12" t="n"/>
      <c r="R375" s="14">
        <f>IF(AND(ISNUMBER(L375),ISNUMBER(P375),ISNUMBER(Q375)),L375/((P375+Q375)/2)-1,"")</f>
        <v/>
      </c>
      <c r="S375" s="10" t="n"/>
      <c r="T375" s="15" t="n">
        <v>35000</v>
      </c>
      <c r="U375" s="16" t="n">
        <v>1999</v>
      </c>
      <c r="V375" s="10" t="inlineStr">
        <is>
          <t>03/1999</t>
        </is>
      </c>
      <c r="W375" s="10" t="inlineStr">
        <is>
          <t>Essence</t>
        </is>
      </c>
      <c r="X375" s="10" t="inlineStr">
        <is>
          <t>Manuelle</t>
        </is>
      </c>
      <c r="Y375" s="16" t="n">
        <v>167</v>
      </c>
      <c r="Z375" s="16" t="n">
        <v>11</v>
      </c>
      <c r="AA375" s="10" t="inlineStr">
        <is>
          <t>Blanc</t>
        </is>
      </c>
      <c r="AB375" s="16" t="n">
        <v>3</v>
      </c>
      <c r="AC375" s="10" t="inlineStr">
        <is>
          <t>Berline</t>
        </is>
      </c>
      <c r="AD375" s="10" t="n"/>
      <c r="AE375" s="10" t="n"/>
      <c r="AF375" s="10" t="inlineStr">
        <is>
          <t>Particulier</t>
        </is>
      </c>
      <c r="AG375" s="10" t="inlineStr">
        <is>
          <t>Saint-André-d'Hébertot</t>
        </is>
      </c>
      <c r="AH375" s="10" t="inlineStr">
        <is>
          <t>14130</t>
        </is>
      </c>
      <c r="AI375" s="10" t="inlineStr">
        <is>
          <t>Calvados</t>
        </is>
      </c>
      <c r="AJ375" s="10" t="inlineStr">
        <is>
          <t>Basse-Normandie</t>
        </is>
      </c>
      <c r="AK375" s="16" t="n">
        <v>3</v>
      </c>
      <c r="AL375" s="10" t="n"/>
      <c r="AM375" s="10" t="inlineStr">
        <is>
          <t>Non</t>
        </is>
      </c>
      <c r="AN375" s="10" t="inlineStr">
        <is>
          <t>306 s16 gr.a Moteur xu10j4rs avec aac pts Boite 6 pts avec autobloquant Amortisseurs bilstein retaré jfrc Ligne gr.a Fam hydraulique Baquet harnais encore 3 ans 12 roues Gros stock de lots de bord Plus de renseignements pars téléphone Echange possible sur auto de série sportive ou a6/a7/n2/f2000.. ou vhc style 205 1.9 ou 309 gti 16s golf gti gt turbo</t>
        </is>
      </c>
      <c r="AO375" s="10" t="inlineStr">
        <is>
          <t>Permis : Avec permis ; Importé : false</t>
        </is>
      </c>
      <c r="AP375" s="19" t="inlineStr">
        <is>
          <t>Voir</t>
        </is>
      </c>
      <c r="AQ375" s="10" t="inlineStr">
        <is>
          <t>3288115418</t>
        </is>
      </c>
    </row>
    <row r="376">
      <c r="A376" s="10" t="inlineStr">
        <is>
          <t>Peugeot 306 S16</t>
        </is>
      </c>
      <c r="B376" s="10" t="inlineStr">
        <is>
          <t>Peugeot 306 1.8 16S XT Pack</t>
        </is>
      </c>
      <c r="C376" s="10" t="inlineStr">
        <is>
          <t>306 1.8 16v XT 5p</t>
        </is>
      </c>
      <c r="D376" s="10" t="inlineStr">
        <is>
          <t>XT</t>
        </is>
      </c>
      <c r="E376" s="10" t="inlineStr">
        <is>
          <t>En vente</t>
        </is>
      </c>
      <c r="F376" s="18" t="n">
        <v>46309</v>
      </c>
      <c r="G376" s="18" t="n">
        <v>46309</v>
      </c>
      <c r="H376" s="18" t="n">
        <v>46310</v>
      </c>
      <c r="I376" s="18" t="n"/>
      <c r="J376" s="17">
        <f>IF(OR(ISNUMBER(F376),ISNUMBER(G376)),IF(ISNUMBER(I376),I376,H376)-IF(ISNUMBER(F376),F376,G376),"")</f>
        <v/>
      </c>
      <c r="K376" s="12" t="n">
        <v>3500</v>
      </c>
      <c r="L376" s="12" t="n">
        <v>3500</v>
      </c>
      <c r="M376" s="13">
        <f>IF(AND(ISNUMBER(K376),ISNUMBER(L376),K376&gt;0),1-L376/K376,"")</f>
        <v/>
      </c>
      <c r="N376" s="16" t="n">
        <v>0</v>
      </c>
      <c r="O376" s="12" t="n"/>
      <c r="P376" s="12" t="n"/>
      <c r="Q376" s="12" t="n"/>
      <c r="R376" s="14">
        <f>IF(AND(ISNUMBER(L376),ISNUMBER(P376),ISNUMBER(Q376)),L376/((P376+Q376)/2)-1,"")</f>
        <v/>
      </c>
      <c r="S376" s="10" t="n"/>
      <c r="T376" s="15" t="n">
        <v>235000</v>
      </c>
      <c r="U376" s="16" t="n">
        <v>2000</v>
      </c>
      <c r="V376" s="10" t="inlineStr">
        <is>
          <t>02/2000</t>
        </is>
      </c>
      <c r="W376" s="10" t="inlineStr">
        <is>
          <t>Essence</t>
        </is>
      </c>
      <c r="X376" s="10" t="inlineStr">
        <is>
          <t>Manuelle</t>
        </is>
      </c>
      <c r="Y376" s="16" t="n">
        <v>112</v>
      </c>
      <c r="Z376" s="16" t="n">
        <v>7</v>
      </c>
      <c r="AA376" s="10" t="inlineStr">
        <is>
          <t>Gris</t>
        </is>
      </c>
      <c r="AB376" s="16" t="n">
        <v>5</v>
      </c>
      <c r="AC376" s="10" t="inlineStr">
        <is>
          <t>Berline</t>
        </is>
      </c>
      <c r="AD376" s="10" t="inlineStr">
        <is>
          <t>Factures disponibles, Réparations utiles déjà faites</t>
        </is>
      </c>
      <c r="AE376" s="10" t="n"/>
      <c r="AF376" s="10" t="inlineStr">
        <is>
          <t>Particulier</t>
        </is>
      </c>
      <c r="AG376" s="10" t="inlineStr">
        <is>
          <t>Nice</t>
        </is>
      </c>
      <c r="AH376" s="10" t="inlineStr">
        <is>
          <t>06000</t>
        </is>
      </c>
      <c r="AI376" s="10" t="inlineStr">
        <is>
          <t>Alpes-Maritimes</t>
        </is>
      </c>
      <c r="AJ376" s="10" t="inlineStr">
        <is>
          <t>Provence-Alpes-Côte d'Azur</t>
        </is>
      </c>
      <c r="AK376" s="16" t="n">
        <v>3</v>
      </c>
      <c r="AL376" s="10" t="n"/>
      <c r="AM376" s="10" t="inlineStr">
        <is>
          <t>Non</t>
        </is>
      </c>
      <c r="AN376" s="10" t="inlineStr">
        <is>
          <t>Bonjour, Je vends ma Peugeot 306 1.8L 16S, moteur XU7JP4 réputé pour sa robustesse, la voiture est esthétiquement en bon état pour son âge, le vernis hayon commence à s’écailler, l’intérieur est très propre sauf les tissus des panneaux de portes qui se décollent légèrement, pommeaux de levier de vitesses et tapis velours neufs. Mécaniquement, elle est en très bon état, marche très bien malgré son kilométrage, pas de perte de puissance, pas de consommation anormale d’huile, de nombreux frais effe</t>
        </is>
      </c>
      <c r="AO376" s="10" t="inlineStr">
        <is>
          <t>Dommages : Bon état général ; Sellerie : Velours ; Permis : Avec permis ; Importé : false ; vehicle_history_teaser_critair : 3 ; vehicle_history_teaser_owners : 8 ; vehicle_history_teaser_expertises : false ; vehicle_history_teaser_special_uses : false ; vehicle_history_teaser_atypical_operations : false ; vehicle_history_teaser_importations : false</t>
        </is>
      </c>
      <c r="AP376" s="19" t="inlineStr">
        <is>
          <t>Voir</t>
        </is>
      </c>
      <c r="AQ376" s="10" t="inlineStr">
        <is>
          <t>3288305043</t>
        </is>
      </c>
    </row>
    <row r="377">
      <c r="A377" s="10" t="inlineStr">
        <is>
          <t>Peugeot 306 S16</t>
        </is>
      </c>
      <c r="B377" s="10" t="inlineStr">
        <is>
          <t>Peugeot 306 s16 / GTI bv6</t>
        </is>
      </c>
      <c r="C377" s="10" t="inlineStr">
        <is>
          <t>306 2.0 S16 Confort BV6 3p</t>
        </is>
      </c>
      <c r="D377" s="10" t="inlineStr">
        <is>
          <t>S16 Confort</t>
        </is>
      </c>
      <c r="E377" s="10" t="inlineStr">
        <is>
          <t>En vente</t>
        </is>
      </c>
      <c r="F377" s="18" t="n">
        <v>46310</v>
      </c>
      <c r="G377" s="18" t="n">
        <v>46310</v>
      </c>
      <c r="H377" s="18" t="n">
        <v>46310</v>
      </c>
      <c r="I377" s="18" t="n"/>
      <c r="J377" s="17">
        <f>IF(OR(ISNUMBER(F377),ISNUMBER(G377)),IF(ISNUMBER(I377),I377,H377)-IF(ISNUMBER(F377),F377,G377),"")</f>
        <v/>
      </c>
      <c r="K377" s="12" t="n">
        <v>8500</v>
      </c>
      <c r="L377" s="12" t="n">
        <v>8500</v>
      </c>
      <c r="M377" s="13">
        <f>IF(AND(ISNUMBER(K377),ISNUMBER(L377),K377&gt;0),1-L377/K377,"")</f>
        <v/>
      </c>
      <c r="N377" s="16" t="n">
        <v>0</v>
      </c>
      <c r="O377" s="12" t="n"/>
      <c r="P377" s="12" t="n"/>
      <c r="Q377" s="12" t="n"/>
      <c r="R377" s="14">
        <f>IF(AND(ISNUMBER(L377),ISNUMBER(P377),ISNUMBER(Q377)),L377/((P377+Q377)/2)-1,"")</f>
        <v/>
      </c>
      <c r="S377" s="10" t="n"/>
      <c r="T377" s="15" t="n">
        <v>222500</v>
      </c>
      <c r="U377" s="16" t="n">
        <v>2001</v>
      </c>
      <c r="V377" s="10" t="inlineStr">
        <is>
          <t>03/2001</t>
        </is>
      </c>
      <c r="W377" s="10" t="inlineStr">
        <is>
          <t>Essence</t>
        </is>
      </c>
      <c r="X377" s="10" t="inlineStr">
        <is>
          <t>Manuelle</t>
        </is>
      </c>
      <c r="Y377" s="16" t="n">
        <v>167</v>
      </c>
      <c r="Z377" s="16" t="n">
        <v>11</v>
      </c>
      <c r="AA377" s="10" t="inlineStr">
        <is>
          <t>Rouge</t>
        </is>
      </c>
      <c r="AB377" s="16" t="n">
        <v>3</v>
      </c>
      <c r="AC377" s="10" t="inlineStr">
        <is>
          <t>Berline</t>
        </is>
      </c>
      <c r="AD377" s="10" t="inlineStr">
        <is>
          <t>Réparations utiles déjà faites</t>
        </is>
      </c>
      <c r="AE377" s="10" t="inlineStr">
        <is>
          <t>Véhicule importé</t>
        </is>
      </c>
      <c r="AF377" s="10" t="inlineStr">
        <is>
          <t>Particulier</t>
        </is>
      </c>
      <c r="AG377" s="10" t="inlineStr">
        <is>
          <t>La Mothe-Saint-Héray</t>
        </is>
      </c>
      <c r="AH377" s="10" t="inlineStr">
        <is>
          <t>79800</t>
        </is>
      </c>
      <c r="AI377" s="10" t="inlineStr">
        <is>
          <t>Deux-Sèvres</t>
        </is>
      </c>
      <c r="AJ377" s="10" t="inlineStr">
        <is>
          <t>Poitou-Charentes</t>
        </is>
      </c>
      <c r="AK377" s="16" t="n">
        <v>3</v>
      </c>
      <c r="AL377" s="10" t="n"/>
      <c r="AM377" s="10" t="inlineStr">
        <is>
          <t>Non</t>
        </is>
      </c>
      <c r="AN377" s="10" t="inlineStr">
        <is>
          <t xml:space="preserve">Vends 306 S16 BV6 : Import Allemagne Mécanique saine Tout est fonctionnel Ct ok 30/09 Prévoir de la carrosserie Gros entretien à l'achat, il y a presque 2 ans (assisté par un professionnel) : -distribution + embrayage + cable d'embrayage (214800km, il y a 7700km) -carlostat + capteurs de température -biellettes de barre stab et rotules -vidanges -amortisseurs et coupelles -catalyseur (sport) -Traitement antirouille complet -Batterie, horloge centrale, ceintures de sécurité, lèches vitres, rétro </t>
        </is>
      </c>
      <c r="AO377" s="10" t="inlineStr">
        <is>
          <t>vehicle_technical_inspection_valid : Non ; Dommages : Réparations mineures à prévoir ; Sellerie : Cuir partiel, Velours ; Équipements intérieurs : Jantes en alliage, Phares anti-brouillard, Phares LED / Xenon, Siège arrière rabattable, Siège réglable en hauteur, Volant réglable en hauteur ; vehicle_euro_emissions_standard : Euro 2 ; Permis : Avec permis ; Importé : false</t>
        </is>
      </c>
      <c r="AP377" s="19" t="inlineStr">
        <is>
          <t>Voir</t>
        </is>
      </c>
      <c r="AQ377" s="10" t="inlineStr">
        <is>
          <t>3288619401</t>
        </is>
      </c>
    </row>
    <row r="378">
      <c r="A378" s="10" t="inlineStr">
        <is>
          <t>Peugeot 306 S16</t>
        </is>
      </c>
      <c r="B378" s="10" t="inlineStr">
        <is>
          <t>Peugeot 306 s16</t>
        </is>
      </c>
      <c r="C378" s="10" t="n"/>
      <c r="D378" s="10" t="n"/>
      <c r="E378" s="10" t="inlineStr">
        <is>
          <t>En vente</t>
        </is>
      </c>
      <c r="F378" s="18" t="n">
        <v>46310</v>
      </c>
      <c r="G378" s="18" t="n">
        <v>46310</v>
      </c>
      <c r="H378" s="18" t="n">
        <v>46310</v>
      </c>
      <c r="I378" s="18" t="n"/>
      <c r="J378" s="17">
        <f>IF(OR(ISNUMBER(F378),ISNUMBER(G378)),IF(ISNUMBER(I378),I378,H378)-IF(ISNUMBER(F378),F378,G378),"")</f>
        <v/>
      </c>
      <c r="K378" s="12" t="n">
        <v>9500</v>
      </c>
      <c r="L378" s="12" t="n">
        <v>9500</v>
      </c>
      <c r="M378" s="13">
        <f>IF(AND(ISNUMBER(K378),ISNUMBER(L378),K378&gt;0),1-L378/K378,"")</f>
        <v/>
      </c>
      <c r="N378" s="16" t="n">
        <v>0</v>
      </c>
      <c r="O378" s="12" t="n"/>
      <c r="P378" s="12" t="n"/>
      <c r="Q378" s="12" t="n"/>
      <c r="R378" s="14">
        <f>IF(AND(ISNUMBER(L378),ISNUMBER(P378),ISNUMBER(Q378)),L378/((P378+Q378)/2)-1,"")</f>
        <v/>
      </c>
      <c r="S378" s="10" t="n"/>
      <c r="T378" s="15" t="n">
        <v>182000</v>
      </c>
      <c r="U378" s="16" t="n">
        <v>1994</v>
      </c>
      <c r="V378" s="10" t="inlineStr">
        <is>
          <t>10/1994</t>
        </is>
      </c>
      <c r="W378" s="10" t="inlineStr">
        <is>
          <t>Essence</t>
        </is>
      </c>
      <c r="X378" s="10" t="inlineStr">
        <is>
          <t>Manuelle</t>
        </is>
      </c>
      <c r="Y378" s="16" t="n">
        <v>155</v>
      </c>
      <c r="Z378" s="16" t="n">
        <v>11</v>
      </c>
      <c r="AA378" s="10" t="inlineStr">
        <is>
          <t>Rouge</t>
        </is>
      </c>
      <c r="AB378" s="16" t="n">
        <v>3</v>
      </c>
      <c r="AC378" s="10" t="inlineStr">
        <is>
          <t>Berline</t>
        </is>
      </c>
      <c r="AD378" s="10" t="inlineStr">
        <is>
          <t>Factures disponibles, Véhicule non fumeur, Réparations utiles déjà faites</t>
        </is>
      </c>
      <c r="AE378" s="10" t="n"/>
      <c r="AF378" s="10" t="inlineStr">
        <is>
          <t>Particulier</t>
        </is>
      </c>
      <c r="AG378" s="10" t="inlineStr">
        <is>
          <t>Chablis</t>
        </is>
      </c>
      <c r="AH378" s="10" t="inlineStr">
        <is>
          <t>89800</t>
        </is>
      </c>
      <c r="AI378" s="10" t="inlineStr">
        <is>
          <t>Yonne</t>
        </is>
      </c>
      <c r="AJ378" s="10" t="inlineStr">
        <is>
          <t>Bourgogne</t>
        </is>
      </c>
      <c r="AK378" s="16" t="n">
        <v>3</v>
      </c>
      <c r="AL378" s="10" t="n"/>
      <c r="AM378" s="10" t="inlineStr">
        <is>
          <t>Non</t>
        </is>
      </c>
      <c r="AN378" s="10" t="inlineStr">
        <is>
          <t>Bonjour , je vends ma 306 s16 rouge Lucifer en excellent état d’origine sauf jantes repris de la phase 2 et rabaissement léger . Entretien suivi , pas mal de facture à l’appuies dont la peinture refaite il y a 4 ans . Distribution récente . Coussinets de bielles changés en préventif aussi . Dernière révision faite chez peugeot cette été . Le contrôle sera refait pour la vente . Pas mal de factures d’entretiens qui retrace la vie de la voiture… Le CT sera refais si acheteur sérieux . Tout est fon</t>
        </is>
      </c>
      <c r="AO378" s="10" t="inlineStr">
        <is>
          <t>Dommages : Bon état général ; Sellerie : Cuir partiel ; Équipements intérieurs : Jantes en alliage, Phares anti-brouillard, Radio numérique DAB, Roue de secours, Siège arrière rabattable, Siège réglable en hauteur, Sièges en cuir, Sièges sport ; Permis : Avec permis ; Importé : false ; vehicle_history_teaser_critair : 0 ; vehicle_history_teaser_owners : 5 ; vehicle_history_teaser_expertises : true ; vehicle_history_teaser_special_uses : false ; vehicle_history_teaser_atypical_operations : true ; vehicle_history_teaser_importations : false</t>
        </is>
      </c>
      <c r="AP378" s="19" t="inlineStr">
        <is>
          <t>Voir</t>
        </is>
      </c>
      <c r="AQ378" s="10" t="inlineStr">
        <is>
          <t>3288719000</t>
        </is>
      </c>
    </row>
    <row r="379">
      <c r="A379" s="10" t="inlineStr">
        <is>
          <t>Peugeot 306 S16</t>
        </is>
      </c>
      <c r="B379" s="10" t="inlineStr">
        <is>
          <t>Xsara vts 167 éthanol</t>
        </is>
      </c>
      <c r="C379" s="10" t="n"/>
      <c r="D379" s="10" t="n"/>
      <c r="E379" s="10" t="inlineStr">
        <is>
          <t>En vente</t>
        </is>
      </c>
      <c r="F379" s="18" t="n">
        <v>46265</v>
      </c>
      <c r="G379" s="18" t="n">
        <v>46265</v>
      </c>
      <c r="H379" s="18" t="n">
        <v>46296</v>
      </c>
      <c r="I379" s="18" t="n"/>
      <c r="J379" s="17">
        <f>IF(OR(ISNUMBER(F379),ISNUMBER(G379)),IF(ISNUMBER(I379),I379,H379)-IF(ISNUMBER(F379),F379,G379),"")</f>
        <v/>
      </c>
      <c r="K379" s="12" t="n">
        <v>11900</v>
      </c>
      <c r="L379" s="12" t="n">
        <v>11900</v>
      </c>
      <c r="M379" s="13">
        <f>IF(AND(ISNUMBER(K379),ISNUMBER(L379),K379&gt;0),1-L379/K379,"")</f>
        <v/>
      </c>
      <c r="N379" s="16" t="n">
        <v>0</v>
      </c>
      <c r="O379" s="12" t="n"/>
      <c r="P379" s="12" t="n"/>
      <c r="Q379" s="12" t="n"/>
      <c r="R379" s="14">
        <f>IF(AND(ISNUMBER(L379),ISNUMBER(P379),ISNUMBER(Q379)),L379/((P379+Q379)/2)-1,"")</f>
        <v/>
      </c>
      <c r="S379" s="10" t="n"/>
      <c r="T379" s="15" t="n">
        <v>88000</v>
      </c>
      <c r="U379" s="16" t="n">
        <v>1998</v>
      </c>
      <c r="V379" s="10" t="n"/>
      <c r="W379" s="10" t="inlineStr">
        <is>
          <t>Essence</t>
        </is>
      </c>
      <c r="X379" s="10" t="inlineStr">
        <is>
          <t>Manuelle</t>
        </is>
      </c>
      <c r="Y379" s="16" t="n">
        <v>167</v>
      </c>
      <c r="Z379" s="16" t="n">
        <v>11</v>
      </c>
      <c r="AA379" s="10" t="inlineStr">
        <is>
          <t>Bleu</t>
        </is>
      </c>
      <c r="AB379" s="16" t="n">
        <v>3</v>
      </c>
      <c r="AC379" s="10" t="inlineStr">
        <is>
          <t>Coupe</t>
        </is>
      </c>
      <c r="AD379" s="10" t="n"/>
      <c r="AE379" s="10" t="n"/>
      <c r="AF379" s="10" t="inlineStr">
        <is>
          <t>Particulier</t>
        </is>
      </c>
      <c r="AG379" s="10" t="inlineStr">
        <is>
          <t>Saintines</t>
        </is>
      </c>
      <c r="AH379" s="10" t="inlineStr">
        <is>
          <t>60410</t>
        </is>
      </c>
      <c r="AI379" s="10" t="inlineStr">
        <is>
          <t>Oise</t>
        </is>
      </c>
      <c r="AJ379" s="10" t="inlineStr">
        <is>
          <t>Picardie</t>
        </is>
      </c>
      <c r="AK379" s="16" t="n"/>
      <c r="AL379" s="10" t="n"/>
      <c r="AM379" s="10" t="n"/>
      <c r="AN379" s="10" t="inlineStr">
        <is>
          <t>Je vends ma Citroën Xsara VTS Coupé de 1998, un classique sportif avec 92 000 km au compteur. Cousine de la 306 s16 bv6 - Marque : Citroën - Modèle : Xsara - Finition : VTS - Année : 1998 - Kilométrage : 92 000 km - Motorisation : 2.0 16v 167 ch - Carburant : Essence et/ou éthanol - Boîte de vitesses : Manuelle - Type de véhicule : Coupé - Nombre de portes : 3 - Nombre de sièges : 5 - Couleur : Bleu métallisé - Puissance fiscale : 11 Cv - Crit'air : 3 - Contrôle technique : Valide jusqu'en 06/20</t>
        </is>
      </c>
      <c r="AO379" s="10" t="n"/>
      <c r="AP379" s="19" t="inlineStr">
        <is>
          <t>Voir</t>
        </is>
      </c>
      <c r="AQ379" s="10" t="inlineStr">
        <is>
          <t>3218818524</t>
        </is>
      </c>
    </row>
    <row r="380">
      <c r="A380" s="10" t="inlineStr">
        <is>
          <t>Peugeot 306 S16</t>
        </is>
      </c>
      <c r="B380" s="10" t="inlineStr">
        <is>
          <t>206 s16 Tracktool</t>
        </is>
      </c>
      <c r="C380" s="10" t="n"/>
      <c r="D380" s="10" t="n"/>
      <c r="E380" s="10" t="inlineStr">
        <is>
          <t>En vente</t>
        </is>
      </c>
      <c r="F380" s="18" t="n">
        <v>46268</v>
      </c>
      <c r="G380" s="18" t="n">
        <v>46268</v>
      </c>
      <c r="H380" s="18" t="n">
        <v>46296</v>
      </c>
      <c r="I380" s="18" t="n"/>
      <c r="J380" s="17">
        <f>IF(OR(ISNUMBER(F380),ISNUMBER(G380)),IF(ISNUMBER(I380),I380,H380)-IF(ISNUMBER(F380),F380,G380),"")</f>
        <v/>
      </c>
      <c r="K380" s="12" t="n">
        <v>6300</v>
      </c>
      <c r="L380" s="12" t="n">
        <v>6300</v>
      </c>
      <c r="M380" s="13">
        <f>IF(AND(ISNUMBER(K380),ISNUMBER(L380),K380&gt;0),1-L380/K380,"")</f>
        <v/>
      </c>
      <c r="N380" s="16" t="n">
        <v>0</v>
      </c>
      <c r="O380" s="12" t="n"/>
      <c r="P380" s="12" t="n"/>
      <c r="Q380" s="12" t="n"/>
      <c r="R380" s="14">
        <f>IF(AND(ISNUMBER(L380),ISNUMBER(P380),ISNUMBER(Q380)),L380/((P380+Q380)/2)-1,"")</f>
        <v/>
      </c>
      <c r="S380" s="10" t="n"/>
      <c r="T380" s="15" t="n">
        <v>160500</v>
      </c>
      <c r="U380" s="16" t="n">
        <v>1999</v>
      </c>
      <c r="V380" s="10" t="n"/>
      <c r="W380" s="10" t="inlineStr">
        <is>
          <t>Essence</t>
        </is>
      </c>
      <c r="X380" s="10" t="inlineStr">
        <is>
          <t>Manuelle</t>
        </is>
      </c>
      <c r="Y380" s="16" t="n">
        <v>138</v>
      </c>
      <c r="Z380" s="16" t="n">
        <v>9</v>
      </c>
      <c r="AA380" s="10" t="inlineStr">
        <is>
          <t>Noir</t>
        </is>
      </c>
      <c r="AB380" s="16" t="n">
        <v>2</v>
      </c>
      <c r="AC380" s="10" t="inlineStr">
        <is>
          <t>Citadine</t>
        </is>
      </c>
      <c r="AD380" s="10" t="n"/>
      <c r="AE380" s="10" t="n"/>
      <c r="AF380" s="10" t="inlineStr">
        <is>
          <t>Particulier</t>
        </is>
      </c>
      <c r="AG380" s="10" t="inlineStr">
        <is>
          <t>Le Broc</t>
        </is>
      </c>
      <c r="AH380" s="10" t="inlineStr">
        <is>
          <t>06510</t>
        </is>
      </c>
      <c r="AI380" s="10" t="inlineStr">
        <is>
          <t>Alpes-Maritimes</t>
        </is>
      </c>
      <c r="AJ380" s="10" t="inlineStr">
        <is>
          <t>Provence-Alpes-Côte d'Azur</t>
        </is>
      </c>
      <c r="AK380" s="16" t="n"/>
      <c r="AL380" s="10" t="n"/>
      <c r="AM380" s="10" t="n"/>
      <c r="AN380" s="10" t="inlineStr">
        <is>
          <t xml:space="preserve">Bonjour, Bien lire l'annonce jusqu'au bout Je vend ma 206 s16 elle et équiper de : -boîte 6 de 306 s16 avec pignons court -arceaux boulonné (démontable )6 point avec déclaration de conformité. -amortisseur bisltein av/ar b14 -frein de 406 v6 avec plaquettes rc6 - barre anti-rapprochement -plénum rc avec papillion mécanique -injecteur 206 rc -gestion ethanol uniquement -durite aviation avec répartiteur de frein -silent-block rigide -vitre avant arrière macrolon -coupe circuit -2 siège baquet omp </t>
        </is>
      </c>
      <c r="AO380" s="10" t="n"/>
      <c r="AP380" s="19" t="inlineStr">
        <is>
          <t>Voir</t>
        </is>
      </c>
      <c r="AQ380" s="10" t="inlineStr">
        <is>
          <t>3261159396</t>
        </is>
      </c>
    </row>
    <row r="381">
      <c r="A381" s="10" t="inlineStr">
        <is>
          <t>Peugeot 306 S16</t>
        </is>
      </c>
      <c r="B381" s="10" t="inlineStr">
        <is>
          <t>Peugeot 306 S16 Le Mans</t>
        </is>
      </c>
      <c r="C381" s="10" t="n"/>
      <c r="D381" s="10" t="n"/>
      <c r="E381" s="10" t="inlineStr">
        <is>
          <t>En vente</t>
        </is>
      </c>
      <c r="F381" s="18" t="n">
        <v>46270</v>
      </c>
      <c r="G381" s="18" t="n">
        <v>46270</v>
      </c>
      <c r="H381" s="18" t="n">
        <v>46296</v>
      </c>
      <c r="I381" s="18" t="n"/>
      <c r="J381" s="17">
        <f>IF(OR(ISNUMBER(F381),ISNUMBER(G381)),IF(ISNUMBER(I381),I381,H381)-IF(ISNUMBER(F381),F381,G381),"")</f>
        <v/>
      </c>
      <c r="K381" s="12" t="n">
        <v>16000</v>
      </c>
      <c r="L381" s="12" t="n">
        <v>16000</v>
      </c>
      <c r="M381" s="13">
        <f>IF(AND(ISNUMBER(K381),ISNUMBER(L381),K381&gt;0),1-L381/K381,"")</f>
        <v/>
      </c>
      <c r="N381" s="16" t="n">
        <v>0</v>
      </c>
      <c r="O381" s="12" t="n"/>
      <c r="P381" s="12" t="n"/>
      <c r="Q381" s="12" t="n"/>
      <c r="R381" s="14">
        <f>IF(AND(ISNUMBER(L381),ISNUMBER(P381),ISNUMBER(Q381)),L381/((P381+Q381)/2)-1,"")</f>
        <v/>
      </c>
      <c r="S381" s="10" t="n"/>
      <c r="T381" s="15" t="n">
        <v>161221</v>
      </c>
      <c r="U381" s="16" t="n">
        <v>1994</v>
      </c>
      <c r="V381" s="10" t="n"/>
      <c r="W381" s="10" t="inlineStr">
        <is>
          <t>Essence</t>
        </is>
      </c>
      <c r="X381" s="10" t="inlineStr">
        <is>
          <t>Manuelle</t>
        </is>
      </c>
      <c r="Y381" s="16" t="n">
        <v>155</v>
      </c>
      <c r="Z381" s="16" t="n">
        <v>11</v>
      </c>
      <c r="AA381" s="10" t="inlineStr">
        <is>
          <t>Rouge</t>
        </is>
      </c>
      <c r="AB381" s="16" t="n">
        <v>3</v>
      </c>
      <c r="AC381" s="10" t="inlineStr">
        <is>
          <t>Berline</t>
        </is>
      </c>
      <c r="AD381" s="10" t="n"/>
      <c r="AE381" s="10" t="n"/>
      <c r="AF381" s="10" t="inlineStr">
        <is>
          <t>Particulier</t>
        </is>
      </c>
      <c r="AG381" s="10" t="inlineStr">
        <is>
          <t>Plaisir</t>
        </is>
      </c>
      <c r="AH381" s="10" t="inlineStr">
        <is>
          <t>78370</t>
        </is>
      </c>
      <c r="AI381" s="10" t="inlineStr">
        <is>
          <t>Yvelines</t>
        </is>
      </c>
      <c r="AJ381" s="10" t="inlineStr">
        <is>
          <t>Ile-de-France</t>
        </is>
      </c>
      <c r="AK381" s="16" t="n"/>
      <c r="AL381" s="10" t="n"/>
      <c r="AM381" s="10" t="n"/>
      <c r="AN381" s="10" t="inlineStr">
        <is>
          <t>Bonjour, Je vends ma Peugeot 306 S16 Le Mans de 1994, une berline sportive emblématique sortie en 400 exemplaires en 1993/1994 pour célébrer le triplé historique de Peugeot aux 24 Heures du Mans avec le prototype 905. Véhicule garé dans un parking souterrain et couverte avec une bâche faite sur-mesure. Nombreuses factures et CT disponibles. - Marque : Peugeot - Modèle : 306 - Finition : S16 Le Mans (N°140) - Année : 1994 - Kilométrage : 161 221 km - Motorisation : 155 Ch - Puissance fiscale : 11</t>
        </is>
      </c>
      <c r="AO381" s="10" t="n"/>
      <c r="AP381" s="19" t="inlineStr">
        <is>
          <t>Voir</t>
        </is>
      </c>
      <c r="AQ381" s="10" t="inlineStr">
        <is>
          <t>3263390958</t>
        </is>
      </c>
    </row>
    <row r="382">
      <c r="A382" s="10" t="inlineStr">
        <is>
          <t>Peugeot 306 S16</t>
        </is>
      </c>
      <c r="B382" s="10" t="inlineStr">
        <is>
          <t>306 1.6 90cv</t>
        </is>
      </c>
      <c r="C382" s="10" t="n"/>
      <c r="D382" s="10" t="n"/>
      <c r="E382" s="10" t="inlineStr">
        <is>
          <t>En vente</t>
        </is>
      </c>
      <c r="F382" s="18" t="n">
        <v>46275</v>
      </c>
      <c r="G382" s="18" t="n">
        <v>46275</v>
      </c>
      <c r="H382" s="18" t="n">
        <v>46296</v>
      </c>
      <c r="I382" s="18" t="n"/>
      <c r="J382" s="17">
        <f>IF(OR(ISNUMBER(F382),ISNUMBER(G382)),IF(ISNUMBER(I382),I382,H382)-IF(ISNUMBER(F382),F382,G382),"")</f>
        <v/>
      </c>
      <c r="K382" s="12" t="n">
        <v>1000</v>
      </c>
      <c r="L382" s="12" t="n">
        <v>1000</v>
      </c>
      <c r="M382" s="13">
        <f>IF(AND(ISNUMBER(K382),ISNUMBER(L382),K382&gt;0),1-L382/K382,"")</f>
        <v/>
      </c>
      <c r="N382" s="16" t="n">
        <v>0</v>
      </c>
      <c r="O382" s="12" t="n"/>
      <c r="P382" s="12" t="n"/>
      <c r="Q382" s="12" t="n"/>
      <c r="R382" s="14">
        <f>IF(AND(ISNUMBER(L382),ISNUMBER(P382),ISNUMBER(Q382)),L382/((P382+Q382)/2)-1,"")</f>
        <v/>
      </c>
      <c r="S382" s="10" t="n"/>
      <c r="T382" s="15" t="n">
        <v>145000</v>
      </c>
      <c r="U382" s="16" t="n">
        <v>1997</v>
      </c>
      <c r="V382" s="10" t="n"/>
      <c r="W382" s="10" t="inlineStr">
        <is>
          <t>Essence</t>
        </is>
      </c>
      <c r="X382" s="10" t="inlineStr">
        <is>
          <t>Manuelle</t>
        </is>
      </c>
      <c r="Y382" s="16" t="n">
        <v>90</v>
      </c>
      <c r="Z382" s="16" t="n">
        <v>7</v>
      </c>
      <c r="AA382" s="10" t="inlineStr">
        <is>
          <t>Autre</t>
        </is>
      </c>
      <c r="AB382" s="16" t="n">
        <v>5</v>
      </c>
      <c r="AC382" s="10" t="inlineStr">
        <is>
          <t>Berline</t>
        </is>
      </c>
      <c r="AD382" s="10" t="n"/>
      <c r="AE382" s="10" t="n"/>
      <c r="AF382" s="10" t="inlineStr">
        <is>
          <t>Particulier</t>
        </is>
      </c>
      <c r="AG382" s="10" t="inlineStr">
        <is>
          <t>Dijon</t>
        </is>
      </c>
      <c r="AH382" s="10" t="inlineStr">
        <is>
          <t>21000</t>
        </is>
      </c>
      <c r="AI382" s="10" t="inlineStr">
        <is>
          <t>Côte-d'Or</t>
        </is>
      </c>
      <c r="AJ382" s="10" t="inlineStr">
        <is>
          <t>Bourgogne</t>
        </is>
      </c>
      <c r="AK382" s="16" t="n"/>
      <c r="AL382" s="10" t="n"/>
      <c r="AM382" s="10" t="n"/>
      <c r="AN382" s="10" t="inlineStr">
        <is>
          <t>- Kilométrage : 145 000 km - Motorisation : 1.6 Essence 90 ch - Boîte de vitesses : Manuelle - plus de photo sur demande ⚠️ voiture à finir de remonter suite à une casse moteur - Trains avant neuf (triangle freins bielette bars stab rotule direction) -cardan droit garantie gpa -decata -silencieux 306 s16 origine -Embrayage -10 000km - Volant moteur rectifier -Boîte à 140k km (facture gpa) -Moteur 145km environ( joint de culasse fait en prévention dessus) Pièces en plus -1 hayon avec centralisati</t>
        </is>
      </c>
      <c r="AO382" s="10" t="n"/>
      <c r="AP382" s="19" t="inlineStr">
        <is>
          <t>Voir</t>
        </is>
      </c>
      <c r="AQ382" s="10" t="inlineStr">
        <is>
          <t>3267049380</t>
        </is>
      </c>
    </row>
    <row r="383">
      <c r="A383" s="10" t="inlineStr">
        <is>
          <t>Peugeot 306 S16</t>
        </is>
      </c>
      <c r="B383" s="10" t="inlineStr">
        <is>
          <t>Peugeot 306 S16 Bleu</t>
        </is>
      </c>
      <c r="C383" s="10" t="n"/>
      <c r="D383" s="10" t="n"/>
      <c r="E383" s="10" t="inlineStr">
        <is>
          <t>En vente</t>
        </is>
      </c>
      <c r="F383" s="18" t="n">
        <v>46275</v>
      </c>
      <c r="G383" s="18" t="n">
        <v>46275</v>
      </c>
      <c r="H383" s="18" t="n">
        <v>46296</v>
      </c>
      <c r="I383" s="18" t="n"/>
      <c r="J383" s="17">
        <f>IF(OR(ISNUMBER(F383),ISNUMBER(G383)),IF(ISNUMBER(I383),I383,H383)-IF(ISNUMBER(F383),F383,G383),"")</f>
        <v/>
      </c>
      <c r="K383" s="12" t="n">
        <v>1000</v>
      </c>
      <c r="L383" s="12" t="n">
        <v>1000</v>
      </c>
      <c r="M383" s="13">
        <f>IF(AND(ISNUMBER(K383),ISNUMBER(L383),K383&gt;0),1-L383/K383,"")</f>
        <v/>
      </c>
      <c r="N383" s="16" t="n">
        <v>0</v>
      </c>
      <c r="O383" s="12" t="n"/>
      <c r="P383" s="12" t="n"/>
      <c r="Q383" s="12" t="n"/>
      <c r="R383" s="14">
        <f>IF(AND(ISNUMBER(L383),ISNUMBER(P383),ISNUMBER(Q383)),L383/((P383+Q383)/2)-1,"")</f>
        <v/>
      </c>
      <c r="S383" s="10" t="n"/>
      <c r="T383" s="15" t="n">
        <v>184614</v>
      </c>
      <c r="U383" s="16" t="n">
        <v>2000</v>
      </c>
      <c r="V383" s="10" t="n"/>
      <c r="W383" s="10" t="inlineStr">
        <is>
          <t>Essence</t>
        </is>
      </c>
      <c r="X383" s="10" t="inlineStr">
        <is>
          <t>Manuelle</t>
        </is>
      </c>
      <c r="Y383" s="16" t="n">
        <v>112</v>
      </c>
      <c r="Z383" s="16" t="n">
        <v>7</v>
      </c>
      <c r="AA383" s="10" t="inlineStr">
        <is>
          <t>Bleu</t>
        </is>
      </c>
      <c r="AB383" s="16" t="n">
        <v>5</v>
      </c>
      <c r="AC383" s="10" t="inlineStr">
        <is>
          <t>Berline</t>
        </is>
      </c>
      <c r="AD383" s="10" t="n"/>
      <c r="AE383" s="10" t="n"/>
      <c r="AF383" s="10" t="inlineStr">
        <is>
          <t>Particulier</t>
        </is>
      </c>
      <c r="AG383" s="10" t="inlineStr">
        <is>
          <t>Bourges</t>
        </is>
      </c>
      <c r="AH383" s="10" t="inlineStr">
        <is>
          <t>18000</t>
        </is>
      </c>
      <c r="AI383" s="10" t="inlineStr">
        <is>
          <t>Cher</t>
        </is>
      </c>
      <c r="AJ383" s="10" t="inlineStr">
        <is>
          <t>Centre</t>
        </is>
      </c>
      <c r="AK383" s="16" t="n"/>
      <c r="AL383" s="10" t="n"/>
      <c r="AM383" s="10" t="n"/>
      <c r="AN383" s="10" t="inlineStr">
        <is>
          <t>Voiture sportive avec logo S16 à l'arrière, moteur 1.8 16V, 120 cv , série limitée. Voiture agréable à conduire avec un très bon moteur. Intérieur correct, carrosserie un peu usée par endroit. Réparations majeures à prévoir : Culasse, joint de culasse et courroie de distribution.</t>
        </is>
      </c>
      <c r="AO383" s="10" t="n"/>
      <c r="AP383" s="19" t="inlineStr">
        <is>
          <t>Voir</t>
        </is>
      </c>
      <c r="AQ383" s="10" t="inlineStr">
        <is>
          <t>3267140247</t>
        </is>
      </c>
    </row>
    <row r="384">
      <c r="A384" s="10" t="inlineStr">
        <is>
          <t>Peugeot 306 S16</t>
        </is>
      </c>
      <c r="B384" s="10" t="inlineStr">
        <is>
          <t>106 S16 préparée</t>
        </is>
      </c>
      <c r="C384" s="10" t="n"/>
      <c r="D384" s="10" t="n"/>
      <c r="E384" s="10" t="inlineStr">
        <is>
          <t>En vente</t>
        </is>
      </c>
      <c r="F384" s="18" t="n">
        <v>46277</v>
      </c>
      <c r="G384" s="18" t="n">
        <v>46277</v>
      </c>
      <c r="H384" s="18" t="n">
        <v>46296</v>
      </c>
      <c r="I384" s="18" t="n"/>
      <c r="J384" s="17">
        <f>IF(OR(ISNUMBER(F384),ISNUMBER(G384)),IF(ISNUMBER(I384),I384,H384)-IF(ISNUMBER(F384),F384,G384),"")</f>
        <v/>
      </c>
      <c r="K384" s="12" t="n">
        <v>14000</v>
      </c>
      <c r="L384" s="12" t="n">
        <v>14000</v>
      </c>
      <c r="M384" s="13">
        <f>IF(AND(ISNUMBER(K384),ISNUMBER(L384),K384&gt;0),1-L384/K384,"")</f>
        <v/>
      </c>
      <c r="N384" s="16" t="n">
        <v>0</v>
      </c>
      <c r="O384" s="12" t="n"/>
      <c r="P384" s="12" t="n"/>
      <c r="Q384" s="12" t="n"/>
      <c r="R384" s="14">
        <f>IF(AND(ISNUMBER(L384),ISNUMBER(P384),ISNUMBER(Q384)),L384/((P384+Q384)/2)-1,"")</f>
        <v/>
      </c>
      <c r="S384" s="10" t="n"/>
      <c r="T384" s="15" t="n">
        <v>255000</v>
      </c>
      <c r="U384" s="16" t="n">
        <v>2001</v>
      </c>
      <c r="V384" s="10" t="n"/>
      <c r="W384" s="10" t="inlineStr">
        <is>
          <t>Essence</t>
        </is>
      </c>
      <c r="X384" s="10" t="inlineStr">
        <is>
          <t>Manuelle</t>
        </is>
      </c>
      <c r="Y384" s="16" t="n">
        <v>150</v>
      </c>
      <c r="Z384" s="16" t="n">
        <v>8</v>
      </c>
      <c r="AA384" s="10" t="inlineStr">
        <is>
          <t>Blanc</t>
        </is>
      </c>
      <c r="AB384" s="16" t="n">
        <v>3</v>
      </c>
      <c r="AC384" s="10" t="inlineStr">
        <is>
          <t>Berline</t>
        </is>
      </c>
      <c r="AD384" s="10" t="n"/>
      <c r="AE384" s="10" t="n"/>
      <c r="AF384" s="10" t="inlineStr">
        <is>
          <t>Particulier</t>
        </is>
      </c>
      <c r="AG384" s="10" t="inlineStr">
        <is>
          <t>Gray</t>
        </is>
      </c>
      <c r="AH384" s="10" t="inlineStr">
        <is>
          <t>70100</t>
        </is>
      </c>
      <c r="AI384" s="10" t="inlineStr">
        <is>
          <t>Haute-Saône</t>
        </is>
      </c>
      <c r="AJ384" s="10" t="inlineStr">
        <is>
          <t>Franche-Comté</t>
        </is>
      </c>
      <c r="AK384" s="16" t="n"/>
      <c r="AL384" s="10" t="n"/>
      <c r="AM384" s="10" t="n"/>
      <c r="AN384" s="10" t="inlineStr">
        <is>
          <t>Vend 106 S16 blanc banquise de 2001 préparée pour la piste, la caisse a 250 000 km, le moteur a été revu en 2023, date à laquelle la prépa a débutée. Depuis j'ai effectué 1000 km avec la voiture et 2 journées piste. Équipement d'origine : Rétroviseur électrique Toit ouvrant Abs Airbag ( boitier débranché pour ne pas avoir le voyant ) Modifications : Intérieur : Arceau Sparco 6 points avec annexe J Baquet Harnais 6 points Panneau de porte en alu Volant tulipé RRS avec moyeu Coupe circuit avec ail</t>
        </is>
      </c>
      <c r="AO384" s="10" t="n"/>
      <c r="AP384" s="19" t="inlineStr">
        <is>
          <t>Voir</t>
        </is>
      </c>
      <c r="AQ384" s="10" t="inlineStr">
        <is>
          <t>3268479738</t>
        </is>
      </c>
    </row>
    <row r="385">
      <c r="A385" s="10" t="inlineStr">
        <is>
          <t>Peugeot 306 S16</t>
        </is>
      </c>
      <c r="B385" s="10" t="inlineStr">
        <is>
          <t>Peugeot 306 s16 / gti bv6</t>
        </is>
      </c>
      <c r="C385" s="10" t="n"/>
      <c r="D385" s="10" t="n"/>
      <c r="E385" s="10" t="inlineStr">
        <is>
          <t>En vente</t>
        </is>
      </c>
      <c r="F385" s="18" t="n">
        <v>46290</v>
      </c>
      <c r="G385" s="18" t="n">
        <v>46290</v>
      </c>
      <c r="H385" s="18" t="n">
        <v>46296</v>
      </c>
      <c r="I385" s="18" t="n"/>
      <c r="J385" s="17">
        <f>IF(OR(ISNUMBER(F385),ISNUMBER(G385)),IF(ISNUMBER(I385),I385,H385)-IF(ISNUMBER(F385),F385,G385),"")</f>
        <v/>
      </c>
      <c r="K385" s="12" t="n">
        <v>8000</v>
      </c>
      <c r="L385" s="12" t="n">
        <v>8000</v>
      </c>
      <c r="M385" s="13">
        <f>IF(AND(ISNUMBER(K385),ISNUMBER(L385),K385&gt;0),1-L385/K385,"")</f>
        <v/>
      </c>
      <c r="N385" s="16" t="n">
        <v>0</v>
      </c>
      <c r="O385" s="12" t="n"/>
      <c r="P385" s="12" t="n"/>
      <c r="Q385" s="12" t="n"/>
      <c r="R385" s="14">
        <f>IF(AND(ISNUMBER(L385),ISNUMBER(P385),ISNUMBER(Q385)),L385/((P385+Q385)/2)-1,"")</f>
        <v/>
      </c>
      <c r="S385" s="10" t="n"/>
      <c r="T385" s="15" t="n">
        <v>222500</v>
      </c>
      <c r="U385" s="16" t="n">
        <v>2001</v>
      </c>
      <c r="V385" s="10" t="n"/>
      <c r="W385" s="10" t="inlineStr">
        <is>
          <t>Essence</t>
        </is>
      </c>
      <c r="X385" s="10" t="inlineStr">
        <is>
          <t>Manuelle</t>
        </is>
      </c>
      <c r="Y385" s="16" t="n">
        <v>167</v>
      </c>
      <c r="Z385" s="16" t="n">
        <v>11</v>
      </c>
      <c r="AA385" s="10" t="inlineStr">
        <is>
          <t>Rouge</t>
        </is>
      </c>
      <c r="AB385" s="16" t="n">
        <v>3</v>
      </c>
      <c r="AC385" s="10" t="inlineStr">
        <is>
          <t>Berline</t>
        </is>
      </c>
      <c r="AD385" s="10" t="n"/>
      <c r="AE385" s="10" t="inlineStr"/>
      <c r="AF385" s="10" t="inlineStr">
        <is>
          <t>Particulier</t>
        </is>
      </c>
      <c r="AG385" s="10" t="inlineStr">
        <is>
          <t>La Mothe-Saint-Héray</t>
        </is>
      </c>
      <c r="AH385" s="10" t="inlineStr">
        <is>
          <t>79800</t>
        </is>
      </c>
      <c r="AI385" s="10" t="inlineStr">
        <is>
          <t>Deux-Sèvres</t>
        </is>
      </c>
      <c r="AJ385" s="10" t="inlineStr">
        <is>
          <t>Poitou-Charentes</t>
        </is>
      </c>
      <c r="AK385" s="16" t="n"/>
      <c r="AL385" s="10" t="n"/>
      <c r="AM385" s="10" t="n"/>
      <c r="AN385" s="10" t="inlineStr">
        <is>
          <t>Vends 306 S16 BV6 : Import Allemagne Mécanique saine Prévoir de la carrosserie gros entretien à l'achat, il y a presque 2 ans : -distribution + embrayage + cable d'embrayage (214800km, il y a 5700km) -carlostat + capteurs de température -biellettes de barre stab et rotules -vidanges -amortisseurs et coupelles -catalyseur (sport) -Traitement antirouille complet, sauf une zone sous le cache de bas de caisse à faire reprendre par un professionnel. Elle passe le contrôle technique car la zone est in</t>
        </is>
      </c>
      <c r="AO385" s="10" t="n"/>
      <c r="AP385" s="19" t="inlineStr">
        <is>
          <t>Voir</t>
        </is>
      </c>
      <c r="AQ385" s="10" t="inlineStr">
        <is>
          <t>3276571950</t>
        </is>
      </c>
    </row>
    <row r="386">
      <c r="A386" s="10" t="inlineStr">
        <is>
          <t>Peugeot 306 S16</t>
        </is>
      </c>
      <c r="B386" s="10" t="inlineStr">
        <is>
          <t>306 s16</t>
        </is>
      </c>
      <c r="C386" s="10" t="n"/>
      <c r="D386" s="10" t="n"/>
      <c r="E386" s="10" t="inlineStr">
        <is>
          <t>En vente</t>
        </is>
      </c>
      <c r="F386" s="18" t="n">
        <v>46296</v>
      </c>
      <c r="G386" s="18" t="n">
        <v>46296</v>
      </c>
      <c r="H386" s="18" t="n">
        <v>46296</v>
      </c>
      <c r="I386" s="18" t="n"/>
      <c r="J386" s="17">
        <f>IF(OR(ISNUMBER(F386),ISNUMBER(G386)),IF(ISNUMBER(I386),I386,H386)-IF(ISNUMBER(F386),F386,G386),"")</f>
        <v/>
      </c>
      <c r="K386" s="12" t="n">
        <v>4000</v>
      </c>
      <c r="L386" s="12" t="n">
        <v>4000</v>
      </c>
      <c r="M386" s="13">
        <f>IF(AND(ISNUMBER(K386),ISNUMBER(L386),K386&gt;0),1-L386/K386,"")</f>
        <v/>
      </c>
      <c r="N386" s="16" t="n">
        <v>0</v>
      </c>
      <c r="O386" s="12" t="n"/>
      <c r="P386" s="12" t="n"/>
      <c r="Q386" s="12" t="n"/>
      <c r="R386" s="14">
        <f>IF(AND(ISNUMBER(L386),ISNUMBER(P386),ISNUMBER(Q386)),L386/((P386+Q386)/2)-1,"")</f>
        <v/>
      </c>
      <c r="S386" s="10" t="n"/>
      <c r="T386" s="15" t="n">
        <v>215000</v>
      </c>
      <c r="U386" s="16" t="n">
        <v>2000</v>
      </c>
      <c r="V386" s="10" t="n"/>
      <c r="W386" s="10" t="inlineStr">
        <is>
          <t>Essence</t>
        </is>
      </c>
      <c r="X386" s="10" t="inlineStr">
        <is>
          <t>Manuelle</t>
        </is>
      </c>
      <c r="Y386" s="16" t="n">
        <v>112</v>
      </c>
      <c r="Z386" s="16" t="n">
        <v>7</v>
      </c>
      <c r="AA386" s="10" t="inlineStr">
        <is>
          <t>Bleu</t>
        </is>
      </c>
      <c r="AB386" s="16" t="n">
        <v>3</v>
      </c>
      <c r="AC386" s="10" t="inlineStr">
        <is>
          <t>Berline</t>
        </is>
      </c>
      <c r="AD386" s="10" t="n"/>
      <c r="AE386" s="10" t="n"/>
      <c r="AF386" s="10" t="inlineStr">
        <is>
          <t>Particulier</t>
        </is>
      </c>
      <c r="AG386" s="10" t="inlineStr">
        <is>
          <t>Le Pellerin</t>
        </is>
      </c>
      <c r="AH386" s="10" t="inlineStr">
        <is>
          <t>44640</t>
        </is>
      </c>
      <c r="AI386" s="10" t="inlineStr">
        <is>
          <t>Loire-Atlantique</t>
        </is>
      </c>
      <c r="AJ386" s="10" t="inlineStr">
        <is>
          <t>Pays de la Loire</t>
        </is>
      </c>
      <c r="AK386" s="16" t="n"/>
      <c r="AL386" s="10" t="n"/>
      <c r="AM386" s="10" t="n"/>
      <c r="AN386" s="10" t="inlineStr">
        <is>
          <t>PEUGEOT 306 XSi Phase 2, 3 portes moteur : XU7JP4 215 000 kms (fin de rodage) 1.8 i 16V 112cv BV5 1ère immat. : 2000-06-09 Véhicule de 26 ans vendu avec tous ses défauts : peinture toit écaillée, poc sur la malle arrière, jantes OZ abimées, fenêtre passager non ouvrante (soucis électrique), clim à contrôler / recharger. CT OK CT moins de 6 mois (Septembre 2026) CG en règle à mon nom Bonne base pour en faire un Yougtimer et rejoindre les rassos le dimanche : la côte des 306 16S monte tranquilemen</t>
        </is>
      </c>
      <c r="AO386" s="10" t="n"/>
      <c r="AP386" s="19" t="inlineStr">
        <is>
          <t>Voir</t>
        </is>
      </c>
      <c r="AQ386" s="10" t="inlineStr">
        <is>
          <t>3280107297</t>
        </is>
      </c>
    </row>
    <row r="387">
      <c r="A387" s="10" t="inlineStr">
        <is>
          <t>Porsche 911 997 Carrera S</t>
        </is>
      </c>
      <c r="B387" s="10" t="inlineStr">
        <is>
          <t>Porsche 911 TYPE 997 CABRIOLET (997) CABRIOLET 3.8 355 CARRERA S</t>
        </is>
      </c>
      <c r="C387" s="10" t="inlineStr">
        <is>
          <t>911 Cabriolet Carrera S</t>
        </is>
      </c>
      <c r="D387" s="10" t="n"/>
      <c r="E387" s="10" t="inlineStr">
        <is>
          <t>En vente</t>
        </is>
      </c>
      <c r="F387" s="18" t="n">
        <v>45818</v>
      </c>
      <c r="G387" s="18" t="n">
        <v>45818</v>
      </c>
      <c r="H387" s="18" t="n">
        <v>46310</v>
      </c>
      <c r="I387" s="18" t="n"/>
      <c r="J387" s="17">
        <f>IF(OR(ISNUMBER(F387),ISNUMBER(G387)),IF(ISNUMBER(I387),I387,H387)-IF(ISNUMBER(F387),F387,G387),"")</f>
        <v/>
      </c>
      <c r="K387" s="12" t="n">
        <v>54800</v>
      </c>
      <c r="L387" s="12" t="n">
        <v>54800</v>
      </c>
      <c r="M387" s="13">
        <f>IF(AND(ISNUMBER(K387),ISNUMBER(L387),K387&gt;0),1-L387/K387,"")</f>
        <v/>
      </c>
      <c r="N387" s="16" t="n">
        <v>0</v>
      </c>
      <c r="O387" s="12" t="n">
        <v>55800</v>
      </c>
      <c r="P387" s="12" t="n"/>
      <c r="Q387" s="12" t="n"/>
      <c r="R387" s="14">
        <f>IF(AND(ISNUMBER(L387),ISNUMBER(P387),ISNUMBER(Q387)),L387/((P387+Q387)/2)-1,"")</f>
        <v/>
      </c>
      <c r="S387" s="10" t="n"/>
      <c r="T387" s="15" t="n">
        <v>82900</v>
      </c>
      <c r="U387" s="16" t="n">
        <v>2006</v>
      </c>
      <c r="V387" s="10" t="inlineStr">
        <is>
          <t>01/2006</t>
        </is>
      </c>
      <c r="W387" s="10" t="inlineStr">
        <is>
          <t>Essence</t>
        </is>
      </c>
      <c r="X387" s="10" t="inlineStr">
        <is>
          <t>Manuelle</t>
        </is>
      </c>
      <c r="Y387" s="16" t="n">
        <v>355</v>
      </c>
      <c r="Z387" s="16" t="n">
        <v>26</v>
      </c>
      <c r="AA387" s="10" t="inlineStr">
        <is>
          <t>Noir</t>
        </is>
      </c>
      <c r="AB387" s="16" t="n">
        <v>2</v>
      </c>
      <c r="AC387" s="10" t="inlineStr">
        <is>
          <t>Cabriolet</t>
        </is>
      </c>
      <c r="AD387" s="10" t="n"/>
      <c r="AE387" s="10" t="n"/>
      <c r="AF387" s="10" t="inlineStr">
        <is>
          <t>Pro</t>
        </is>
      </c>
      <c r="AG387" s="10" t="inlineStr">
        <is>
          <t>Roncq</t>
        </is>
      </c>
      <c r="AH387" s="10" t="inlineStr">
        <is>
          <t>59223</t>
        </is>
      </c>
      <c r="AI387" s="10" t="inlineStr">
        <is>
          <t>Nord</t>
        </is>
      </c>
      <c r="AJ387" s="10" t="inlineStr">
        <is>
          <t>Nord-Pas-de-Calais</t>
        </is>
      </c>
      <c r="AK387" s="16" t="n">
        <v>20</v>
      </c>
      <c r="AL387" s="10" t="inlineStr">
        <is>
          <t>Oui</t>
        </is>
      </c>
      <c r="AM387" s="10" t="inlineStr">
        <is>
          <t>Non</t>
        </is>
      </c>
      <c r="AN387" s="10" t="inlineStr">
        <is>
          <t>Porsche 911 TYPE 997 CABRIOLET (997) CABRIOLET 3.8 355 CARRERA S, (Cabriolet), NOIR, 26cv, 2 portes, mise en circulation le 18-01-2006. 4 places, couleur intérieur : GRIS, poids en charge 1885 Kg, boîte de vitesse : manuelle OPTIONS ET EQUIPEMENTS : Autres équipements et informations : - Aide au parking AR - Capote éléctrique - Carnet d'entretien - Climatisation automatique - Feux au xénon - Gps - Hifi BOSE - Jantes 19 pces - Livraison possible en france - PASM - Sièges semi-éléctriques - Sièges</t>
        </is>
      </c>
      <c r="AO387" s="10" t="inlineStr">
        <is>
          <t>Permis : Avec permis ; VO récent : false ; custom_ref : 7175 ; Importé : true ; vehicle_history_report_status : visible ; spare_parts_availability : Non renseignée</t>
        </is>
      </c>
      <c r="AP387" s="19" t="inlineStr">
        <is>
          <t>Voir</t>
        </is>
      </c>
      <c r="AQ387" s="10" t="inlineStr">
        <is>
          <t>3004883966</t>
        </is>
      </c>
    </row>
    <row r="388">
      <c r="A388" s="10" t="inlineStr">
        <is>
          <t>Porsche 911 997 Carrera S</t>
        </is>
      </c>
      <c r="B388" s="10" t="inlineStr">
        <is>
          <t>Porsche 911 CARRERA COUPE 997 S Coupé 3.8i</t>
        </is>
      </c>
      <c r="C388" s="10" t="inlineStr">
        <is>
          <t>911 Coupe Carrera S</t>
        </is>
      </c>
      <c r="D388" s="10" t="inlineStr">
        <is>
          <t>Carrera S</t>
        </is>
      </c>
      <c r="E388" s="10" t="inlineStr">
        <is>
          <t>En vente</t>
        </is>
      </c>
      <c r="F388" s="18" t="n">
        <v>46276</v>
      </c>
      <c r="G388" s="18" t="n">
        <v>46276</v>
      </c>
      <c r="H388" s="18" t="n">
        <v>46310</v>
      </c>
      <c r="I388" s="18" t="n"/>
      <c r="J388" s="17">
        <f>IF(OR(ISNUMBER(F388),ISNUMBER(G388)),IF(ISNUMBER(I388),I388,H388)-IF(ISNUMBER(F388),F388,G388),"")</f>
        <v/>
      </c>
      <c r="K388" s="12" t="n">
        <v>55990</v>
      </c>
      <c r="L388" s="12" t="n">
        <v>55990</v>
      </c>
      <c r="M388" s="13">
        <f>IF(AND(ISNUMBER(K388),ISNUMBER(L388),K388&gt;0),1-L388/K388,"")</f>
        <v/>
      </c>
      <c r="N388" s="16" t="n">
        <v>0</v>
      </c>
      <c r="O388" s="12" t="n">
        <v>57990</v>
      </c>
      <c r="P388" s="12" t="n"/>
      <c r="Q388" s="12" t="n"/>
      <c r="R388" s="14">
        <f>IF(AND(ISNUMBER(L388),ISNUMBER(P388),ISNUMBER(Q388)),L388/((P388+Q388)/2)-1,"")</f>
        <v/>
      </c>
      <c r="S388" s="10" t="n"/>
      <c r="T388" s="15" t="n">
        <v>81541</v>
      </c>
      <c r="U388" s="16" t="n">
        <v>2005</v>
      </c>
      <c r="V388" s="10" t="inlineStr">
        <is>
          <t>03/2005</t>
        </is>
      </c>
      <c r="W388" s="10" t="inlineStr">
        <is>
          <t>Essence</t>
        </is>
      </c>
      <c r="X388" s="10" t="inlineStr">
        <is>
          <t>Manuelle</t>
        </is>
      </c>
      <c r="Y388" s="16" t="n">
        <v>355</v>
      </c>
      <c r="Z388" s="16" t="n">
        <v>26</v>
      </c>
      <c r="AA388" s="10" t="inlineStr">
        <is>
          <t>Gris</t>
        </is>
      </c>
      <c r="AB388" s="16" t="n">
        <v>2</v>
      </c>
      <c r="AC388" s="10" t="inlineStr">
        <is>
          <t>Coupé</t>
        </is>
      </c>
      <c r="AD388" s="10" t="n"/>
      <c r="AE388" s="10" t="n"/>
      <c r="AF388" s="10" t="inlineStr">
        <is>
          <t>Pro</t>
        </is>
      </c>
      <c r="AG388" s="10" t="inlineStr">
        <is>
          <t>Montélimar</t>
        </is>
      </c>
      <c r="AH388" s="10" t="inlineStr">
        <is>
          <t>26200</t>
        </is>
      </c>
      <c r="AI388" s="10" t="inlineStr">
        <is>
          <t>Drôme</t>
        </is>
      </c>
      <c r="AJ388" s="10" t="inlineStr">
        <is>
          <t>Rhône-Alpes</t>
        </is>
      </c>
      <c r="AK388" s="16" t="n">
        <v>20</v>
      </c>
      <c r="AL388" s="10" t="inlineStr">
        <is>
          <t>Oui</t>
        </is>
      </c>
      <c r="AM388" s="10" t="inlineStr">
        <is>
          <t>Non</t>
        </is>
      </c>
      <c r="AN388" s="10" t="inlineStr">
        <is>
          <t>Porsche 911 CARRERA COUPE 997 S Coupé 3.8i coupé, gris clair, 26 cv, 2 portes, première mise en circulation le 10/03/2005, garantie 12 mois. Des erreurs pouvant se glisser dans nos annonces, merci de vérifier auprès de notre équipe, pour plus de renseignement sur les véhicules. Nous sommes ouverts du lundi au vendredi, de 08h-12h et de 14h-18h30 et le samedi matin sur rdv. Visite de préférence sur rendez-vous. Vous venez de loin, aucun problème, visite virtuelle possible sur demande, prise en ch</t>
        </is>
      </c>
      <c r="AO388" s="10" t="inlineStr">
        <is>
          <t>Équipements intérieurs : Climatisation, Coffre à ouverture électrique, Jantes en alliage, Ordinateur de bord, Sièges sport, Système de navigation ; Permis : Avec permis ; VO récent : false ; custom_ref : 52461 ; Importé : true ; vehicle_history_report_status : visible ; spare_parts_availability : Non renseignée</t>
        </is>
      </c>
      <c r="AP388" s="19" t="inlineStr">
        <is>
          <t>Voir</t>
        </is>
      </c>
      <c r="AQ388" s="10" t="inlineStr">
        <is>
          <t>3135209876</t>
        </is>
      </c>
    </row>
    <row r="389">
      <c r="A389" s="10" t="inlineStr">
        <is>
          <t>Porsche 911 997 Carrera S</t>
        </is>
      </c>
      <c r="B389" s="10" t="inlineStr">
        <is>
          <t>Porsche 911 CABRIOLET (997) CARRERA TIPTRONIC S</t>
        </is>
      </c>
      <c r="C389" s="10" t="inlineStr">
        <is>
          <t>911 Cabriolet Carrera TipTronic S</t>
        </is>
      </c>
      <c r="D389" s="10" t="inlineStr">
        <is>
          <t>Carrera</t>
        </is>
      </c>
      <c r="E389" s="10" t="inlineStr">
        <is>
          <t>En vente</t>
        </is>
      </c>
      <c r="F389" s="18" t="n">
        <v>46267</v>
      </c>
      <c r="G389" s="18" t="n">
        <v>46267</v>
      </c>
      <c r="H389" s="18" t="n">
        <v>46310</v>
      </c>
      <c r="I389" s="18" t="n"/>
      <c r="J389" s="17">
        <f>IF(OR(ISNUMBER(F389),ISNUMBER(G389)),IF(ISNUMBER(I389),I389,H389)-IF(ISNUMBER(F389),F389,G389),"")</f>
        <v/>
      </c>
      <c r="K389" s="12" t="n">
        <v>50900</v>
      </c>
      <c r="L389" s="12" t="n">
        <v>50900</v>
      </c>
      <c r="M389" s="13">
        <f>IF(AND(ISNUMBER(K389),ISNUMBER(L389),K389&gt;0),1-L389/K389,"")</f>
        <v/>
      </c>
      <c r="N389" s="16" t="n">
        <v>0</v>
      </c>
      <c r="O389" s="12" t="n">
        <v>51900</v>
      </c>
      <c r="P389" s="12" t="n"/>
      <c r="Q389" s="12" t="n"/>
      <c r="R389" s="14">
        <f>IF(AND(ISNUMBER(L389),ISNUMBER(P389),ISNUMBER(Q389)),L389/((P389+Q389)/2)-1,"")</f>
        <v/>
      </c>
      <c r="S389" s="10" t="n"/>
      <c r="T389" s="15" t="n">
        <v>89700</v>
      </c>
      <c r="U389" s="16" t="n">
        <v>2005</v>
      </c>
      <c r="V389" s="10" t="inlineStr">
        <is>
          <t>04/2005</t>
        </is>
      </c>
      <c r="W389" s="10" t="inlineStr">
        <is>
          <t>Essence</t>
        </is>
      </c>
      <c r="X389" s="10" t="inlineStr">
        <is>
          <t>Automatique</t>
        </is>
      </c>
      <c r="Y389" s="16" t="n">
        <v>325</v>
      </c>
      <c r="Z389" s="16" t="n">
        <v>23</v>
      </c>
      <c r="AA389" s="10" t="inlineStr">
        <is>
          <t>Argent</t>
        </is>
      </c>
      <c r="AB389" s="16" t="n">
        <v>2</v>
      </c>
      <c r="AC389" s="10" t="inlineStr">
        <is>
          <t>Coupé</t>
        </is>
      </c>
      <c r="AD389" s="10" t="n"/>
      <c r="AE389" s="10" t="n"/>
      <c r="AF389" s="10" t="inlineStr">
        <is>
          <t>Pro</t>
        </is>
      </c>
      <c r="AG389" s="10" t="inlineStr">
        <is>
          <t>Saint-Fons</t>
        </is>
      </c>
      <c r="AH389" s="10" t="inlineStr">
        <is>
          <t>69190</t>
        </is>
      </c>
      <c r="AI389" s="10" t="inlineStr">
        <is>
          <t>Rhône</t>
        </is>
      </c>
      <c r="AJ389" s="10" t="inlineStr">
        <is>
          <t>Rhône-Alpes</t>
        </is>
      </c>
      <c r="AK389" s="16" t="n">
        <v>30</v>
      </c>
      <c r="AL389" s="10" t="inlineStr">
        <is>
          <t>Oui</t>
        </is>
      </c>
      <c r="AM389" s="10" t="inlineStr">
        <is>
          <t>Non</t>
        </is>
      </c>
      <c r="AN389" s="10" t="inlineStr">
        <is>
          <t>Porsche 911 CABRIOLET (997) CARRERA TIPTRONIC S, (Coupé), ARGENT ARCTIQUE, 23cv, 2 portes, mise en circulation le 12-04-2005. 4 places, couleur intérieur : CUIR BLEU ABYSSE, longueur : 4,43 mètres, boîte de vitesse : automatique OPTIONS ET EQUIPEMENTS : Audio - Télécommunications - GPS Cartographique - Radio CD MP3 Conduite - Régulateur de vitesse Extérieur - Jantes Alu - Pack Nord - Phares xénon - Rétroviseurs électriques dégivrants Intérieur - Clim automatique - Direction assistée - Ordinateur</t>
        </is>
      </c>
      <c r="AO389" s="10" t="inlineStr">
        <is>
          <t>Permis : Avec permis ; VO récent : false ; custom_ref : 1696 ; Importé : true ; vehicle_history_report_status : visible ; spare_parts_availability : Non renseignée</t>
        </is>
      </c>
      <c r="AP389" s="19" t="inlineStr">
        <is>
          <t>Voir</t>
        </is>
      </c>
      <c r="AQ389" s="10" t="inlineStr">
        <is>
          <t>3164278460</t>
        </is>
      </c>
    </row>
    <row r="390">
      <c r="A390" s="10" t="inlineStr">
        <is>
          <t>Porsche 911 997 Carrera S</t>
        </is>
      </c>
      <c r="B390" s="10" t="inlineStr">
        <is>
          <t>Porsche 911 IV (997) Carrera S</t>
        </is>
      </c>
      <c r="C390" s="10" t="inlineStr">
        <is>
          <t>911 Coupe Carrera S</t>
        </is>
      </c>
      <c r="D390" s="10" t="inlineStr">
        <is>
          <t>Carrera S</t>
        </is>
      </c>
      <c r="E390" s="10" t="inlineStr">
        <is>
          <t>En vente</t>
        </is>
      </c>
      <c r="F390" s="18" t="n">
        <v>46277</v>
      </c>
      <c r="G390" s="18" t="n">
        <v>46277</v>
      </c>
      <c r="H390" s="18" t="n">
        <v>46310</v>
      </c>
      <c r="I390" s="18" t="n"/>
      <c r="J390" s="17">
        <f>IF(OR(ISNUMBER(F390),ISNUMBER(G390)),IF(ISNUMBER(I390),I390,H390)-IF(ISNUMBER(F390),F390,G390),"")</f>
        <v/>
      </c>
      <c r="K390" s="12" t="n">
        <v>52900</v>
      </c>
      <c r="L390" s="12" t="n">
        <v>52900</v>
      </c>
      <c r="M390" s="13">
        <f>IF(AND(ISNUMBER(K390),ISNUMBER(L390),K390&gt;0),1-L390/K390,"")</f>
        <v/>
      </c>
      <c r="N390" s="16" t="n">
        <v>0</v>
      </c>
      <c r="O390" s="12" t="n">
        <v>54900</v>
      </c>
      <c r="P390" s="12" t="n"/>
      <c r="Q390" s="12" t="n"/>
      <c r="R390" s="14">
        <f>IF(AND(ISNUMBER(L390),ISNUMBER(P390),ISNUMBER(Q390)),L390/((P390+Q390)/2)-1,"")</f>
        <v/>
      </c>
      <c r="S390" s="10" t="n"/>
      <c r="T390" s="15" t="n">
        <v>125000</v>
      </c>
      <c r="U390" s="16" t="n">
        <v>2005</v>
      </c>
      <c r="V390" s="10" t="inlineStr">
        <is>
          <t>07/2005</t>
        </is>
      </c>
      <c r="W390" s="10" t="inlineStr">
        <is>
          <t>Essence</t>
        </is>
      </c>
      <c r="X390" s="10" t="inlineStr">
        <is>
          <t>Manuelle</t>
        </is>
      </c>
      <c r="Y390" s="16" t="n">
        <v>355</v>
      </c>
      <c r="Z390" s="16" t="n">
        <v>26</v>
      </c>
      <c r="AA390" s="10" t="inlineStr">
        <is>
          <t>Gris</t>
        </is>
      </c>
      <c r="AB390" s="16" t="n">
        <v>2</v>
      </c>
      <c r="AC390" s="10" t="inlineStr">
        <is>
          <t>Coupé</t>
        </is>
      </c>
      <c r="AD390" s="10" t="inlineStr">
        <is>
          <t>Carnet d'entretien disponible</t>
        </is>
      </c>
      <c r="AE390" s="10" t="inlineStr">
        <is>
          <t>Première main</t>
        </is>
      </c>
      <c r="AF390" s="10" t="inlineStr">
        <is>
          <t>Pro</t>
        </is>
      </c>
      <c r="AG390" s="10" t="inlineStr">
        <is>
          <t>Péronnas</t>
        </is>
      </c>
      <c r="AH390" s="10" t="inlineStr">
        <is>
          <t>01960</t>
        </is>
      </c>
      <c r="AI390" s="10" t="inlineStr">
        <is>
          <t>Ain</t>
        </is>
      </c>
      <c r="AJ390" s="10" t="inlineStr">
        <is>
          <t>Rhône-Alpes</t>
        </is>
      </c>
      <c r="AK390" s="16" t="n">
        <v>16</v>
      </c>
      <c r="AL390" s="10" t="inlineStr">
        <is>
          <t>Oui</t>
        </is>
      </c>
      <c r="AM390" s="10" t="inlineStr">
        <is>
          <t>Non</t>
        </is>
      </c>
      <c r="AN390" s="10" t="inlineStr">
        <is>
          <t>Porsche 911 IV (997) Carrera S coupé, gris, 26 cv, 2 portes, première mise en circulation le 26/07/2005, première main. 997 Carrera S de 2005 avec IMS renforcé. Carnet d'entretien complet. Une révision sera réalisée avant livraison. L6B4 : gris Kerguelen RA : intérieur Cocoa X54 : silencieux d'échappement en acier inoxydable (remplacé par demi-ligne EVOX !) 437 et 438 : sièges conducteur et passager électriques incluants support lombaire 537 : siège conducteur à mémoire 610 : Navigation DVD Euro</t>
        </is>
      </c>
      <c r="AO390" s="10" t="inlineStr">
        <is>
          <t>vehicle_technical_inspection_valid : Oui ; Équipements intérieurs : Aide au stationnement, Climatisation, Ordinateur de bord, Régulateur de vitesse ; Permis : Avec permis ; VO récent : false ; custom_ref : 1210 ; Importé : true ; vehicle_history_report_status : visible ; spare_parts_availability : Non renseignée</t>
        </is>
      </c>
      <c r="AP390" s="19" t="inlineStr">
        <is>
          <t>Voir</t>
        </is>
      </c>
      <c r="AQ390" s="10" t="inlineStr">
        <is>
          <t>3169812009</t>
        </is>
      </c>
    </row>
    <row r="391">
      <c r="A391" s="10" t="inlineStr">
        <is>
          <t>Porsche 911 997 Carrera S</t>
        </is>
      </c>
      <c r="B391" s="10" t="inlineStr">
        <is>
          <t>PORSCHE 911 COUPE (997) carrera s</t>
        </is>
      </c>
      <c r="C391" s="10" t="inlineStr">
        <is>
          <t>911 Coupe Carrera S</t>
        </is>
      </c>
      <c r="D391" s="10" t="inlineStr">
        <is>
          <t>Carrera S</t>
        </is>
      </c>
      <c r="E391" s="10" t="inlineStr">
        <is>
          <t>En vente</t>
        </is>
      </c>
      <c r="F391" s="18" t="n">
        <v>46122</v>
      </c>
      <c r="G391" s="18" t="n">
        <v>46122</v>
      </c>
      <c r="H391" s="18" t="n">
        <v>46310</v>
      </c>
      <c r="I391" s="18" t="n"/>
      <c r="J391" s="17">
        <f>IF(OR(ISNUMBER(F391),ISNUMBER(G391)),IF(ISNUMBER(I391),I391,H391)-IF(ISNUMBER(F391),F391,G391),"")</f>
        <v/>
      </c>
      <c r="K391" s="12" t="n">
        <v>49980</v>
      </c>
      <c r="L391" s="12" t="n">
        <v>49980</v>
      </c>
      <c r="M391" s="13">
        <f>IF(AND(ISNUMBER(K391),ISNUMBER(L391),K391&gt;0),1-L391/K391,"")</f>
        <v/>
      </c>
      <c r="N391" s="16" t="n">
        <v>0</v>
      </c>
      <c r="O391" s="12" t="n"/>
      <c r="P391" s="12" t="n"/>
      <c r="Q391" s="12" t="n"/>
      <c r="R391" s="14">
        <f>IF(AND(ISNUMBER(L391),ISNUMBER(P391),ISNUMBER(Q391)),L391/((P391+Q391)/2)-1,"")</f>
        <v/>
      </c>
      <c r="S391" s="10" t="n"/>
      <c r="T391" s="15" t="n">
        <v>149934</v>
      </c>
      <c r="U391" s="16" t="n">
        <v>2008</v>
      </c>
      <c r="V391" s="10" t="inlineStr">
        <is>
          <t>05/2008</t>
        </is>
      </c>
      <c r="W391" s="10" t="inlineStr">
        <is>
          <t>Essence</t>
        </is>
      </c>
      <c r="X391" s="10" t="inlineStr">
        <is>
          <t>Manuelle</t>
        </is>
      </c>
      <c r="Y391" s="16" t="n">
        <v>355</v>
      </c>
      <c r="Z391" s="16" t="n">
        <v>26</v>
      </c>
      <c r="AA391" s="10" t="inlineStr">
        <is>
          <t>Gris</t>
        </is>
      </c>
      <c r="AB391" s="16" t="n"/>
      <c r="AC391" s="10" t="inlineStr">
        <is>
          <t>Coupé</t>
        </is>
      </c>
      <c r="AD391" s="10" t="n"/>
      <c r="AE391" s="10" t="n"/>
      <c r="AF391" s="10" t="inlineStr">
        <is>
          <t>Pro</t>
        </is>
      </c>
      <c r="AG391" s="10" t="inlineStr">
        <is>
          <t>Les Achards</t>
        </is>
      </c>
      <c r="AH391" s="10" t="inlineStr">
        <is>
          <t>85150</t>
        </is>
      </c>
      <c r="AI391" s="10" t="inlineStr">
        <is>
          <t>Vendée</t>
        </is>
      </c>
      <c r="AJ391" s="10" t="inlineStr">
        <is>
          <t>Pays de la Loire</t>
        </is>
      </c>
      <c r="AK391" s="16" t="n">
        <v>31</v>
      </c>
      <c r="AL391" s="10" t="inlineStr">
        <is>
          <t>Oui</t>
        </is>
      </c>
      <c r="AM391" s="10" t="inlineStr">
        <is>
          <t>Non</t>
        </is>
      </c>
      <c r="AN391" s="10" t="inlineStr">
        <is>
          <t xml:space="preserve">PORSCHE 911 COUPE (997) carrera s, coupé, gris, 26 cv, première mise en circulation le 16/05/2008, garantie : 12 mois. Prix TTC : 49 980 € 4 places Emission de CO2 : 277 g CO2/km Kilométrage compteur OPTIONS ET ÉQUIPEMENTS : Audio - Télécommunications : - Chargeur cd - Gps cartographique - Kit mains-libres bluetooth - Radio cd mp3 Conduite : - Capteur de pluie - Régulateur de vitesse Extérieur : - Jantes alu - Phares bi-xénon - Radar de recul - Rétroviseurs électriques dégivrants - Toit ouvrant </t>
        </is>
      </c>
      <c r="AO391" s="10" t="inlineStr">
        <is>
          <t>Équipements intérieurs : Bluetooth, Ordinateur de bord, Phares LED / Xenon, Régulateur de vitesse, Sièges chauffants, Toit ouvrant / Toit panoramique ; Permis : Avec permis ; VO récent : false ; custom_ref : 0102-402485308 ; Importé : true ; vehicle_history_report_status : visible ; spare_parts_availability : Non renseignée</t>
        </is>
      </c>
      <c r="AP391" s="19" t="inlineStr">
        <is>
          <t>Voir</t>
        </is>
      </c>
      <c r="AQ391" s="10" t="inlineStr">
        <is>
          <t>3177090532</t>
        </is>
      </c>
    </row>
    <row r="392">
      <c r="A392" s="10" t="inlineStr">
        <is>
          <t>Porsche 911 997 Carrera S</t>
        </is>
      </c>
      <c r="B392" s="10" t="inlineStr">
        <is>
          <t>Porsche 911 CABRIOLET (997) CARRERA S</t>
        </is>
      </c>
      <c r="C392" s="10" t="inlineStr">
        <is>
          <t>911 Cabriolet Carrera S</t>
        </is>
      </c>
      <c r="D392" s="10" t="inlineStr">
        <is>
          <t>Carrera S</t>
        </is>
      </c>
      <c r="E392" s="10" t="inlineStr">
        <is>
          <t>En vente</t>
        </is>
      </c>
      <c r="F392" s="18" t="n">
        <v>46290</v>
      </c>
      <c r="G392" s="18" t="n">
        <v>46290</v>
      </c>
      <c r="H392" s="18" t="n">
        <v>46310</v>
      </c>
      <c r="I392" s="18" t="n"/>
      <c r="J392" s="17">
        <f>IF(OR(ISNUMBER(F392),ISNUMBER(G392)),IF(ISNUMBER(I392),I392,H392)-IF(ISNUMBER(F392),F392,G392),"")</f>
        <v/>
      </c>
      <c r="K392" s="12" t="n">
        <v>54990</v>
      </c>
      <c r="L392" s="12" t="n">
        <v>54990</v>
      </c>
      <c r="M392" s="13">
        <f>IF(AND(ISNUMBER(K392),ISNUMBER(L392),K392&gt;0),1-L392/K392,"")</f>
        <v/>
      </c>
      <c r="N392" s="16" t="n">
        <v>0</v>
      </c>
      <c r="O392" s="12" t="n"/>
      <c r="P392" s="12" t="n"/>
      <c r="Q392" s="12" t="n"/>
      <c r="R392" s="14">
        <f>IF(AND(ISNUMBER(L392),ISNUMBER(P392),ISNUMBER(Q392)),L392/((P392+Q392)/2)-1,"")</f>
        <v/>
      </c>
      <c r="S392" s="10" t="n"/>
      <c r="T392" s="15" t="n">
        <v>111900</v>
      </c>
      <c r="U392" s="16" t="n">
        <v>2006</v>
      </c>
      <c r="V392" s="10" t="inlineStr">
        <is>
          <t>04/2006</t>
        </is>
      </c>
      <c r="W392" s="10" t="inlineStr">
        <is>
          <t>Essence</t>
        </is>
      </c>
      <c r="X392" s="10" t="inlineStr">
        <is>
          <t>Manuelle</t>
        </is>
      </c>
      <c r="Y392" s="16" t="n">
        <v>355</v>
      </c>
      <c r="Z392" s="16" t="n">
        <v>26</v>
      </c>
      <c r="AA392" s="10" t="inlineStr">
        <is>
          <t>Bleu</t>
        </is>
      </c>
      <c r="AB392" s="16" t="n"/>
      <c r="AC392" s="10" t="inlineStr">
        <is>
          <t>Cabriolet</t>
        </is>
      </c>
      <c r="AD392" s="10" t="n"/>
      <c r="AE392" s="10" t="n"/>
      <c r="AF392" s="10" t="inlineStr">
        <is>
          <t>Pro</t>
        </is>
      </c>
      <c r="AG392" s="10" t="inlineStr">
        <is>
          <t>Batz-sur-Mer</t>
        </is>
      </c>
      <c r="AH392" s="10" t="inlineStr">
        <is>
          <t>44740</t>
        </is>
      </c>
      <c r="AI392" s="10" t="inlineStr">
        <is>
          <t>Loire-Atlantique</t>
        </is>
      </c>
      <c r="AJ392" s="10" t="inlineStr">
        <is>
          <t>Pays de la Loire</t>
        </is>
      </c>
      <c r="AK392" s="16" t="n">
        <v>19</v>
      </c>
      <c r="AL392" s="10" t="inlineStr">
        <is>
          <t>Oui</t>
        </is>
      </c>
      <c r="AM392" s="10" t="inlineStr">
        <is>
          <t>Non</t>
        </is>
      </c>
      <c r="AN392" s="10" t="inlineStr">
        <is>
          <t xml:space="preserve">Porsche 911 CABRIOLET (997) CARRERA S, (Cabriolet), BLEU F, 26cv, mise en circulation le 12-04-2006, garantie 12 mois (12 MOIS). 4 places, couleur intérieur : BLEU, longueur : 4,43 mètres, boîte de vitesse : manuelle OPTIONS ET EQUIPEMENTS : Kilométrage non garanti. OPTIONS ET ÉQUIPEMENTS : Audio - Télécommunications : - GPS - Interface Bluetooth Conduite : - Ligne Inox avec la ligne d'origine - Suspension sport - Sélection du mode de conduite Extérieur : - Becquet arrière - Capote électrique - </t>
        </is>
      </c>
      <c r="AO392" s="10" t="inlineStr">
        <is>
          <t>Permis : Avec permis ; VO récent : false ; custom_ref : 71 ; Importé : true ; vehicle_history_report_status : visible ; spare_parts_availability : Non renseignée</t>
        </is>
      </c>
      <c r="AP392" s="19" t="inlineStr">
        <is>
          <t>Voir</t>
        </is>
      </c>
      <c r="AQ392" s="10" t="inlineStr">
        <is>
          <t>3177399795</t>
        </is>
      </c>
    </row>
    <row r="393">
      <c r="A393" s="10" t="inlineStr">
        <is>
          <t>Porsche 911 997 Carrera S</t>
        </is>
      </c>
      <c r="B393" s="10" t="inlineStr">
        <is>
          <t>Porsche 911 997 Carrera S Cabriolet 2005 - Garantie</t>
        </is>
      </c>
      <c r="C393" s="10" t="n"/>
      <c r="D393" s="10" t="inlineStr">
        <is>
          <t>Carrera S</t>
        </is>
      </c>
      <c r="E393" s="10" t="inlineStr">
        <is>
          <t>En vente</t>
        </is>
      </c>
      <c r="F393" s="18" t="n">
        <v>46300</v>
      </c>
      <c r="G393" s="18" t="n">
        <v>46238</v>
      </c>
      <c r="H393" s="18" t="n">
        <v>46310</v>
      </c>
      <c r="I393" s="18" t="n"/>
      <c r="J393" s="17">
        <f>IF(OR(ISNUMBER(F393),ISNUMBER(G393)),IF(ISNUMBER(I393),I393,H393)-IF(ISNUMBER(F393),F393,G393),"")</f>
        <v/>
      </c>
      <c r="K393" s="12" t="n">
        <v>55000</v>
      </c>
      <c r="L393" s="12" t="n">
        <v>55000</v>
      </c>
      <c r="M393" s="13">
        <f>IF(AND(ISNUMBER(K393),ISNUMBER(L393),K393&gt;0),1-L393/K393,"")</f>
        <v/>
      </c>
      <c r="N393" s="16" t="n">
        <v>0</v>
      </c>
      <c r="O393" s="12" t="n"/>
      <c r="P393" s="12" t="n"/>
      <c r="Q393" s="12" t="n"/>
      <c r="R393" s="14">
        <f>IF(AND(ISNUMBER(L393),ISNUMBER(P393),ISNUMBER(Q393)),L393/((P393+Q393)/2)-1,"")</f>
        <v/>
      </c>
      <c r="S393" s="10" t="n"/>
      <c r="T393" s="15" t="n">
        <v>118760</v>
      </c>
      <c r="U393" s="16" t="n">
        <v>2005</v>
      </c>
      <c r="V393" s="10" t="inlineStr">
        <is>
          <t>06/2005</t>
        </is>
      </c>
      <c r="W393" s="10" t="inlineStr">
        <is>
          <t>Essence</t>
        </is>
      </c>
      <c r="X393" s="10" t="inlineStr">
        <is>
          <t>Manuelle</t>
        </is>
      </c>
      <c r="Y393" s="16" t="n">
        <v>355</v>
      </c>
      <c r="Z393" s="16" t="n">
        <v>26</v>
      </c>
      <c r="AA393" s="10" t="inlineStr">
        <is>
          <t>Gris</t>
        </is>
      </c>
      <c r="AB393" s="16" t="n">
        <v>2</v>
      </c>
      <c r="AC393" s="10" t="inlineStr">
        <is>
          <t>Cabriolet</t>
        </is>
      </c>
      <c r="AD393" s="10" t="n"/>
      <c r="AE393" s="10" t="n"/>
      <c r="AF393" s="10" t="inlineStr">
        <is>
          <t>Pro</t>
        </is>
      </c>
      <c r="AG393" s="10" t="inlineStr">
        <is>
          <t>Chambéry</t>
        </is>
      </c>
      <c r="AH393" s="10" t="inlineStr">
        <is>
          <t>73000</t>
        </is>
      </c>
      <c r="AI393" s="10" t="inlineStr">
        <is>
          <t>Savoie</t>
        </is>
      </c>
      <c r="AJ393" s="10" t="inlineStr">
        <is>
          <t>Rhône-Alpes</t>
        </is>
      </c>
      <c r="AK393" s="16" t="n">
        <v>10</v>
      </c>
      <c r="AL393" s="10" t="n"/>
      <c r="AM393" s="10" t="inlineStr">
        <is>
          <t>Non</t>
        </is>
      </c>
      <c r="AN393" s="10" t="inlineStr">
        <is>
          <t>Moteur : Flat-6 3.8 atmosphérique - 355 ch - 26 cv Boîte manuelle à 6 rapports Couleur extérieure : Gris “Argent Platine Métallisé” (LM72) / Intérieur : cuir bleu Première MEC : 03/06/2005 Kilométrage : 118 760 km VIN : WP0ZZZ99Z5S761509 Historique : Cette Porsche 997 Carrera S Cabriolet a été livrée neuve le 7 juin 2005 à l’usine de Zuffenhausen à Stuttgart. Elle est importée en France en 2012. Le propriétaire actuel la possède depuis juillet 2023. Elle dispose aujourd’hui d’un historique cohér</t>
        </is>
      </c>
      <c r="AO393" s="10" t="inlineStr">
        <is>
          <t>vehicle_technical_inspection_valid : Non ; Dommages : Non endommagé ; Sellerie : Tout cuir ; Permis : Avec permis ; Vente en LOA/LLD : Non ; VO récent : false ; vehicle_commercial_warranty : Non ; vehicle_manufacturer_warranty : Non ; custom_ref : AC31584 ; Importé : false ; vehicle_history_report_status : visible ; spare_parts_availability : Non renseignée</t>
        </is>
      </c>
      <c r="AP393" s="19" t="inlineStr">
        <is>
          <t>Voir</t>
        </is>
      </c>
      <c r="AQ393" s="10" t="inlineStr">
        <is>
          <t>3205610309</t>
        </is>
      </c>
    </row>
    <row r="394">
      <c r="A394" s="10" t="inlineStr">
        <is>
          <t>Porsche 911 997 Carrera S</t>
        </is>
      </c>
      <c r="B394" s="10" t="inlineStr">
        <is>
          <t>Porsche 911 (997) CARRERA S TIPTRONIC</t>
        </is>
      </c>
      <c r="C394" s="10" t="n"/>
      <c r="D394" s="10" t="n"/>
      <c r="E394" s="10" t="inlineStr">
        <is>
          <t>En vente</t>
        </is>
      </c>
      <c r="F394" s="18" t="n">
        <v>46286</v>
      </c>
      <c r="G394" s="18" t="n">
        <v>46286</v>
      </c>
      <c r="H394" s="18" t="n">
        <v>46310</v>
      </c>
      <c r="I394" s="18" t="n"/>
      <c r="J394" s="17">
        <f>IF(OR(ISNUMBER(F394),ISNUMBER(G394)),IF(ISNUMBER(I394),I394,H394)-IF(ISNUMBER(F394),F394,G394),"")</f>
        <v/>
      </c>
      <c r="K394" s="12" t="n">
        <v>50990</v>
      </c>
      <c r="L394" s="12" t="n">
        <v>49980</v>
      </c>
      <c r="M394" s="13">
        <f>IF(AND(ISNUMBER(K394),ISNUMBER(L394),K394&gt;0),1-L394/K394,"")</f>
        <v/>
      </c>
      <c r="N394" s="16" t="n">
        <v>1</v>
      </c>
      <c r="O394" s="12" t="n">
        <v>52490</v>
      </c>
      <c r="P394" s="12" t="n"/>
      <c r="Q394" s="12" t="n"/>
      <c r="R394" s="14">
        <f>IF(AND(ISNUMBER(L394),ISNUMBER(P394),ISNUMBER(Q394)),L394/((P394+Q394)/2)-1,"")</f>
        <v/>
      </c>
      <c r="S394" s="10" t="n"/>
      <c r="T394" s="15" t="n">
        <v>104580</v>
      </c>
      <c r="U394" s="16" t="n">
        <v>2007</v>
      </c>
      <c r="V394" s="10" t="inlineStr">
        <is>
          <t>06/2007</t>
        </is>
      </c>
      <c r="W394" s="10" t="inlineStr">
        <is>
          <t>Essence</t>
        </is>
      </c>
      <c r="X394" s="10" t="inlineStr">
        <is>
          <t>Manuelle</t>
        </is>
      </c>
      <c r="Y394" s="16" t="n">
        <v>355</v>
      </c>
      <c r="Z394" s="16" t="n">
        <v>26</v>
      </c>
      <c r="AA394" s="10" t="inlineStr">
        <is>
          <t>Bleu</t>
        </is>
      </c>
      <c r="AB394" s="16" t="n">
        <v>2</v>
      </c>
      <c r="AC394" s="10" t="inlineStr">
        <is>
          <t>Coupé</t>
        </is>
      </c>
      <c r="AD394" s="10" t="n"/>
      <c r="AE394" s="10" t="n"/>
      <c r="AF394" s="10" t="inlineStr">
        <is>
          <t>Pro</t>
        </is>
      </c>
      <c r="AG394" s="10" t="inlineStr">
        <is>
          <t>Lons</t>
        </is>
      </c>
      <c r="AH394" s="10" t="inlineStr">
        <is>
          <t>64140</t>
        </is>
      </c>
      <c r="AI394" s="10" t="inlineStr">
        <is>
          <t>Pyrénées-Atlantiques</t>
        </is>
      </c>
      <c r="AJ394" s="10" t="inlineStr">
        <is>
          <t>Aquitaine</t>
        </is>
      </c>
      <c r="AK394" s="16" t="n">
        <v>20</v>
      </c>
      <c r="AL394" s="10" t="n"/>
      <c r="AM394" s="10" t="inlineStr">
        <is>
          <t>Non</t>
        </is>
      </c>
      <c r="AN394" s="10" t="inlineStr">
        <is>
          <t xml:space="preserve">Porsche 911 (997) CARRERA S TIPTRONIC coupé, bleu, 26 cv, 2 portes, couleur intérieure : gris, première mise en circulation le 29/06/2007, garantie 12 mois. 4 places OPTIONS ET ÉQUIPEMENTS : Audio - Télécommunications : - Bluetooth - CD - GPS - auto-radio : CD mp3 Conduite : - régulateur de vitesse Extérieur : - Peinture métal - jantes : aluminium - projecteurs bi-xénon - projecteurs xénon - radar arrière de détection d'obstacles - radar d'aide au stationnement - rétroviseurs électriques - toit </t>
        </is>
      </c>
      <c r="AO394" s="10" t="inlineStr">
        <is>
          <t>Équipements intérieurs : Aide au stationnement, Bluetooth, Climatisation, Ordinateur de bord, Régulateur de vitesse, Sièges chauffants, Toit ouvrant / Toit panoramique ; Permis : Avec permis ; VO récent : false ; custom_ref : 46816740 ; Importé : true ; vehicle_history_report_status : visible ; spare_parts_availability : Non renseignée</t>
        </is>
      </c>
      <c r="AP394" s="19" t="inlineStr">
        <is>
          <t>Voir</t>
        </is>
      </c>
      <c r="AQ394" s="10" t="inlineStr">
        <is>
          <t>3208968875</t>
        </is>
      </c>
    </row>
    <row r="395">
      <c r="A395" s="10" t="inlineStr">
        <is>
          <t>Porsche 911 997 Carrera S</t>
        </is>
      </c>
      <c r="B395" s="10" t="inlineStr">
        <is>
          <t>PORSCHE 911 CARRERA S Coupé (997-1) 3.8 i Tiptronic 355 cv Boîte automatique</t>
        </is>
      </c>
      <c r="C395" s="10" t="inlineStr">
        <is>
          <t>911 Coupe Carrera S TipTronic S</t>
        </is>
      </c>
      <c r="D395" s="10" t="inlineStr">
        <is>
          <t>Carrera S</t>
        </is>
      </c>
      <c r="E395" s="10" t="inlineStr">
        <is>
          <t>En vente</t>
        </is>
      </c>
      <c r="F395" s="18" t="n">
        <v>46298</v>
      </c>
      <c r="G395" s="18" t="n">
        <v>46298</v>
      </c>
      <c r="H395" s="18" t="n">
        <v>46310</v>
      </c>
      <c r="I395" s="18" t="n"/>
      <c r="J395" s="17">
        <f>IF(OR(ISNUMBER(F395),ISNUMBER(G395)),IF(ISNUMBER(I395),I395,H395)-IF(ISNUMBER(F395),F395,G395),"")</f>
        <v/>
      </c>
      <c r="K395" s="12" t="n">
        <v>46490</v>
      </c>
      <c r="L395" s="12" t="n">
        <v>46490</v>
      </c>
      <c r="M395" s="13">
        <f>IF(AND(ISNUMBER(K395),ISNUMBER(L395),K395&gt;0),1-L395/K395,"")</f>
        <v/>
      </c>
      <c r="N395" s="16" t="n">
        <v>0</v>
      </c>
      <c r="O395" s="12" t="n">
        <v>46990</v>
      </c>
      <c r="P395" s="12" t="n"/>
      <c r="Q395" s="12" t="n"/>
      <c r="R395" s="14">
        <f>IF(AND(ISNUMBER(L395),ISNUMBER(P395),ISNUMBER(Q395)),L395/((P395+Q395)/2)-1,"")</f>
        <v/>
      </c>
      <c r="S395" s="10" t="n"/>
      <c r="T395" s="15" t="n">
        <v>127000</v>
      </c>
      <c r="U395" s="16" t="n">
        <v>2005</v>
      </c>
      <c r="V395" s="10" t="inlineStr">
        <is>
          <t>07/2005</t>
        </is>
      </c>
      <c r="W395" s="10" t="inlineStr">
        <is>
          <t>Essence</t>
        </is>
      </c>
      <c r="X395" s="10" t="inlineStr">
        <is>
          <t>Automatique</t>
        </is>
      </c>
      <c r="Y395" s="16" t="n">
        <v>355</v>
      </c>
      <c r="Z395" s="16" t="n">
        <v>26</v>
      </c>
      <c r="AA395" s="10" t="inlineStr">
        <is>
          <t>Gris</t>
        </is>
      </c>
      <c r="AB395" s="16" t="n">
        <v>2</v>
      </c>
      <c r="AC395" s="10" t="inlineStr">
        <is>
          <t>Autre</t>
        </is>
      </c>
      <c r="AD395" s="10" t="inlineStr">
        <is>
          <t>Carnet d'entretien disponible, Factures disponibles, Véhicule non fumeur, Réparations utiles déjà faites</t>
        </is>
      </c>
      <c r="AE395" s="10" t="n"/>
      <c r="AF395" s="10" t="inlineStr">
        <is>
          <t>Pro</t>
        </is>
      </c>
      <c r="AG395" s="10" t="inlineStr">
        <is>
          <t>Rennes</t>
        </is>
      </c>
      <c r="AH395" s="10" t="inlineStr">
        <is>
          <t>35000</t>
        </is>
      </c>
      <c r="AI395" s="10" t="inlineStr">
        <is>
          <t>Ille-et-Vilaine</t>
        </is>
      </c>
      <c r="AJ395" s="10" t="inlineStr">
        <is>
          <t>Bretagne</t>
        </is>
      </c>
      <c r="AK395" s="16" t="n">
        <v>15</v>
      </c>
      <c r="AL395" s="10" t="inlineStr">
        <is>
          <t>Oui</t>
        </is>
      </c>
      <c r="AM395" s="10" t="inlineStr">
        <is>
          <t>Non</t>
        </is>
      </c>
      <c r="AN395" s="10" t="inlineStr">
        <is>
          <t>CSA Automobiles vous propose à la vente cette magnifique PORSCHE 911 Carrera Coupé (997-1) Carrera S 3.8 i Coupé Tiptronic 355 cv en boîte automatique. VEHICULE EN TRES BON ETAT ! ENTRETIEN PORSCHE ! -Mise en circulation : 07/2005 -Puissance fiscale : 26cv -Energie : Essence -Kilométrage : 127 000km OPTIONS/EQUIPEMENTS : INTERIEUR : - Climatisation automatique - Régulateur/Limiteur de vitesse - Radar de recul - Toit ouvrant électrique - Sièges sports en cuir - Sièges chauffants - Sièges électriq</t>
        </is>
      </c>
      <c r="AO395" s="10" t="inlineStr">
        <is>
          <t>vehicle_technical_inspection_valid : Non ; Dommages : Excellent état (proche du neuf) ; Sellerie : Tout cuir ; Équipements intérieurs : Aide au stationnement, Climatisation, Jantes en alliage, Ordinateur de bord, Pare-brise chauffant, Phares anti-brouillard, Phares LED / Xenon, Planificateur intelligent de trajet, Régulateur de vitesse, Rétroviseurs dégivrants, Siège réglable en hauteur, Sièges chauffants, Sièges en cuir, Sièges sport, Sièges électriques, Suspension sport / adaptative, Système audio haut de gamme, Système de navigation, Système de surveillance pression pneus (TPMS), Toit ouvrant / Toit panoramique, Vitres surteintées à l'arrière, Vitres électriques arrières, Volant réglable en hauteur, Volant réglable en profondeur ; Permis : Avec permis ; Vente en LOA/LLD : Non ; VO récent : false ; vehicle_commercial_warranty : Non ; vehicle_manufacturer_warranty : Non ; Importé : false ; vehicle_history_report_status : visible ; spare_parts_availability : Non renseignée</t>
        </is>
      </c>
      <c r="AP395" s="19" t="inlineStr">
        <is>
          <t>Voir</t>
        </is>
      </c>
      <c r="AQ395" s="10" t="inlineStr">
        <is>
          <t>3209668474</t>
        </is>
      </c>
    </row>
    <row r="396">
      <c r="A396" s="10" t="inlineStr">
        <is>
          <t>Porsche 911 997 Carrera S</t>
        </is>
      </c>
      <c r="B396" s="10" t="inlineStr">
        <is>
          <t>Porsche 911 CARRERA 997 Coupe S 3.6i 345 PDK / Entretien complet</t>
        </is>
      </c>
      <c r="C396" s="10" t="inlineStr">
        <is>
          <t>911 Coupe Carrera S PDK</t>
        </is>
      </c>
      <c r="D396" s="10" t="inlineStr">
        <is>
          <t>Carrera S</t>
        </is>
      </c>
      <c r="E396" s="10" t="inlineStr">
        <is>
          <t>En vente</t>
        </is>
      </c>
      <c r="F396" s="18" t="n">
        <v>46288</v>
      </c>
      <c r="G396" s="18" t="n">
        <v>46288</v>
      </c>
      <c r="H396" s="18" t="n">
        <v>46310</v>
      </c>
      <c r="I396" s="18" t="n"/>
      <c r="J396" s="17">
        <f>IF(OR(ISNUMBER(F396),ISNUMBER(G396)),IF(ISNUMBER(I396),I396,H396)-IF(ISNUMBER(F396),F396,G396),"")</f>
        <v/>
      </c>
      <c r="K396" s="12" t="n">
        <v>58490</v>
      </c>
      <c r="L396" s="12" t="n">
        <v>58490</v>
      </c>
      <c r="M396" s="13">
        <f>IF(AND(ISNUMBER(K396),ISNUMBER(L396),K396&gt;0),1-L396/K396,"")</f>
        <v/>
      </c>
      <c r="N396" s="16" t="n">
        <v>0</v>
      </c>
      <c r="O396" s="12" t="n">
        <v>59990</v>
      </c>
      <c r="P396" s="12" t="n"/>
      <c r="Q396" s="12" t="n"/>
      <c r="R396" s="14">
        <f>IF(AND(ISNUMBER(L396),ISNUMBER(P396),ISNUMBER(Q396)),L396/((P396+Q396)/2)-1,"")</f>
        <v/>
      </c>
      <c r="S396" s="10" t="n"/>
      <c r="T396" s="15" t="n">
        <v>114500</v>
      </c>
      <c r="U396" s="16" t="n">
        <v>2011</v>
      </c>
      <c r="V396" s="10" t="inlineStr">
        <is>
          <t>07/2011</t>
        </is>
      </c>
      <c r="W396" s="10" t="inlineStr">
        <is>
          <t>Essence</t>
        </is>
      </c>
      <c r="X396" s="10" t="inlineStr">
        <is>
          <t>Automatique</t>
        </is>
      </c>
      <c r="Y396" s="16" t="n">
        <v>345</v>
      </c>
      <c r="Z396" s="16" t="n">
        <v>24</v>
      </c>
      <c r="AA396" s="10" t="inlineStr">
        <is>
          <t>Rouge</t>
        </is>
      </c>
      <c r="AB396" s="16" t="n">
        <v>2</v>
      </c>
      <c r="AC396" s="10" t="inlineStr">
        <is>
          <t>Coupé</t>
        </is>
      </c>
      <c r="AD396" s="10" t="n"/>
      <c r="AE396" s="10" t="n"/>
      <c r="AF396" s="10" t="inlineStr">
        <is>
          <t>Pro</t>
        </is>
      </c>
      <c r="AG396" s="10" t="inlineStr">
        <is>
          <t>Golbey</t>
        </is>
      </c>
      <c r="AH396" s="10" t="inlineStr">
        <is>
          <t>88190</t>
        </is>
      </c>
      <c r="AI396" s="10" t="inlineStr">
        <is>
          <t>Vosges</t>
        </is>
      </c>
      <c r="AJ396" s="10" t="inlineStr">
        <is>
          <t>Lorraine</t>
        </is>
      </c>
      <c r="AK396" s="16" t="n">
        <v>24</v>
      </c>
      <c r="AL396" s="10" t="inlineStr">
        <is>
          <t>Oui</t>
        </is>
      </c>
      <c r="AM396" s="10" t="inlineStr">
        <is>
          <t>Non</t>
        </is>
      </c>
      <c r="AN396" s="10" t="inlineStr">
        <is>
          <t>Porsche 911 CARRERA 997 Coupe S 3.6i 345 PDK / Entretien complet coupé, rouge clair, 24 cv, 2 portes, couleur intérieure : rouge, première mise en circulation le 01/07/2011. 4 places OPTIONS ET ÉQUIPEMENTS : Audio - Télécommunications : - BOSE Surround Sound-System - Chargeur CD/DVD - Combine telephonique sans fil pour module telephone - Interface Audio universelle - Module de navigation - Module telephone - Pre-equipement telephone portable - Pre-equipement telephone portable avec console - Tun</t>
        </is>
      </c>
      <c r="AO396" s="10" t="inlineStr">
        <is>
          <t>Sellerie : Tout cuir ; Équipements intérieurs : Climatisation, Coffre à ouverture électrique, Jantes en alliage, Ordinateur de bord, Phares anti-brouillard, Phares directionnels, Régulateur de vitesse, Sièges chauffants, Sièges en cuir, Sièges sport, Système de navigation, Vitres électriques arrières, Volant chauffant, Volant réglable en profondeur ; Permis : Avec permis ; VO récent : false ; custom_ref : 6996ijl ; Importé : true ; vehicle_history_report_status : visible ; spare_parts_availability : Non renseignée</t>
        </is>
      </c>
      <c r="AP396" s="19" t="inlineStr">
        <is>
          <t>Voir</t>
        </is>
      </c>
      <c r="AQ396" s="10" t="inlineStr">
        <is>
          <t>3210110937</t>
        </is>
      </c>
    </row>
    <row r="397">
      <c r="A397" s="10" t="inlineStr">
        <is>
          <t>Porsche 911 997 Carrera S</t>
        </is>
      </c>
      <c r="B397" s="10" t="inlineStr">
        <is>
          <t>Porsche 911 997.1 Carrera S coupe BVM 3.8 355ch</t>
        </is>
      </c>
      <c r="C397" s="10" t="inlineStr">
        <is>
          <t>911 Coupe Carrera S</t>
        </is>
      </c>
      <c r="D397" s="10" t="inlineStr">
        <is>
          <t>Carrera S</t>
        </is>
      </c>
      <c r="E397" s="10" t="inlineStr">
        <is>
          <t>En vente</t>
        </is>
      </c>
      <c r="F397" s="18" t="n">
        <v>46256</v>
      </c>
      <c r="G397" s="18" t="n">
        <v>46256</v>
      </c>
      <c r="H397" s="18" t="n">
        <v>46310</v>
      </c>
      <c r="I397" s="18" t="n"/>
      <c r="J397" s="17">
        <f>IF(OR(ISNUMBER(F397),ISNUMBER(G397)),IF(ISNUMBER(I397),I397,H397)-IF(ISNUMBER(F397),F397,G397),"")</f>
        <v/>
      </c>
      <c r="K397" s="12" t="n">
        <v>53990</v>
      </c>
      <c r="L397" s="12" t="n">
        <v>53990</v>
      </c>
      <c r="M397" s="13">
        <f>IF(AND(ISNUMBER(K397),ISNUMBER(L397),K397&gt;0),1-L397/K397,"")</f>
        <v/>
      </c>
      <c r="N397" s="16" t="n">
        <v>0</v>
      </c>
      <c r="O397" s="12" t="n"/>
      <c r="P397" s="12" t="n"/>
      <c r="Q397" s="12" t="n"/>
      <c r="R397" s="14">
        <f>IF(AND(ISNUMBER(L397),ISNUMBER(P397),ISNUMBER(Q397)),L397/((P397+Q397)/2)-1,"")</f>
        <v/>
      </c>
      <c r="S397" s="10" t="n"/>
      <c r="T397" s="15" t="n">
        <v>145900</v>
      </c>
      <c r="U397" s="16" t="n">
        <v>2005</v>
      </c>
      <c r="V397" s="10" t="inlineStr">
        <is>
          <t>01/2005</t>
        </is>
      </c>
      <c r="W397" s="10" t="inlineStr">
        <is>
          <t>Essence</t>
        </is>
      </c>
      <c r="X397" s="10" t="inlineStr">
        <is>
          <t>Manuelle</t>
        </is>
      </c>
      <c r="Y397" s="16" t="n">
        <v>355</v>
      </c>
      <c r="Z397" s="16" t="n">
        <v>26</v>
      </c>
      <c r="AA397" s="10" t="inlineStr">
        <is>
          <t>Gris</t>
        </is>
      </c>
      <c r="AB397" s="16" t="n">
        <v>2</v>
      </c>
      <c r="AC397" s="10" t="inlineStr">
        <is>
          <t>Coupé</t>
        </is>
      </c>
      <c r="AD397" s="10" t="inlineStr">
        <is>
          <t>Carnet d'entretien disponible</t>
        </is>
      </c>
      <c r="AE397" s="10" t="n"/>
      <c r="AF397" s="10" t="inlineStr">
        <is>
          <t>Pro</t>
        </is>
      </c>
      <c r="AG397" s="10" t="inlineStr">
        <is>
          <t>Jouy-le-Potier</t>
        </is>
      </c>
      <c r="AH397" s="10" t="inlineStr">
        <is>
          <t>45370</t>
        </is>
      </c>
      <c r="AI397" s="10" t="inlineStr">
        <is>
          <t>Loiret</t>
        </is>
      </c>
      <c r="AJ397" s="10" t="inlineStr">
        <is>
          <t>Centre</t>
        </is>
      </c>
      <c r="AK397" s="16" t="n">
        <v>50</v>
      </c>
      <c r="AL397" s="10" t="inlineStr">
        <is>
          <t>Oui</t>
        </is>
      </c>
      <c r="AM397" s="10" t="inlineStr">
        <is>
          <t>Non</t>
        </is>
      </c>
      <c r="AN397" s="10" t="inlineStr">
        <is>
          <t>Porsche 911 997.1 Carrera S coupe BVM 3.8 355ch coupé, gris, 26 cv, 2 portes, couleur intérieure : marron, première mise en circulation le 13/01/2005, garantie 12 mois. -Une sélection 45 AUTOSPORT. -45 Autosport spécialiste en véhicules de sport prestige et de collection pour la vente l'entretien et la réparation. -Nous disposons d'une sélection de véhicules révisés et garantis. -Échange / Reprise possible étudie toutes propositions -Recherche personnalisée : 4 places, poids en charge : 1510 kg,</t>
        </is>
      </c>
      <c r="AO397" s="10" t="inlineStr">
        <is>
          <t>vehicle_technical_inspection_valid : Oui ; Équipements intérieurs : Climatisation, Régulateur de vitesse, Sièges sport, Toit ouvrant / Toit panoramique, Vitres électriques arrières ; Permis : Avec permis ; VO récent : false ; custom_ref : 399 ; Importé : true ; vehicle_history_report_status : visible ; spare_parts_availability : Non renseignée</t>
        </is>
      </c>
      <c r="AP397" s="19" t="inlineStr">
        <is>
          <t>Voir</t>
        </is>
      </c>
      <c r="AQ397" s="10" t="inlineStr">
        <is>
          <t>3223596749</t>
        </is>
      </c>
    </row>
    <row r="398">
      <c r="A398" s="10" t="inlineStr">
        <is>
          <t>Porsche 911 997 Carrera S</t>
        </is>
      </c>
      <c r="B398" s="10" t="inlineStr">
        <is>
          <t>Porsche 911 997 CARRERA S - Très bon état - Boite méca</t>
        </is>
      </c>
      <c r="C398" s="10" t="inlineStr">
        <is>
          <t>911 Coupe Carrera S</t>
        </is>
      </c>
      <c r="D398" s="10" t="inlineStr">
        <is>
          <t>Carrera S</t>
        </is>
      </c>
      <c r="E398" s="10" t="inlineStr">
        <is>
          <t>En vente</t>
        </is>
      </c>
      <c r="F398" s="18" t="n">
        <v>46260</v>
      </c>
      <c r="G398" s="18" t="n">
        <v>46260</v>
      </c>
      <c r="H398" s="18" t="n">
        <v>46310</v>
      </c>
      <c r="I398" s="18" t="n"/>
      <c r="J398" s="17">
        <f>IF(OR(ISNUMBER(F398),ISNUMBER(G398)),IF(ISNUMBER(I398),I398,H398)-IF(ISNUMBER(F398),F398,G398),"")</f>
        <v/>
      </c>
      <c r="K398" s="12" t="n">
        <v>55990</v>
      </c>
      <c r="L398" s="12" t="n">
        <v>54990</v>
      </c>
      <c r="M398" s="13">
        <f>IF(AND(ISNUMBER(K398),ISNUMBER(L398),K398&gt;0),1-L398/K398,"")</f>
        <v/>
      </c>
      <c r="N398" s="16" t="n">
        <v>1</v>
      </c>
      <c r="O398" s="12" t="n">
        <v>57990</v>
      </c>
      <c r="P398" s="12" t="n"/>
      <c r="Q398" s="12" t="n"/>
      <c r="R398" s="14">
        <f>IF(AND(ISNUMBER(L398),ISNUMBER(P398),ISNUMBER(Q398)),L398/((P398+Q398)/2)-1,"")</f>
        <v/>
      </c>
      <c r="S398" s="10" t="n"/>
      <c r="T398" s="15" t="n">
        <v>83700</v>
      </c>
      <c r="U398" s="16" t="n">
        <v>2005</v>
      </c>
      <c r="V398" s="10" t="inlineStr">
        <is>
          <t>05/2005</t>
        </is>
      </c>
      <c r="W398" s="10" t="inlineStr">
        <is>
          <t>Essence</t>
        </is>
      </c>
      <c r="X398" s="10" t="inlineStr">
        <is>
          <t>Manuelle</t>
        </is>
      </c>
      <c r="Y398" s="16" t="n">
        <v>355</v>
      </c>
      <c r="Z398" s="16" t="n">
        <v>26</v>
      </c>
      <c r="AA398" s="10" t="inlineStr">
        <is>
          <t>Gris</t>
        </is>
      </c>
      <c r="AB398" s="16" t="n"/>
      <c r="AC398" s="10" t="inlineStr">
        <is>
          <t>Coupé</t>
        </is>
      </c>
      <c r="AD398" s="10" t="n"/>
      <c r="AE398" s="10" t="n"/>
      <c r="AF398" s="10" t="inlineStr">
        <is>
          <t>Pro</t>
        </is>
      </c>
      <c r="AG398" s="10" t="inlineStr">
        <is>
          <t>La Roche-Blanche</t>
        </is>
      </c>
      <c r="AH398" s="10" t="inlineStr">
        <is>
          <t>63670</t>
        </is>
      </c>
      <c r="AI398" s="10" t="inlineStr">
        <is>
          <t>Puy-de-Dôme</t>
        </is>
      </c>
      <c r="AJ398" s="10" t="inlineStr">
        <is>
          <t>Auvergne</t>
        </is>
      </c>
      <c r="AK398" s="16" t="n">
        <v>25</v>
      </c>
      <c r="AL398" s="10" t="n"/>
      <c r="AM398" s="10" t="inlineStr">
        <is>
          <t>Non</t>
        </is>
      </c>
      <c r="AN398" s="10" t="inlineStr">
        <is>
          <t>Porsche 911 997 CARRERA S - Très bon état - Boite méca, coupé, gris, 26 cv, première mise en circulation le 03/05/2005. Le Paddock est le spécialiste en Auvergne dans la recherche et la vente de véhicules sport &amp; collection, nous vendons de nombreux véhicules à distance grâce à notre rigueur et sérieux lors de toutes les étapes de la vente (sélection, vérification, préparation, livraison). _________________________________________________ Le Paddock vous propose cette superbe Porsche 911 Carrera</t>
        </is>
      </c>
      <c r="AO398" s="10" t="inlineStr">
        <is>
          <t>Permis : Avec permis ; VO récent : false ; custom_ref : BIZ_3CAE0C ; Importé : true ; spare_parts_availability : Non renseignée</t>
        </is>
      </c>
      <c r="AP398" s="19" t="inlineStr">
        <is>
          <t>Voir</t>
        </is>
      </c>
      <c r="AQ398" s="10" t="inlineStr">
        <is>
          <t>3225995323</t>
        </is>
      </c>
    </row>
    <row r="399">
      <c r="A399" s="10" t="inlineStr">
        <is>
          <t>Porsche 911 997 Carrera S</t>
        </is>
      </c>
      <c r="B399" s="10" t="inlineStr">
        <is>
          <t>PORSCHE 911 CARRERA 4 S 3.8i COUPE 997</t>
        </is>
      </c>
      <c r="C399" s="10" t="inlineStr">
        <is>
          <t>911 Coupe Carrera 4S</t>
        </is>
      </c>
      <c r="D399" s="10" t="inlineStr">
        <is>
          <t>Carrera 4S</t>
        </is>
      </c>
      <c r="E399" s="10" t="inlineStr">
        <is>
          <t>En vente</t>
        </is>
      </c>
      <c r="F399" s="18" t="n">
        <v>46206</v>
      </c>
      <c r="G399" s="18" t="n">
        <v>46206</v>
      </c>
      <c r="H399" s="18" t="n">
        <v>46310</v>
      </c>
      <c r="I399" s="18" t="n"/>
      <c r="J399" s="17">
        <f>IF(OR(ISNUMBER(F399),ISNUMBER(G399)),IF(ISNUMBER(I399),I399,H399)-IF(ISNUMBER(F399),F399,G399),"")</f>
        <v/>
      </c>
      <c r="K399" s="12" t="n">
        <v>54990</v>
      </c>
      <c r="L399" s="12" t="n">
        <v>54990</v>
      </c>
      <c r="M399" s="13">
        <f>IF(AND(ISNUMBER(K399),ISNUMBER(L399),K399&gt;0),1-L399/K399,"")</f>
        <v/>
      </c>
      <c r="N399" s="16" t="n">
        <v>0</v>
      </c>
      <c r="O399" s="12" t="n">
        <v>56990</v>
      </c>
      <c r="P399" s="12" t="n"/>
      <c r="Q399" s="12" t="n"/>
      <c r="R399" s="14">
        <f>IF(AND(ISNUMBER(L399),ISNUMBER(P399),ISNUMBER(Q399)),L399/((P399+Q399)/2)-1,"")</f>
        <v/>
      </c>
      <c r="S399" s="10" t="n"/>
      <c r="T399" s="15" t="n">
        <v>94900</v>
      </c>
      <c r="U399" s="16" t="n">
        <v>2007</v>
      </c>
      <c r="V399" s="10" t="inlineStr">
        <is>
          <t>01/2007</t>
        </is>
      </c>
      <c r="W399" s="10" t="inlineStr">
        <is>
          <t>Essence</t>
        </is>
      </c>
      <c r="X399" s="10" t="inlineStr">
        <is>
          <t>Manuelle</t>
        </is>
      </c>
      <c r="Y399" s="16" t="n">
        <v>355</v>
      </c>
      <c r="Z399" s="16" t="n">
        <v>26</v>
      </c>
      <c r="AA399" s="10" t="inlineStr">
        <is>
          <t>Gris</t>
        </is>
      </c>
      <c r="AB399" s="16" t="n">
        <v>2</v>
      </c>
      <c r="AC399" s="10" t="inlineStr">
        <is>
          <t>Coupé</t>
        </is>
      </c>
      <c r="AD399" s="10" t="n"/>
      <c r="AE399" s="10" t="n"/>
      <c r="AF399" s="10" t="inlineStr">
        <is>
          <t>Pro</t>
        </is>
      </c>
      <c r="AG399" s="10" t="inlineStr">
        <is>
          <t>Alençon</t>
        </is>
      </c>
      <c r="AH399" s="10" t="inlineStr">
        <is>
          <t>61000</t>
        </is>
      </c>
      <c r="AI399" s="10" t="inlineStr">
        <is>
          <t>Orne</t>
        </is>
      </c>
      <c r="AJ399" s="10" t="inlineStr">
        <is>
          <t>Basse-Normandie</t>
        </is>
      </c>
      <c r="AK399" s="16" t="n">
        <v>39</v>
      </c>
      <c r="AL399" s="10" t="inlineStr">
        <is>
          <t>Oui</t>
        </is>
      </c>
      <c r="AM399" s="10" t="inlineStr">
        <is>
          <t>Non</t>
        </is>
      </c>
      <c r="AN399" s="10" t="inlineStr">
        <is>
          <t>L'Agence TransakAuto ALENCON, société spécialisée en courtage automobile, 1er réseau d'intermédiation automobile auprès des particuliers avec + de 180 agences en France depuis 2011, vous propose ce véhicule Porsche, 911, Gris, 26, 2 portes, 94 900. 💥 OPTIONS ET EQUIPEMENTS Autres équipements et informations - Fond de compteur blanc - GPS - Jantes/roues en alliage léger 19" - Lave-phares - Pack chrono - Phares antibrouillard - PSM - Régulateur de vitesse - Sièges en cuir - Sièges électriques à m</t>
        </is>
      </c>
      <c r="AO399" s="10" t="inlineStr">
        <is>
          <t>Équipements intérieurs : Jantes en alliage, Phares anti-brouillard, Régulateur de vitesse, Sièges en cuir, Toit ouvrant / Toit panoramique ; VO récent : false ; custom_ref : VO86887266 ; Importé : true ; vehicle_history_report_status : visible ; spare_parts_availability : Non renseignée</t>
        </is>
      </c>
      <c r="AP399" s="19" t="inlineStr">
        <is>
          <t>Voir</t>
        </is>
      </c>
      <c r="AQ399" s="10" t="inlineStr">
        <is>
          <t>3226789085</t>
        </is>
      </c>
    </row>
    <row r="400">
      <c r="A400" s="10" t="inlineStr">
        <is>
          <t>Porsche 911 997 Carrera S</t>
        </is>
      </c>
      <c r="B400" s="10" t="inlineStr">
        <is>
          <t>Porsche 911 997 Carrera S</t>
        </is>
      </c>
      <c r="C400" s="10" t="n"/>
      <c r="D400" s="10" t="inlineStr">
        <is>
          <t>Carrera S</t>
        </is>
      </c>
      <c r="E400" s="10" t="inlineStr">
        <is>
          <t>En vente</t>
        </is>
      </c>
      <c r="F400" s="18" t="n">
        <v>46288</v>
      </c>
      <c r="G400" s="18" t="n">
        <v>46288</v>
      </c>
      <c r="H400" s="18" t="n">
        <v>46310</v>
      </c>
      <c r="I400" s="18" t="n"/>
      <c r="J400" s="17">
        <f>IF(OR(ISNUMBER(F400),ISNUMBER(G400)),IF(ISNUMBER(I400),I400,H400)-IF(ISNUMBER(F400),F400,G400),"")</f>
        <v/>
      </c>
      <c r="K400" s="12" t="n">
        <v>59000</v>
      </c>
      <c r="L400" s="12" t="n">
        <v>59000</v>
      </c>
      <c r="M400" s="13">
        <f>IF(AND(ISNUMBER(K400),ISNUMBER(L400),K400&gt;0),1-L400/K400,"")</f>
        <v/>
      </c>
      <c r="N400" s="16" t="n">
        <v>0</v>
      </c>
      <c r="O400" s="12" t="n">
        <v>60000</v>
      </c>
      <c r="P400" s="12" t="n"/>
      <c r="Q400" s="12" t="n"/>
      <c r="R400" s="14">
        <f>IF(AND(ISNUMBER(L400),ISNUMBER(P400),ISNUMBER(Q400)),L400/((P400+Q400)/2)-1,"")</f>
        <v/>
      </c>
      <c r="S400" s="10" t="n"/>
      <c r="T400" s="15" t="n">
        <v>110300</v>
      </c>
      <c r="U400" s="16" t="n">
        <v>2005</v>
      </c>
      <c r="V400" s="10" t="inlineStr">
        <is>
          <t>01/2005</t>
        </is>
      </c>
      <c r="W400" s="10" t="inlineStr">
        <is>
          <t>Essence</t>
        </is>
      </c>
      <c r="X400" s="10" t="inlineStr">
        <is>
          <t>Manuelle</t>
        </is>
      </c>
      <c r="Y400" s="16" t="n">
        <v>355</v>
      </c>
      <c r="Z400" s="16" t="n">
        <v>26</v>
      </c>
      <c r="AA400" s="10" t="inlineStr">
        <is>
          <t>Gris</t>
        </is>
      </c>
      <c r="AB400" s="16" t="n">
        <v>2</v>
      </c>
      <c r="AC400" s="10" t="inlineStr">
        <is>
          <t>Cabriolet</t>
        </is>
      </c>
      <c r="AD400" s="10" t="n"/>
      <c r="AE400" s="10" t="n"/>
      <c r="AF400" s="10" t="inlineStr">
        <is>
          <t>Particulier</t>
        </is>
      </c>
      <c r="AG400" s="10" t="inlineStr">
        <is>
          <t>Saint-Ouen-en-Champagne</t>
        </is>
      </c>
      <c r="AH400" s="10" t="inlineStr">
        <is>
          <t>72350</t>
        </is>
      </c>
      <c r="AI400" s="10" t="inlineStr">
        <is>
          <t>Sarthe</t>
        </is>
      </c>
      <c r="AJ400" s="10" t="inlineStr">
        <is>
          <t>Pays de la Loire</t>
        </is>
      </c>
      <c r="AK400" s="16" t="n">
        <v>3</v>
      </c>
      <c r="AL400" s="10" t="n"/>
      <c r="AM400" s="10" t="inlineStr">
        <is>
          <t>Non</t>
        </is>
      </c>
      <c r="AN400" s="10" t="inlineStr">
        <is>
          <t>Je mets en vente ma Porsche 997 Carrera S, 3.8 355ch, dans sa très élégante teinte Gris Kerguelen, couleur emblématique de la Carrera GT. Le véhicule totalise 110 300 km (évolutifs) et dispose d’un historique d’entretien complet, exclusivement réalisé dans le réseau Porsche puis chez des spécialistes reconnus. Je possède le carnet d’entretien Entretien * Porsche Livourne : petite vidange, filtre à huile – 24 543 km (10/2006) * Porsche Livourne : petite vidange, filtre à huile + filtre d’habitacl</t>
        </is>
      </c>
      <c r="AO400" s="10" t="inlineStr">
        <is>
          <t>Dommages : Bon état général ; Sellerie : Tout cuir ; Permis : Avec permis ; Importé : false</t>
        </is>
      </c>
      <c r="AP400" s="19" t="inlineStr">
        <is>
          <t>Voir</t>
        </is>
      </c>
      <c r="AQ400" s="10" t="inlineStr">
        <is>
          <t>3229875348</t>
        </is>
      </c>
    </row>
    <row r="401">
      <c r="A401" s="10" t="inlineStr">
        <is>
          <t>Porsche 911 997 Carrera S</t>
        </is>
      </c>
      <c r="B401" s="10" t="inlineStr">
        <is>
          <t>PORSCHE 911 CARRERA 4 CABRIOLET 997 S 3.8i Tiptronic S A / Moteur 28000 km/ SUIVI Porsche</t>
        </is>
      </c>
      <c r="C401" s="10" t="inlineStr">
        <is>
          <t>911 Cabriolet Carrera 4S</t>
        </is>
      </c>
      <c r="D401" s="10" t="inlineStr">
        <is>
          <t>Carrera 4S</t>
        </is>
      </c>
      <c r="E401" s="10" t="inlineStr">
        <is>
          <t>En vente</t>
        </is>
      </c>
      <c r="F401" s="18" t="n">
        <v>46223</v>
      </c>
      <c r="G401" s="18" t="n">
        <v>46223</v>
      </c>
      <c r="H401" s="18" t="n">
        <v>46310</v>
      </c>
      <c r="I401" s="18" t="n"/>
      <c r="J401" s="17">
        <f>IF(OR(ISNUMBER(F401),ISNUMBER(G401)),IF(ISNUMBER(I401),I401,H401)-IF(ISNUMBER(F401),F401,G401),"")</f>
        <v/>
      </c>
      <c r="K401" s="12" t="n">
        <v>60990</v>
      </c>
      <c r="L401" s="12" t="n">
        <v>60990</v>
      </c>
      <c r="M401" s="13">
        <f>IF(AND(ISNUMBER(K401),ISNUMBER(L401),K401&gt;0),1-L401/K401,"")</f>
        <v/>
      </c>
      <c r="N401" s="16" t="n">
        <v>0</v>
      </c>
      <c r="O401" s="12" t="n">
        <v>61990</v>
      </c>
      <c r="P401" s="12" t="n"/>
      <c r="Q401" s="12" t="n"/>
      <c r="R401" s="14">
        <f>IF(AND(ISNUMBER(L401),ISNUMBER(P401),ISNUMBER(Q401)),L401/((P401+Q401)/2)-1,"")</f>
        <v/>
      </c>
      <c r="S401" s="10" t="n"/>
      <c r="T401" s="15" t="n">
        <v>128000</v>
      </c>
      <c r="U401" s="16" t="n">
        <v>2008</v>
      </c>
      <c r="V401" s="10" t="inlineStr">
        <is>
          <t>01/2008</t>
        </is>
      </c>
      <c r="W401" s="10" t="inlineStr">
        <is>
          <t>Essence</t>
        </is>
      </c>
      <c r="X401" s="10" t="inlineStr">
        <is>
          <t>Automatique</t>
        </is>
      </c>
      <c r="Y401" s="16" t="n">
        <v>355</v>
      </c>
      <c r="Z401" s="16" t="n">
        <v>26</v>
      </c>
      <c r="AA401" s="10" t="inlineStr">
        <is>
          <t>Noir</t>
        </is>
      </c>
      <c r="AB401" s="16" t="n">
        <v>2</v>
      </c>
      <c r="AC401" s="10" t="n"/>
      <c r="AD401" s="10" t="n"/>
      <c r="AE401" s="10" t="n"/>
      <c r="AF401" s="10" t="inlineStr">
        <is>
          <t>Pro</t>
        </is>
      </c>
      <c r="AG401" s="10" t="inlineStr">
        <is>
          <t>Venelles</t>
        </is>
      </c>
      <c r="AH401" s="10" t="inlineStr">
        <is>
          <t>13770</t>
        </is>
      </c>
      <c r="AI401" s="10" t="inlineStr">
        <is>
          <t>Bouches-du-Rhône</t>
        </is>
      </c>
      <c r="AJ401" s="10" t="inlineStr">
        <is>
          <t>Provence-Alpes-Côte d'Azur</t>
        </is>
      </c>
      <c r="AK401" s="16" t="n">
        <v>35</v>
      </c>
      <c r="AL401" s="10" t="inlineStr">
        <is>
          <t>Oui</t>
        </is>
      </c>
      <c r="AM401" s="10" t="inlineStr">
        <is>
          <t>Non</t>
        </is>
      </c>
      <c r="AN401" s="10" t="inlineStr">
        <is>
          <t>L'Agence TransakAuto AIX EN PROVENCE NORD, société spécialisée en courtage automobile, 1er réseau d'intermédiation automobile auprès des particuliers avec + de 180 agences en France depuis 2011, vous propose ce véhicule Porsche, 911, Noir, 26 chevaux fiscaux, 2 portes, 128 000 km. ⚠ 🔦 Véhicule visible uniquement sur rdv à l'agence TransakAuto AIX EN PROVENCE NORD, du mardi au samedi de Du mardi au samedi de 9h30 à 18h30 Véhicule en dépôt-vente [non stocké sur place]. Visible uniquement sur rend</t>
        </is>
      </c>
      <c r="AO401" s="10" t="inlineStr">
        <is>
          <t>Équipements intérieurs : Apple CarPlay / Android Auto, Bluetooth, Caméra de recul, Climatisation, Jantes en alliage, Ordinateur de bord, Phares anti-brouillard, Phares LED / Xenon, Sièges en cuir, Suspension sport / adaptative ; VO récent : false ; custom_ref : VO80519758 ; Importé : true ; vehicle_history_report_status : visible ; spare_parts_availability : Non renseignée</t>
        </is>
      </c>
      <c r="AP401" s="19" t="inlineStr">
        <is>
          <t>Voir</t>
        </is>
      </c>
      <c r="AQ401" s="10" t="inlineStr">
        <is>
          <t>3236208392</t>
        </is>
      </c>
    </row>
    <row r="402">
      <c r="A402" s="10" t="inlineStr">
        <is>
          <t>Porsche 911 997 Carrera S</t>
        </is>
      </c>
      <c r="B402" s="10" t="inlineStr">
        <is>
          <t>Porsche 911 COUPE (997) CARRERA TIPTRONIC S</t>
        </is>
      </c>
      <c r="C402" s="10" t="inlineStr">
        <is>
          <t>911 Coupe Carrera TipTronic S</t>
        </is>
      </c>
      <c r="D402" s="10" t="inlineStr">
        <is>
          <t>Carrera</t>
        </is>
      </c>
      <c r="E402" s="10" t="inlineStr">
        <is>
          <t>En vente</t>
        </is>
      </c>
      <c r="F402" s="18" t="n">
        <v>46287</v>
      </c>
      <c r="G402" s="18" t="n">
        <v>46287</v>
      </c>
      <c r="H402" s="18" t="n">
        <v>46310</v>
      </c>
      <c r="I402" s="18" t="n"/>
      <c r="J402" s="17">
        <f>IF(OR(ISNUMBER(F402),ISNUMBER(G402)),IF(ISNUMBER(I402),I402,H402)-IF(ISNUMBER(F402),F402,G402),"")</f>
        <v/>
      </c>
      <c r="K402" s="12" t="n">
        <v>45990</v>
      </c>
      <c r="L402" s="12" t="n">
        <v>45990</v>
      </c>
      <c r="M402" s="13">
        <f>IF(AND(ISNUMBER(K402),ISNUMBER(L402),K402&gt;0),1-L402/K402,"")</f>
        <v/>
      </c>
      <c r="N402" s="16" t="n">
        <v>0</v>
      </c>
      <c r="O402" s="12" t="n">
        <v>46990</v>
      </c>
      <c r="P402" s="12" t="n"/>
      <c r="Q402" s="12" t="n"/>
      <c r="R402" s="14">
        <f>IF(AND(ISNUMBER(L402),ISNUMBER(P402),ISNUMBER(Q402)),L402/((P402+Q402)/2)-1,"")</f>
        <v/>
      </c>
      <c r="S402" s="10" t="n"/>
      <c r="T402" s="15" t="n">
        <v>119000</v>
      </c>
      <c r="U402" s="16" t="n">
        <v>2005</v>
      </c>
      <c r="V402" s="10" t="inlineStr">
        <is>
          <t>02/2005</t>
        </is>
      </c>
      <c r="W402" s="10" t="inlineStr">
        <is>
          <t>Essence</t>
        </is>
      </c>
      <c r="X402" s="10" t="inlineStr">
        <is>
          <t>Automatique</t>
        </is>
      </c>
      <c r="Y402" s="16" t="n">
        <v>325</v>
      </c>
      <c r="Z402" s="16" t="n">
        <v>23</v>
      </c>
      <c r="AA402" s="10" t="inlineStr">
        <is>
          <t>Gris</t>
        </is>
      </c>
      <c r="AB402" s="16" t="n"/>
      <c r="AC402" s="10" t="inlineStr">
        <is>
          <t>Coupé</t>
        </is>
      </c>
      <c r="AD402" s="10" t="n"/>
      <c r="AE402" s="10" t="n"/>
      <c r="AF402" s="10" t="inlineStr">
        <is>
          <t>Pro</t>
        </is>
      </c>
      <c r="AG402" s="10" t="inlineStr">
        <is>
          <t>Bazouges Cré sur Loir</t>
        </is>
      </c>
      <c r="AH402" s="10" t="inlineStr">
        <is>
          <t>72200</t>
        </is>
      </c>
      <c r="AI402" s="10" t="inlineStr">
        <is>
          <t>Sarthe</t>
        </is>
      </c>
      <c r="AJ402" s="10" t="inlineStr">
        <is>
          <t>Pays de la Loire</t>
        </is>
      </c>
      <c r="AK402" s="16" t="n">
        <v>27</v>
      </c>
      <c r="AL402" s="10" t="inlineStr">
        <is>
          <t>Oui</t>
        </is>
      </c>
      <c r="AM402" s="10" t="inlineStr">
        <is>
          <t>Non</t>
        </is>
      </c>
      <c r="AN402" s="10" t="inlineStr">
        <is>
          <t>Porsche 911 COUPE (997) CARRERA TIPTRONIC S, (Coupé), GRIS, 23cv, mise en circulation le 18-02-2005, garantie 12 mois (12 MOIS). 4 places, couleur intérieur : NOIR, longueur : 4,43 mètres, boîte de vitesse : automatique OPTIONS ET EQUIPEMENTS : Audio - Télécommunications - Radio CD MP3 Conduite - Régulateur de vitesse Extérieur - Jantes Alu - Radar de recul - Rétroviseurs électriques dégivrants - Toit ouvrant électrique Intérieur - Clim automatique - Direction assistée - Pack électrique - Verrou</t>
        </is>
      </c>
      <c r="AO402" s="10" t="inlineStr">
        <is>
          <t>Permis : Avec permis ; VO récent : false ; custom_ref : 147 ; Importé : true ; vehicle_history_report_status : visible ; spare_parts_availability : Non renseignée</t>
        </is>
      </c>
      <c r="AP402" s="19" t="inlineStr">
        <is>
          <t>Voir</t>
        </is>
      </c>
      <c r="AQ402" s="10" t="inlineStr">
        <is>
          <t>3241156907</t>
        </is>
      </c>
    </row>
    <row r="403">
      <c r="A403" s="10" t="inlineStr">
        <is>
          <t>Porsche 911 997 Carrera S</t>
        </is>
      </c>
      <c r="B403" s="10" t="inlineStr">
        <is>
          <t>Porsche 911/997 carrera S</t>
        </is>
      </c>
      <c r="C403" s="10" t="inlineStr">
        <is>
          <t>911 Coupe Carrera S TipTronic S</t>
        </is>
      </c>
      <c r="D403" s="10" t="inlineStr">
        <is>
          <t>Carrera S</t>
        </is>
      </c>
      <c r="E403" s="10" t="inlineStr">
        <is>
          <t>En vente</t>
        </is>
      </c>
      <c r="F403" s="18" t="n">
        <v>46299</v>
      </c>
      <c r="G403" s="18" t="n">
        <v>46299</v>
      </c>
      <c r="H403" s="18" t="n">
        <v>46310</v>
      </c>
      <c r="I403" s="18" t="n"/>
      <c r="J403" s="17">
        <f>IF(OR(ISNUMBER(F403),ISNUMBER(G403)),IF(ISNUMBER(I403),I403,H403)-IF(ISNUMBER(F403),F403,G403),"")</f>
        <v/>
      </c>
      <c r="K403" s="12" t="n">
        <v>46000</v>
      </c>
      <c r="L403" s="12" t="n">
        <v>46000</v>
      </c>
      <c r="M403" s="13">
        <f>IF(AND(ISNUMBER(K403),ISNUMBER(L403),K403&gt;0),1-L403/K403,"")</f>
        <v/>
      </c>
      <c r="N403" s="16" t="n">
        <v>0</v>
      </c>
      <c r="O403" s="12" t="n"/>
      <c r="P403" s="12" t="n"/>
      <c r="Q403" s="12" t="n"/>
      <c r="R403" s="14">
        <f>IF(AND(ISNUMBER(L403),ISNUMBER(P403),ISNUMBER(Q403)),L403/((P403+Q403)/2)-1,"")</f>
        <v/>
      </c>
      <c r="S403" s="10" t="n"/>
      <c r="T403" s="15" t="n">
        <v>113000</v>
      </c>
      <c r="U403" s="16" t="n">
        <v>2005</v>
      </c>
      <c r="V403" s="10" t="inlineStr">
        <is>
          <t>04/2005</t>
        </is>
      </c>
      <c r="W403" s="10" t="inlineStr">
        <is>
          <t>Essence</t>
        </is>
      </c>
      <c r="X403" s="10" t="inlineStr">
        <is>
          <t>Automatique</t>
        </is>
      </c>
      <c r="Y403" s="16" t="n">
        <v>355</v>
      </c>
      <c r="Z403" s="16" t="n">
        <v>26</v>
      </c>
      <c r="AA403" s="10" t="inlineStr">
        <is>
          <t>Gris</t>
        </is>
      </c>
      <c r="AB403" s="16" t="n">
        <v>2</v>
      </c>
      <c r="AC403" s="10" t="inlineStr">
        <is>
          <t>Coupé</t>
        </is>
      </c>
      <c r="AD403" s="10" t="n"/>
      <c r="AE403" s="10" t="n"/>
      <c r="AF403" s="10" t="inlineStr">
        <is>
          <t>Particulier</t>
        </is>
      </c>
      <c r="AG403" s="10" t="inlineStr">
        <is>
          <t>Richwiller</t>
        </is>
      </c>
      <c r="AH403" s="10" t="inlineStr">
        <is>
          <t>68120</t>
        </is>
      </c>
      <c r="AI403" s="10" t="inlineStr">
        <is>
          <t>Haut-Rhin</t>
        </is>
      </c>
      <c r="AJ403" s="10" t="inlineStr">
        <is>
          <t>Alsace</t>
        </is>
      </c>
      <c r="AK403" s="16" t="n">
        <v>3</v>
      </c>
      <c r="AL403" s="10" t="n"/>
      <c r="AM403" s="10" t="inlineStr">
        <is>
          <t>Non</t>
        </is>
      </c>
      <c r="AN403" s="10" t="inlineStr">
        <is>
          <t>Porsche 997 carrera S Teinte argent carrera GT (option Porsche exclusive) Mode sport (réglages boîte sport et raffermissement suspension) Chronomètre Boîte tiptronic S Autoradio Dynavin avec façade intégrée (car play, GPS, …) Poste PCM origine disponible Climatisation Sièges sport électriques et chauffants Importée du Japon début 2022 (pas de corrosion car pas de sel utilisé là-bas) Carnet japonais tamponné et avec factures (entretiens exclusivement chez spécialistes) Carnet français complémenta</t>
        </is>
      </c>
      <c r="AO403" s="10" t="inlineStr">
        <is>
          <t>Dommages : Bon état général ; Sellerie : Tout cuir ; Équipements intérieurs : Alarme antivol, Bluetooth, Chargeurs USB, Climatisation, Jantes en alliage, Ordinateur de bord, Phares anti-brouillard, Phares LED / Xenon, Radio numérique DAB, Rétroviseurs dégivrants, Sièges chauffants, Sièges en cuir, Sièges sport, Sièges électriques, Suspension sport / adaptative, Système de navigation, Système de surveillance pression pneus (TPMS), Toit ouvrant / Toit panoramique ; Permis : Avec permis ; Importé : false</t>
        </is>
      </c>
      <c r="AP403" s="19" t="inlineStr">
        <is>
          <t>Voir</t>
        </is>
      </c>
      <c r="AQ403" s="10" t="inlineStr">
        <is>
          <t>3244949226</t>
        </is>
      </c>
    </row>
    <row r="404">
      <c r="A404" s="10" t="inlineStr">
        <is>
          <t>Porsche 911 997 Carrera S</t>
        </is>
      </c>
      <c r="B404" s="10" t="inlineStr">
        <is>
          <t>Porsche 911 COUPE 997 3.8 355 CARRERA S</t>
        </is>
      </c>
      <c r="C404" s="10" t="inlineStr">
        <is>
          <t>911 Coupe Carrera S</t>
        </is>
      </c>
      <c r="D404" s="10" t="inlineStr">
        <is>
          <t>Carrera S</t>
        </is>
      </c>
      <c r="E404" s="10" t="inlineStr">
        <is>
          <t>En vente</t>
        </is>
      </c>
      <c r="F404" s="18" t="n">
        <v>46253</v>
      </c>
      <c r="G404" s="18" t="n">
        <v>46253</v>
      </c>
      <c r="H404" s="18" t="n">
        <v>46310</v>
      </c>
      <c r="I404" s="18" t="n"/>
      <c r="J404" s="17">
        <f>IF(OR(ISNUMBER(F404),ISNUMBER(G404)),IF(ISNUMBER(I404),I404,H404)-IF(ISNUMBER(F404),F404,G404),"")</f>
        <v/>
      </c>
      <c r="K404" s="12" t="n">
        <v>59900</v>
      </c>
      <c r="L404" s="12" t="n">
        <v>59900</v>
      </c>
      <c r="M404" s="13">
        <f>IF(AND(ISNUMBER(K404),ISNUMBER(L404),K404&gt;0),1-L404/K404,"")</f>
        <v/>
      </c>
      <c r="N404" s="16" t="n">
        <v>0</v>
      </c>
      <c r="O404" s="12" t="n"/>
      <c r="P404" s="12" t="n"/>
      <c r="Q404" s="12" t="n"/>
      <c r="R404" s="14">
        <f>IF(AND(ISNUMBER(L404),ISNUMBER(P404),ISNUMBER(Q404)),L404/((P404+Q404)/2)-1,"")</f>
        <v/>
      </c>
      <c r="S404" s="10" t="n"/>
      <c r="T404" s="15" t="n">
        <v>64000</v>
      </c>
      <c r="U404" s="16" t="n">
        <v>2006</v>
      </c>
      <c r="V404" s="10" t="inlineStr">
        <is>
          <t>01/2006</t>
        </is>
      </c>
      <c r="W404" s="10" t="inlineStr">
        <is>
          <t>Essence</t>
        </is>
      </c>
      <c r="X404" s="10" t="inlineStr">
        <is>
          <t>Manuelle</t>
        </is>
      </c>
      <c r="Y404" s="16" t="n">
        <v>355</v>
      </c>
      <c r="Z404" s="16" t="n">
        <v>26</v>
      </c>
      <c r="AA404" s="10" t="inlineStr">
        <is>
          <t>Noir</t>
        </is>
      </c>
      <c r="AB404" s="16" t="n">
        <v>2</v>
      </c>
      <c r="AC404" s="10" t="inlineStr">
        <is>
          <t>Coupé</t>
        </is>
      </c>
      <c r="AD404" s="10" t="n"/>
      <c r="AE404" s="10" t="n"/>
      <c r="AF404" s="10" t="inlineStr">
        <is>
          <t>Pro</t>
        </is>
      </c>
      <c r="AG404" s="10" t="inlineStr">
        <is>
          <t>Foulayronnes</t>
        </is>
      </c>
      <c r="AH404" s="10" t="inlineStr">
        <is>
          <t>47510</t>
        </is>
      </c>
      <c r="AI404" s="10" t="inlineStr">
        <is>
          <t>Lot-et-Garonne</t>
        </is>
      </c>
      <c r="AJ404" s="10" t="inlineStr">
        <is>
          <t>Aquitaine</t>
        </is>
      </c>
      <c r="AK404" s="16" t="n">
        <v>30</v>
      </c>
      <c r="AL404" s="10" t="inlineStr">
        <is>
          <t>Oui</t>
        </is>
      </c>
      <c r="AM404" s="10" t="inlineStr">
        <is>
          <t>Non</t>
        </is>
      </c>
      <c r="AN404" s="10" t="inlineStr">
        <is>
          <t>Porsche 911 COUPE 997 3.8 355 CARRERA S, coupé, noir, 26 cv, 2 portes, première mise en circulation le 13/01/2006. 4 places OPTIONS ET ÉQUIPEMENTS : Audio - Télécommunications : - GPS - cd - radio Conduite : - châssis sport - limiteur de vitesse - régulateur de vitesse - suspension sport Extérieur : - Radar de recul - phares à LED Intérieur : - Accoudoir central - Fermeture à distance - climatisation : automatique - fermeture centralisée - ordinateur de bord - rétroviseur interieur electrochrome</t>
        </is>
      </c>
      <c r="AO404" s="10" t="inlineStr">
        <is>
          <t>Équipements intérieurs : Allumage automatique des phares, Climatisation, Ordinateur de bord, Phares LED / Xenon, Régulateur de vitesse, Siège réglable en hauteur, Sièges chauffants, Suspension sport / adaptative, Vitres électriques arrières ; Permis : Avec permis ; VO récent : false ; custom_ref : BHC_DA1506 ; Importé : true ; vehicle_history_report_status : visible ; spare_parts_availability : Non renseignée</t>
        </is>
      </c>
      <c r="AP404" s="19" t="inlineStr">
        <is>
          <t>Voir</t>
        </is>
      </c>
      <c r="AQ404" s="10" t="inlineStr">
        <is>
          <t>3252911291</t>
        </is>
      </c>
    </row>
    <row r="405">
      <c r="A405" s="10" t="inlineStr">
        <is>
          <t>Porsche 911 997 Carrera S</t>
        </is>
      </c>
      <c r="B405" s="10" t="inlineStr">
        <is>
          <t>Porsche 911 997 Carrera S 3.8 355ch BVM / Pack Sport Chrono Entretien complet Porsche</t>
        </is>
      </c>
      <c r="C405" s="10" t="inlineStr">
        <is>
          <t>911 Coupe Carrera S</t>
        </is>
      </c>
      <c r="D405" s="10" t="inlineStr">
        <is>
          <t>Carrera S</t>
        </is>
      </c>
      <c r="E405" s="10" t="inlineStr">
        <is>
          <t>En vente</t>
        </is>
      </c>
      <c r="F405" s="18" t="n">
        <v>46257</v>
      </c>
      <c r="G405" s="18" t="n">
        <v>46257</v>
      </c>
      <c r="H405" s="18" t="n">
        <v>46310</v>
      </c>
      <c r="I405" s="18" t="n"/>
      <c r="J405" s="17">
        <f>IF(OR(ISNUMBER(F405),ISNUMBER(G405)),IF(ISNUMBER(I405),I405,H405)-IF(ISNUMBER(F405),F405,G405),"")</f>
        <v/>
      </c>
      <c r="K405" s="12" t="n">
        <v>58990</v>
      </c>
      <c r="L405" s="12" t="n">
        <v>58990</v>
      </c>
      <c r="M405" s="13">
        <f>IF(AND(ISNUMBER(K405),ISNUMBER(L405),K405&gt;0),1-L405/K405,"")</f>
        <v/>
      </c>
      <c r="N405" s="16" t="n">
        <v>0</v>
      </c>
      <c r="O405" s="12" t="n"/>
      <c r="P405" s="12" t="n"/>
      <c r="Q405" s="12" t="n"/>
      <c r="R405" s="14">
        <f>IF(AND(ISNUMBER(L405),ISNUMBER(P405),ISNUMBER(Q405)),L405/((P405+Q405)/2)-1,"")</f>
        <v/>
      </c>
      <c r="S405" s="10" t="n"/>
      <c r="T405" s="15" t="n">
        <v>100000</v>
      </c>
      <c r="U405" s="16" t="n">
        <v>2005</v>
      </c>
      <c r="V405" s="10" t="inlineStr">
        <is>
          <t>09/2005</t>
        </is>
      </c>
      <c r="W405" s="10" t="inlineStr">
        <is>
          <t>Essence</t>
        </is>
      </c>
      <c r="X405" s="10" t="inlineStr">
        <is>
          <t>Manuelle</t>
        </is>
      </c>
      <c r="Y405" s="16" t="n">
        <v>355</v>
      </c>
      <c r="Z405" s="16" t="n">
        <v>26</v>
      </c>
      <c r="AA405" s="10" t="inlineStr">
        <is>
          <t>Noir</t>
        </is>
      </c>
      <c r="AB405" s="16" t="n">
        <v>2</v>
      </c>
      <c r="AC405" s="10" t="inlineStr">
        <is>
          <t>Coupé</t>
        </is>
      </c>
      <c r="AD405" s="10" t="n"/>
      <c r="AE405" s="10" t="n"/>
      <c r="AF405" s="10" t="inlineStr">
        <is>
          <t>Pro</t>
        </is>
      </c>
      <c r="AG405" s="10" t="inlineStr">
        <is>
          <t>Tarnos</t>
        </is>
      </c>
      <c r="AH405" s="10" t="inlineStr">
        <is>
          <t>40220</t>
        </is>
      </c>
      <c r="AI405" s="10" t="inlineStr">
        <is>
          <t>Landes</t>
        </is>
      </c>
      <c r="AJ405" s="10" t="inlineStr">
        <is>
          <t>Aquitaine</t>
        </is>
      </c>
      <c r="AK405" s="16" t="n">
        <v>29</v>
      </c>
      <c r="AL405" s="10" t="inlineStr">
        <is>
          <t>Oui</t>
        </is>
      </c>
      <c r="AM405" s="10" t="inlineStr">
        <is>
          <t>Non</t>
        </is>
      </c>
      <c r="AN405" s="10" t="inlineStr">
        <is>
          <t>Porsche 911 997 Carrera S 3.8 355ch BVM / Pack Sport Chrono Entretien complet Porsche coupé, noir, 26 cv, 2 portes, couleur intérieure : noir, première mise en circulation le 15/09/2005. PORSCHE 911 TYPE 997 CARRERA S 3.8 355 CH – BVM – 100000 KM Selectdrive vous propose cette superbe Porsche 911 Type 997 Carrera S Coupé, équipée du moteur 3.8 litres développant 355 chevaux et associée à une boîte de vitesses manuelle. Mise en circulation en septembre 2005, cette 911 affiche 100000 km. Elle béné</t>
        </is>
      </c>
      <c r="AO405" s="10" t="inlineStr">
        <is>
          <t>Sellerie : Tout cuir ; Équipements intérieurs : 4 roues motrices ; Permis : Avec permis ; VO récent : false ; custom_ref : BIZ_4620D7 ; Importé : true ; vehicle_history_report_status : visible ; spare_parts_availability : Non renseignée</t>
        </is>
      </c>
      <c r="AP405" s="19" t="inlineStr">
        <is>
          <t>Voir</t>
        </is>
      </c>
      <c r="AQ405" s="10" t="inlineStr">
        <is>
          <t>3255178405</t>
        </is>
      </c>
    </row>
    <row r="406">
      <c r="A406" s="10" t="inlineStr">
        <is>
          <t>Porsche 911 997 Carrera S</t>
        </is>
      </c>
      <c r="B406" s="10" t="inlineStr">
        <is>
          <t>Porsche 911 Carrera S Cab (997.2) 3.8 385ch PDK – Gris Argent GT – Suivi Porsche exclusif</t>
        </is>
      </c>
      <c r="C406" s="10" t="inlineStr">
        <is>
          <t>911 Cabriolet Carrera S PDK</t>
        </is>
      </c>
      <c r="D406" s="10" t="inlineStr">
        <is>
          <t>Carrera S</t>
        </is>
      </c>
      <c r="E406" s="10" t="inlineStr">
        <is>
          <t>En vente</t>
        </is>
      </c>
      <c r="F406" s="18" t="n">
        <v>46262</v>
      </c>
      <c r="G406" s="18" t="n">
        <v>46262</v>
      </c>
      <c r="H406" s="18" t="n">
        <v>46310</v>
      </c>
      <c r="I406" s="18" t="n"/>
      <c r="J406" s="17">
        <f>IF(OR(ISNUMBER(F406),ISNUMBER(G406)),IF(ISNUMBER(I406),I406,H406)-IF(ISNUMBER(F406),F406,G406),"")</f>
        <v/>
      </c>
      <c r="K406" s="12" t="n">
        <v>69990</v>
      </c>
      <c r="L406" s="12" t="n">
        <v>69990</v>
      </c>
      <c r="M406" s="13">
        <f>IF(AND(ISNUMBER(K406),ISNUMBER(L406),K406&gt;0),1-L406/K406,"")</f>
        <v/>
      </c>
      <c r="N406" s="16" t="n">
        <v>0</v>
      </c>
      <c r="O406" s="12" t="n"/>
      <c r="P406" s="12" t="n"/>
      <c r="Q406" s="12" t="n"/>
      <c r="R406" s="14">
        <f>IF(AND(ISNUMBER(L406),ISNUMBER(P406),ISNUMBER(Q406)),L406/((P406+Q406)/2)-1,"")</f>
        <v/>
      </c>
      <c r="S406" s="10" t="n"/>
      <c r="T406" s="15" t="n">
        <v>99753</v>
      </c>
      <c r="U406" s="16" t="n">
        <v>2010</v>
      </c>
      <c r="V406" s="10" t="inlineStr">
        <is>
          <t>04/2010</t>
        </is>
      </c>
      <c r="W406" s="10" t="inlineStr">
        <is>
          <t>Essence</t>
        </is>
      </c>
      <c r="X406" s="10" t="inlineStr">
        <is>
          <t>Automatique</t>
        </is>
      </c>
      <c r="Y406" s="16" t="n">
        <v>385</v>
      </c>
      <c r="Z406" s="16" t="n">
        <v>28</v>
      </c>
      <c r="AA406" s="10" t="inlineStr">
        <is>
          <t>Gris</t>
        </is>
      </c>
      <c r="AB406" s="16" t="n"/>
      <c r="AC406" s="10" t="inlineStr">
        <is>
          <t>Cabriolet</t>
        </is>
      </c>
      <c r="AD406" s="10" t="inlineStr">
        <is>
          <t>Carnet d'entretien disponible</t>
        </is>
      </c>
      <c r="AE406" s="10" t="n"/>
      <c r="AF406" s="10" t="inlineStr">
        <is>
          <t>Pro</t>
        </is>
      </c>
      <c r="AG406" s="10" t="inlineStr">
        <is>
          <t>La Ciotat</t>
        </is>
      </c>
      <c r="AH406" s="10" t="inlineStr">
        <is>
          <t>13600</t>
        </is>
      </c>
      <c r="AI406" s="10" t="inlineStr">
        <is>
          <t>Bouches-du-Rhône</t>
        </is>
      </c>
      <c r="AJ406" s="10" t="inlineStr">
        <is>
          <t>Provence-Alpes-Côte d'Azur</t>
        </is>
      </c>
      <c r="AK406" s="16" t="n">
        <v>20</v>
      </c>
      <c r="AL406" s="10" t="inlineStr">
        <is>
          <t>Oui</t>
        </is>
      </c>
      <c r="AM406" s="10" t="inlineStr">
        <is>
          <t>Non</t>
        </is>
      </c>
      <c r="AN406" s="10" t="inlineStr">
        <is>
          <t>🏁 Porsche 911 Carrera S Cabriolet (997.2) – Flat-6 3.8 385ch – PDK – Gris Argent GT / Cuir Bleu Abysse Mise en circulation en avril 2010, cette 997.2 Carrera S Cabriolet développe 385 ch grâce à son Flat-6 atmosphérique 3.8 litres, associé à la boîte PDK 7 rapports. Sa configuration réunit Pack Sport Chrono Plus, échappement sport PSE, suspension pilotée PASM et différentiel autobloquant. Avec seulement 99 753 km au compteur, soit environ 6 100 km par an, elle présente une progression kilométri</t>
        </is>
      </c>
      <c r="AO406" s="10" t="inlineStr">
        <is>
          <t>Dommages : Non endommagé ; VO récent : false ; custom_ref : 486922 ; Importé : true ; spare_parts_availability : Non renseignée</t>
        </is>
      </c>
      <c r="AP406" s="19" t="inlineStr">
        <is>
          <t>Voir</t>
        </is>
      </c>
      <c r="AQ406" s="10" t="inlineStr">
        <is>
          <t>3258299180</t>
        </is>
      </c>
    </row>
    <row r="407">
      <c r="A407" s="10" t="inlineStr">
        <is>
          <t>Porsche 911 997 Carrera S</t>
        </is>
      </c>
      <c r="B407" s="10" t="inlineStr">
        <is>
          <t>Porsche 911 Coupe 997-1 Carrera S 3.8 BVM 355ch</t>
        </is>
      </c>
      <c r="C407" s="10" t="inlineStr">
        <is>
          <t>911 Coupe Carrera S</t>
        </is>
      </c>
      <c r="D407" s="10" t="inlineStr">
        <is>
          <t>Carrera S</t>
        </is>
      </c>
      <c r="E407" s="10" t="inlineStr">
        <is>
          <t>En vente</t>
        </is>
      </c>
      <c r="F407" s="18" t="n">
        <v>46278</v>
      </c>
      <c r="G407" s="18" t="n">
        <v>46278</v>
      </c>
      <c r="H407" s="18" t="n">
        <v>46310</v>
      </c>
      <c r="I407" s="18" t="n"/>
      <c r="J407" s="17">
        <f>IF(OR(ISNUMBER(F407),ISNUMBER(G407)),IF(ISNUMBER(I407),I407,H407)-IF(ISNUMBER(F407),F407,G407),"")</f>
        <v/>
      </c>
      <c r="K407" s="12" t="n">
        <v>58990</v>
      </c>
      <c r="L407" s="12" t="n">
        <v>58990</v>
      </c>
      <c r="M407" s="13">
        <f>IF(AND(ISNUMBER(K407),ISNUMBER(L407),K407&gt;0),1-L407/K407,"")</f>
        <v/>
      </c>
      <c r="N407" s="16" t="n">
        <v>0</v>
      </c>
      <c r="O407" s="12" t="n"/>
      <c r="P407" s="12" t="n"/>
      <c r="Q407" s="12" t="n"/>
      <c r="R407" s="14">
        <f>IF(AND(ISNUMBER(L407),ISNUMBER(P407),ISNUMBER(Q407)),L407/((P407+Q407)/2)-1,"")</f>
        <v/>
      </c>
      <c r="S407" s="10" t="n"/>
      <c r="T407" s="15" t="n">
        <v>113200</v>
      </c>
      <c r="U407" s="16" t="n">
        <v>2006</v>
      </c>
      <c r="V407" s="10" t="inlineStr">
        <is>
          <t>03/2006</t>
        </is>
      </c>
      <c r="W407" s="10" t="inlineStr">
        <is>
          <t>Essence</t>
        </is>
      </c>
      <c r="X407" s="10" t="inlineStr">
        <is>
          <t>Manuelle</t>
        </is>
      </c>
      <c r="Y407" s="16" t="n">
        <v>355</v>
      </c>
      <c r="Z407" s="16" t="n">
        <v>26</v>
      </c>
      <c r="AA407" s="10" t="inlineStr">
        <is>
          <t>Gris</t>
        </is>
      </c>
      <c r="AB407" s="16" t="n">
        <v>2</v>
      </c>
      <c r="AC407" s="10" t="inlineStr">
        <is>
          <t>Coupé</t>
        </is>
      </c>
      <c r="AD407" s="10" t="n"/>
      <c r="AE407" s="10" t="n"/>
      <c r="AF407" s="10" t="inlineStr">
        <is>
          <t>Pro</t>
        </is>
      </c>
      <c r="AG407" s="10" t="inlineStr">
        <is>
          <t>Marcq-en-Baroeul</t>
        </is>
      </c>
      <c r="AH407" s="10" t="inlineStr">
        <is>
          <t>59700</t>
        </is>
      </c>
      <c r="AI407" s="10" t="inlineStr">
        <is>
          <t>Nord</t>
        </is>
      </c>
      <c r="AJ407" s="10" t="inlineStr">
        <is>
          <t>Nord-Pas-de-Calais</t>
        </is>
      </c>
      <c r="AK407" s="16" t="n">
        <v>31</v>
      </c>
      <c r="AL407" s="10" t="inlineStr">
        <is>
          <t>Oui</t>
        </is>
      </c>
      <c r="AM407" s="10" t="inlineStr">
        <is>
          <t>Non</t>
        </is>
      </c>
      <c r="AN407" s="10" t="inlineStr">
        <is>
          <t>Porsche 911 Coupe 997-1 Carrera S 3.8 BVM 355ch, (Coupé), Gris, 26cv, 2 portes, mise en circulation le 02-03-2006, garantie 12 mois (GARANTIE 12 mois Cirano). 4 places, couleur intérieur : TISSU, longueur : 4,43 mètres, poids en charge 1820 Kg, contrôle technique : 13-02-2025, boîte de vitesse : manuelle OPTIONS ET EQUIPEMENTS : Audio - Télécommunications - Radio CD MP3 Conduite - Régulateur de vitesse Extérieur - Jantes Alu - Peinture métal - Phares bi-xénon - Radar de recul - Rétroviseurs élec</t>
        </is>
      </c>
      <c r="AO407" s="10" t="inlineStr">
        <is>
          <t>Permis : Avec permis ; VO récent : false ; custom_ref : 008079 ; Importé : true ; vehicle_history_report_status : visible ; spare_parts_availability : 5 ans</t>
        </is>
      </c>
      <c r="AP407" s="19" t="inlineStr">
        <is>
          <t>Voir</t>
        </is>
      </c>
      <c r="AQ407" s="10" t="inlineStr">
        <is>
          <t>3268528129</t>
        </is>
      </c>
    </row>
    <row r="408">
      <c r="A408" s="10" t="inlineStr">
        <is>
          <t>Porsche 911 997 Carrera S</t>
        </is>
      </c>
      <c r="B408" s="10" t="inlineStr">
        <is>
          <t>Porsche 911 CARRERA CABRIOLET 997 S 3.8i Flat 6 Tiptronic Suivi Porsche</t>
        </is>
      </c>
      <c r="C408" s="10" t="inlineStr">
        <is>
          <t>911 Cabriolet Carrera S TipTronic S</t>
        </is>
      </c>
      <c r="D408" s="10" t="inlineStr">
        <is>
          <t>Carrera S</t>
        </is>
      </c>
      <c r="E408" s="10" t="inlineStr">
        <is>
          <t>En vente</t>
        </is>
      </c>
      <c r="F408" s="18" t="n">
        <v>46281</v>
      </c>
      <c r="G408" s="18" t="n">
        <v>46281</v>
      </c>
      <c r="H408" s="18" t="n">
        <v>46310</v>
      </c>
      <c r="I408" s="18" t="n"/>
      <c r="J408" s="17">
        <f>IF(OR(ISNUMBER(F408),ISNUMBER(G408)),IF(ISNUMBER(I408),I408,H408)-IF(ISNUMBER(F408),F408,G408),"")</f>
        <v/>
      </c>
      <c r="K408" s="12" t="n">
        <v>49990</v>
      </c>
      <c r="L408" s="12" t="n">
        <v>48990</v>
      </c>
      <c r="M408" s="13">
        <f>IF(AND(ISNUMBER(K408),ISNUMBER(L408),K408&gt;0),1-L408/K408,"")</f>
        <v/>
      </c>
      <c r="N408" s="16" t="n">
        <v>1</v>
      </c>
      <c r="O408" s="12" t="n">
        <v>49990</v>
      </c>
      <c r="P408" s="12" t="n"/>
      <c r="Q408" s="12" t="n"/>
      <c r="R408" s="14">
        <f>IF(AND(ISNUMBER(L408),ISNUMBER(P408),ISNUMBER(Q408)),L408/((P408+Q408)/2)-1,"")</f>
        <v/>
      </c>
      <c r="S408" s="10" t="n"/>
      <c r="T408" s="15" t="n">
        <v>136000</v>
      </c>
      <c r="U408" s="16" t="n">
        <v>2008</v>
      </c>
      <c r="V408" s="10" t="inlineStr">
        <is>
          <t>01/2008</t>
        </is>
      </c>
      <c r="W408" s="10" t="inlineStr">
        <is>
          <t>Essence</t>
        </is>
      </c>
      <c r="X408" s="10" t="inlineStr">
        <is>
          <t>Automatique</t>
        </is>
      </c>
      <c r="Y408" s="16" t="n">
        <v>355</v>
      </c>
      <c r="Z408" s="16" t="n">
        <v>26</v>
      </c>
      <c r="AA408" s="10" t="inlineStr">
        <is>
          <t>Noir</t>
        </is>
      </c>
      <c r="AB408" s="16" t="n">
        <v>2</v>
      </c>
      <c r="AC408" s="10" t="inlineStr">
        <is>
          <t>Cabriolet</t>
        </is>
      </c>
      <c r="AD408" s="10" t="n"/>
      <c r="AE408" s="10" t="n"/>
      <c r="AF408" s="10" t="inlineStr">
        <is>
          <t>Pro</t>
        </is>
      </c>
      <c r="AG408" s="10" t="inlineStr">
        <is>
          <t>Outreau</t>
        </is>
      </c>
      <c r="AH408" s="10" t="inlineStr">
        <is>
          <t>62230</t>
        </is>
      </c>
      <c r="AI408" s="10" t="inlineStr">
        <is>
          <t>Pas-de-Calais</t>
        </is>
      </c>
      <c r="AJ408" s="10" t="inlineStr">
        <is>
          <t>Nord-Pas-de-Calais</t>
        </is>
      </c>
      <c r="AK408" s="16" t="n">
        <v>17</v>
      </c>
      <c r="AL408" s="10" t="inlineStr">
        <is>
          <t>Oui</t>
        </is>
      </c>
      <c r="AM408" s="10" t="inlineStr">
        <is>
          <t>Non</t>
        </is>
      </c>
      <c r="AN408" s="10" t="inlineStr">
        <is>
          <t>Porsche 911 CARRERA CABRIOLET 997 S 3.8i Flat 6 Tiptronic Suivi Porsche cabriolet, noir, 26 cv, 2 portes, couleur intérieure : Cuir, première mise en circulation le 21/01/2008, garantie 12 mois. 2 places OPTIONS ET ÉQUIPEMENTS : Audio - Télécommunications : - GPS Conduite : - Palette au volant - régulateur de vitesse - suspension sport Extérieur : - AILERON ELECTRIQUE - jante 19" - Radar de stationnement Ar - phares à LED Intérieur : - climatisation : automatique - intérieur : cuir - vitres avan</t>
        </is>
      </c>
      <c r="AO408" s="10" t="inlineStr">
        <is>
          <t>Sellerie : Tout cuir ; Équipements intérieurs : Aide au stationnement, Climatisation, Phares LED / Xenon, Régulateur de vitesse, Suspension sport / adaptative ; Permis : Avec permis ; VO récent : false ; custom_ref : 198fyg8u ; Importé : true ; vehicle_history_report_status : visible ; spare_parts_availability : Non renseignée</t>
        </is>
      </c>
      <c r="AP408" s="19" t="inlineStr">
        <is>
          <t>Voir</t>
        </is>
      </c>
      <c r="AQ408" s="10" t="inlineStr">
        <is>
          <t>3270837815</t>
        </is>
      </c>
    </row>
    <row r="409">
      <c r="A409" s="10" t="inlineStr">
        <is>
          <t>Porsche 911 997 Carrera S</t>
        </is>
      </c>
      <c r="B409" s="10" t="inlineStr">
        <is>
          <t>Porsche 911 coupe 3.8i type 997 355 ch - carrera s - garantie 1 an</t>
        </is>
      </c>
      <c r="C409" s="10" t="inlineStr">
        <is>
          <t>911 Coupe Carrera S</t>
        </is>
      </c>
      <c r="D409" s="10" t="inlineStr">
        <is>
          <t>Carrera S</t>
        </is>
      </c>
      <c r="E409" s="10" t="inlineStr">
        <is>
          <t>En vente</t>
        </is>
      </c>
      <c r="F409" s="18" t="n">
        <v>46293</v>
      </c>
      <c r="G409" s="18" t="n">
        <v>46293</v>
      </c>
      <c r="H409" s="18" t="n">
        <v>46310</v>
      </c>
      <c r="I409" s="18" t="n"/>
      <c r="J409" s="17">
        <f>IF(OR(ISNUMBER(F409),ISNUMBER(G409)),IF(ISNUMBER(I409),I409,H409)-IF(ISNUMBER(F409),F409,G409),"")</f>
        <v/>
      </c>
      <c r="K409" s="12" t="n">
        <v>51790</v>
      </c>
      <c r="L409" s="12" t="n">
        <v>51790</v>
      </c>
      <c r="M409" s="13">
        <f>IF(AND(ISNUMBER(K409),ISNUMBER(L409),K409&gt;0),1-L409/K409,"")</f>
        <v/>
      </c>
      <c r="N409" s="16" t="n">
        <v>0</v>
      </c>
      <c r="O409" s="12" t="n"/>
      <c r="P409" s="12" t="n"/>
      <c r="Q409" s="12" t="n"/>
      <c r="R409" s="14">
        <f>IF(AND(ISNUMBER(L409),ISNUMBER(P409),ISNUMBER(Q409)),L409/((P409+Q409)/2)-1,"")</f>
        <v/>
      </c>
      <c r="S409" s="10" t="n"/>
      <c r="T409" s="15" t="n">
        <v>118000</v>
      </c>
      <c r="U409" s="16" t="n">
        <v>2004</v>
      </c>
      <c r="V409" s="10" t="inlineStr">
        <is>
          <t>09/2004</t>
        </is>
      </c>
      <c r="W409" s="10" t="inlineStr">
        <is>
          <t>Essence</t>
        </is>
      </c>
      <c r="X409" s="10" t="inlineStr">
        <is>
          <t>Manuelle</t>
        </is>
      </c>
      <c r="Y409" s="16" t="n">
        <v>355</v>
      </c>
      <c r="Z409" s="16" t="n">
        <v>26</v>
      </c>
      <c r="AA409" s="10" t="inlineStr">
        <is>
          <t>Gris</t>
        </is>
      </c>
      <c r="AB409" s="16" t="n">
        <v>2</v>
      </c>
      <c r="AC409" s="10" t="inlineStr">
        <is>
          <t>Coupé</t>
        </is>
      </c>
      <c r="AD409" s="10" t="n"/>
      <c r="AE409" s="10" t="n"/>
      <c r="AF409" s="10" t="inlineStr">
        <is>
          <t>Pro</t>
        </is>
      </c>
      <c r="AG409" s="10" t="inlineStr">
        <is>
          <t>Laval</t>
        </is>
      </c>
      <c r="AH409" s="10" t="inlineStr">
        <is>
          <t>53000</t>
        </is>
      </c>
      <c r="AI409" s="10" t="inlineStr">
        <is>
          <t>Mayenne</t>
        </is>
      </c>
      <c r="AJ409" s="10" t="inlineStr">
        <is>
          <t>Pays de la Loire</t>
        </is>
      </c>
      <c r="AK409" s="16" t="n">
        <v>14</v>
      </c>
      <c r="AL409" s="10" t="inlineStr">
        <is>
          <t>Oui</t>
        </is>
      </c>
      <c r="AM409" s="10" t="inlineStr">
        <is>
          <t>Non</t>
        </is>
      </c>
      <c r="AN409" s="10" t="inlineStr">
        <is>
          <t xml:space="preserve">Porsche 911 Carrera S 3.8i (type 997) - 355 ch - Manuelle 6 rapports - 2004 - 118 000 km Découvrez ce superbe Porsche 911 Carrera S 3.8i (type 997) soigneusement préparé par nos équipes. Véhicule certifié, garanti 12 mois et prêt à partir. Couleur extérieure : gris clair. - Modèle : Porsche 911 (type 997) Carrera S - Motorisation : 3.8 litres essence - 355 ch - Boîte : Manuelle 6 rapports (plaisir de conduite puriste) - Année : 2004 - Kilométrage : 118 000 km Points forts : - Motorisation 3.8 l </t>
        </is>
      </c>
      <c r="AO409" s="10" t="inlineStr">
        <is>
          <t>Dommages : Bon état général ; Équipements intérieurs : Climatisation, Coffre à ouverture électrique, Jantes en alliage, Ordinateur de bord, Régulateur de vitesse, Sièges chauffants ; Permis : Avec permis ; VO récent : false ; custom_ref : 1117-0000037 ; Importé : true ; vehicle_history_report_status : visible ; spare_parts_availability : Non renseignée</t>
        </is>
      </c>
      <c r="AP409" s="19" t="inlineStr">
        <is>
          <t>Voir</t>
        </is>
      </c>
      <c r="AQ409" s="10" t="inlineStr">
        <is>
          <t>3278165059</t>
        </is>
      </c>
    </row>
    <row r="410">
      <c r="A410" s="10" t="inlineStr">
        <is>
          <t>Porsche 911 997 Carrera S</t>
        </is>
      </c>
      <c r="B410" s="10" t="inlineStr">
        <is>
          <t>Porsche 911 porsche (997.1) carrera s tiptronic s - flat-6 3.8 355 ch - pack sport chrono - toit ouvrant</t>
        </is>
      </c>
      <c r="C410" s="10" t="inlineStr">
        <is>
          <t>911 Coupe Carrera S TipTronic S</t>
        </is>
      </c>
      <c r="D410" s="10" t="inlineStr">
        <is>
          <t>Carrera S</t>
        </is>
      </c>
      <c r="E410" s="10" t="inlineStr">
        <is>
          <t>En vente</t>
        </is>
      </c>
      <c r="F410" s="18" t="n">
        <v>46238</v>
      </c>
      <c r="G410" s="18" t="n">
        <v>46238</v>
      </c>
      <c r="H410" s="18" t="n">
        <v>46310</v>
      </c>
      <c r="I410" s="18" t="n"/>
      <c r="J410" s="17">
        <f>IF(OR(ISNUMBER(F410),ISNUMBER(G410)),IF(ISNUMBER(I410),I410,H410)-IF(ISNUMBER(F410),F410,G410),"")</f>
        <v/>
      </c>
      <c r="K410" s="12" t="n">
        <v>49580</v>
      </c>
      <c r="L410" s="12" t="n">
        <v>49580</v>
      </c>
      <c r="M410" s="13">
        <f>IF(AND(ISNUMBER(K410),ISNUMBER(L410),K410&gt;0),1-L410/K410,"")</f>
        <v/>
      </c>
      <c r="N410" s="16" t="n">
        <v>0</v>
      </c>
      <c r="O410" s="12" t="n"/>
      <c r="P410" s="12" t="n"/>
      <c r="Q410" s="12" t="n"/>
      <c r="R410" s="14">
        <f>IF(AND(ISNUMBER(L410),ISNUMBER(P410),ISNUMBER(Q410)),L410/((P410+Q410)/2)-1,"")</f>
        <v/>
      </c>
      <c r="S410" s="10" t="n"/>
      <c r="T410" s="15" t="n">
        <v>103500</v>
      </c>
      <c r="U410" s="16" t="n">
        <v>2004</v>
      </c>
      <c r="V410" s="10" t="inlineStr">
        <is>
          <t>09/2004</t>
        </is>
      </c>
      <c r="W410" s="10" t="inlineStr">
        <is>
          <t>Essence</t>
        </is>
      </c>
      <c r="X410" s="10" t="inlineStr">
        <is>
          <t>Automatique</t>
        </is>
      </c>
      <c r="Y410" s="16" t="n">
        <v>355</v>
      </c>
      <c r="Z410" s="16" t="n">
        <v>26</v>
      </c>
      <c r="AA410" s="10" t="inlineStr">
        <is>
          <t>Noir</t>
        </is>
      </c>
      <c r="AB410" s="16" t="n">
        <v>2</v>
      </c>
      <c r="AC410" s="10" t="inlineStr">
        <is>
          <t>Coupé</t>
        </is>
      </c>
      <c r="AD410" s="10" t="n"/>
      <c r="AE410" s="10" t="n"/>
      <c r="AF410" s="10" t="inlineStr">
        <is>
          <t>Pro</t>
        </is>
      </c>
      <c r="AG410" s="10" t="inlineStr">
        <is>
          <t>Poisy</t>
        </is>
      </c>
      <c r="AH410" s="10" t="inlineStr">
        <is>
          <t>74330</t>
        </is>
      </c>
      <c r="AI410" s="10" t="inlineStr">
        <is>
          <t>Haute-Savoie</t>
        </is>
      </c>
      <c r="AJ410" s="10" t="inlineStr">
        <is>
          <t>Rhône-Alpes</t>
        </is>
      </c>
      <c r="AK410" s="16" t="n">
        <v>30</v>
      </c>
      <c r="AL410" s="10" t="inlineStr">
        <is>
          <t>Oui</t>
        </is>
      </c>
      <c r="AM410" s="10" t="inlineStr">
        <is>
          <t>Non</t>
        </is>
      </c>
      <c r="AN410" s="10" t="inlineStr">
        <is>
          <t>PORSCHE 911 (997.1) CARRERA S TIPTRONIC S – FLAT-6 3.8 355 CH – PACK SPORT CHRONO – TOIT OUVRANT Élégante, performante et intemporelle, cette Porsche 911 Carrera S Type 997 Phase 1 incarne parfaitement l'esprit de la 911 atmosphérique. Animée par le légendaire Flat-6 atmosphérique 3.8 développant 355 ch, associé à la boîte automatique Tiptronic S, elle offre un remarquable équilibre entre sportivité, confort et plaisir de conduite. Présentée dans une élégante configuration Noir avec intérieur cu</t>
        </is>
      </c>
      <c r="AO410" s="10" t="inlineStr">
        <is>
          <t>Dommages : Bon état général ; Permis : Avec permis ; VO récent : false ; custom_ref : 1869-0000044 ; Importé : true ; vehicle_history_report_status : visible ; spare_parts_availability : Non renseignée</t>
        </is>
      </c>
      <c r="AP410" s="19" t="inlineStr">
        <is>
          <t>Voir</t>
        </is>
      </c>
      <c r="AQ410" s="10" t="inlineStr">
        <is>
          <t>3278211461</t>
        </is>
      </c>
    </row>
    <row r="411">
      <c r="A411" s="10" t="inlineStr">
        <is>
          <t>Porsche 911 997 Carrera S</t>
        </is>
      </c>
      <c r="B411" s="10" t="inlineStr">
        <is>
          <t>PORSCHE 911 997 3.8L Carrera S - boite PDK</t>
        </is>
      </c>
      <c r="C411" s="10" t="inlineStr">
        <is>
          <t>911 Coupe Carrera S PDK</t>
        </is>
      </c>
      <c r="D411" s="10" t="inlineStr">
        <is>
          <t>Carrera S</t>
        </is>
      </c>
      <c r="E411" s="10" t="inlineStr">
        <is>
          <t>En vente</t>
        </is>
      </c>
      <c r="F411" s="18" t="n">
        <v>46293</v>
      </c>
      <c r="G411" s="18" t="n">
        <v>46293</v>
      </c>
      <c r="H411" s="18" t="n">
        <v>46310</v>
      </c>
      <c r="I411" s="18" t="n"/>
      <c r="J411" s="17">
        <f>IF(OR(ISNUMBER(F411),ISNUMBER(G411)),IF(ISNUMBER(I411),I411,H411)-IF(ISNUMBER(F411),F411,G411),"")</f>
        <v/>
      </c>
      <c r="K411" s="12" t="n">
        <v>66990</v>
      </c>
      <c r="L411" s="12" t="n">
        <v>66990</v>
      </c>
      <c r="M411" s="13">
        <f>IF(AND(ISNUMBER(K411),ISNUMBER(L411),K411&gt;0),1-L411/K411,"")</f>
        <v/>
      </c>
      <c r="N411" s="16" t="n">
        <v>0</v>
      </c>
      <c r="O411" s="12" t="n"/>
      <c r="P411" s="12" t="n"/>
      <c r="Q411" s="12" t="n"/>
      <c r="R411" s="14">
        <f>IF(AND(ISNUMBER(L411),ISNUMBER(P411),ISNUMBER(Q411)),L411/((P411+Q411)/2)-1,"")</f>
        <v/>
      </c>
      <c r="S411" s="10" t="n"/>
      <c r="T411" s="15" t="n">
        <v>77251</v>
      </c>
      <c r="U411" s="16" t="n">
        <v>2011</v>
      </c>
      <c r="V411" s="10" t="inlineStr">
        <is>
          <t>08/2011</t>
        </is>
      </c>
      <c r="W411" s="10" t="inlineStr">
        <is>
          <t>Essence</t>
        </is>
      </c>
      <c r="X411" s="10" t="inlineStr">
        <is>
          <t>Automatique</t>
        </is>
      </c>
      <c r="Y411" s="16" t="n">
        <v>385</v>
      </c>
      <c r="Z411" s="16" t="n">
        <v>27</v>
      </c>
      <c r="AA411" s="10" t="inlineStr">
        <is>
          <t>Blanc</t>
        </is>
      </c>
      <c r="AB411" s="16" t="n">
        <v>2</v>
      </c>
      <c r="AC411" s="10" t="inlineStr">
        <is>
          <t>Coupé</t>
        </is>
      </c>
      <c r="AD411" s="10" t="n"/>
      <c r="AE411" s="10" t="n"/>
      <c r="AF411" s="10" t="inlineStr">
        <is>
          <t>Pro</t>
        </is>
      </c>
      <c r="AG411" s="10" t="inlineStr">
        <is>
          <t>Chalifert</t>
        </is>
      </c>
      <c r="AH411" s="10" t="inlineStr">
        <is>
          <t>77144</t>
        </is>
      </c>
      <c r="AI411" s="10" t="inlineStr">
        <is>
          <t>Seine-et-Marne</t>
        </is>
      </c>
      <c r="AJ411" s="10" t="inlineStr">
        <is>
          <t>Ile-de-France</t>
        </is>
      </c>
      <c r="AK411" s="16" t="n">
        <v>41</v>
      </c>
      <c r="AL411" s="10" t="inlineStr">
        <is>
          <t>Oui</t>
        </is>
      </c>
      <c r="AM411" s="10" t="inlineStr">
        <is>
          <t>Non</t>
        </is>
      </c>
      <c r="AN411" s="10" t="inlineStr">
        <is>
          <t xml:space="preserve">AGENCY CAR réseau national de transaction automobile vous accompagne depuis 2019 dans vos projets d'achat de véhicules d'occasion. Nous vous proposons cette magnifique PORSCHE 911 TYPE 997 carrera S 3.8L PHASE 2, boite PDK, dans un état impéccable, avec tout son suivi PORSCHE, BLANCHE, 27 cv, 2 portes, première mise en circulation le 01-08-2011, garantie 6 mois. Véhicule visible UNIQUEMENT SUR RDV à l'agence de Chessy (77). Du mardi au vendredi 10h-18h30 et le samedi de 10h à 16h. - Financement </t>
        </is>
      </c>
      <c r="AO411" s="10" t="inlineStr">
        <is>
          <t>Dommages : Bon état général ; Équipements intérieurs : Climatisation, Phares LED / Xenon, Régulateur de vitesse, Sièges chauffants, Sièges en cuir ; Permis : Avec permis ; VO récent : false ; custom_ref : 1738-0000092 ; Importé : true ; vehicle_history_report_status : visible ; spare_parts_availability : Non renseignée</t>
        </is>
      </c>
      <c r="AP411" s="19" t="inlineStr">
        <is>
          <t>Voir</t>
        </is>
      </c>
      <c r="AQ411" s="10" t="inlineStr">
        <is>
          <t>3278308119</t>
        </is>
      </c>
    </row>
    <row r="412">
      <c r="A412" s="10" t="inlineStr">
        <is>
          <t>Porsche 911 997 Carrera S</t>
        </is>
      </c>
      <c r="B412" s="10" t="inlineStr">
        <is>
          <t>PORSCHE 911 Cabriolet 3.8i - BV PDK TYPE 997 II 2009 CABRIOLET Carrera S</t>
        </is>
      </c>
      <c r="C412" s="10" t="inlineStr">
        <is>
          <t>911 Cabriolet Carrera S PDK</t>
        </is>
      </c>
      <c r="D412" s="10" t="inlineStr">
        <is>
          <t>Carrera S</t>
        </is>
      </c>
      <c r="E412" s="10" t="inlineStr">
        <is>
          <t>En vente</t>
        </is>
      </c>
      <c r="F412" s="18" t="n">
        <v>46293</v>
      </c>
      <c r="G412" s="18" t="n">
        <v>46293</v>
      </c>
      <c r="H412" s="18" t="n">
        <v>46310</v>
      </c>
      <c r="I412" s="18" t="n"/>
      <c r="J412" s="17">
        <f>IF(OR(ISNUMBER(F412),ISNUMBER(G412)),IF(ISNUMBER(I412),I412,H412)-IF(ISNUMBER(F412),F412,G412),"")</f>
        <v/>
      </c>
      <c r="K412" s="12" t="n">
        <v>60900</v>
      </c>
      <c r="L412" s="12" t="n">
        <v>60900</v>
      </c>
      <c r="M412" s="13">
        <f>IF(AND(ISNUMBER(K412),ISNUMBER(L412),K412&gt;0),1-L412/K412,"")</f>
        <v/>
      </c>
      <c r="N412" s="16" t="n">
        <v>0</v>
      </c>
      <c r="O412" s="12" t="n">
        <v>66900</v>
      </c>
      <c r="P412" s="12" t="n"/>
      <c r="Q412" s="12" t="n"/>
      <c r="R412" s="14">
        <f>IF(AND(ISNUMBER(L412),ISNUMBER(P412),ISNUMBER(Q412)),L412/((P412+Q412)/2)-1,"")</f>
        <v/>
      </c>
      <c r="S412" s="10" t="n"/>
      <c r="T412" s="15" t="n">
        <v>101500</v>
      </c>
      <c r="U412" s="16" t="n">
        <v>2009</v>
      </c>
      <c r="V412" s="10" t="inlineStr">
        <is>
          <t>04/2009</t>
        </is>
      </c>
      <c r="W412" s="10" t="inlineStr">
        <is>
          <t>Essence</t>
        </is>
      </c>
      <c r="X412" s="10" t="inlineStr">
        <is>
          <t>Automatique</t>
        </is>
      </c>
      <c r="Y412" s="16" t="n">
        <v>385</v>
      </c>
      <c r="Z412" s="16" t="n">
        <v>28</v>
      </c>
      <c r="AA412" s="10" t="inlineStr">
        <is>
          <t>Gris</t>
        </is>
      </c>
      <c r="AB412" s="16" t="n">
        <v>2</v>
      </c>
      <c r="AC412" s="10" t="inlineStr">
        <is>
          <t>Cabriolet</t>
        </is>
      </c>
      <c r="AD412" s="10" t="n"/>
      <c r="AE412" s="10" t="n"/>
      <c r="AF412" s="10" t="inlineStr">
        <is>
          <t>Pro</t>
        </is>
      </c>
      <c r="AG412" s="10" t="inlineStr">
        <is>
          <t>Paris</t>
        </is>
      </c>
      <c r="AH412" s="10" t="inlineStr">
        <is>
          <t>75017</t>
        </is>
      </c>
      <c r="AI412" s="10" t="inlineStr">
        <is>
          <t>Paris</t>
        </is>
      </c>
      <c r="AJ412" s="10" t="inlineStr">
        <is>
          <t>Ile-de-France</t>
        </is>
      </c>
      <c r="AK412" s="16" t="n">
        <v>26</v>
      </c>
      <c r="AL412" s="10" t="inlineStr">
        <is>
          <t>Oui</t>
        </is>
      </c>
      <c r="AM412" s="10" t="inlineStr">
        <is>
          <t>Non</t>
        </is>
      </c>
      <c r="AN412" s="10" t="inlineStr">
        <is>
          <t>Casting Automobiles vous propose cette Porsche 997 Carrera S, considérée par beaucoup comme la dernière vraie Porsche 911 dans sa forme la plus pure, avant que l'électronique ne prenne définitivement le dessus. La phase 2, introduite en 2008, apporte le moteur 3,8 litres porté à 385 chevaux, la direction affinée et des trains roulants réétudiés, faisant de cette génération un aboutissement technique et émotionnel unanimement salué par les puristes. Couplée à la boîte PDK à double embrayage, elle</t>
        </is>
      </c>
      <c r="AO412" s="10" t="inlineStr">
        <is>
          <t>Dommages : Bon état général ; Permis : Avec permis ; VO récent : false ; custom_ref : 1324-0005104 ; Importé : true ; vehicle_history_report_status : visible ; spare_parts_availability : Non renseignée</t>
        </is>
      </c>
      <c r="AP412" s="19" t="inlineStr">
        <is>
          <t>Voir</t>
        </is>
      </c>
      <c r="AQ412" s="10" t="inlineStr">
        <is>
          <t>3278377513</t>
        </is>
      </c>
    </row>
    <row r="413">
      <c r="A413" s="10" t="inlineStr">
        <is>
          <t>Porsche 911 997 Carrera S</t>
        </is>
      </c>
      <c r="B413" s="10" t="inlineStr">
        <is>
          <t>PORSCHE 911 Cabriolet 3.8i - BV PDK TYPE 997 II 2009 CABRIOLET Carrera S</t>
        </is>
      </c>
      <c r="C413" s="10" t="inlineStr">
        <is>
          <t>911 Cabriolet Carrera S PDK</t>
        </is>
      </c>
      <c r="D413" s="10" t="inlineStr">
        <is>
          <t>Carrera S</t>
        </is>
      </c>
      <c r="E413" s="10" t="inlineStr">
        <is>
          <t>En vente</t>
        </is>
      </c>
      <c r="F413" s="18" t="n">
        <v>46242</v>
      </c>
      <c r="G413" s="18" t="n">
        <v>46242</v>
      </c>
      <c r="H413" s="18" t="n">
        <v>46310</v>
      </c>
      <c r="I413" s="18" t="n"/>
      <c r="J413" s="17">
        <f>IF(OR(ISNUMBER(F413),ISNUMBER(G413)),IF(ISNUMBER(I413),I413,H413)-IF(ISNUMBER(F413),F413,G413),"")</f>
        <v/>
      </c>
      <c r="K413" s="12" t="n">
        <v>65990</v>
      </c>
      <c r="L413" s="12" t="n">
        <v>65990</v>
      </c>
      <c r="M413" s="13">
        <f>IF(AND(ISNUMBER(K413),ISNUMBER(L413),K413&gt;0),1-L413/K413,"")</f>
        <v/>
      </c>
      <c r="N413" s="16" t="n">
        <v>0</v>
      </c>
      <c r="O413" s="12" t="n"/>
      <c r="P413" s="12" t="n"/>
      <c r="Q413" s="12" t="n"/>
      <c r="R413" s="14">
        <f>IF(AND(ISNUMBER(L413),ISNUMBER(P413),ISNUMBER(Q413)),L413/((P413+Q413)/2)-1,"")</f>
        <v/>
      </c>
      <c r="S413" s="10" t="n"/>
      <c r="T413" s="15" t="n">
        <v>77000</v>
      </c>
      <c r="U413" s="16" t="n">
        <v>2009</v>
      </c>
      <c r="V413" s="10" t="inlineStr">
        <is>
          <t>12/2009</t>
        </is>
      </c>
      <c r="W413" s="10" t="inlineStr">
        <is>
          <t>Essence</t>
        </is>
      </c>
      <c r="X413" s="10" t="inlineStr">
        <is>
          <t>Automatique</t>
        </is>
      </c>
      <c r="Y413" s="16" t="n">
        <v>385</v>
      </c>
      <c r="Z413" s="16" t="n">
        <v>28</v>
      </c>
      <c r="AA413" s="10" t="inlineStr">
        <is>
          <t>Gris</t>
        </is>
      </c>
      <c r="AB413" s="16" t="n">
        <v>2</v>
      </c>
      <c r="AC413" s="10" t="inlineStr">
        <is>
          <t>Cabriolet</t>
        </is>
      </c>
      <c r="AD413" s="10" t="n"/>
      <c r="AE413" s="10" t="n"/>
      <c r="AF413" s="10" t="inlineStr">
        <is>
          <t>Pro</t>
        </is>
      </c>
      <c r="AG413" s="10" t="inlineStr">
        <is>
          <t>Bretignolles-sur-Mer</t>
        </is>
      </c>
      <c r="AH413" s="10" t="inlineStr">
        <is>
          <t>85470</t>
        </is>
      </c>
      <c r="AI413" s="10" t="inlineStr">
        <is>
          <t>Vendée</t>
        </is>
      </c>
      <c r="AJ413" s="10" t="inlineStr">
        <is>
          <t>Pays de la Loire</t>
        </is>
      </c>
      <c r="AK413" s="16" t="n">
        <v>39</v>
      </c>
      <c r="AL413" s="10" t="inlineStr">
        <is>
          <t>Oui</t>
        </is>
      </c>
      <c r="AM413" s="10" t="inlineStr">
        <is>
          <t>Non</t>
        </is>
      </c>
      <c r="AN413" s="10" t="inlineStr">
        <is>
          <t>🏎️ PORSCHE 911 (997 II) CARRERA S CABRIOLET — 3.8L — PDK — 2009 Bolides &amp; Légendes — Lolan Mobility vous propose cette Porsche 911 (997 phase 2) Carrera S Cabriolet, une icône indémodable. Performance. Liberté. Mythe. La Porsche 911 (997 Phase 2) — pour beaucoup, la génération qui a tout réuni : le charme classique des 911, une fiabilité moteur exemplaire (injection directe) et la fulgurante boîte PDK. Dans cette robe Gris Clair avec intérieur Noir, elle affiche une élégance racée. Avec son fla</t>
        </is>
      </c>
      <c r="AO413" s="10" t="inlineStr">
        <is>
          <t>Dommages : Bon état général ; Permis : Avec permis ; VO récent : false ; custom_ref : 1894-0000173 ; Importé : true ; vehicle_history_report_status : visible ; spare_parts_availability : Non renseignée</t>
        </is>
      </c>
      <c r="AP413" s="19" t="inlineStr">
        <is>
          <t>Voir</t>
        </is>
      </c>
      <c r="AQ413" s="10" t="inlineStr">
        <is>
          <t>3278537127</t>
        </is>
      </c>
    </row>
    <row r="414">
      <c r="A414" s="10" t="inlineStr">
        <is>
          <t>Porsche 911 997 Carrera S</t>
        </is>
      </c>
      <c r="B414" s="10" t="inlineStr">
        <is>
          <t>Porsche 911 997.1 carrera s-tronic</t>
        </is>
      </c>
      <c r="C414" s="10" t="inlineStr">
        <is>
          <t>911 Coupe Carrera TipTronic S</t>
        </is>
      </c>
      <c r="D414" s="10" t="inlineStr">
        <is>
          <t>Carrera</t>
        </is>
      </c>
      <c r="E414" s="10" t="inlineStr">
        <is>
          <t>En vente</t>
        </is>
      </c>
      <c r="F414" s="18" t="n">
        <v>46283</v>
      </c>
      <c r="G414" s="18" t="n">
        <v>46283</v>
      </c>
      <c r="H414" s="18" t="n">
        <v>46310</v>
      </c>
      <c r="I414" s="18" t="n"/>
      <c r="J414" s="17">
        <f>IF(OR(ISNUMBER(F414),ISNUMBER(G414)),IF(ISNUMBER(I414),I414,H414)-IF(ISNUMBER(F414),F414,G414),"")</f>
        <v/>
      </c>
      <c r="K414" s="12" t="n">
        <v>46980</v>
      </c>
      <c r="L414" s="12" t="n">
        <v>46980</v>
      </c>
      <c r="M414" s="13">
        <f>IF(AND(ISNUMBER(K414),ISNUMBER(L414),K414&gt;0),1-L414/K414,"")</f>
        <v/>
      </c>
      <c r="N414" s="16" t="n">
        <v>0</v>
      </c>
      <c r="O414" s="12" t="n"/>
      <c r="P414" s="12" t="n"/>
      <c r="Q414" s="12" t="n"/>
      <c r="R414" s="14">
        <f>IF(AND(ISNUMBER(L414),ISNUMBER(P414),ISNUMBER(Q414)),L414/((P414+Q414)/2)-1,"")</f>
        <v/>
      </c>
      <c r="S414" s="10" t="n"/>
      <c r="T414" s="15" t="n">
        <v>117000</v>
      </c>
      <c r="U414" s="16" t="n">
        <v>2006</v>
      </c>
      <c r="V414" s="10" t="inlineStr">
        <is>
          <t>09/2006</t>
        </is>
      </c>
      <c r="W414" s="10" t="inlineStr">
        <is>
          <t>Essence</t>
        </is>
      </c>
      <c r="X414" s="10" t="inlineStr">
        <is>
          <t>Automatique</t>
        </is>
      </c>
      <c r="Y414" s="16" t="n">
        <v>325</v>
      </c>
      <c r="Z414" s="16" t="n">
        <v>23</v>
      </c>
      <c r="AA414" s="10" t="inlineStr">
        <is>
          <t>Noir</t>
        </is>
      </c>
      <c r="AB414" s="16" t="n"/>
      <c r="AC414" s="10" t="inlineStr">
        <is>
          <t>Coupé</t>
        </is>
      </c>
      <c r="AD414" s="10" t="n"/>
      <c r="AE414" s="10" t="n"/>
      <c r="AF414" s="10" t="inlineStr">
        <is>
          <t>Pro</t>
        </is>
      </c>
      <c r="AG414" s="10" t="inlineStr">
        <is>
          <t>Villebon-sur-Yvette</t>
        </is>
      </c>
      <c r="AH414" s="10" t="inlineStr">
        <is>
          <t>91140</t>
        </is>
      </c>
      <c r="AI414" s="10" t="inlineStr">
        <is>
          <t>Essonne</t>
        </is>
      </c>
      <c r="AJ414" s="10" t="inlineStr">
        <is>
          <t>Ile-de-France</t>
        </is>
      </c>
      <c r="AK414" s="16" t="n">
        <v>16</v>
      </c>
      <c r="AL414" s="10" t="inlineStr">
        <is>
          <t>Oui</t>
        </is>
      </c>
      <c r="AM414" s="10" t="inlineStr">
        <is>
          <t>Non</t>
        </is>
      </c>
      <c r="AN414" s="10" t="inlineStr">
        <is>
          <t xml:space="preserve">⭐️DEMANDEZ LE COMMERCIAL ADRIEN⭐️ La société JL CARS PARIS vous propose une MAGNIFIQUE PORSCHE 911 997.1 CARRERA S-TRONIC (TOIT OUVRANT, SIÈGES CHAUFFANTS, CARNET D'ENTRETIEN COMPLET) ⭐️⭐️⭐️⭐️⭐️ ➡️ 09/2006 117000KM ******************************************* 📸 Vous ne pouvez pas vous déplacer ? Profitez d’une présentation à distance avec l’envoi rapide de photos et vidéos du véhicule ! ******************************************* CONTROLE TECHNIQUE OK 09/2026 ✅ FULL SUIVI PORSCHE &amp; SPECIALISTES </t>
        </is>
      </c>
      <c r="AO414" s="10" t="inlineStr">
        <is>
          <t>Dommages : Bon état général ; Permis : Avec permis ; VO récent : false ; custom_ref : 2011-0000286 ; Importé : true ; vehicle_history_report_status : visible ; spare_parts_availability : Non renseignée</t>
        </is>
      </c>
      <c r="AP414" s="19" t="inlineStr">
        <is>
          <t>Voir</t>
        </is>
      </c>
      <c r="AQ414" s="10" t="inlineStr">
        <is>
          <t>3278584788</t>
        </is>
      </c>
    </row>
    <row r="415">
      <c r="A415" s="10" t="inlineStr">
        <is>
          <t>Porsche 911 997 Carrera S</t>
        </is>
      </c>
      <c r="B415" s="10" t="inlineStr">
        <is>
          <t>Porsche 911 997 Carrera S Cabriolet</t>
        </is>
      </c>
      <c r="C415" s="10" t="n"/>
      <c r="D415" s="10" t="inlineStr">
        <is>
          <t>Carrera S</t>
        </is>
      </c>
      <c r="E415" s="10" t="inlineStr">
        <is>
          <t>En vente</t>
        </is>
      </c>
      <c r="F415" s="18" t="n">
        <v>46294</v>
      </c>
      <c r="G415" s="18" t="n">
        <v>46294</v>
      </c>
      <c r="H415" s="18" t="n">
        <v>46310</v>
      </c>
      <c r="I415" s="18" t="n"/>
      <c r="J415" s="17">
        <f>IF(OR(ISNUMBER(F415),ISNUMBER(G415)),IF(ISNUMBER(I415),I415,H415)-IF(ISNUMBER(F415),F415,G415),"")</f>
        <v/>
      </c>
      <c r="K415" s="12" t="n">
        <v>45997</v>
      </c>
      <c r="L415" s="12" t="n">
        <v>45997</v>
      </c>
      <c r="M415" s="13">
        <f>IF(AND(ISNUMBER(K415),ISNUMBER(L415),K415&gt;0),1-L415/K415,"")</f>
        <v/>
      </c>
      <c r="N415" s="16" t="n">
        <v>0</v>
      </c>
      <c r="O415" s="12" t="n">
        <v>48997</v>
      </c>
      <c r="P415" s="12" t="n"/>
      <c r="Q415" s="12" t="n"/>
      <c r="R415" s="14">
        <f>IF(AND(ISNUMBER(L415),ISNUMBER(P415),ISNUMBER(Q415)),L415/((P415+Q415)/2)-1,"")</f>
        <v/>
      </c>
      <c r="S415" s="10" t="n"/>
      <c r="T415" s="15" t="n">
        <v>165540</v>
      </c>
      <c r="U415" s="16" t="n">
        <v>2007</v>
      </c>
      <c r="V415" s="10" t="inlineStr">
        <is>
          <t>02/2007</t>
        </is>
      </c>
      <c r="W415" s="10" t="inlineStr">
        <is>
          <t>Essence</t>
        </is>
      </c>
      <c r="X415" s="10" t="inlineStr">
        <is>
          <t>Automatique</t>
        </is>
      </c>
      <c r="Y415" s="16" t="n">
        <v>355</v>
      </c>
      <c r="Z415" s="16" t="n"/>
      <c r="AA415" s="10" t="n"/>
      <c r="AB415" s="16" t="n"/>
      <c r="AC415" s="10" t="inlineStr">
        <is>
          <t>Cabriolet</t>
        </is>
      </c>
      <c r="AD415" s="10" t="inlineStr">
        <is>
          <t>Carnet d'entretien disponible, Véhicule non fumeur</t>
        </is>
      </c>
      <c r="AE415" s="10" t="n"/>
      <c r="AF415" s="10" t="inlineStr">
        <is>
          <t>Pro</t>
        </is>
      </c>
      <c r="AG415" s="10" t="inlineStr">
        <is>
          <t>Luzinay</t>
        </is>
      </c>
      <c r="AH415" s="10" t="inlineStr">
        <is>
          <t>38200</t>
        </is>
      </c>
      <c r="AI415" s="10" t="inlineStr">
        <is>
          <t>Isère</t>
        </is>
      </c>
      <c r="AJ415" s="10" t="inlineStr">
        <is>
          <t>Rhône-Alpes</t>
        </is>
      </c>
      <c r="AK415" s="16" t="n">
        <v>15</v>
      </c>
      <c r="AL415" s="10" t="n"/>
      <c r="AM415" s="10" t="inlineStr">
        <is>
          <t>Non</t>
        </is>
      </c>
      <c r="AN415" s="10" t="inlineStr">
        <is>
          <t>Bonjour, LJMotorsport, votre spécialiste Porsche en région Lyonnaise vous propose à la vente ce magnifique exemplaire de Porsche 997 Carrera S cabriolet PDK 3.8L 355Ch, disponible dans notre showroom (30 Kms au sud de Lyon). Voici le détail des caractéristiques du véhicule : Modèle : Porsche 997 Carrera S cabriolet PDK 3.8L 355Ch Couleur : Noir Basalte Métallisé Capote : Noire Intérieur : intérieur tout cuir Gris Pierre Mise En Circulation : 01/02/2007 Kilométrage : 165 540 Kms Boite PDK Ref 131</t>
        </is>
      </c>
      <c r="AO415" s="10" t="inlineStr">
        <is>
          <t>vehicle_technical_inspection_valid : Oui ; Dommages : Excellent état (proche du neuf) ; Sellerie : Tout cuir ; Équipements intérieurs : Allumage automatique des phares, Climatisation, Essuie-glaces automatiques, Jantes en alliage, Phares LED / Xenon, Sièges chauffants, Sièges en cuir, Sièges électriques ; Permis : Avec permis ; Vente en LOA/LLD : Non ; VO récent : false ; vehicle_commercial_warranty : Oui ; vehicle_commercial_warranty_duration : 6 mois ; vehicle_commercial_warranty_extendable : Oui ; vehicle_manufacturer_warranty : Non ; custom_ref : 1318 ; Importé : false ; spare_parts_availability : 30 ans</t>
        </is>
      </c>
      <c r="AP415" s="19" t="inlineStr">
        <is>
          <t>Voir</t>
        </is>
      </c>
      <c r="AQ415" s="10" t="inlineStr">
        <is>
          <t>3278787277</t>
        </is>
      </c>
    </row>
    <row r="416">
      <c r="A416" s="10" t="inlineStr">
        <is>
          <t>Porsche 911 997 Carrera S</t>
        </is>
      </c>
      <c r="B416" s="10" t="inlineStr">
        <is>
          <t>PORSCHE 911 3.8i - BVA Tiptronic TYPE 997 COUPE Carrera S</t>
        </is>
      </c>
      <c r="C416" s="10" t="inlineStr">
        <is>
          <t>911 Coupe Carrera S TipTronic S</t>
        </is>
      </c>
      <c r="D416" s="10" t="inlineStr">
        <is>
          <t>Carrera S</t>
        </is>
      </c>
      <c r="E416" s="10" t="inlineStr">
        <is>
          <t>En vente</t>
        </is>
      </c>
      <c r="F416" s="18" t="n">
        <v>46296</v>
      </c>
      <c r="G416" s="18" t="n">
        <v>46296</v>
      </c>
      <c r="H416" s="18" t="n">
        <v>46310</v>
      </c>
      <c r="I416" s="18" t="n"/>
      <c r="J416" s="17">
        <f>IF(OR(ISNUMBER(F416),ISNUMBER(G416)),IF(ISNUMBER(I416),I416,H416)-IF(ISNUMBER(F416),F416,G416),"")</f>
        <v/>
      </c>
      <c r="K416" s="12" t="n">
        <v>54990</v>
      </c>
      <c r="L416" s="12" t="n">
        <v>54990</v>
      </c>
      <c r="M416" s="13">
        <f>IF(AND(ISNUMBER(K416),ISNUMBER(L416),K416&gt;0),1-L416/K416,"")</f>
        <v/>
      </c>
      <c r="N416" s="16" t="n">
        <v>0</v>
      </c>
      <c r="O416" s="12" t="n"/>
      <c r="P416" s="12" t="n"/>
      <c r="Q416" s="12" t="n"/>
      <c r="R416" s="14">
        <f>IF(AND(ISNUMBER(L416),ISNUMBER(P416),ISNUMBER(Q416)),L416/((P416+Q416)/2)-1,"")</f>
        <v/>
      </c>
      <c r="S416" s="10" t="n"/>
      <c r="T416" s="15" t="n">
        <v>62500</v>
      </c>
      <c r="U416" s="16" t="n">
        <v>2007</v>
      </c>
      <c r="V416" s="10" t="inlineStr">
        <is>
          <t>04/2007</t>
        </is>
      </c>
      <c r="W416" s="10" t="inlineStr">
        <is>
          <t>Essence</t>
        </is>
      </c>
      <c r="X416" s="10" t="inlineStr">
        <is>
          <t>Automatique</t>
        </is>
      </c>
      <c r="Y416" s="16" t="n">
        <v>355</v>
      </c>
      <c r="Z416" s="16" t="n">
        <v>26</v>
      </c>
      <c r="AA416" s="10" t="inlineStr">
        <is>
          <t>Gris</t>
        </is>
      </c>
      <c r="AB416" s="16" t="n">
        <v>2</v>
      </c>
      <c r="AC416" s="10" t="inlineStr">
        <is>
          <t>Coupé</t>
        </is>
      </c>
      <c r="AD416" s="10" t="n"/>
      <c r="AE416" s="10" t="n"/>
      <c r="AF416" s="10" t="inlineStr">
        <is>
          <t>Pro</t>
        </is>
      </c>
      <c r="AG416" s="10" t="inlineStr">
        <is>
          <t>Chenôve</t>
        </is>
      </c>
      <c r="AH416" s="10" t="inlineStr">
        <is>
          <t>21300</t>
        </is>
      </c>
      <c r="AI416" s="10" t="inlineStr">
        <is>
          <t>Côte-d'Or</t>
        </is>
      </c>
      <c r="AJ416" s="10" t="inlineStr">
        <is>
          <t>Bourgogne</t>
        </is>
      </c>
      <c r="AK416" s="16" t="n">
        <v>14</v>
      </c>
      <c r="AL416" s="10" t="inlineStr">
        <is>
          <t>Oui</t>
        </is>
      </c>
      <c r="AM416" s="10" t="inlineStr">
        <is>
          <t>Non</t>
        </is>
      </c>
      <c r="AN416" s="10" t="inlineStr">
        <is>
          <t>PORSCHE 911 Carrera S 3.8i (Type 997) - 355 ch - BVA Tiptronic - 2007 - 62 500 km (évolutif) GARANTIE 12 MOIS. Découvrez ce superbe PORSCHE 911 Carrera S, version Type 997, soigneusement préparé par nos équipes. Ce coupé 3.8i associe la motorisation atmosphérique 355 ch à la boîte automatique Tiptronic pour une conduite alliant caractère et facilité d’usage. Points forts : - Motorisation 3.8i d’origine développant 355 ch : comportement moteur réactif et typique des Carrera S de la génération 997</t>
        </is>
      </c>
      <c r="AO416" s="10" t="inlineStr">
        <is>
          <t>Dommages : Bon état général ; Sellerie : Tout cuir ; Équipements intérieurs : Climatisation, Ordinateur de bord, Régulateur de vitesse ; Permis : Avec permis ; VO récent : false ; custom_ref : 1687-0000026 ; Importé : true ; vehicle_history_report_status : visible ; spare_parts_availability : Non renseignée</t>
        </is>
      </c>
      <c r="AP416" s="19" t="inlineStr">
        <is>
          <t>Voir</t>
        </is>
      </c>
      <c r="AQ416" s="10" t="inlineStr">
        <is>
          <t>3280091446</t>
        </is>
      </c>
    </row>
    <row r="417">
      <c r="A417" s="10" t="inlineStr">
        <is>
          <t>Porsche 911 997 Carrera S</t>
        </is>
      </c>
      <c r="B417" s="10" t="inlineStr">
        <is>
          <t>Porsche 911 CABRIOLET (997) CARRERA S PDK</t>
        </is>
      </c>
      <c r="C417" s="10" t="inlineStr">
        <is>
          <t>911 Cabriolet Carrera S PDK</t>
        </is>
      </c>
      <c r="D417" s="10" t="inlineStr">
        <is>
          <t>Carrera S</t>
        </is>
      </c>
      <c r="E417" s="10" t="inlineStr">
        <is>
          <t>En vente</t>
        </is>
      </c>
      <c r="F417" s="18" t="n">
        <v>46297</v>
      </c>
      <c r="G417" s="18" t="n">
        <v>46297</v>
      </c>
      <c r="H417" s="18" t="n">
        <v>46310</v>
      </c>
      <c r="I417" s="18" t="n"/>
      <c r="J417" s="17">
        <f>IF(OR(ISNUMBER(F417),ISNUMBER(G417)),IF(ISNUMBER(I417),I417,H417)-IF(ISNUMBER(F417),F417,G417),"")</f>
        <v/>
      </c>
      <c r="K417" s="12" t="n">
        <v>59900</v>
      </c>
      <c r="L417" s="12" t="n">
        <v>59900</v>
      </c>
      <c r="M417" s="13">
        <f>IF(AND(ISNUMBER(K417),ISNUMBER(L417),K417&gt;0),1-L417/K417,"")</f>
        <v/>
      </c>
      <c r="N417" s="16" t="n">
        <v>0</v>
      </c>
      <c r="O417" s="12" t="n"/>
      <c r="P417" s="12" t="n"/>
      <c r="Q417" s="12" t="n"/>
      <c r="R417" s="14">
        <f>IF(AND(ISNUMBER(L417),ISNUMBER(P417),ISNUMBER(Q417)),L417/((P417+Q417)/2)-1,"")</f>
        <v/>
      </c>
      <c r="S417" s="10" t="n"/>
      <c r="T417" s="15" t="n">
        <v>95594</v>
      </c>
      <c r="U417" s="16" t="n">
        <v>2009</v>
      </c>
      <c r="V417" s="10" t="inlineStr">
        <is>
          <t>03/2009</t>
        </is>
      </c>
      <c r="W417" s="10" t="inlineStr">
        <is>
          <t>Essence</t>
        </is>
      </c>
      <c r="X417" s="10" t="inlineStr">
        <is>
          <t>Automatique</t>
        </is>
      </c>
      <c r="Y417" s="16" t="n">
        <v>385</v>
      </c>
      <c r="Z417" s="16" t="n">
        <v>28</v>
      </c>
      <c r="AA417" s="10" t="inlineStr">
        <is>
          <t>Noir</t>
        </is>
      </c>
      <c r="AB417" s="16" t="n">
        <v>2</v>
      </c>
      <c r="AC417" s="10" t="inlineStr">
        <is>
          <t>Cabriolet</t>
        </is>
      </c>
      <c r="AD417" s="10" t="n"/>
      <c r="AE417" s="10" t="n"/>
      <c r="AF417" s="10" t="inlineStr">
        <is>
          <t>Pro</t>
        </is>
      </c>
      <c r="AG417" s="10" t="inlineStr">
        <is>
          <t>Vendargues</t>
        </is>
      </c>
      <c r="AH417" s="10" t="inlineStr">
        <is>
          <t>34740</t>
        </is>
      </c>
      <c r="AI417" s="10" t="inlineStr">
        <is>
          <t>Hérault</t>
        </is>
      </c>
      <c r="AJ417" s="10" t="inlineStr">
        <is>
          <t>Languedoc-Roussillon</t>
        </is>
      </c>
      <c r="AK417" s="16" t="n">
        <v>21</v>
      </c>
      <c r="AL417" s="10" t="inlineStr">
        <is>
          <t>Oui</t>
        </is>
      </c>
      <c r="AM417" s="10" t="inlineStr">
        <is>
          <t>Non</t>
        </is>
      </c>
      <c r="AN417" s="10" t="inlineStr">
        <is>
          <t>Porsche 911 CABRIOLET (997) CARRERA S PDK, (Cabriolet), NOIR, 28cv, 2 portes, mise en circulation le 16-03-2009, garantie 3 mois (3 MOIS OU 5000 KM). 4 places, couleur intérieur : NOIR, longueur : 4,43 mètres, boîte de vitesse : automatique OPTIONS ET EQUIPEMENTS : Audio - Télécommunications - GPS Cartographique - Radio CD MP3 Conduite - Régulateur de vitesse Extérieur - Jantes Alu - Pack Nord - Peinture métal - Phares au xénon - Radar de recul - Rétroviseurs électriques dégivrants Intérieur - C</t>
        </is>
      </c>
      <c r="AO417" s="10" t="inlineStr">
        <is>
          <t>Permis : Avec permis ; VO récent : false ; custom_ref : 16384 ; Importé : true ; vehicle_history_report_status : visible ; spare_parts_availability : Non renseignée</t>
        </is>
      </c>
      <c r="AP417" s="19" t="inlineStr">
        <is>
          <t>Voir</t>
        </is>
      </c>
      <c r="AQ417" s="10" t="inlineStr">
        <is>
          <t>3280482015</t>
        </is>
      </c>
    </row>
    <row r="418">
      <c r="A418" s="10" t="inlineStr">
        <is>
          <t>Porsche 911 997 Carrera S</t>
        </is>
      </c>
      <c r="B418" s="10" t="inlineStr">
        <is>
          <t>Porsche 911 997 carrera S - Deuxième main</t>
        </is>
      </c>
      <c r="C418" s="10" t="inlineStr">
        <is>
          <t>911 Coupe Carrera S</t>
        </is>
      </c>
      <c r="D418" s="10" t="inlineStr">
        <is>
          <t>Carrera S</t>
        </is>
      </c>
      <c r="E418" s="10" t="inlineStr">
        <is>
          <t>En vente</t>
        </is>
      </c>
      <c r="F418" s="18" t="n">
        <v>46213</v>
      </c>
      <c r="G418" s="18" t="n">
        <v>46213</v>
      </c>
      <c r="H418" s="18" t="n">
        <v>46310</v>
      </c>
      <c r="I418" s="18" t="n"/>
      <c r="J418" s="17">
        <f>IF(OR(ISNUMBER(F418),ISNUMBER(G418)),IF(ISNUMBER(I418),I418,H418)-IF(ISNUMBER(F418),F418,G418),"")</f>
        <v/>
      </c>
      <c r="K418" s="12" t="n">
        <v>69900</v>
      </c>
      <c r="L418" s="12" t="n">
        <v>69900</v>
      </c>
      <c r="M418" s="13">
        <f>IF(AND(ISNUMBER(K418),ISNUMBER(L418),K418&gt;0),1-L418/K418,"")</f>
        <v/>
      </c>
      <c r="N418" s="16" t="n">
        <v>0</v>
      </c>
      <c r="O418" s="12" t="n"/>
      <c r="P418" s="12" t="n"/>
      <c r="Q418" s="12" t="n"/>
      <c r="R418" s="14">
        <f>IF(AND(ISNUMBER(L418),ISNUMBER(P418),ISNUMBER(Q418)),L418/((P418+Q418)/2)-1,"")</f>
        <v/>
      </c>
      <c r="S418" s="10" t="n"/>
      <c r="T418" s="15" t="n">
        <v>58299</v>
      </c>
      <c r="U418" s="16" t="n">
        <v>2007</v>
      </c>
      <c r="V418" s="10" t="inlineStr">
        <is>
          <t>11/2007</t>
        </is>
      </c>
      <c r="W418" s="10" t="inlineStr">
        <is>
          <t>Essence</t>
        </is>
      </c>
      <c r="X418" s="10" t="inlineStr">
        <is>
          <t>Manuelle</t>
        </is>
      </c>
      <c r="Y418" s="16" t="n">
        <v>355</v>
      </c>
      <c r="Z418" s="16" t="n">
        <v>26</v>
      </c>
      <c r="AA418" s="10" t="inlineStr">
        <is>
          <t>Noir</t>
        </is>
      </c>
      <c r="AB418" s="16" t="n">
        <v>2</v>
      </c>
      <c r="AC418" s="10" t="inlineStr">
        <is>
          <t>Coupé</t>
        </is>
      </c>
      <c r="AD418" s="10" t="n"/>
      <c r="AE418" s="10" t="n"/>
      <c r="AF418" s="10" t="inlineStr">
        <is>
          <t>Pro</t>
        </is>
      </c>
      <c r="AG418" s="10" t="inlineStr">
        <is>
          <t>La Penne-sur-Huveaune</t>
        </is>
      </c>
      <c r="AH418" s="10" t="inlineStr">
        <is>
          <t>13821</t>
        </is>
      </c>
      <c r="AI418" s="10" t="inlineStr">
        <is>
          <t>Bouches-du-Rhône</t>
        </is>
      </c>
      <c r="AJ418" s="10" t="inlineStr">
        <is>
          <t>Provence-Alpes-Côte d'Azur</t>
        </is>
      </c>
      <c r="AK418" s="16" t="n">
        <v>23</v>
      </c>
      <c r="AL418" s="10" t="n"/>
      <c r="AM418" s="10" t="inlineStr">
        <is>
          <t>Non</t>
        </is>
      </c>
      <c r="AN418" s="10" t="inlineStr">
        <is>
          <t>Porsche 911 997 carrera S - Deuxième main, coupé, noir, 26 cv, 2 portes, première mise en circulation le 22/11/2007. 4 places OPTIONS ET ÉQUIPEMENTS : Audio - Télécommunications : - GPS Extérieur : - caméra de recul Intérieur : - climatisation : Oui Autres équipements et informations : - roues motrices Très bon état général Moteur remplacé chez Porsche en 2024, sous garantie jusqu'à fin 2026 Deuxième main depuis 2011 Carnet d'entretien complet et suivi exclusif dans le réseau Porsche Notre Porsc</t>
        </is>
      </c>
      <c r="AO418" s="10" t="inlineStr">
        <is>
          <t>Équipements intérieurs : 4 roues motrices, Caméra de recul, Climatisation ; Permis : Avec permis ; VO récent : false ; custom_ref : VRZ_9798D8 ; Importé : true ; spare_parts_availability : Non renseignée</t>
        </is>
      </c>
      <c r="AP418" s="19" t="inlineStr">
        <is>
          <t>Voir</t>
        </is>
      </c>
      <c r="AQ418" s="10" t="inlineStr">
        <is>
          <t>3280814617</t>
        </is>
      </c>
    </row>
    <row r="419">
      <c r="A419" s="10" t="inlineStr">
        <is>
          <t>Porsche 911 997 Carrera S</t>
        </is>
      </c>
      <c r="B419" s="10" t="inlineStr">
        <is>
          <t>Porsche 911 997 Carrera S cabriolet 385 cv PDK</t>
        </is>
      </c>
      <c r="C419" s="10" t="inlineStr">
        <is>
          <t>911 Cabriolet Carrera S PDK</t>
        </is>
      </c>
      <c r="D419" s="10" t="inlineStr">
        <is>
          <t>Carrera S</t>
        </is>
      </c>
      <c r="E419" s="10" t="inlineStr">
        <is>
          <t>En vente</t>
        </is>
      </c>
      <c r="F419" s="18" t="n">
        <v>46298</v>
      </c>
      <c r="G419" s="18" t="n">
        <v>46298</v>
      </c>
      <c r="H419" s="18" t="n">
        <v>46310</v>
      </c>
      <c r="I419" s="18" t="n"/>
      <c r="J419" s="17">
        <f>IF(OR(ISNUMBER(F419),ISNUMBER(G419)),IF(ISNUMBER(I419),I419,H419)-IF(ISNUMBER(F419),F419,G419),"")</f>
        <v/>
      </c>
      <c r="K419" s="12" t="n">
        <v>68900</v>
      </c>
      <c r="L419" s="12" t="n">
        <v>68900</v>
      </c>
      <c r="M419" s="13">
        <f>IF(AND(ISNUMBER(K419),ISNUMBER(L419),K419&gt;0),1-L419/K419,"")</f>
        <v/>
      </c>
      <c r="N419" s="16" t="n">
        <v>0</v>
      </c>
      <c r="O419" s="12" t="n"/>
      <c r="P419" s="12" t="n"/>
      <c r="Q419" s="12" t="n"/>
      <c r="R419" s="14">
        <f>IF(AND(ISNUMBER(L419),ISNUMBER(P419),ISNUMBER(Q419)),L419/((P419+Q419)/2)-1,"")</f>
        <v/>
      </c>
      <c r="S419" s="10" t="n"/>
      <c r="T419" s="15" t="n">
        <v>129750</v>
      </c>
      <c r="U419" s="16" t="n">
        <v>2008</v>
      </c>
      <c r="V419" s="10" t="inlineStr">
        <is>
          <t>10/2008</t>
        </is>
      </c>
      <c r="W419" s="10" t="inlineStr">
        <is>
          <t>Essence</t>
        </is>
      </c>
      <c r="X419" s="10" t="inlineStr">
        <is>
          <t>Automatique</t>
        </is>
      </c>
      <c r="Y419" s="16" t="n">
        <v>385</v>
      </c>
      <c r="Z419" s="16" t="n">
        <v>28</v>
      </c>
      <c r="AA419" s="10" t="inlineStr">
        <is>
          <t>Noir</t>
        </is>
      </c>
      <c r="AB419" s="16" t="n">
        <v>2</v>
      </c>
      <c r="AC419" s="10" t="inlineStr">
        <is>
          <t>Cabriolet</t>
        </is>
      </c>
      <c r="AD419" s="10" t="inlineStr">
        <is>
          <t>Carnet d'entretien disponible</t>
        </is>
      </c>
      <c r="AE419" s="10" t="n"/>
      <c r="AF419" s="10" t="inlineStr">
        <is>
          <t>Pro</t>
        </is>
      </c>
      <c r="AG419" s="10" t="inlineStr">
        <is>
          <t>Bain-de-Bretagne</t>
        </is>
      </c>
      <c r="AH419" s="10" t="inlineStr">
        <is>
          <t>35470</t>
        </is>
      </c>
      <c r="AI419" s="10" t="inlineStr">
        <is>
          <t>Ille-et-Vilaine</t>
        </is>
      </c>
      <c r="AJ419" s="10" t="inlineStr">
        <is>
          <t>Bretagne</t>
        </is>
      </c>
      <c r="AK419" s="16" t="n">
        <v>30</v>
      </c>
      <c r="AL419" s="10" t="n"/>
      <c r="AM419" s="10" t="inlineStr">
        <is>
          <t>Non</t>
        </is>
      </c>
      <c r="AN419" s="10" t="inlineStr">
        <is>
          <t xml:space="preserve">Moteur remplacé dans le réseau PORSCHE en garantie en 2017 a 109 440 kms soit 20 310 kms parcourus depuis. Une PORSCHE est prévue pour parcourir a minima 250 000 kms avec un entretien suivi soit 8 % utilisés au regard de la réfection moteur de cette belle PORSCHE Carnet d'entretien d'origine PORSCHE a jour Reprise , financement et extension de garantie possibles Retrouvez cette annonce sur notre site [URL masquée pour votre sécurité] et sur le Facebook de BAIN AUTOS SPORT OPTIONS ET ÉQUIPEMENTS </t>
        </is>
      </c>
      <c r="AO419" s="10" t="inlineStr">
        <is>
          <t>Équipements intérieurs : Allumage automatique des phares, Bluetooth, Climatisation, Ordinateur de bord, Phares anti-brouillard, Phares LED / Xenon, Régulateur de vitesse, Sièges chauffants, Vitres électriques arrières, Volant réglable en hauteur ; VO récent : false ; custom_ref : 496889 ; Importé : true ; vehicle_history_report_status : visible ; spare_parts_availability : Non renseignée</t>
        </is>
      </c>
      <c r="AP419" s="19" t="inlineStr">
        <is>
          <t>Voir</t>
        </is>
      </c>
      <c r="AQ419" s="10" t="inlineStr">
        <is>
          <t>3281380686</t>
        </is>
      </c>
    </row>
    <row r="420">
      <c r="A420" s="10" t="inlineStr">
        <is>
          <t>Porsche 911 997 Carrera S</t>
        </is>
      </c>
      <c r="B420" s="10" t="inlineStr">
        <is>
          <t>Porsche 911 997 carrera s</t>
        </is>
      </c>
      <c r="C420" s="10" t="inlineStr">
        <is>
          <t>Carrera S_911 Coupe Carrera S TipTronic S</t>
        </is>
      </c>
      <c r="D420" s="10" t="inlineStr">
        <is>
          <t>Carrera S</t>
        </is>
      </c>
      <c r="E420" s="10" t="inlineStr">
        <is>
          <t>En vente</t>
        </is>
      </c>
      <c r="F420" s="18" t="n">
        <v>46299</v>
      </c>
      <c r="G420" s="18" t="n">
        <v>46299</v>
      </c>
      <c r="H420" s="18" t="n">
        <v>46310</v>
      </c>
      <c r="I420" s="18" t="n"/>
      <c r="J420" s="17">
        <f>IF(OR(ISNUMBER(F420),ISNUMBER(G420)),IF(ISNUMBER(I420),I420,H420)-IF(ISNUMBER(F420),F420,G420),"")</f>
        <v/>
      </c>
      <c r="K420" s="12" t="n">
        <v>49900</v>
      </c>
      <c r="L420" s="12" t="n">
        <v>49900</v>
      </c>
      <c r="M420" s="13">
        <f>IF(AND(ISNUMBER(K420),ISNUMBER(L420),K420&gt;0),1-L420/K420,"")</f>
        <v/>
      </c>
      <c r="N420" s="16" t="n">
        <v>0</v>
      </c>
      <c r="O420" s="12" t="n"/>
      <c r="P420" s="12" t="n"/>
      <c r="Q420" s="12" t="n"/>
      <c r="R420" s="14">
        <f>IF(AND(ISNUMBER(L420),ISNUMBER(P420),ISNUMBER(Q420)),L420/((P420+Q420)/2)-1,"")</f>
        <v/>
      </c>
      <c r="S420" s="10" t="n"/>
      <c r="T420" s="15" t="n">
        <v>15000</v>
      </c>
      <c r="U420" s="16" t="n">
        <v>2005</v>
      </c>
      <c r="V420" s="10" t="inlineStr">
        <is>
          <t>02/2005</t>
        </is>
      </c>
      <c r="W420" s="10" t="inlineStr">
        <is>
          <t>Essence</t>
        </is>
      </c>
      <c r="X420" s="10" t="inlineStr">
        <is>
          <t>Automatique</t>
        </is>
      </c>
      <c r="Y420" s="16" t="n">
        <v>355</v>
      </c>
      <c r="Z420" s="16" t="n">
        <v>26</v>
      </c>
      <c r="AA420" s="10" t="inlineStr">
        <is>
          <t>Noir</t>
        </is>
      </c>
      <c r="AB420" s="16" t="n">
        <v>2</v>
      </c>
      <c r="AC420" s="10" t="inlineStr">
        <is>
          <t>Coupé</t>
        </is>
      </c>
      <c r="AD420" s="10" t="inlineStr">
        <is>
          <t>Carnet d'entretien disponible, Véhicule non fumeur, Réparations utiles déjà faites, Factures disponibles</t>
        </is>
      </c>
      <c r="AE420" s="10" t="inlineStr">
        <is>
          <t>Véhicule importé</t>
        </is>
      </c>
      <c r="AF420" s="10" t="inlineStr">
        <is>
          <t>Particulier</t>
        </is>
      </c>
      <c r="AG420" s="10" t="inlineStr">
        <is>
          <t>Saint-Sylvestre-sur-Lot</t>
        </is>
      </c>
      <c r="AH420" s="10" t="inlineStr">
        <is>
          <t>47140</t>
        </is>
      </c>
      <c r="AI420" s="10" t="inlineStr">
        <is>
          <t>Lot-et-Garonne</t>
        </is>
      </c>
      <c r="AJ420" s="10" t="inlineStr">
        <is>
          <t>Aquitaine</t>
        </is>
      </c>
      <c r="AK420" s="16" t="n">
        <v>3</v>
      </c>
      <c r="AL420" s="10" t="n"/>
      <c r="AM420" s="10" t="inlineStr">
        <is>
          <t>Non</t>
        </is>
      </c>
      <c r="AN420" s="10" t="inlineStr">
        <is>
          <t>Je vends ma Porsche 911 997 Carrera S de 2005, un coupé sportif d'exception avec seulement 15 000 km moteur,220000 km au compteur.controle technique vierge, moteur refait et fiabilisé , freins av et ar neufs , amortissers et ressorts neufs a l arriere , - Marque : Porsche - Modèle : 911 997 - Finition : Carrera S - Année : 2005 - Kilométrage : 15 000 km - Motorisation : 355 Ch - Puissance fiscale : 26 Cv - Carburant : Essence - Boîte de vitesses : Automatique TipTronic S - Type de véhicule : Cou</t>
        </is>
      </c>
      <c r="AO420" s="10" t="inlineStr">
        <is>
          <t>vehicle_technical_inspection_valid : Oui ; Dommages : Excellent état (proche du neuf) ; Sellerie : Tout cuir ; Équipements intérieurs : Aide au stationnement, Alarme antivol, Bluetooth, Chargeurs USB, Climatisation, Coffre à ouverture électrique, Essuie-glaces automatiques, Jantes en alliage, Ordinateur de bord, Phares anti-brouillard, Phares LED / Xenon, Régulateur de vitesse, Rétroviseurs dégivrants, Siège réglable en hauteur, Sièges en cuir, Suspension sport / adaptative, Système audio haut de gamme, Système de navigation, Système de surveillance pression pneus (TPMS), Toit ouvrant / Toit panoramique, Vitres surteintées à l'arrière, Volant réglable en hauteur, Volant réglable en profondeur ; Permis : Avec permis ; Importé : false ; vehicle_history_report_status : visible</t>
        </is>
      </c>
      <c r="AP420" s="19" t="inlineStr">
        <is>
          <t>Voir</t>
        </is>
      </c>
      <c r="AQ420" s="10" t="inlineStr">
        <is>
          <t>3282147896</t>
        </is>
      </c>
    </row>
    <row r="421">
      <c r="A421" s="10" t="inlineStr">
        <is>
          <t>Porsche 911 997 Carrera S</t>
        </is>
      </c>
      <c r="B421" s="10" t="inlineStr">
        <is>
          <t>Porsche 911 997 Carrera S cabriolet</t>
        </is>
      </c>
      <c r="C421" s="10" t="inlineStr">
        <is>
          <t>Carrera S_911 Cabriolet Carrera S</t>
        </is>
      </c>
      <c r="D421" s="10" t="inlineStr">
        <is>
          <t>Carrera S</t>
        </is>
      </c>
      <c r="E421" s="10" t="inlineStr">
        <is>
          <t>En vente</t>
        </is>
      </c>
      <c r="F421" s="18" t="n">
        <v>46301</v>
      </c>
      <c r="G421" s="18" t="n">
        <v>46301</v>
      </c>
      <c r="H421" s="18" t="n">
        <v>46310</v>
      </c>
      <c r="I421" s="18" t="n"/>
      <c r="J421" s="17">
        <f>IF(OR(ISNUMBER(F421),ISNUMBER(G421)),IF(ISNUMBER(I421),I421,H421)-IF(ISNUMBER(F421),F421,G421),"")</f>
        <v/>
      </c>
      <c r="K421" s="12" t="n">
        <v>59990</v>
      </c>
      <c r="L421" s="12" t="n">
        <v>59990</v>
      </c>
      <c r="M421" s="13">
        <f>IF(AND(ISNUMBER(K421),ISNUMBER(L421),K421&gt;0),1-L421/K421,"")</f>
        <v/>
      </c>
      <c r="N421" s="16" t="n">
        <v>0</v>
      </c>
      <c r="O421" s="12" t="n"/>
      <c r="P421" s="12" t="n"/>
      <c r="Q421" s="12" t="n"/>
      <c r="R421" s="14">
        <f>IF(AND(ISNUMBER(L421),ISNUMBER(P421),ISNUMBER(Q421)),L421/((P421+Q421)/2)-1,"")</f>
        <v/>
      </c>
      <c r="S421" s="10" t="n"/>
      <c r="T421" s="15" t="n">
        <v>98050</v>
      </c>
      <c r="U421" s="16" t="n">
        <v>2007</v>
      </c>
      <c r="V421" s="10" t="inlineStr">
        <is>
          <t>02/2007</t>
        </is>
      </c>
      <c r="W421" s="10" t="inlineStr">
        <is>
          <t>Essence</t>
        </is>
      </c>
      <c r="X421" s="10" t="inlineStr">
        <is>
          <t>Manuelle</t>
        </is>
      </c>
      <c r="Y421" s="16" t="n">
        <v>355</v>
      </c>
      <c r="Z421" s="16" t="n">
        <v>26</v>
      </c>
      <c r="AA421" s="10" t="inlineStr">
        <is>
          <t>Gris</t>
        </is>
      </c>
      <c r="AB421" s="16" t="n">
        <v>2</v>
      </c>
      <c r="AC421" s="10" t="inlineStr">
        <is>
          <t>Cabriolet</t>
        </is>
      </c>
      <c r="AD421" s="10" t="n"/>
      <c r="AE421" s="10" t="n"/>
      <c r="AF421" s="10" t="inlineStr">
        <is>
          <t>Particulier</t>
        </is>
      </c>
      <c r="AG421" s="10" t="inlineStr">
        <is>
          <t>Viroflay</t>
        </is>
      </c>
      <c r="AH421" s="10" t="inlineStr">
        <is>
          <t>78220</t>
        </is>
      </c>
      <c r="AI421" s="10" t="inlineStr">
        <is>
          <t>Yvelines</t>
        </is>
      </c>
      <c r="AJ421" s="10" t="inlineStr">
        <is>
          <t>Ile-de-France</t>
        </is>
      </c>
      <c r="AK421" s="16" t="n">
        <v>3</v>
      </c>
      <c r="AL421" s="10" t="n"/>
      <c r="AM421" s="10" t="inlineStr">
        <is>
          <t>Non</t>
        </is>
      </c>
      <c r="AN421" s="10" t="inlineStr">
        <is>
          <t>Bonjour, Je vends une Porsche 911 Carrera S de 2007 boite manuelle avec 98050km, kilométrage peu évolutif. Je suis le 4eme propriétaire, elle a été importé d’Italie par une société en Alsace et a roulé la moitié de sa vie en France. Je dispose des deux clés. CT ok. Je dispose du carnet d’entretien d’origine avec des révisions enregistrées à 15059km, 29865km, 43597km, 44990km, 47603km. Entretien en centre Porsche de 2008 à 2016, puis ensuite chez des spécialistes Porsche réputés. Les frais les pl</t>
        </is>
      </c>
      <c r="AO421" s="10" t="inlineStr">
        <is>
          <t>vehicle_technical_inspection_valid : Non ; Sellerie : Tout cuir ; Permis : Avec permis ; Importé : false</t>
        </is>
      </c>
      <c r="AP421" s="19" t="inlineStr">
        <is>
          <t>Voir</t>
        </is>
      </c>
      <c r="AQ421" s="10" t="inlineStr">
        <is>
          <t>3283563885</t>
        </is>
      </c>
    </row>
    <row r="422">
      <c r="A422" s="10" t="inlineStr">
        <is>
          <t>Porsche 911 997 Carrera S</t>
        </is>
      </c>
      <c r="B422" s="10" t="inlineStr">
        <is>
          <t>Porsche 911 IV (997) Carrera S</t>
        </is>
      </c>
      <c r="C422" s="10" t="inlineStr">
        <is>
          <t>911 Cabriolet Carrera S</t>
        </is>
      </c>
      <c r="D422" s="10" t="inlineStr">
        <is>
          <t>Carrera S</t>
        </is>
      </c>
      <c r="E422" s="10" t="inlineStr">
        <is>
          <t>En vente</t>
        </is>
      </c>
      <c r="F422" s="18" t="n">
        <v>46302</v>
      </c>
      <c r="G422" s="18" t="n">
        <v>46302</v>
      </c>
      <c r="H422" s="18" t="n">
        <v>46310</v>
      </c>
      <c r="I422" s="18" t="n"/>
      <c r="J422" s="17">
        <f>IF(OR(ISNUMBER(F422),ISNUMBER(G422)),IF(ISNUMBER(I422),I422,H422)-IF(ISNUMBER(F422),F422,G422),"")</f>
        <v/>
      </c>
      <c r="K422" s="12" t="n">
        <v>64997</v>
      </c>
      <c r="L422" s="12" t="n">
        <v>64997</v>
      </c>
      <c r="M422" s="13">
        <f>IF(AND(ISNUMBER(K422),ISNUMBER(L422),K422&gt;0),1-L422/K422,"")</f>
        <v/>
      </c>
      <c r="N422" s="16" t="n">
        <v>0</v>
      </c>
      <c r="O422" s="12" t="n"/>
      <c r="P422" s="12" t="n"/>
      <c r="Q422" s="12" t="n"/>
      <c r="R422" s="14">
        <f>IF(AND(ISNUMBER(L422),ISNUMBER(P422),ISNUMBER(Q422)),L422/((P422+Q422)/2)-1,"")</f>
        <v/>
      </c>
      <c r="S422" s="10" t="n"/>
      <c r="T422" s="15" t="n">
        <v>84967</v>
      </c>
      <c r="U422" s="16" t="n">
        <v>2008</v>
      </c>
      <c r="V422" s="10" t="inlineStr">
        <is>
          <t>07/2008</t>
        </is>
      </c>
      <c r="W422" s="10" t="inlineStr">
        <is>
          <t>Essence</t>
        </is>
      </c>
      <c r="X422" s="10" t="inlineStr">
        <is>
          <t>Manuelle</t>
        </is>
      </c>
      <c r="Y422" s="16" t="n">
        <v>385</v>
      </c>
      <c r="Z422" s="16" t="n">
        <v>29</v>
      </c>
      <c r="AA422" s="10" t="inlineStr">
        <is>
          <t>Noir</t>
        </is>
      </c>
      <c r="AB422" s="16" t="n">
        <v>2</v>
      </c>
      <c r="AC422" s="10" t="inlineStr">
        <is>
          <t>Cabriolet</t>
        </is>
      </c>
      <c r="AD422" s="10" t="n"/>
      <c r="AE422" s="10" t="n"/>
      <c r="AF422" s="10" t="inlineStr">
        <is>
          <t>Pro</t>
        </is>
      </c>
      <c r="AG422" s="10" t="inlineStr">
        <is>
          <t>Cagnes-sur-Mer</t>
        </is>
      </c>
      <c r="AH422" s="10" t="inlineStr">
        <is>
          <t>06800</t>
        </is>
      </c>
      <c r="AI422" s="10" t="inlineStr">
        <is>
          <t>Alpes-Maritimes</t>
        </is>
      </c>
      <c r="AJ422" s="10" t="inlineStr">
        <is>
          <t>Provence-Alpes-Côte d'Azur</t>
        </is>
      </c>
      <c r="AK422" s="16" t="n">
        <v>14</v>
      </c>
      <c r="AL422" s="10" t="inlineStr">
        <is>
          <t>Oui</t>
        </is>
      </c>
      <c r="AM422" s="10" t="inlineStr">
        <is>
          <t>Non</t>
        </is>
      </c>
      <c r="AN422" s="10" t="inlineStr">
        <is>
          <t>Porsche 911 IV (997) Carrera S cabriolet, noir, 29 cv, 2 portes, première mise en circulation le 03/07/2008, garantie 3 mois. Votre Centre Spécialiste Porsche FLAT 06 à le plaisir de vous proposer cette magnifique 997 phase 2 Carrera S Cabriolet Noire intérieur cuir noir MEC 03/07/2008 84967 kms 385 cv Boîte manuelle 6 vitesses Garantie 3 mois Carnet d'entretien OPTIONS ET EQUIPEMENTS : - Eclairage xénon - Navigation PCM3 - Fond de compteurs argenté - Sièges chauffants - Ecusson Porsche en relie</t>
        </is>
      </c>
      <c r="AO422" s="10" t="inlineStr">
        <is>
          <t>vehicle_technical_inspection_valid : Oui ; Équipements intérieurs : Aide au stationnement ; Permis : Avec permis ; VO récent : false ; custom_ref : 476 ; Importé : true ; vehicle_history_report_status : visible ; spare_parts_availability : Non renseignée</t>
        </is>
      </c>
      <c r="AP422" s="19" t="inlineStr">
        <is>
          <t>Voir</t>
        </is>
      </c>
      <c r="AQ422" s="10" t="inlineStr">
        <is>
          <t>3284038154</t>
        </is>
      </c>
    </row>
    <row r="423">
      <c r="A423" s="10" t="inlineStr">
        <is>
          <t>Porsche 911 997 Carrera S</t>
        </is>
      </c>
      <c r="B423" s="10" t="inlineStr">
        <is>
          <t>Porsche 911 CABRIOLET (997) Carrera 3.6 325 Ch Tiptronic S / SportDesign / Bose / PSE</t>
        </is>
      </c>
      <c r="C423" s="10" t="inlineStr">
        <is>
          <t>911 Cabriolet Carrera TipTronic S</t>
        </is>
      </c>
      <c r="D423" s="10" t="inlineStr">
        <is>
          <t>Carrera</t>
        </is>
      </c>
      <c r="E423" s="10" t="inlineStr">
        <is>
          <t>En vente</t>
        </is>
      </c>
      <c r="F423" s="18" t="n">
        <v>46304</v>
      </c>
      <c r="G423" s="18" t="n">
        <v>46304</v>
      </c>
      <c r="H423" s="18" t="n">
        <v>46310</v>
      </c>
      <c r="I423" s="18" t="n"/>
      <c r="J423" s="17">
        <f>IF(OR(ISNUMBER(F423),ISNUMBER(G423)),IF(ISNUMBER(I423),I423,H423)-IF(ISNUMBER(F423),F423,G423),"")</f>
        <v/>
      </c>
      <c r="K423" s="12" t="n">
        <v>46990</v>
      </c>
      <c r="L423" s="12" t="n">
        <v>46990</v>
      </c>
      <c r="M423" s="13">
        <f>IF(AND(ISNUMBER(K423),ISNUMBER(L423),K423&gt;0),1-L423/K423,"")</f>
        <v/>
      </c>
      <c r="N423" s="16" t="n">
        <v>0</v>
      </c>
      <c r="O423" s="12" t="n"/>
      <c r="P423" s="12" t="n"/>
      <c r="Q423" s="12" t="n"/>
      <c r="R423" s="14">
        <f>IF(AND(ISNUMBER(L423),ISNUMBER(P423),ISNUMBER(Q423)),L423/((P423+Q423)/2)-1,"")</f>
        <v/>
      </c>
      <c r="S423" s="10" t="n"/>
      <c r="T423" s="15" t="n">
        <v>83850</v>
      </c>
      <c r="U423" s="16" t="n">
        <v>2005</v>
      </c>
      <c r="V423" s="10" t="inlineStr">
        <is>
          <t>07/2005</t>
        </is>
      </c>
      <c r="W423" s="10" t="inlineStr">
        <is>
          <t>Essence</t>
        </is>
      </c>
      <c r="X423" s="10" t="inlineStr">
        <is>
          <t>Automatique</t>
        </is>
      </c>
      <c r="Y423" s="16" t="n">
        <v>325</v>
      </c>
      <c r="Z423" s="16" t="n">
        <v>24</v>
      </c>
      <c r="AA423" s="10" t="inlineStr">
        <is>
          <t>Noir</t>
        </is>
      </c>
      <c r="AB423" s="16" t="n">
        <v>2</v>
      </c>
      <c r="AC423" s="10" t="inlineStr">
        <is>
          <t>Cabriolet</t>
        </is>
      </c>
      <c r="AD423" s="10" t="n"/>
      <c r="AE423" s="10" t="n"/>
      <c r="AF423" s="10" t="inlineStr">
        <is>
          <t>Pro</t>
        </is>
      </c>
      <c r="AG423" s="10" t="inlineStr">
        <is>
          <t>Luc-la-Primaube</t>
        </is>
      </c>
      <c r="AH423" s="10" t="inlineStr">
        <is>
          <t>12450</t>
        </is>
      </c>
      <c r="AI423" s="10" t="inlineStr">
        <is>
          <t>Aveyron</t>
        </is>
      </c>
      <c r="AJ423" s="10" t="inlineStr">
        <is>
          <t>Midi-Pyrénées</t>
        </is>
      </c>
      <c r="AK423" s="16" t="n">
        <v>26</v>
      </c>
      <c r="AL423" s="10" t="inlineStr">
        <is>
          <t>Oui</t>
        </is>
      </c>
      <c r="AM423" s="10" t="inlineStr">
        <is>
          <t>Non</t>
        </is>
      </c>
      <c r="AN423" s="10" t="inlineStr">
        <is>
          <t>Porsche 911 CABRIOLET (997) Carrera 3.6 325 Ch Tiptronic S / SportDesign / Bose / PSE, (Cabriolet), NOIR, 24cv, 2 portes, mise en circulation le 06-07-2005. 4 places, longueur : 4,43 mètres, boîte de vitesse : automatique OPTIONS ET EQUIPEMENTS : Kilométrage garanti. ### Véhicule en dépôt-vente, visible sur rendez-vous ### Couleur extérieure Noir Basalte intérieur cuir étendu Cocoa. Equipements : - Jantes 19 pouces modèle SportDesign - Feux de jour LED - Projecteurs Xénon - Radars de recul - Cap</t>
        </is>
      </c>
      <c r="AO423" s="10" t="inlineStr">
        <is>
          <t>Permis : Avec permis ; VO récent : false ; custom_ref : 3212 ; Importé : true ; vehicle_history_report_status : visible ; spare_parts_availability : Non renseignée</t>
        </is>
      </c>
      <c r="AP423" s="19" t="inlineStr">
        <is>
          <t>Voir</t>
        </is>
      </c>
      <c r="AQ423" s="10" t="inlineStr">
        <is>
          <t>3284862818</t>
        </is>
      </c>
    </row>
    <row r="424">
      <c r="A424" s="10" t="inlineStr">
        <is>
          <t>Porsche 911 997 Carrera S</t>
        </is>
      </c>
      <c r="B424" s="10" t="inlineStr">
        <is>
          <t>Porsche 911 997 Carrera S Tiptronic</t>
        </is>
      </c>
      <c r="C424" s="10" t="n"/>
      <c r="D424" s="10" t="n"/>
      <c r="E424" s="10" t="inlineStr">
        <is>
          <t>En vente</t>
        </is>
      </c>
      <c r="F424" s="18" t="n">
        <v>46305</v>
      </c>
      <c r="G424" s="18" t="n">
        <v>46305</v>
      </c>
      <c r="H424" s="18" t="n">
        <v>46310</v>
      </c>
      <c r="I424" s="18" t="n"/>
      <c r="J424" s="17">
        <f>IF(OR(ISNUMBER(F424),ISNUMBER(G424)),IF(ISNUMBER(I424),I424,H424)-IF(ISNUMBER(F424),F424,G424),"")</f>
        <v/>
      </c>
      <c r="K424" s="12" t="n">
        <v>48900</v>
      </c>
      <c r="L424" s="12" t="n">
        <v>48900</v>
      </c>
      <c r="M424" s="13">
        <f>IF(AND(ISNUMBER(K424),ISNUMBER(L424),K424&gt;0),1-L424/K424,"")</f>
        <v/>
      </c>
      <c r="N424" s="16" t="n">
        <v>0</v>
      </c>
      <c r="O424" s="12" t="n"/>
      <c r="P424" s="12" t="n"/>
      <c r="Q424" s="12" t="n"/>
      <c r="R424" s="14">
        <f>IF(AND(ISNUMBER(L424),ISNUMBER(P424),ISNUMBER(Q424)),L424/((P424+Q424)/2)-1,"")</f>
        <v/>
      </c>
      <c r="S424" s="10" t="n"/>
      <c r="T424" s="15" t="n">
        <v>127500</v>
      </c>
      <c r="U424" s="16" t="n">
        <v>2007</v>
      </c>
      <c r="V424" s="10" t="inlineStr">
        <is>
          <t>06/2007</t>
        </is>
      </c>
      <c r="W424" s="10" t="inlineStr">
        <is>
          <t>Essence</t>
        </is>
      </c>
      <c r="X424" s="10" t="inlineStr">
        <is>
          <t>Automatique</t>
        </is>
      </c>
      <c r="Y424" s="16" t="n">
        <v>325</v>
      </c>
      <c r="Z424" s="16" t="n">
        <v>24</v>
      </c>
      <c r="AA424" s="10" t="inlineStr">
        <is>
          <t>Gris</t>
        </is>
      </c>
      <c r="AB424" s="16" t="n">
        <v>2</v>
      </c>
      <c r="AC424" s="10" t="inlineStr">
        <is>
          <t>Coupé</t>
        </is>
      </c>
      <c r="AD424" s="10" t="inlineStr">
        <is>
          <t>Carnet d'entretien disponible, Factures disponibles, Véhicule non fumeur, Réparations utiles déjà faites</t>
        </is>
      </c>
      <c r="AE424" s="10" t="inlineStr">
        <is>
          <t>Véhicule importé</t>
        </is>
      </c>
      <c r="AF424" s="10" t="inlineStr">
        <is>
          <t>Particulier</t>
        </is>
      </c>
      <c r="AG424" s="10" t="inlineStr">
        <is>
          <t>Bailly</t>
        </is>
      </c>
      <c r="AH424" s="10" t="inlineStr">
        <is>
          <t>78870</t>
        </is>
      </c>
      <c r="AI424" s="10" t="inlineStr">
        <is>
          <t>Yvelines</t>
        </is>
      </c>
      <c r="AJ424" s="10" t="inlineStr">
        <is>
          <t>Ile-de-France</t>
        </is>
      </c>
      <c r="AK424" s="16" t="n">
        <v>3</v>
      </c>
      <c r="AL424" s="10" t="n"/>
      <c r="AM424" s="10" t="inlineStr">
        <is>
          <t>Non</t>
        </is>
      </c>
      <c r="AN424" s="10" t="inlineStr">
        <is>
          <t>Porsche 911 Carrera S Tiptronic Mise en circulation Juin 2007 Kilométrage 127500 – État exceptionnel Entretien irréprochable, véhicule particulièrement soigné avec historique d'entretien complet et suivi kilométrique rigoureux. Équipements et options * Boîte automatique Tiptronic S 5 rapport * Suspension pilotée PASM (Porsche Active Suspension Management) * Intérieur tout cuir noir * Sièges électriques à mémoire * Sièges chauffants * Toit ouvrant électrique * Régulateur de vitesse (Tempomat) * R</t>
        </is>
      </c>
      <c r="AO424" s="10" t="inlineStr">
        <is>
          <t>Dommages : Excellent état (proche du neuf) ; Sellerie : Tout cuir ; Équipements intérieurs : Aide au stationnement, Alarme antivol, Bluetooth, Climatisation, Jantes en alliage, Ordinateur de bord, Phares adaptatifs, Phares LED / Xenon, Radio numérique DAB, Siège arrière rabattable, Sièges chauffants, Sièges en cuir, Sièges sport, Suspension sport / adaptative, Toit ouvrant / Toit panoramique, Vitres électriques arrières ; vehicle_euro_emissions_standard : Euro 4 ; Permis : Avec permis ; Importé : false ; vehicle_history_teaser_critair : 2 ; vehicle_history_teaser_owners : 5 ; vehicle_history_teaser_expertises : false ; vehicle_history_teaser_special_uses : false ; vehicle_history_teaser_atypical_operations : true ; vehicle_history_teaser_importations : true</t>
        </is>
      </c>
      <c r="AP424" s="19" t="inlineStr">
        <is>
          <t>Voir</t>
        </is>
      </c>
      <c r="AQ424" s="10" t="inlineStr">
        <is>
          <t>3285868046</t>
        </is>
      </c>
    </row>
    <row r="425">
      <c r="A425" s="10" t="inlineStr">
        <is>
          <t>Porsche 911 997 Carrera S</t>
        </is>
      </c>
      <c r="B425" s="10" t="inlineStr">
        <is>
          <t>Porsche,911/997, Carrera S. 3, 8l 355cv</t>
        </is>
      </c>
      <c r="C425" s="10" t="n"/>
      <c r="D425" s="10" t="n"/>
      <c r="E425" s="10" t="inlineStr">
        <is>
          <t>En vente</t>
        </is>
      </c>
      <c r="F425" s="18" t="n">
        <v>46308</v>
      </c>
      <c r="G425" s="18" t="n">
        <v>46308</v>
      </c>
      <c r="H425" s="18" t="n">
        <v>46310</v>
      </c>
      <c r="I425" s="18" t="n"/>
      <c r="J425" s="17">
        <f>IF(OR(ISNUMBER(F425),ISNUMBER(G425)),IF(ISNUMBER(I425),I425,H425)-IF(ISNUMBER(F425),F425,G425),"")</f>
        <v/>
      </c>
      <c r="K425" s="12" t="n">
        <v>51997</v>
      </c>
      <c r="L425" s="12" t="n">
        <v>51997</v>
      </c>
      <c r="M425" s="13">
        <f>IF(AND(ISNUMBER(K425),ISNUMBER(L425),K425&gt;0),1-L425/K425,"")</f>
        <v/>
      </c>
      <c r="N425" s="16" t="n">
        <v>0</v>
      </c>
      <c r="O425" s="12" t="n"/>
      <c r="P425" s="12" t="n"/>
      <c r="Q425" s="12" t="n"/>
      <c r="R425" s="14">
        <f>IF(AND(ISNUMBER(L425),ISNUMBER(P425),ISNUMBER(Q425)),L425/((P425+Q425)/2)-1,"")</f>
        <v/>
      </c>
      <c r="S425" s="10" t="n"/>
      <c r="T425" s="15" t="n">
        <v>120500</v>
      </c>
      <c r="U425" s="16" t="n">
        <v>2005</v>
      </c>
      <c r="V425" s="10" t="inlineStr">
        <is>
          <t>05/2005</t>
        </is>
      </c>
      <c r="W425" s="10" t="inlineStr">
        <is>
          <t>Essence</t>
        </is>
      </c>
      <c r="X425" s="10" t="inlineStr">
        <is>
          <t>Automatique</t>
        </is>
      </c>
      <c r="Y425" s="16" t="n">
        <v>355</v>
      </c>
      <c r="Z425" s="16" t="n">
        <v>26</v>
      </c>
      <c r="AA425" s="10" t="inlineStr">
        <is>
          <t>Jaune</t>
        </is>
      </c>
      <c r="AB425" s="16" t="n">
        <v>2</v>
      </c>
      <c r="AC425" s="10" t="inlineStr">
        <is>
          <t>Autre</t>
        </is>
      </c>
      <c r="AD425" s="10" t="inlineStr">
        <is>
          <t>Carnet d'entretien disponible, Factures disponibles, Véhicule non fumeur, Réparations utiles déjà faites</t>
        </is>
      </c>
      <c r="AE425" s="10" t="n"/>
      <c r="AF425" s="10" t="inlineStr">
        <is>
          <t>Particulier</t>
        </is>
      </c>
      <c r="AG425" s="10" t="inlineStr">
        <is>
          <t>Sainte-Marie-la-Mer</t>
        </is>
      </c>
      <c r="AH425" s="10" t="inlineStr">
        <is>
          <t>66470</t>
        </is>
      </c>
      <c r="AI425" s="10" t="inlineStr">
        <is>
          <t>Pyrénées-Orientales</t>
        </is>
      </c>
      <c r="AJ425" s="10" t="inlineStr">
        <is>
          <t>Languedoc-Roussillon</t>
        </is>
      </c>
      <c r="AK425" s="16" t="n">
        <v>3</v>
      </c>
      <c r="AL425" s="10" t="n"/>
      <c r="AM425" s="10" t="inlineStr">
        <is>
          <t>Non</t>
        </is>
      </c>
      <c r="AN425" s="10" t="inlineStr">
        <is>
          <t>Très belle Porsche 997 jaune, CArrera S , dans une couleur très rare et suréquipée. ÉQUIPEMENS DE SÉRIE -Capteur de pluie. -Ceinture de sécurité Jaune vitesse. -Écussons Porsche en relief sur les appuis-tête. -Phares xénon -Volant en cuir multifonction. -Fond de compteur Jaune, vitesse. -Airbag conducteur et passager. -Siège de toit en Alcantara -Climatisation automatique. -Ordinateur de bord. -Porsche Activ. Suspension management ( PASM ) -Porsche, communication management ( PCM ) avec module n</t>
        </is>
      </c>
      <c r="AO425" s="10" t="inlineStr">
        <is>
          <t>Dommages : Excellent état (proche du neuf) ; Sellerie : Tout cuir ; Équipements intérieurs : Aide au stationnement, Alarme antivol, Bluetooth, Climatisation, Coffre à ouverture électrique, Jantes en alliage, Ordinateur de bord, Phares anti-brouillard, Phares LED / Xenon, Régulateur de vitesse, Siège arrière rabattable, Siège réglable en hauteur, Sièges chauffants, Sièges en cuir, Sièges sport, Sièges électriques, Suspension sport / adaptative, Système audio haut de gamme, Système de navigation, Toit ouvrant / Toit panoramique, Volant réglable en hauteur ; Permis : Avec permis ; Importé : false</t>
        </is>
      </c>
      <c r="AP425" s="19" t="inlineStr">
        <is>
          <t>Voir</t>
        </is>
      </c>
      <c r="AQ425" s="10" t="inlineStr">
        <is>
          <t>3287596929</t>
        </is>
      </c>
    </row>
    <row r="426">
      <c r="A426" s="10" t="inlineStr">
        <is>
          <t>Porsche 911 997 Carrera S</t>
        </is>
      </c>
      <c r="B426" s="10" t="inlineStr">
        <is>
          <t>Porsche 911 3.8i 355 F6 CARRERA S (997)</t>
        </is>
      </c>
      <c r="C426" s="10" t="n"/>
      <c r="D426" s="10" t="n"/>
      <c r="E426" s="10" t="inlineStr">
        <is>
          <t>En vente</t>
        </is>
      </c>
      <c r="F426" s="18" t="n">
        <v>45464</v>
      </c>
      <c r="G426" s="18" t="n">
        <v>45464</v>
      </c>
      <c r="H426" s="18" t="n">
        <v>46296</v>
      </c>
      <c r="I426" s="18" t="n"/>
      <c r="J426" s="17">
        <f>IF(OR(ISNUMBER(F426),ISNUMBER(G426)),IF(ISNUMBER(I426),I426,H426)-IF(ISNUMBER(F426),F426,G426),"")</f>
        <v/>
      </c>
      <c r="K426" s="12" t="n">
        <v>49900</v>
      </c>
      <c r="L426" s="12" t="n">
        <v>49900</v>
      </c>
      <c r="M426" s="13">
        <f>IF(AND(ISNUMBER(K426),ISNUMBER(L426),K426&gt;0),1-L426/K426,"")</f>
        <v/>
      </c>
      <c r="N426" s="16" t="n">
        <v>0</v>
      </c>
      <c r="O426" s="12" t="n"/>
      <c r="P426" s="12" t="n"/>
      <c r="Q426" s="12" t="n"/>
      <c r="R426" s="14">
        <f>IF(AND(ISNUMBER(L426),ISNUMBER(P426),ISNUMBER(Q426)),L426/((P426+Q426)/2)-1,"")</f>
        <v/>
      </c>
      <c r="S426" s="10" t="n"/>
      <c r="T426" s="15" t="n">
        <v>149172</v>
      </c>
      <c r="U426" s="16" t="n">
        <v>2004</v>
      </c>
      <c r="V426" s="10" t="n"/>
      <c r="W426" s="10" t="inlineStr">
        <is>
          <t>Essence</t>
        </is>
      </c>
      <c r="X426" s="10" t="inlineStr">
        <is>
          <t>Manuelle</t>
        </is>
      </c>
      <c r="Y426" s="16" t="n">
        <v>355</v>
      </c>
      <c r="Z426" s="16" t="n">
        <v>26</v>
      </c>
      <c r="AA426" s="10" t="inlineStr">
        <is>
          <t>Gris</t>
        </is>
      </c>
      <c r="AB426" s="16" t="n">
        <v>2</v>
      </c>
      <c r="AC426" s="10" t="inlineStr">
        <is>
          <t>Coupe</t>
        </is>
      </c>
      <c r="AD426" s="10" t="n"/>
      <c r="AE426" s="10" t="n"/>
      <c r="AF426" s="10" t="inlineStr">
        <is>
          <t>Pro</t>
        </is>
      </c>
      <c r="AG426" s="10" t="inlineStr">
        <is>
          <t>Vitré</t>
        </is>
      </c>
      <c r="AH426" s="10" t="inlineStr">
        <is>
          <t>35500</t>
        </is>
      </c>
      <c r="AI426" s="10" t="inlineStr">
        <is>
          <t>Ille-et-Vilaine</t>
        </is>
      </c>
      <c r="AJ426" s="10" t="inlineStr">
        <is>
          <t>Bretagne</t>
        </is>
      </c>
      <c r="AK426" s="16" t="n"/>
      <c r="AL426" s="10" t="inlineStr">
        <is>
          <t>Oui</t>
        </is>
      </c>
      <c r="AM426" s="10" t="n"/>
      <c r="AN426" s="10" t="n"/>
      <c r="AO426" s="10" t="n"/>
      <c r="AP426" s="19" t="inlineStr">
        <is>
          <t>Voir</t>
        </is>
      </c>
      <c r="AQ426" s="10" t="inlineStr">
        <is>
          <t>2751924257</t>
        </is>
      </c>
    </row>
    <row r="427">
      <c r="A427" s="10" t="inlineStr">
        <is>
          <t>Porsche 911 997 Carrera S</t>
        </is>
      </c>
      <c r="B427" s="10" t="inlineStr">
        <is>
          <t>Porsche 911 CABRIOLET (997) CARRERA 4 TIPTRONIC S</t>
        </is>
      </c>
      <c r="C427" s="10" t="n"/>
      <c r="D427" s="10" t="n"/>
      <c r="E427" s="10" t="inlineStr">
        <is>
          <t>En vente</t>
        </is>
      </c>
      <c r="F427" s="18" t="n">
        <v>45854</v>
      </c>
      <c r="G427" s="18" t="n">
        <v>45854</v>
      </c>
      <c r="H427" s="18" t="n">
        <v>46296</v>
      </c>
      <c r="I427" s="18" t="n"/>
      <c r="J427" s="17">
        <f>IF(OR(ISNUMBER(F427),ISNUMBER(G427)),IF(ISNUMBER(I427),I427,H427)-IF(ISNUMBER(F427),F427,G427),"")</f>
        <v/>
      </c>
      <c r="K427" s="12" t="n">
        <v>48000</v>
      </c>
      <c r="L427" s="12" t="n">
        <v>48000</v>
      </c>
      <c r="M427" s="13">
        <f>IF(AND(ISNUMBER(K427),ISNUMBER(L427),K427&gt;0),1-L427/K427,"")</f>
        <v/>
      </c>
      <c r="N427" s="16" t="n">
        <v>0</v>
      </c>
      <c r="O427" s="12" t="n"/>
      <c r="P427" s="12" t="n"/>
      <c r="Q427" s="12" t="n"/>
      <c r="R427" s="14">
        <f>IF(AND(ISNUMBER(L427),ISNUMBER(P427),ISNUMBER(Q427)),L427/((P427+Q427)/2)-1,"")</f>
        <v/>
      </c>
      <c r="S427" s="10" t="n"/>
      <c r="T427" s="15" t="n">
        <v>155000</v>
      </c>
      <c r="U427" s="16" t="n">
        <v>2007</v>
      </c>
      <c r="V427" s="10" t="n"/>
      <c r="W427" s="10" t="inlineStr">
        <is>
          <t>Essence</t>
        </is>
      </c>
      <c r="X427" s="10" t="inlineStr">
        <is>
          <t>Automatique</t>
        </is>
      </c>
      <c r="Y427" s="16" t="n">
        <v>325</v>
      </c>
      <c r="Z427" s="16" t="n">
        <v>24</v>
      </c>
      <c r="AA427" s="10" t="inlineStr">
        <is>
          <t>Noir</t>
        </is>
      </c>
      <c r="AB427" s="16" t="n"/>
      <c r="AC427" s="10" t="inlineStr">
        <is>
          <t>Cabriolet</t>
        </is>
      </c>
      <c r="AD427" s="10" t="n"/>
      <c r="AE427" s="10" t="n"/>
      <c r="AF427" s="10" t="inlineStr">
        <is>
          <t>Pro</t>
        </is>
      </c>
      <c r="AG427" s="10" t="inlineStr">
        <is>
          <t>Aubière</t>
        </is>
      </c>
      <c r="AH427" s="10" t="inlineStr">
        <is>
          <t>63170</t>
        </is>
      </c>
      <c r="AI427" s="10" t="inlineStr">
        <is>
          <t>Puy-de-Dôme</t>
        </is>
      </c>
      <c r="AJ427" s="10" t="inlineStr">
        <is>
          <t>Auvergne</t>
        </is>
      </c>
      <c r="AK427" s="16" t="n"/>
      <c r="AL427" s="10" t="inlineStr">
        <is>
          <t>Oui</t>
        </is>
      </c>
      <c r="AM427" s="10" t="n"/>
      <c r="AN427" s="10" t="n"/>
      <c r="AO427" s="10" t="n"/>
      <c r="AP427" s="19" t="inlineStr">
        <is>
          <t>Voir</t>
        </is>
      </c>
      <c r="AQ427" s="10" t="inlineStr">
        <is>
          <t>3024366461</t>
        </is>
      </c>
    </row>
    <row r="428">
      <c r="A428" s="10" t="inlineStr">
        <is>
          <t>Porsche 911 997 Carrera S</t>
        </is>
      </c>
      <c r="B428" s="10" t="inlineStr">
        <is>
          <t>Porsche 911 (997) Carrera S 3.8i TipTronic / PASM Bose Echappement Sport Toit Ouvrant etc</t>
        </is>
      </c>
      <c r="C428" s="10" t="n"/>
      <c r="D428" s="10" t="n"/>
      <c r="E428" s="10" t="inlineStr">
        <is>
          <t>En vente</t>
        </is>
      </c>
      <c r="F428" s="18" t="n">
        <v>45915</v>
      </c>
      <c r="G428" s="18" t="n">
        <v>45915</v>
      </c>
      <c r="H428" s="18" t="n">
        <v>46296</v>
      </c>
      <c r="I428" s="18" t="n"/>
      <c r="J428" s="17">
        <f>IF(OR(ISNUMBER(F428),ISNUMBER(G428)),IF(ISNUMBER(I428),I428,H428)-IF(ISNUMBER(F428),F428,G428),"")</f>
        <v/>
      </c>
      <c r="K428" s="12" t="n">
        <v>46990</v>
      </c>
      <c r="L428" s="12" t="n">
        <v>46990</v>
      </c>
      <c r="M428" s="13">
        <f>IF(AND(ISNUMBER(K428),ISNUMBER(L428),K428&gt;0),1-L428/K428,"")</f>
        <v/>
      </c>
      <c r="N428" s="16" t="n">
        <v>0</v>
      </c>
      <c r="O428" s="12" t="n"/>
      <c r="P428" s="12" t="n"/>
      <c r="Q428" s="12" t="n"/>
      <c r="R428" s="14">
        <f>IF(AND(ISNUMBER(L428),ISNUMBER(P428),ISNUMBER(Q428)),L428/((P428+Q428)/2)-1,"")</f>
        <v/>
      </c>
      <c r="S428" s="10" t="n"/>
      <c r="T428" s="15" t="n">
        <v>140069</v>
      </c>
      <c r="U428" s="16" t="n">
        <v>2006</v>
      </c>
      <c r="V428" s="10" t="n"/>
      <c r="W428" s="10" t="inlineStr">
        <is>
          <t>Essence</t>
        </is>
      </c>
      <c r="X428" s="10" t="inlineStr">
        <is>
          <t>Automatique</t>
        </is>
      </c>
      <c r="Y428" s="16" t="n">
        <v>355</v>
      </c>
      <c r="Z428" s="16" t="n">
        <v>26</v>
      </c>
      <c r="AA428" s="10" t="inlineStr">
        <is>
          <t>Noir</t>
        </is>
      </c>
      <c r="AB428" s="16" t="n">
        <v>2</v>
      </c>
      <c r="AC428" s="10" t="inlineStr">
        <is>
          <t>Coupe</t>
        </is>
      </c>
      <c r="AD428" s="10" t="n"/>
      <c r="AE428" s="10" t="n"/>
      <c r="AF428" s="10" t="inlineStr">
        <is>
          <t>Pro</t>
        </is>
      </c>
      <c r="AG428" s="10" t="inlineStr">
        <is>
          <t>Libourne</t>
        </is>
      </c>
      <c r="AH428" s="10" t="inlineStr">
        <is>
          <t>33500</t>
        </is>
      </c>
      <c r="AI428" s="10" t="inlineStr">
        <is>
          <t>Gironde</t>
        </is>
      </c>
      <c r="AJ428" s="10" t="inlineStr">
        <is>
          <t>Aquitaine</t>
        </is>
      </c>
      <c r="AK428" s="16" t="n"/>
      <c r="AL428" s="10" t="inlineStr">
        <is>
          <t>Oui</t>
        </is>
      </c>
      <c r="AM428" s="10" t="n"/>
      <c r="AN428" s="10" t="n"/>
      <c r="AO428" s="10" t="n"/>
      <c r="AP428" s="19" t="inlineStr">
        <is>
          <t>Voir</t>
        </is>
      </c>
      <c r="AQ428" s="10" t="inlineStr">
        <is>
          <t>3058221809</t>
        </is>
      </c>
    </row>
    <row r="429">
      <c r="A429" s="10" t="inlineStr">
        <is>
          <t>Porsche 911 997 Carrera S</t>
        </is>
      </c>
      <c r="B429" s="10" t="inlineStr">
        <is>
          <t>Porsche 911 997 Cabriolet Carrera S 3.8 355ch Boîte Manuelle</t>
        </is>
      </c>
      <c r="C429" s="10" t="n"/>
      <c r="D429" s="10" t="n"/>
      <c r="E429" s="10" t="inlineStr">
        <is>
          <t>En vente</t>
        </is>
      </c>
      <c r="F429" s="18" t="n">
        <v>46274</v>
      </c>
      <c r="G429" s="18" t="n">
        <v>46274</v>
      </c>
      <c r="H429" s="18" t="n">
        <v>46296</v>
      </c>
      <c r="I429" s="18" t="n"/>
      <c r="J429" s="17">
        <f>IF(OR(ISNUMBER(F429),ISNUMBER(G429)),IF(ISNUMBER(I429),I429,H429)-IF(ISNUMBER(F429),F429,G429),"")</f>
        <v/>
      </c>
      <c r="K429" s="12" t="n">
        <v>58900</v>
      </c>
      <c r="L429" s="12" t="n">
        <v>58900</v>
      </c>
      <c r="M429" s="13">
        <f>IF(AND(ISNUMBER(K429),ISNUMBER(L429),K429&gt;0),1-L429/K429,"")</f>
        <v/>
      </c>
      <c r="N429" s="16" t="n">
        <v>0</v>
      </c>
      <c r="O429" s="12" t="n"/>
      <c r="P429" s="12" t="n"/>
      <c r="Q429" s="12" t="n"/>
      <c r="R429" s="14">
        <f>IF(AND(ISNUMBER(L429),ISNUMBER(P429),ISNUMBER(Q429)),L429/((P429+Q429)/2)-1,"")</f>
        <v/>
      </c>
      <c r="S429" s="10" t="n"/>
      <c r="T429" s="15" t="n">
        <v>107019</v>
      </c>
      <c r="U429" s="16" t="n">
        <v>2005</v>
      </c>
      <c r="V429" s="10" t="n"/>
      <c r="W429" s="10" t="inlineStr">
        <is>
          <t>Essence</t>
        </is>
      </c>
      <c r="X429" s="10" t="inlineStr">
        <is>
          <t>Manuelle</t>
        </is>
      </c>
      <c r="Y429" s="16" t="n">
        <v>355</v>
      </c>
      <c r="Z429" s="16" t="n">
        <v>26</v>
      </c>
      <c r="AA429" s="10" t="inlineStr">
        <is>
          <t>Noir</t>
        </is>
      </c>
      <c r="AB429" s="16" t="n">
        <v>2</v>
      </c>
      <c r="AC429" s="10" t="inlineStr">
        <is>
          <t>Cabriolet</t>
        </is>
      </c>
      <c r="AD429" s="10" t="n"/>
      <c r="AE429" s="10" t="n"/>
      <c r="AF429" s="10" t="inlineStr">
        <is>
          <t>Pro</t>
        </is>
      </c>
      <c r="AG429" s="10" t="inlineStr">
        <is>
          <t>Perpignan</t>
        </is>
      </c>
      <c r="AH429" s="10" t="inlineStr">
        <is>
          <t>66100</t>
        </is>
      </c>
      <c r="AI429" s="10" t="inlineStr">
        <is>
          <t>Pyrénées-Orientales</t>
        </is>
      </c>
      <c r="AJ429" s="10" t="inlineStr">
        <is>
          <t>Languedoc-Roussillon</t>
        </is>
      </c>
      <c r="AK429" s="16" t="n"/>
      <c r="AL429" s="10" t="inlineStr">
        <is>
          <t>Oui</t>
        </is>
      </c>
      <c r="AM429" s="10" t="n"/>
      <c r="AN429" s="10" t="n"/>
      <c r="AO429" s="10" t="n"/>
      <c r="AP429" s="19" t="inlineStr">
        <is>
          <t>Voir</t>
        </is>
      </c>
      <c r="AQ429" s="10" t="inlineStr">
        <is>
          <t>3100841497</t>
        </is>
      </c>
    </row>
    <row r="430">
      <c r="A430" s="10" t="inlineStr">
        <is>
          <t>Porsche 911 997 Carrera S</t>
        </is>
      </c>
      <c r="B430" s="10" t="inlineStr">
        <is>
          <t>PORSCHE 911 COUPE (997) carrera s</t>
        </is>
      </c>
      <c r="C430" s="10" t="n"/>
      <c r="D430" s="10" t="n"/>
      <c r="E430" s="10" t="inlineStr">
        <is>
          <t>En vente</t>
        </is>
      </c>
      <c r="F430" s="18" t="n">
        <v>46122</v>
      </c>
      <c r="G430" s="18" t="n">
        <v>46122</v>
      </c>
      <c r="H430" s="18" t="n">
        <v>46296</v>
      </c>
      <c r="I430" s="18" t="n"/>
      <c r="J430" s="17">
        <f>IF(OR(ISNUMBER(F430),ISNUMBER(G430)),IF(ISNUMBER(I430),I430,H430)-IF(ISNUMBER(F430),F430,G430),"")</f>
        <v/>
      </c>
      <c r="K430" s="12" t="n">
        <v>49980</v>
      </c>
      <c r="L430" s="12" t="n">
        <v>49980</v>
      </c>
      <c r="M430" s="13">
        <f>IF(AND(ISNUMBER(K430),ISNUMBER(L430),K430&gt;0),1-L430/K430,"")</f>
        <v/>
      </c>
      <c r="N430" s="16" t="n">
        <v>0</v>
      </c>
      <c r="O430" s="12" t="n"/>
      <c r="P430" s="12" t="n"/>
      <c r="Q430" s="12" t="n"/>
      <c r="R430" s="14">
        <f>IF(AND(ISNUMBER(L430),ISNUMBER(P430),ISNUMBER(Q430)),L430/((P430+Q430)/2)-1,"")</f>
        <v/>
      </c>
      <c r="S430" s="10" t="n"/>
      <c r="T430" s="15" t="n">
        <v>149934</v>
      </c>
      <c r="U430" s="16" t="n">
        <v>2008</v>
      </c>
      <c r="V430" s="10" t="n"/>
      <c r="W430" s="10" t="inlineStr">
        <is>
          <t>Essence</t>
        </is>
      </c>
      <c r="X430" s="10" t="inlineStr">
        <is>
          <t>Manuelle</t>
        </is>
      </c>
      <c r="Y430" s="16" t="n">
        <v>355</v>
      </c>
      <c r="Z430" s="16" t="n">
        <v>26</v>
      </c>
      <c r="AA430" s="10" t="inlineStr">
        <is>
          <t>Gris</t>
        </is>
      </c>
      <c r="AB430" s="16" t="n"/>
      <c r="AC430" s="10" t="inlineStr">
        <is>
          <t>Coupe</t>
        </is>
      </c>
      <c r="AD430" s="10" t="n"/>
      <c r="AE430" s="10" t="n"/>
      <c r="AF430" s="10" t="inlineStr">
        <is>
          <t>Pro</t>
        </is>
      </c>
      <c r="AG430" s="10" t="inlineStr">
        <is>
          <t>Chavelot</t>
        </is>
      </c>
      <c r="AH430" s="10" t="inlineStr">
        <is>
          <t>88150</t>
        </is>
      </c>
      <c r="AI430" s="10" t="inlineStr">
        <is>
          <t>Vosges</t>
        </is>
      </c>
      <c r="AJ430" s="10" t="inlineStr">
        <is>
          <t>Lorraine</t>
        </is>
      </c>
      <c r="AK430" s="16" t="n"/>
      <c r="AL430" s="10" t="inlineStr">
        <is>
          <t>Oui</t>
        </is>
      </c>
      <c r="AM430" s="10" t="n"/>
      <c r="AN430" s="10" t="n"/>
      <c r="AO430" s="10" t="n"/>
      <c r="AP430" s="19" t="inlineStr">
        <is>
          <t>Voir</t>
        </is>
      </c>
      <c r="AQ430" s="10" t="inlineStr">
        <is>
          <t>3177094157</t>
        </is>
      </c>
    </row>
    <row r="431">
      <c r="A431" s="10" t="inlineStr">
        <is>
          <t>Porsche 911 997 Carrera S</t>
        </is>
      </c>
      <c r="B431" s="10" t="inlineStr">
        <is>
          <t>Porsche 911 IV (997) Carrera S TipTronic</t>
        </is>
      </c>
      <c r="C431" s="10" t="n"/>
      <c r="D431" s="10" t="n"/>
      <c r="E431" s="10" t="inlineStr">
        <is>
          <t>En vente</t>
        </is>
      </c>
      <c r="F431" s="18" t="n">
        <v>46278</v>
      </c>
      <c r="G431" s="18" t="n">
        <v>46278</v>
      </c>
      <c r="H431" s="18" t="n">
        <v>46296</v>
      </c>
      <c r="I431" s="18" t="n"/>
      <c r="J431" s="17">
        <f>IF(OR(ISNUMBER(F431),ISNUMBER(G431)),IF(ISNUMBER(I431),I431,H431)-IF(ISNUMBER(F431),F431,G431),"")</f>
        <v/>
      </c>
      <c r="K431" s="12" t="n">
        <v>49990</v>
      </c>
      <c r="L431" s="12" t="n">
        <v>49990</v>
      </c>
      <c r="M431" s="13">
        <f>IF(AND(ISNUMBER(K431),ISNUMBER(L431),K431&gt;0),1-L431/K431,"")</f>
        <v/>
      </c>
      <c r="N431" s="16" t="n">
        <v>0</v>
      </c>
      <c r="O431" s="12" t="n"/>
      <c r="P431" s="12" t="n"/>
      <c r="Q431" s="12" t="n"/>
      <c r="R431" s="14">
        <f>IF(AND(ISNUMBER(L431),ISNUMBER(P431),ISNUMBER(Q431)),L431/((P431+Q431)/2)-1,"")</f>
        <v/>
      </c>
      <c r="S431" s="10" t="n"/>
      <c r="T431" s="15" t="n">
        <v>87800</v>
      </c>
      <c r="U431" s="16" t="n">
        <v>2007</v>
      </c>
      <c r="V431" s="10" t="n"/>
      <c r="W431" s="10" t="inlineStr">
        <is>
          <t>Essence</t>
        </is>
      </c>
      <c r="X431" s="10" t="inlineStr">
        <is>
          <t>Automatique</t>
        </is>
      </c>
      <c r="Y431" s="16" t="n">
        <v>355</v>
      </c>
      <c r="Z431" s="16" t="n">
        <v>26</v>
      </c>
      <c r="AA431" s="10" t="inlineStr">
        <is>
          <t>Gris</t>
        </is>
      </c>
      <c r="AB431" s="16" t="n">
        <v>2</v>
      </c>
      <c r="AC431" s="10" t="inlineStr">
        <is>
          <t>Coupe</t>
        </is>
      </c>
      <c r="AD431" s="10" t="n"/>
      <c r="AE431" s="10" t="n"/>
      <c r="AF431" s="10" t="inlineStr">
        <is>
          <t>Pro</t>
        </is>
      </c>
      <c r="AG431" s="10" t="inlineStr">
        <is>
          <t>Méry-sur-Oise</t>
        </is>
      </c>
      <c r="AH431" s="10" t="inlineStr">
        <is>
          <t>95540</t>
        </is>
      </c>
      <c r="AI431" s="10" t="inlineStr">
        <is>
          <t>Val-d'Oise</t>
        </is>
      </c>
      <c r="AJ431" s="10" t="inlineStr">
        <is>
          <t>Ile-de-France</t>
        </is>
      </c>
      <c r="AK431" s="16" t="n"/>
      <c r="AL431" s="10" t="inlineStr">
        <is>
          <t>Oui</t>
        </is>
      </c>
      <c r="AM431" s="10" t="n"/>
      <c r="AN431" s="10" t="n"/>
      <c r="AO431" s="10" t="n"/>
      <c r="AP431" s="19" t="inlineStr">
        <is>
          <t>Voir</t>
        </is>
      </c>
      <c r="AQ431" s="10" t="inlineStr">
        <is>
          <t>3203471672</t>
        </is>
      </c>
    </row>
    <row r="432">
      <c r="A432" s="10" t="inlineStr">
        <is>
          <t>Porsche 911 997 Carrera S</t>
        </is>
      </c>
      <c r="B432" s="10" t="inlineStr">
        <is>
          <t>Porsche 911 IV (997) Carrera 4S TipTronic S</t>
        </is>
      </c>
      <c r="C432" s="10" t="n"/>
      <c r="D432" s="10" t="n"/>
      <c r="E432" s="10" t="inlineStr">
        <is>
          <t>En vente</t>
        </is>
      </c>
      <c r="F432" s="18" t="n">
        <v>46285</v>
      </c>
      <c r="G432" s="18" t="n">
        <v>46285</v>
      </c>
      <c r="H432" s="18" t="n">
        <v>46296</v>
      </c>
      <c r="I432" s="18" t="n"/>
      <c r="J432" s="17">
        <f>IF(OR(ISNUMBER(F432),ISNUMBER(G432)),IF(ISNUMBER(I432),I432,H432)-IF(ISNUMBER(F432),F432,G432),"")</f>
        <v/>
      </c>
      <c r="K432" s="12" t="n">
        <v>49990</v>
      </c>
      <c r="L432" s="12" t="n">
        <v>49990</v>
      </c>
      <c r="M432" s="13">
        <f>IF(AND(ISNUMBER(K432),ISNUMBER(L432),K432&gt;0),1-L432/K432,"")</f>
        <v/>
      </c>
      <c r="N432" s="16" t="n">
        <v>0</v>
      </c>
      <c r="O432" s="12" t="n"/>
      <c r="P432" s="12" t="n"/>
      <c r="Q432" s="12" t="n"/>
      <c r="R432" s="14">
        <f>IF(AND(ISNUMBER(L432),ISNUMBER(P432),ISNUMBER(Q432)),L432/((P432+Q432)/2)-1,"")</f>
        <v/>
      </c>
      <c r="S432" s="10" t="n"/>
      <c r="T432" s="15" t="n">
        <v>142000</v>
      </c>
      <c r="U432" s="16" t="n">
        <v>2007</v>
      </c>
      <c r="V432" s="10" t="n"/>
      <c r="W432" s="10" t="inlineStr">
        <is>
          <t>Essence</t>
        </is>
      </c>
      <c r="X432" s="10" t="inlineStr">
        <is>
          <t>Automatique</t>
        </is>
      </c>
      <c r="Y432" s="16" t="n">
        <v>355</v>
      </c>
      <c r="Z432" s="16" t="n">
        <v>26</v>
      </c>
      <c r="AA432" s="10" t="inlineStr">
        <is>
          <t>Autre</t>
        </is>
      </c>
      <c r="AB432" s="16" t="n">
        <v>2</v>
      </c>
      <c r="AC432" s="10" t="inlineStr">
        <is>
          <t>Coupe</t>
        </is>
      </c>
      <c r="AD432" s="10" t="n"/>
      <c r="AE432" s="10" t="n"/>
      <c r="AF432" s="10" t="inlineStr">
        <is>
          <t>Pro</t>
        </is>
      </c>
      <c r="AG432" s="10" t="inlineStr">
        <is>
          <t>Méry-sur-Oise</t>
        </is>
      </c>
      <c r="AH432" s="10" t="inlineStr">
        <is>
          <t>95540</t>
        </is>
      </c>
      <c r="AI432" s="10" t="inlineStr">
        <is>
          <t>Val-d'Oise</t>
        </is>
      </c>
      <c r="AJ432" s="10" t="inlineStr">
        <is>
          <t>Ile-de-France</t>
        </is>
      </c>
      <c r="AK432" s="16" t="n"/>
      <c r="AL432" s="10" t="inlineStr">
        <is>
          <t>Oui</t>
        </is>
      </c>
      <c r="AM432" s="10" t="n"/>
      <c r="AN432" s="10" t="n"/>
      <c r="AO432" s="10" t="n"/>
      <c r="AP432" s="19" t="inlineStr">
        <is>
          <t>Voir</t>
        </is>
      </c>
      <c r="AQ432" s="10" t="inlineStr">
        <is>
          <t>3207867613</t>
        </is>
      </c>
    </row>
    <row r="433">
      <c r="A433" s="10" t="inlineStr">
        <is>
          <t>Porsche 911 997 Carrera S</t>
        </is>
      </c>
      <c r="B433" s="10" t="inlineStr">
        <is>
          <t>Porsche 911 (997) cabriolet 3.8 355 carrera s tiptronic / suivi d'entretien limpide / garanti 12m p&amp;mo</t>
        </is>
      </c>
      <c r="C433" s="10" t="n"/>
      <c r="D433" s="10" t="n"/>
      <c r="E433" s="10" t="inlineStr">
        <is>
          <t>En vente</t>
        </is>
      </c>
      <c r="F433" s="18" t="n">
        <v>46266</v>
      </c>
      <c r="G433" s="18" t="n">
        <v>46266</v>
      </c>
      <c r="H433" s="18" t="n">
        <v>46296</v>
      </c>
      <c r="I433" s="18" t="n"/>
      <c r="J433" s="17">
        <f>IF(OR(ISNUMBER(F433),ISNUMBER(G433)),IF(ISNUMBER(I433),I433,H433)-IF(ISNUMBER(F433),F433,G433),"")</f>
        <v/>
      </c>
      <c r="K433" s="12" t="n">
        <v>52980</v>
      </c>
      <c r="L433" s="12" t="n">
        <v>52980</v>
      </c>
      <c r="M433" s="13">
        <f>IF(AND(ISNUMBER(K433),ISNUMBER(L433),K433&gt;0),1-L433/K433,"")</f>
        <v/>
      </c>
      <c r="N433" s="16" t="n">
        <v>0</v>
      </c>
      <c r="O433" s="12" t="n"/>
      <c r="P433" s="12" t="n"/>
      <c r="Q433" s="12" t="n"/>
      <c r="R433" s="14">
        <f>IF(AND(ISNUMBER(L433),ISNUMBER(P433),ISNUMBER(Q433)),L433/((P433+Q433)/2)-1,"")</f>
        <v/>
      </c>
      <c r="S433" s="10" t="n"/>
      <c r="T433" s="15" t="n">
        <v>105100</v>
      </c>
      <c r="U433" s="16" t="n">
        <v>2008</v>
      </c>
      <c r="V433" s="10" t="n"/>
      <c r="W433" s="10" t="inlineStr">
        <is>
          <t>Essence</t>
        </is>
      </c>
      <c r="X433" s="10" t="inlineStr">
        <is>
          <t>Automatique</t>
        </is>
      </c>
      <c r="Y433" s="16" t="n">
        <v>355</v>
      </c>
      <c r="Z433" s="16" t="n">
        <v>26</v>
      </c>
      <c r="AA433" s="10" t="inlineStr">
        <is>
          <t>Gris</t>
        </is>
      </c>
      <c r="AB433" s="16" t="n">
        <v>2</v>
      </c>
      <c r="AC433" s="10" t="inlineStr">
        <is>
          <t>Cabriolet</t>
        </is>
      </c>
      <c r="AD433" s="10" t="n"/>
      <c r="AE433" s="10" t="n"/>
      <c r="AF433" s="10" t="inlineStr">
        <is>
          <t>Pro</t>
        </is>
      </c>
      <c r="AG433" s="10" t="inlineStr">
        <is>
          <t>Fontenay-sur-Eure</t>
        </is>
      </c>
      <c r="AH433" s="10" t="inlineStr">
        <is>
          <t>28630</t>
        </is>
      </c>
      <c r="AI433" s="10" t="inlineStr">
        <is>
          <t>Eure-et-Loir</t>
        </is>
      </c>
      <c r="AJ433" s="10" t="inlineStr">
        <is>
          <t>Centre</t>
        </is>
      </c>
      <c r="AK433" s="16" t="n"/>
      <c r="AL433" s="10" t="inlineStr">
        <is>
          <t>Oui</t>
        </is>
      </c>
      <c r="AM433" s="10" t="n"/>
      <c r="AN433" s="10" t="n"/>
      <c r="AO433" s="10" t="n"/>
      <c r="AP433" s="19" t="inlineStr">
        <is>
          <t>Voir</t>
        </is>
      </c>
      <c r="AQ433" s="10" t="inlineStr">
        <is>
          <t>3225420947</t>
        </is>
      </c>
    </row>
    <row r="434">
      <c r="A434" s="10" t="inlineStr">
        <is>
          <t>Porsche 911 997 Carrera S</t>
        </is>
      </c>
      <c r="B434" s="10" t="inlineStr">
        <is>
          <t>PORSCHE 911 CARRERA COUPE 997 S Coupe 3.8i 355cv</t>
        </is>
      </c>
      <c r="C434" s="10" t="n"/>
      <c r="D434" s="10" t="n"/>
      <c r="E434" s="10" t="inlineStr">
        <is>
          <t>En vente</t>
        </is>
      </c>
      <c r="F434" s="18" t="n">
        <v>46261</v>
      </c>
      <c r="G434" s="18" t="n">
        <v>46261</v>
      </c>
      <c r="H434" s="18" t="n">
        <v>46296</v>
      </c>
      <c r="I434" s="18" t="n"/>
      <c r="J434" s="17">
        <f>IF(OR(ISNUMBER(F434),ISNUMBER(G434)),IF(ISNUMBER(I434),I434,H434)-IF(ISNUMBER(F434),F434,G434),"")</f>
        <v/>
      </c>
      <c r="K434" s="12" t="n">
        <v>48990</v>
      </c>
      <c r="L434" s="12" t="n">
        <v>48990</v>
      </c>
      <c r="M434" s="13">
        <f>IF(AND(ISNUMBER(K434),ISNUMBER(L434),K434&gt;0),1-L434/K434,"")</f>
        <v/>
      </c>
      <c r="N434" s="16" t="n">
        <v>0</v>
      </c>
      <c r="O434" s="12" t="n"/>
      <c r="P434" s="12" t="n"/>
      <c r="Q434" s="12" t="n"/>
      <c r="R434" s="14">
        <f>IF(AND(ISNUMBER(L434),ISNUMBER(P434),ISNUMBER(Q434)),L434/((P434+Q434)/2)-1,"")</f>
        <v/>
      </c>
      <c r="S434" s="10" t="n"/>
      <c r="T434" s="15" t="n">
        <v>124000</v>
      </c>
      <c r="U434" s="16" t="n">
        <v>2004</v>
      </c>
      <c r="V434" s="10" t="n"/>
      <c r="W434" s="10" t="inlineStr">
        <is>
          <t>Essence</t>
        </is>
      </c>
      <c r="X434" s="10" t="inlineStr">
        <is>
          <t>Manuelle</t>
        </is>
      </c>
      <c r="Y434" s="16" t="n">
        <v>355</v>
      </c>
      <c r="Z434" s="16" t="n">
        <v>26</v>
      </c>
      <c r="AA434" s="10" t="inlineStr">
        <is>
          <t>Noir</t>
        </is>
      </c>
      <c r="AB434" s="16" t="n">
        <v>2</v>
      </c>
      <c r="AC434" s="10" t="inlineStr">
        <is>
          <t>Coupe</t>
        </is>
      </c>
      <c r="AD434" s="10" t="n"/>
      <c r="AE434" s="10" t="n"/>
      <c r="AF434" s="10" t="inlineStr">
        <is>
          <t>Pro</t>
        </is>
      </c>
      <c r="AG434" s="10" t="inlineStr">
        <is>
          <t>Viriat</t>
        </is>
      </c>
      <c r="AH434" s="10" t="inlineStr">
        <is>
          <t>01440</t>
        </is>
      </c>
      <c r="AI434" s="10" t="inlineStr">
        <is>
          <t>Ain</t>
        </is>
      </c>
      <c r="AJ434" s="10" t="inlineStr">
        <is>
          <t>Rhône-Alpes</t>
        </is>
      </c>
      <c r="AK434" s="16" t="n"/>
      <c r="AL434" s="10" t="inlineStr">
        <is>
          <t>Oui</t>
        </is>
      </c>
      <c r="AM434" s="10" t="n"/>
      <c r="AN434" s="10" t="n"/>
      <c r="AO434" s="10" t="n"/>
      <c r="AP434" s="19" t="inlineStr">
        <is>
          <t>Voir</t>
        </is>
      </c>
      <c r="AQ434" s="10" t="inlineStr">
        <is>
          <t>3226399068</t>
        </is>
      </c>
    </row>
    <row r="435">
      <c r="A435" s="10" t="inlineStr">
        <is>
          <t>Porsche 911 997 Carrera S</t>
        </is>
      </c>
      <c r="B435" s="10" t="inlineStr">
        <is>
          <t>PORSCHE 911 CARRERA COUPE 997 S Coupe 3.8i</t>
        </is>
      </c>
      <c r="C435" s="10" t="n"/>
      <c r="D435" s="10" t="n"/>
      <c r="E435" s="10" t="inlineStr">
        <is>
          <t>En vente</t>
        </is>
      </c>
      <c r="F435" s="18" t="n">
        <v>46213</v>
      </c>
      <c r="G435" s="18" t="n">
        <v>46213</v>
      </c>
      <c r="H435" s="18" t="n">
        <v>46296</v>
      </c>
      <c r="I435" s="18" t="n"/>
      <c r="J435" s="17">
        <f>IF(OR(ISNUMBER(F435),ISNUMBER(G435)),IF(ISNUMBER(I435),I435,H435)-IF(ISNUMBER(F435),F435,G435),"")</f>
        <v/>
      </c>
      <c r="K435" s="12" t="n">
        <v>52980</v>
      </c>
      <c r="L435" s="12" t="n">
        <v>52980</v>
      </c>
      <c r="M435" s="13">
        <f>IF(AND(ISNUMBER(K435),ISNUMBER(L435),K435&gt;0),1-L435/K435,"")</f>
        <v/>
      </c>
      <c r="N435" s="16" t="n">
        <v>0</v>
      </c>
      <c r="O435" s="12" t="n"/>
      <c r="P435" s="12" t="n"/>
      <c r="Q435" s="12" t="n"/>
      <c r="R435" s="14">
        <f>IF(AND(ISNUMBER(L435),ISNUMBER(P435),ISNUMBER(Q435)),L435/((P435+Q435)/2)-1,"")</f>
        <v/>
      </c>
      <c r="S435" s="10" t="n"/>
      <c r="T435" s="15" t="n">
        <v>135000</v>
      </c>
      <c r="U435" s="16" t="n">
        <v>2007</v>
      </c>
      <c r="V435" s="10" t="n"/>
      <c r="W435" s="10" t="inlineStr">
        <is>
          <t>Essence</t>
        </is>
      </c>
      <c r="X435" s="10" t="inlineStr">
        <is>
          <t>Manuelle</t>
        </is>
      </c>
      <c r="Y435" s="16" t="n">
        <v>355</v>
      </c>
      <c r="Z435" s="16" t="n">
        <v>26</v>
      </c>
      <c r="AA435" s="10" t="inlineStr">
        <is>
          <t>Noir</t>
        </is>
      </c>
      <c r="AB435" s="16" t="n">
        <v>2</v>
      </c>
      <c r="AC435" s="10" t="n"/>
      <c r="AD435" s="10" t="n"/>
      <c r="AE435" s="10" t="n"/>
      <c r="AF435" s="10" t="inlineStr">
        <is>
          <t>Pro</t>
        </is>
      </c>
      <c r="AG435" s="10" t="inlineStr">
        <is>
          <t>Perrignier</t>
        </is>
      </c>
      <c r="AH435" s="10" t="inlineStr">
        <is>
          <t>74550</t>
        </is>
      </c>
      <c r="AI435" s="10" t="inlineStr">
        <is>
          <t>Haute-Savoie</t>
        </is>
      </c>
      <c r="AJ435" s="10" t="inlineStr">
        <is>
          <t>Rhône-Alpes</t>
        </is>
      </c>
      <c r="AK435" s="16" t="n"/>
      <c r="AL435" s="10" t="inlineStr">
        <is>
          <t>Oui</t>
        </is>
      </c>
      <c r="AM435" s="10" t="n"/>
      <c r="AN435" s="10" t="n"/>
      <c r="AO435" s="10" t="n"/>
      <c r="AP435" s="19" t="inlineStr">
        <is>
          <t>Voir</t>
        </is>
      </c>
      <c r="AQ435" s="10" t="inlineStr">
        <is>
          <t>3230591026</t>
        </is>
      </c>
    </row>
    <row r="436">
      <c r="A436" s="10" t="inlineStr">
        <is>
          <t>Porsche 911 997 Carrera S</t>
        </is>
      </c>
      <c r="B436" s="10" t="inlineStr">
        <is>
          <t>PORSCHE 911 Type 997 3.8 355ch Carrera S TipTronic S - 2005 - 182 000 km - Endoscope Cylindre réalisé - Suivi complet</t>
        </is>
      </c>
      <c r="C436" s="10" t="n"/>
      <c r="D436" s="10" t="n"/>
      <c r="E436" s="10" t="inlineStr">
        <is>
          <t>En vente</t>
        </is>
      </c>
      <c r="F436" s="18" t="n">
        <v>46214</v>
      </c>
      <c r="G436" s="18" t="n">
        <v>46214</v>
      </c>
      <c r="H436" s="18" t="n">
        <v>46296</v>
      </c>
      <c r="I436" s="18" t="n"/>
      <c r="J436" s="17">
        <f>IF(OR(ISNUMBER(F436),ISNUMBER(G436)),IF(ISNUMBER(I436),I436,H436)-IF(ISNUMBER(F436),F436,G436),"")</f>
        <v/>
      </c>
      <c r="K436" s="12" t="n">
        <v>39990</v>
      </c>
      <c r="L436" s="12" t="n">
        <v>39990</v>
      </c>
      <c r="M436" s="13">
        <f>IF(AND(ISNUMBER(K436),ISNUMBER(L436),K436&gt;0),1-L436/K436,"")</f>
        <v/>
      </c>
      <c r="N436" s="16" t="n">
        <v>0</v>
      </c>
      <c r="O436" s="12" t="n"/>
      <c r="P436" s="12" t="n"/>
      <c r="Q436" s="12" t="n"/>
      <c r="R436" s="14">
        <f>IF(AND(ISNUMBER(L436),ISNUMBER(P436),ISNUMBER(Q436)),L436/((P436+Q436)/2)-1,"")</f>
        <v/>
      </c>
      <c r="S436" s="10" t="n"/>
      <c r="T436" s="15" t="n">
        <v>182000</v>
      </c>
      <c r="U436" s="16" t="n">
        <v>2005</v>
      </c>
      <c r="V436" s="10" t="n"/>
      <c r="W436" s="10" t="inlineStr">
        <is>
          <t>Essence</t>
        </is>
      </c>
      <c r="X436" s="10" t="inlineStr">
        <is>
          <t>Automatique</t>
        </is>
      </c>
      <c r="Y436" s="16" t="n">
        <v>355</v>
      </c>
      <c r="Z436" s="16" t="n">
        <v>26</v>
      </c>
      <c r="AA436" s="10" t="inlineStr">
        <is>
          <t>Gris</t>
        </is>
      </c>
      <c r="AB436" s="16" t="n">
        <v>2</v>
      </c>
      <c r="AC436" s="10" t="inlineStr">
        <is>
          <t>Coupe</t>
        </is>
      </c>
      <c r="AD436" s="10" t="n"/>
      <c r="AE436" s="10" t="n"/>
      <c r="AF436" s="10" t="inlineStr">
        <is>
          <t>Pro</t>
        </is>
      </c>
      <c r="AG436" s="10" t="inlineStr">
        <is>
          <t>Chartres</t>
        </is>
      </c>
      <c r="AH436" s="10" t="inlineStr">
        <is>
          <t>28000</t>
        </is>
      </c>
      <c r="AI436" s="10" t="inlineStr">
        <is>
          <t>Eure-et-Loir</t>
        </is>
      </c>
      <c r="AJ436" s="10" t="inlineStr">
        <is>
          <t>Centre</t>
        </is>
      </c>
      <c r="AK436" s="16" t="n"/>
      <c r="AL436" s="10" t="inlineStr">
        <is>
          <t>Oui</t>
        </is>
      </c>
      <c r="AM436" s="10" t="n"/>
      <c r="AN436" s="10" t="n"/>
      <c r="AO436" s="10" t="n"/>
      <c r="AP436" s="19" t="inlineStr">
        <is>
          <t>Voir</t>
        </is>
      </c>
      <c r="AQ436" s="10" t="inlineStr">
        <is>
          <t>3231127202</t>
        </is>
      </c>
    </row>
    <row r="437">
      <c r="A437" s="10" t="inlineStr">
        <is>
          <t>Porsche 911 997 Carrera S</t>
        </is>
      </c>
      <c r="B437" s="10" t="inlineStr">
        <is>
          <t>PORSCHE 911 997 Carrera S 3.8 i Coupé 355 cv</t>
        </is>
      </c>
      <c r="C437" s="10" t="n"/>
      <c r="D437" s="10" t="n"/>
      <c r="E437" s="10" t="inlineStr">
        <is>
          <t>En vente</t>
        </is>
      </c>
      <c r="F437" s="18" t="n">
        <v>46219</v>
      </c>
      <c r="G437" s="18" t="n">
        <v>46219</v>
      </c>
      <c r="H437" s="18" t="n">
        <v>46296</v>
      </c>
      <c r="I437" s="18" t="n"/>
      <c r="J437" s="17">
        <f>IF(OR(ISNUMBER(F437),ISNUMBER(G437)),IF(ISNUMBER(I437),I437,H437)-IF(ISNUMBER(F437),F437,G437),"")</f>
        <v/>
      </c>
      <c r="K437" s="12" t="n">
        <v>49990</v>
      </c>
      <c r="L437" s="12" t="n">
        <v>49990</v>
      </c>
      <c r="M437" s="13">
        <f>IF(AND(ISNUMBER(K437),ISNUMBER(L437),K437&gt;0),1-L437/K437,"")</f>
        <v/>
      </c>
      <c r="N437" s="16" t="n">
        <v>0</v>
      </c>
      <c r="O437" s="12" t="n"/>
      <c r="P437" s="12" t="n"/>
      <c r="Q437" s="12" t="n"/>
      <c r="R437" s="14">
        <f>IF(AND(ISNUMBER(L437),ISNUMBER(P437),ISNUMBER(Q437)),L437/((P437+Q437)/2)-1,"")</f>
        <v/>
      </c>
      <c r="S437" s="10" t="n"/>
      <c r="T437" s="15" t="n">
        <v>110000</v>
      </c>
      <c r="U437" s="16" t="n">
        <v>2004</v>
      </c>
      <c r="V437" s="10" t="n"/>
      <c r="W437" s="10" t="inlineStr">
        <is>
          <t>Essence</t>
        </is>
      </c>
      <c r="X437" s="10" t="inlineStr">
        <is>
          <t>Manuelle</t>
        </is>
      </c>
      <c r="Y437" s="16" t="n">
        <v>355</v>
      </c>
      <c r="Z437" s="16" t="n">
        <v>26</v>
      </c>
      <c r="AA437" s="10" t="inlineStr">
        <is>
          <t>Gris</t>
        </is>
      </c>
      <c r="AB437" s="16" t="n">
        <v>999999</v>
      </c>
      <c r="AC437" s="10" t="inlineStr">
        <is>
          <t>Coupe</t>
        </is>
      </c>
      <c r="AD437" s="10" t="n"/>
      <c r="AE437" s="10" t="n"/>
      <c r="AF437" s="10" t="inlineStr">
        <is>
          <t>Pro</t>
        </is>
      </c>
      <c r="AG437" s="10" t="inlineStr">
        <is>
          <t>Dijon</t>
        </is>
      </c>
      <c r="AH437" s="10" t="inlineStr">
        <is>
          <t>21000</t>
        </is>
      </c>
      <c r="AI437" s="10" t="inlineStr">
        <is>
          <t>Côte-d'Or</t>
        </is>
      </c>
      <c r="AJ437" s="10" t="inlineStr">
        <is>
          <t>Bourgogne</t>
        </is>
      </c>
      <c r="AK437" s="16" t="n"/>
      <c r="AL437" s="10" t="n"/>
      <c r="AM437" s="10" t="n"/>
      <c r="AN437" s="10" t="n"/>
      <c r="AO437" s="10" t="n"/>
      <c r="AP437" s="19" t="inlineStr">
        <is>
          <t>Voir</t>
        </is>
      </c>
      <c r="AQ437" s="10" t="inlineStr">
        <is>
          <t>3234122932</t>
        </is>
      </c>
    </row>
    <row r="438">
      <c r="A438" s="10" t="inlineStr">
        <is>
          <t>Porsche 911 997 Carrera S</t>
        </is>
      </c>
      <c r="B438" s="10" t="inlineStr">
        <is>
          <t>Porsche 911 CABRIOLET (997) CARRERA S 3.8 355</t>
        </is>
      </c>
      <c r="C438" s="10" t="n"/>
      <c r="D438" s="10" t="n"/>
      <c r="E438" s="10" t="inlineStr">
        <is>
          <t>En vente</t>
        </is>
      </c>
      <c r="F438" s="18" t="n">
        <v>46289</v>
      </c>
      <c r="G438" s="18" t="n">
        <v>46289</v>
      </c>
      <c r="H438" s="18" t="n">
        <v>46296</v>
      </c>
      <c r="I438" s="18" t="n"/>
      <c r="J438" s="17">
        <f>IF(OR(ISNUMBER(F438),ISNUMBER(G438)),IF(ISNUMBER(I438),I438,H438)-IF(ISNUMBER(F438),F438,G438),"")</f>
        <v/>
      </c>
      <c r="K438" s="12" t="n">
        <v>49990</v>
      </c>
      <c r="L438" s="12" t="n">
        <v>49990</v>
      </c>
      <c r="M438" s="13">
        <f>IF(AND(ISNUMBER(K438),ISNUMBER(L438),K438&gt;0),1-L438/K438,"")</f>
        <v/>
      </c>
      <c r="N438" s="16" t="n">
        <v>0</v>
      </c>
      <c r="O438" s="12" t="n"/>
      <c r="P438" s="12" t="n"/>
      <c r="Q438" s="12" t="n"/>
      <c r="R438" s="14">
        <f>IF(AND(ISNUMBER(L438),ISNUMBER(P438),ISNUMBER(Q438)),L438/((P438+Q438)/2)-1,"")</f>
        <v/>
      </c>
      <c r="S438" s="10" t="n"/>
      <c r="T438" s="15" t="n">
        <v>93950</v>
      </c>
      <c r="U438" s="16" t="n">
        <v>2007</v>
      </c>
      <c r="V438" s="10" t="n"/>
      <c r="W438" s="10" t="inlineStr">
        <is>
          <t>Essence</t>
        </is>
      </c>
      <c r="X438" s="10" t="inlineStr">
        <is>
          <t>Manuelle</t>
        </is>
      </c>
      <c r="Y438" s="16" t="n">
        <v>355</v>
      </c>
      <c r="Z438" s="16" t="n">
        <v>26</v>
      </c>
      <c r="AA438" s="10" t="inlineStr">
        <is>
          <t>Bleu</t>
        </is>
      </c>
      <c r="AB438" s="16" t="n">
        <v>2</v>
      </c>
      <c r="AC438" s="10" t="inlineStr">
        <is>
          <t>Cabriolet</t>
        </is>
      </c>
      <c r="AD438" s="10" t="n"/>
      <c r="AE438" s="10" t="n"/>
      <c r="AF438" s="10" t="inlineStr">
        <is>
          <t>Pro</t>
        </is>
      </c>
      <c r="AG438" s="10" t="inlineStr">
        <is>
          <t>Rivery</t>
        </is>
      </c>
      <c r="AH438" s="10" t="inlineStr">
        <is>
          <t>80136</t>
        </is>
      </c>
      <c r="AI438" s="10" t="inlineStr">
        <is>
          <t>Somme</t>
        </is>
      </c>
      <c r="AJ438" s="10" t="inlineStr">
        <is>
          <t>Picardie</t>
        </is>
      </c>
      <c r="AK438" s="16" t="n"/>
      <c r="AL438" s="10" t="inlineStr">
        <is>
          <t>Oui</t>
        </is>
      </c>
      <c r="AM438" s="10" t="n"/>
      <c r="AN438" s="10" t="n"/>
      <c r="AO438" s="10" t="n"/>
      <c r="AP438" s="19" t="inlineStr">
        <is>
          <t>Voir</t>
        </is>
      </c>
      <c r="AQ438" s="10" t="inlineStr">
        <is>
          <t>3242206815</t>
        </is>
      </c>
    </row>
    <row r="439">
      <c r="A439" s="10" t="inlineStr">
        <is>
          <t>Porsche 911 997 Carrera S</t>
        </is>
      </c>
      <c r="B439" s="10" t="inlineStr">
        <is>
          <t>Porsche 911 997.1 Carrera 4S Cabriolet 3.8L 355 ch BVM - Suivi - Jantes Carrera S 19" - Garantie</t>
        </is>
      </c>
      <c r="C439" s="10" t="n"/>
      <c r="D439" s="10" t="n"/>
      <c r="E439" s="10" t="inlineStr">
        <is>
          <t>En vente</t>
        </is>
      </c>
      <c r="F439" s="18" t="n">
        <v>46265</v>
      </c>
      <c r="G439" s="18" t="n">
        <v>46265</v>
      </c>
      <c r="H439" s="18" t="n">
        <v>46296</v>
      </c>
      <c r="I439" s="18" t="n"/>
      <c r="J439" s="17">
        <f>IF(OR(ISNUMBER(F439),ISNUMBER(G439)),IF(ISNUMBER(I439),I439,H439)-IF(ISNUMBER(F439),F439,G439),"")</f>
        <v/>
      </c>
      <c r="K439" s="12" t="n">
        <v>63500</v>
      </c>
      <c r="L439" s="12" t="n">
        <v>63500</v>
      </c>
      <c r="M439" s="13">
        <f>IF(AND(ISNUMBER(K439),ISNUMBER(L439),K439&gt;0),1-L439/K439,"")</f>
        <v/>
      </c>
      <c r="N439" s="16" t="n">
        <v>0</v>
      </c>
      <c r="O439" s="12" t="n"/>
      <c r="P439" s="12" t="n"/>
      <c r="Q439" s="12" t="n"/>
      <c r="R439" s="14">
        <f>IF(AND(ISNUMBER(L439),ISNUMBER(P439),ISNUMBER(Q439)),L439/((P439+Q439)/2)-1,"")</f>
        <v/>
      </c>
      <c r="S439" s="10" t="n"/>
      <c r="T439" s="15" t="n">
        <v>76200</v>
      </c>
      <c r="U439" s="16" t="n">
        <v>2006</v>
      </c>
      <c r="V439" s="10" t="n"/>
      <c r="W439" s="10" t="inlineStr">
        <is>
          <t>Essence</t>
        </is>
      </c>
      <c r="X439" s="10" t="inlineStr">
        <is>
          <t>Manuelle</t>
        </is>
      </c>
      <c r="Y439" s="16" t="n">
        <v>355</v>
      </c>
      <c r="Z439" s="16" t="n">
        <v>26</v>
      </c>
      <c r="AA439" s="10" t="inlineStr">
        <is>
          <t>Noir</t>
        </is>
      </c>
      <c r="AB439" s="16" t="n">
        <v>2</v>
      </c>
      <c r="AC439" s="10" t="inlineStr">
        <is>
          <t>Cabriolet</t>
        </is>
      </c>
      <c r="AD439" s="10" t="n"/>
      <c r="AE439" s="10" t="n"/>
      <c r="AF439" s="10" t="inlineStr">
        <is>
          <t>Pro</t>
        </is>
      </c>
      <c r="AG439" s="10" t="inlineStr">
        <is>
          <t>Aix-en-Provence</t>
        </is>
      </c>
      <c r="AH439" s="10" t="inlineStr">
        <is>
          <t>13090</t>
        </is>
      </c>
      <c r="AI439" s="10" t="inlineStr">
        <is>
          <t>Bouches-du-Rhône</t>
        </is>
      </c>
      <c r="AJ439" s="10" t="inlineStr">
        <is>
          <t>Provence-Alpes-Côte d'Azur</t>
        </is>
      </c>
      <c r="AK439" s="16" t="n"/>
      <c r="AL439" s="10" t="inlineStr">
        <is>
          <t>Oui</t>
        </is>
      </c>
      <c r="AM439" s="10" t="n"/>
      <c r="AN439" s="10" t="n"/>
      <c r="AO439" s="10" t="n"/>
      <c r="AP439" s="19" t="inlineStr">
        <is>
          <t>Voir</t>
        </is>
      </c>
      <c r="AQ439" s="10" t="inlineStr">
        <is>
          <t>3260467720</t>
        </is>
      </c>
    </row>
    <row r="440">
      <c r="A440" s="10" t="inlineStr">
        <is>
          <t>Porsche 911 997 Carrera S</t>
        </is>
      </c>
      <c r="B440" s="10" t="inlineStr">
        <is>
          <t>Porsche 911 (997) carrera s cabriolet 3.8 – 355 ch – bvm6 – pack sport chrono –</t>
        </is>
      </c>
      <c r="C440" s="10" t="n"/>
      <c r="D440" s="10" t="n"/>
      <c r="E440" s="10" t="inlineStr">
        <is>
          <t>En vente</t>
        </is>
      </c>
      <c r="F440" s="18" t="n">
        <v>46266</v>
      </c>
      <c r="G440" s="18" t="n">
        <v>46266</v>
      </c>
      <c r="H440" s="18" t="n">
        <v>46296</v>
      </c>
      <c r="I440" s="18" t="n"/>
      <c r="J440" s="17">
        <f>IF(OR(ISNUMBER(F440),ISNUMBER(G440)),IF(ISNUMBER(I440),I440,H440)-IF(ISNUMBER(F440),F440,G440),"")</f>
        <v/>
      </c>
      <c r="K440" s="12" t="n">
        <v>50990</v>
      </c>
      <c r="L440" s="12" t="n">
        <v>50990</v>
      </c>
      <c r="M440" s="13">
        <f>IF(AND(ISNUMBER(K440),ISNUMBER(L440),K440&gt;0),1-L440/K440,"")</f>
        <v/>
      </c>
      <c r="N440" s="16" t="n">
        <v>0</v>
      </c>
      <c r="O440" s="12" t="n"/>
      <c r="P440" s="12" t="n"/>
      <c r="Q440" s="12" t="n"/>
      <c r="R440" s="14">
        <f>IF(AND(ISNUMBER(L440),ISNUMBER(P440),ISNUMBER(Q440)),L440/((P440+Q440)/2)-1,"")</f>
        <v/>
      </c>
      <c r="S440" s="10" t="n"/>
      <c r="T440" s="15" t="n">
        <v>117000</v>
      </c>
      <c r="U440" s="16" t="n">
        <v>2007</v>
      </c>
      <c r="V440" s="10" t="n"/>
      <c r="W440" s="10" t="inlineStr">
        <is>
          <t>Essence</t>
        </is>
      </c>
      <c r="X440" s="10" t="inlineStr">
        <is>
          <t>Manuelle</t>
        </is>
      </c>
      <c r="Y440" s="16" t="n">
        <v>355</v>
      </c>
      <c r="Z440" s="16" t="n">
        <v>26</v>
      </c>
      <c r="AA440" s="10" t="inlineStr">
        <is>
          <t>Gris</t>
        </is>
      </c>
      <c r="AB440" s="16" t="n">
        <v>2</v>
      </c>
      <c r="AC440" s="10" t="inlineStr">
        <is>
          <t>Cabriolet</t>
        </is>
      </c>
      <c r="AD440" s="10" t="n"/>
      <c r="AE440" s="10" t="n"/>
      <c r="AF440" s="10" t="inlineStr">
        <is>
          <t>Pro</t>
        </is>
      </c>
      <c r="AG440" s="10" t="inlineStr">
        <is>
          <t>Arcachon</t>
        </is>
      </c>
      <c r="AH440" s="10" t="inlineStr">
        <is>
          <t>33120</t>
        </is>
      </c>
      <c r="AI440" s="10" t="inlineStr">
        <is>
          <t>Gironde</t>
        </is>
      </c>
      <c r="AJ440" s="10" t="inlineStr">
        <is>
          <t>Aquitaine</t>
        </is>
      </c>
      <c r="AK440" s="16" t="n"/>
      <c r="AL440" s="10" t="n"/>
      <c r="AM440" s="10" t="n"/>
      <c r="AN440" s="10" t="n"/>
      <c r="AO440" s="10" t="n"/>
      <c r="AP440" s="19" t="inlineStr">
        <is>
          <t>Voir</t>
        </is>
      </c>
      <c r="AQ440" s="10" t="inlineStr">
        <is>
          <t>3260820600</t>
        </is>
      </c>
    </row>
    <row r="441">
      <c r="A441" s="10" t="inlineStr">
        <is>
          <t>Porsche 911 997 Carrera S</t>
        </is>
      </c>
      <c r="B441" s="10" t="inlineStr">
        <is>
          <t>Porsche 911 997.1 Coupe 3.8 355 ch Carrera S TIPTRONIC / Toit ouvrant / PASM / IMS OK / Gris Météor</t>
        </is>
      </c>
      <c r="C441" s="10" t="n"/>
      <c r="D441" s="10" t="n"/>
      <c r="E441" s="10" t="inlineStr">
        <is>
          <t>En vente</t>
        </is>
      </c>
      <c r="F441" s="18" t="n">
        <v>46269</v>
      </c>
      <c r="G441" s="18" t="n">
        <v>46269</v>
      </c>
      <c r="H441" s="18" t="n">
        <v>46296</v>
      </c>
      <c r="I441" s="18" t="n"/>
      <c r="J441" s="17">
        <f>IF(OR(ISNUMBER(F441),ISNUMBER(G441)),IF(ISNUMBER(I441),I441,H441)-IF(ISNUMBER(F441),F441,G441),"")</f>
        <v/>
      </c>
      <c r="K441" s="12" t="n">
        <v>55490</v>
      </c>
      <c r="L441" s="12" t="n">
        <v>55490</v>
      </c>
      <c r="M441" s="13">
        <f>IF(AND(ISNUMBER(K441),ISNUMBER(L441),K441&gt;0),1-L441/K441,"")</f>
        <v/>
      </c>
      <c r="N441" s="16" t="n">
        <v>0</v>
      </c>
      <c r="O441" s="12" t="n"/>
      <c r="P441" s="12" t="n"/>
      <c r="Q441" s="12" t="n"/>
      <c r="R441" s="14">
        <f>IF(AND(ISNUMBER(L441),ISNUMBER(P441),ISNUMBER(Q441)),L441/((P441+Q441)/2)-1,"")</f>
        <v/>
      </c>
      <c r="S441" s="10" t="n"/>
      <c r="T441" s="15" t="n">
        <v>106300</v>
      </c>
      <c r="U441" s="16" t="n">
        <v>2008</v>
      </c>
      <c r="V441" s="10" t="n"/>
      <c r="W441" s="10" t="inlineStr">
        <is>
          <t>Essence</t>
        </is>
      </c>
      <c r="X441" s="10" t="inlineStr">
        <is>
          <t>Automatique</t>
        </is>
      </c>
      <c r="Y441" s="16" t="n">
        <v>355</v>
      </c>
      <c r="Z441" s="16" t="n">
        <v>26</v>
      </c>
      <c r="AA441" s="10" t="inlineStr">
        <is>
          <t>Gris</t>
        </is>
      </c>
      <c r="AB441" s="16" t="n">
        <v>2</v>
      </c>
      <c r="AC441" s="10" t="inlineStr">
        <is>
          <t>Coupe</t>
        </is>
      </c>
      <c r="AD441" s="10" t="n"/>
      <c r="AE441" s="10" t="n"/>
      <c r="AF441" s="10" t="inlineStr">
        <is>
          <t>Pro</t>
        </is>
      </c>
      <c r="AG441" s="10" t="inlineStr">
        <is>
          <t>Gleizé</t>
        </is>
      </c>
      <c r="AH441" s="10" t="inlineStr">
        <is>
          <t>69400</t>
        </is>
      </c>
      <c r="AI441" s="10" t="inlineStr">
        <is>
          <t>Rhône</t>
        </is>
      </c>
      <c r="AJ441" s="10" t="inlineStr">
        <is>
          <t>Rhône-Alpes</t>
        </is>
      </c>
      <c r="AK441" s="16" t="n"/>
      <c r="AL441" s="10" t="inlineStr">
        <is>
          <t>Oui</t>
        </is>
      </c>
      <c r="AM441" s="10" t="n"/>
      <c r="AN441" s="10" t="n"/>
      <c r="AO441" s="10" t="n"/>
      <c r="AP441" s="19" t="inlineStr">
        <is>
          <t>Voir</t>
        </is>
      </c>
      <c r="AQ441" s="10" t="inlineStr">
        <is>
          <t>3262657061</t>
        </is>
      </c>
    </row>
    <row r="442">
      <c r="A442" s="10" t="inlineStr">
        <is>
          <t>Porsche 911 997 Carrera S</t>
        </is>
      </c>
      <c r="B442" s="10" t="inlineStr">
        <is>
          <t>PORSCHE 911 Coupé Type 997 Phase 1 CARRERA S 3.8 355ch Boite Manuelle</t>
        </is>
      </c>
      <c r="C442" s="10" t="n"/>
      <c r="D442" s="10" t="n"/>
      <c r="E442" s="10" t="inlineStr">
        <is>
          <t>En vente</t>
        </is>
      </c>
      <c r="F442" s="18" t="n">
        <v>46273</v>
      </c>
      <c r="G442" s="18" t="n">
        <v>46273</v>
      </c>
      <c r="H442" s="18" t="n">
        <v>46296</v>
      </c>
      <c r="I442" s="18" t="n"/>
      <c r="J442" s="17">
        <f>IF(OR(ISNUMBER(F442),ISNUMBER(G442)),IF(ISNUMBER(I442),I442,H442)-IF(ISNUMBER(F442),F442,G442),"")</f>
        <v/>
      </c>
      <c r="K442" s="12" t="n">
        <v>64900</v>
      </c>
      <c r="L442" s="12" t="n">
        <v>64900</v>
      </c>
      <c r="M442" s="13">
        <f>IF(AND(ISNUMBER(K442),ISNUMBER(L442),K442&gt;0),1-L442/K442,"")</f>
        <v/>
      </c>
      <c r="N442" s="16" t="n">
        <v>0</v>
      </c>
      <c r="O442" s="12" t="n"/>
      <c r="P442" s="12" t="n"/>
      <c r="Q442" s="12" t="n"/>
      <c r="R442" s="14">
        <f>IF(AND(ISNUMBER(L442),ISNUMBER(P442),ISNUMBER(Q442)),L442/((P442+Q442)/2)-1,"")</f>
        <v/>
      </c>
      <c r="S442" s="10" t="n"/>
      <c r="T442" s="15" t="n">
        <v>69567</v>
      </c>
      <c r="U442" s="16" t="n">
        <v>2007</v>
      </c>
      <c r="V442" s="10" t="n"/>
      <c r="W442" s="10" t="inlineStr">
        <is>
          <t>Essence</t>
        </is>
      </c>
      <c r="X442" s="10" t="inlineStr">
        <is>
          <t>Manuelle</t>
        </is>
      </c>
      <c r="Y442" s="16" t="n">
        <v>355</v>
      </c>
      <c r="Z442" s="16" t="n">
        <v>26</v>
      </c>
      <c r="AA442" s="10" t="inlineStr">
        <is>
          <t>Noir</t>
        </is>
      </c>
      <c r="AB442" s="16" t="n">
        <v>2</v>
      </c>
      <c r="AC442" s="10" t="inlineStr">
        <is>
          <t>Coupe</t>
        </is>
      </c>
      <c r="AD442" s="10" t="n"/>
      <c r="AE442" s="10" t="n"/>
      <c r="AF442" s="10" t="inlineStr">
        <is>
          <t>Pro</t>
        </is>
      </c>
      <c r="AG442" s="10" t="inlineStr">
        <is>
          <t>Perpignan</t>
        </is>
      </c>
      <c r="AH442" s="10" t="inlineStr">
        <is>
          <t>66100</t>
        </is>
      </c>
      <c r="AI442" s="10" t="inlineStr">
        <is>
          <t>Pyrénées-Orientales</t>
        </is>
      </c>
      <c r="AJ442" s="10" t="inlineStr">
        <is>
          <t>Languedoc-Roussillon</t>
        </is>
      </c>
      <c r="AK442" s="16" t="n"/>
      <c r="AL442" s="10" t="inlineStr">
        <is>
          <t>Oui</t>
        </is>
      </c>
      <c r="AM442" s="10" t="n"/>
      <c r="AN442" s="10" t="n"/>
      <c r="AO442" s="10" t="n"/>
      <c r="AP442" s="19" t="inlineStr">
        <is>
          <t>Voir</t>
        </is>
      </c>
      <c r="AQ442" s="10" t="inlineStr">
        <is>
          <t>3265883612</t>
        </is>
      </c>
    </row>
    <row r="443">
      <c r="A443" s="10" t="inlineStr">
        <is>
          <t>Porsche 911 997 Carrera S</t>
        </is>
      </c>
      <c r="B443" s="10" t="inlineStr">
        <is>
          <t>Porsche 911 997 Carrera S 3.8 355ch BVM6 – 99 500 km – Sport – 19"</t>
        </is>
      </c>
      <c r="C443" s="10" t="n"/>
      <c r="D443" s="10" t="n"/>
      <c r="E443" s="10" t="inlineStr">
        <is>
          <t>En vente</t>
        </is>
      </c>
      <c r="F443" s="18" t="n">
        <v>46278</v>
      </c>
      <c r="G443" s="18" t="n">
        <v>46278</v>
      </c>
      <c r="H443" s="18" t="n">
        <v>46296</v>
      </c>
      <c r="I443" s="18" t="n"/>
      <c r="J443" s="17">
        <f>IF(OR(ISNUMBER(F443),ISNUMBER(G443)),IF(ISNUMBER(I443),I443,H443)-IF(ISNUMBER(F443),F443,G443),"")</f>
        <v/>
      </c>
      <c r="K443" s="12" t="n">
        <v>55000</v>
      </c>
      <c r="L443" s="12" t="n">
        <v>55000</v>
      </c>
      <c r="M443" s="13">
        <f>IF(AND(ISNUMBER(K443),ISNUMBER(L443),K443&gt;0),1-L443/K443,"")</f>
        <v/>
      </c>
      <c r="N443" s="16" t="n">
        <v>0</v>
      </c>
      <c r="O443" s="12" t="n"/>
      <c r="P443" s="12" t="n"/>
      <c r="Q443" s="12" t="n"/>
      <c r="R443" s="14">
        <f>IF(AND(ISNUMBER(L443),ISNUMBER(P443),ISNUMBER(Q443)),L443/((P443+Q443)/2)-1,"")</f>
        <v/>
      </c>
      <c r="S443" s="10" t="n"/>
      <c r="T443" s="15" t="n">
        <v>99500</v>
      </c>
      <c r="U443" s="16" t="n">
        <v>2007</v>
      </c>
      <c r="V443" s="10" t="n"/>
      <c r="W443" s="10" t="inlineStr">
        <is>
          <t>Essence</t>
        </is>
      </c>
      <c r="X443" s="10" t="inlineStr">
        <is>
          <t>Manuelle</t>
        </is>
      </c>
      <c r="Y443" s="16" t="n">
        <v>355</v>
      </c>
      <c r="Z443" s="16" t="n">
        <v>26</v>
      </c>
      <c r="AA443" s="10" t="inlineStr">
        <is>
          <t>Gris</t>
        </is>
      </c>
      <c r="AB443" s="16" t="n">
        <v>2</v>
      </c>
      <c r="AC443" s="10" t="inlineStr">
        <is>
          <t>Coupe</t>
        </is>
      </c>
      <c r="AD443" s="10" t="n"/>
      <c r="AE443" s="10" t="n"/>
      <c r="AF443" s="10" t="inlineStr">
        <is>
          <t>Particulier</t>
        </is>
      </c>
      <c r="AG443" s="10" t="inlineStr">
        <is>
          <t>Issy-les-Moulineaux</t>
        </is>
      </c>
      <c r="AH443" s="10" t="inlineStr">
        <is>
          <t>92130</t>
        </is>
      </c>
      <c r="AI443" s="10" t="inlineStr">
        <is>
          <t>Hauts-de-Seine</t>
        </is>
      </c>
      <c r="AJ443" s="10" t="inlineStr">
        <is>
          <t>Ile-de-France</t>
        </is>
      </c>
      <c r="AK443" s="16" t="n"/>
      <c r="AL443" s="10" t="n"/>
      <c r="AM443" s="10" t="n"/>
      <c r="AN443" s="10" t="n"/>
      <c r="AO443" s="10" t="n"/>
      <c r="AP443" s="19" t="inlineStr">
        <is>
          <t>Voir</t>
        </is>
      </c>
      <c r="AQ443" s="10" t="inlineStr">
        <is>
          <t>3268572742</t>
        </is>
      </c>
    </row>
    <row r="444">
      <c r="A444" s="10" t="inlineStr">
        <is>
          <t>Porsche 911 997 Carrera S</t>
        </is>
      </c>
      <c r="B444" s="10" t="inlineStr">
        <is>
          <t>Porsche 911 997 Carrera S 3.8 355ch BVM / SUIVI COMPLET / ECHAPPEMENT SCART / TOIT OUVRANT / PACK CHRONO / SIEGES ELECTRIQUES /</t>
        </is>
      </c>
      <c r="C444" s="10" t="n"/>
      <c r="D444" s="10" t="n"/>
      <c r="E444" s="10" t="inlineStr">
        <is>
          <t>En vente</t>
        </is>
      </c>
      <c r="F444" s="18" t="n">
        <v>46283</v>
      </c>
      <c r="G444" s="18" t="n">
        <v>46283</v>
      </c>
      <c r="H444" s="18" t="n">
        <v>46296</v>
      </c>
      <c r="I444" s="18" t="n"/>
      <c r="J444" s="17">
        <f>IF(OR(ISNUMBER(F444),ISNUMBER(G444)),IF(ISNUMBER(I444),I444,H444)-IF(ISNUMBER(F444),F444,G444),"")</f>
        <v/>
      </c>
      <c r="K444" s="12" t="n">
        <v>51000</v>
      </c>
      <c r="L444" s="12" t="n">
        <v>51000</v>
      </c>
      <c r="M444" s="13">
        <f>IF(AND(ISNUMBER(K444),ISNUMBER(L444),K444&gt;0),1-L444/K444,"")</f>
        <v/>
      </c>
      <c r="N444" s="16" t="n">
        <v>0</v>
      </c>
      <c r="O444" s="12" t="n"/>
      <c r="P444" s="12" t="n"/>
      <c r="Q444" s="12" t="n"/>
      <c r="R444" s="14">
        <f>IF(AND(ISNUMBER(L444),ISNUMBER(P444),ISNUMBER(Q444)),L444/((P444+Q444)/2)-1,"")</f>
        <v/>
      </c>
      <c r="S444" s="10" t="n"/>
      <c r="T444" s="15" t="n">
        <v>97500</v>
      </c>
      <c r="U444" s="16" t="n">
        <v>2005</v>
      </c>
      <c r="V444" s="10" t="n"/>
      <c r="W444" s="10" t="inlineStr">
        <is>
          <t>Essence</t>
        </is>
      </c>
      <c r="X444" s="10" t="inlineStr">
        <is>
          <t>Manuelle</t>
        </is>
      </c>
      <c r="Y444" s="16" t="n">
        <v>355</v>
      </c>
      <c r="Z444" s="16" t="n">
        <v>26</v>
      </c>
      <c r="AA444" s="10" t="inlineStr">
        <is>
          <t>Gris</t>
        </is>
      </c>
      <c r="AB444" s="16" t="n">
        <v>2</v>
      </c>
      <c r="AC444" s="10" t="n"/>
      <c r="AD444" s="10" t="n"/>
      <c r="AE444" s="10" t="n"/>
      <c r="AF444" s="10" t="inlineStr">
        <is>
          <t>Pro</t>
        </is>
      </c>
      <c r="AG444" s="10" t="inlineStr">
        <is>
          <t>Orléans</t>
        </is>
      </c>
      <c r="AH444" s="10" t="inlineStr">
        <is>
          <t>45000</t>
        </is>
      </c>
      <c r="AI444" s="10" t="inlineStr">
        <is>
          <t>Loiret</t>
        </is>
      </c>
      <c r="AJ444" s="10" t="inlineStr">
        <is>
          <t>Centre</t>
        </is>
      </c>
      <c r="AK444" s="16" t="n"/>
      <c r="AL444" s="10" t="n"/>
      <c r="AM444" s="10" t="n"/>
      <c r="AN444" s="10" t="n"/>
      <c r="AO444" s="10" t="n"/>
      <c r="AP444" s="19" t="inlineStr">
        <is>
          <t>Voir</t>
        </is>
      </c>
      <c r="AQ444" s="10" t="inlineStr">
        <is>
          <t>3271951396</t>
        </is>
      </c>
    </row>
    <row r="445">
      <c r="A445" s="10" t="inlineStr">
        <is>
          <t>Porsche 911 997 Carrera S</t>
        </is>
      </c>
      <c r="B445" s="10" t="inlineStr">
        <is>
          <t>Porsche 911 997 carrera s cabriolet bvm 3.8 355</t>
        </is>
      </c>
      <c r="C445" s="10" t="n"/>
      <c r="D445" s="10" t="n"/>
      <c r="E445" s="10" t="inlineStr">
        <is>
          <t>En vente</t>
        </is>
      </c>
      <c r="F445" s="18" t="n">
        <v>46283</v>
      </c>
      <c r="G445" s="18" t="n">
        <v>46283</v>
      </c>
      <c r="H445" s="18" t="n">
        <v>46296</v>
      </c>
      <c r="I445" s="18" t="n"/>
      <c r="J445" s="17">
        <f>IF(OR(ISNUMBER(F445),ISNUMBER(G445)),IF(ISNUMBER(I445),I445,H445)-IF(ISNUMBER(F445),F445,G445),"")</f>
        <v/>
      </c>
      <c r="K445" s="12" t="n">
        <v>48980</v>
      </c>
      <c r="L445" s="12" t="n">
        <v>48980</v>
      </c>
      <c r="M445" s="13">
        <f>IF(AND(ISNUMBER(K445),ISNUMBER(L445),K445&gt;0),1-L445/K445,"")</f>
        <v/>
      </c>
      <c r="N445" s="16" t="n">
        <v>0</v>
      </c>
      <c r="O445" s="12" t="n"/>
      <c r="P445" s="12" t="n"/>
      <c r="Q445" s="12" t="n"/>
      <c r="R445" s="14">
        <f>IF(AND(ISNUMBER(L445),ISNUMBER(P445),ISNUMBER(Q445)),L445/((P445+Q445)/2)-1,"")</f>
        <v/>
      </c>
      <c r="S445" s="10" t="n"/>
      <c r="T445" s="15" t="n">
        <v>99850</v>
      </c>
      <c r="U445" s="16" t="n">
        <v>2007</v>
      </c>
      <c r="V445" s="10" t="n"/>
      <c r="W445" s="10" t="inlineStr">
        <is>
          <t>Essence</t>
        </is>
      </c>
      <c r="X445" s="10" t="inlineStr">
        <is>
          <t>Manuelle</t>
        </is>
      </c>
      <c r="Y445" s="16" t="n">
        <v>355</v>
      </c>
      <c r="Z445" s="16" t="n">
        <v>26</v>
      </c>
      <c r="AA445" s="10" t="inlineStr">
        <is>
          <t>Noir</t>
        </is>
      </c>
      <c r="AB445" s="16" t="n">
        <v>2</v>
      </c>
      <c r="AC445" s="10" t="inlineStr">
        <is>
          <t>Cabriolet</t>
        </is>
      </c>
      <c r="AD445" s="10" t="n"/>
      <c r="AE445" s="10" t="n"/>
      <c r="AF445" s="10" t="inlineStr">
        <is>
          <t>Particulier</t>
        </is>
      </c>
      <c r="AG445" s="10" t="inlineStr">
        <is>
          <t>Villenave-d'Ornon</t>
        </is>
      </c>
      <c r="AH445" s="10" t="inlineStr">
        <is>
          <t>33140</t>
        </is>
      </c>
      <c r="AI445" s="10" t="inlineStr">
        <is>
          <t>Gironde</t>
        </is>
      </c>
      <c r="AJ445" s="10" t="inlineStr">
        <is>
          <t>Aquitaine</t>
        </is>
      </c>
      <c r="AK445" s="16" t="n"/>
      <c r="AL445" s="10" t="n"/>
      <c r="AM445" s="10" t="n"/>
      <c r="AN445" s="10" t="n"/>
      <c r="AO445" s="10" t="n"/>
      <c r="AP445" s="19" t="inlineStr">
        <is>
          <t>Voir</t>
        </is>
      </c>
      <c r="AQ445" s="10" t="inlineStr">
        <is>
          <t>3272054365</t>
        </is>
      </c>
    </row>
    <row r="446">
      <c r="A446" s="10" t="inlineStr">
        <is>
          <t>Porsche 911 997 Carrera S</t>
        </is>
      </c>
      <c r="B446" s="10" t="inlineStr">
        <is>
          <t>Porsche 911 CABRIOLET (997) CARRERA 4S TIPTRONIC S</t>
        </is>
      </c>
      <c r="C446" s="10" t="n"/>
      <c r="D446" s="10" t="n"/>
      <c r="E446" s="10" t="inlineStr">
        <is>
          <t>En vente</t>
        </is>
      </c>
      <c r="F446" s="18" t="n">
        <v>46284</v>
      </c>
      <c r="G446" s="18" t="n">
        <v>46284</v>
      </c>
      <c r="H446" s="18" t="n">
        <v>46296</v>
      </c>
      <c r="I446" s="18" t="n"/>
      <c r="J446" s="17">
        <f>IF(OR(ISNUMBER(F446),ISNUMBER(G446)),IF(ISNUMBER(I446),I446,H446)-IF(ISNUMBER(F446),F446,G446),"")</f>
        <v/>
      </c>
      <c r="K446" s="12" t="n">
        <v>57890</v>
      </c>
      <c r="L446" s="12" t="n">
        <v>57890</v>
      </c>
      <c r="M446" s="13">
        <f>IF(AND(ISNUMBER(K446),ISNUMBER(L446),K446&gt;0),1-L446/K446,"")</f>
        <v/>
      </c>
      <c r="N446" s="16" t="n">
        <v>0</v>
      </c>
      <c r="O446" s="12" t="n"/>
      <c r="P446" s="12" t="n"/>
      <c r="Q446" s="12" t="n"/>
      <c r="R446" s="14">
        <f>IF(AND(ISNUMBER(L446),ISNUMBER(P446),ISNUMBER(Q446)),L446/((P446+Q446)/2)-1,"")</f>
        <v/>
      </c>
      <c r="S446" s="10" t="n"/>
      <c r="T446" s="15" t="n">
        <v>122500</v>
      </c>
      <c r="U446" s="16" t="n">
        <v>2008</v>
      </c>
      <c r="V446" s="10" t="n"/>
      <c r="W446" s="10" t="inlineStr">
        <is>
          <t>Essence</t>
        </is>
      </c>
      <c r="X446" s="10" t="inlineStr">
        <is>
          <t>Automatique</t>
        </is>
      </c>
      <c r="Y446" s="16" t="n">
        <v>355</v>
      </c>
      <c r="Z446" s="16" t="n">
        <v>26</v>
      </c>
      <c r="AA446" s="10" t="inlineStr">
        <is>
          <t>Gris</t>
        </is>
      </c>
      <c r="AB446" s="16" t="n"/>
      <c r="AC446" s="10" t="inlineStr">
        <is>
          <t>Cabriolet</t>
        </is>
      </c>
      <c r="AD446" s="10" t="n"/>
      <c r="AE446" s="10" t="n"/>
      <c r="AF446" s="10" t="inlineStr">
        <is>
          <t>Pro</t>
        </is>
      </c>
      <c r="AG446" s="10" t="inlineStr">
        <is>
          <t>Le Coteau</t>
        </is>
      </c>
      <c r="AH446" s="10" t="inlineStr">
        <is>
          <t>42120</t>
        </is>
      </c>
      <c r="AI446" s="10" t="inlineStr">
        <is>
          <t>Loire</t>
        </is>
      </c>
      <c r="AJ446" s="10" t="inlineStr">
        <is>
          <t>Rhône-Alpes</t>
        </is>
      </c>
      <c r="AK446" s="16" t="n"/>
      <c r="AL446" s="10" t="inlineStr">
        <is>
          <t>Oui</t>
        </is>
      </c>
      <c r="AM446" s="10" t="n"/>
      <c r="AN446" s="10" t="n"/>
      <c r="AO446" s="10" t="n"/>
      <c r="AP446" s="19" t="inlineStr">
        <is>
          <t>Voir</t>
        </is>
      </c>
      <c r="AQ446" s="10" t="inlineStr">
        <is>
          <t>3272281258</t>
        </is>
      </c>
    </row>
    <row r="447">
      <c r="A447" s="10" t="inlineStr">
        <is>
          <t>Porsche 911 997 Carrera S</t>
        </is>
      </c>
      <c r="B447" s="10" t="inlineStr">
        <is>
          <t>PORSCHE 911 (997) Carrera S 3.8l</t>
        </is>
      </c>
      <c r="C447" s="10" t="n"/>
      <c r="D447" s="10" t="n"/>
      <c r="E447" s="10" t="inlineStr">
        <is>
          <t>En vente</t>
        </is>
      </c>
      <c r="F447" s="18" t="n">
        <v>46284</v>
      </c>
      <c r="G447" s="18" t="n">
        <v>46284</v>
      </c>
      <c r="H447" s="18" t="n">
        <v>46296</v>
      </c>
      <c r="I447" s="18" t="n"/>
      <c r="J447" s="17">
        <f>IF(OR(ISNUMBER(F447),ISNUMBER(G447)),IF(ISNUMBER(I447),I447,H447)-IF(ISNUMBER(F447),F447,G447),"")</f>
        <v/>
      </c>
      <c r="K447" s="12" t="n">
        <v>49997</v>
      </c>
      <c r="L447" s="12" t="n">
        <v>49997</v>
      </c>
      <c r="M447" s="13">
        <f>IF(AND(ISNUMBER(K447),ISNUMBER(L447),K447&gt;0),1-L447/K447,"")</f>
        <v/>
      </c>
      <c r="N447" s="16" t="n">
        <v>0</v>
      </c>
      <c r="O447" s="12" t="n"/>
      <c r="P447" s="12" t="n"/>
      <c r="Q447" s="12" t="n"/>
      <c r="R447" s="14">
        <f>IF(AND(ISNUMBER(L447),ISNUMBER(P447),ISNUMBER(Q447)),L447/((P447+Q447)/2)-1,"")</f>
        <v/>
      </c>
      <c r="S447" s="10" t="n"/>
      <c r="T447" s="15" t="n">
        <v>76500</v>
      </c>
      <c r="U447" s="16" t="n">
        <v>2005</v>
      </c>
      <c r="V447" s="10" t="n"/>
      <c r="W447" s="10" t="inlineStr">
        <is>
          <t>Essence</t>
        </is>
      </c>
      <c r="X447" s="10" t="inlineStr">
        <is>
          <t>Manuelle</t>
        </is>
      </c>
      <c r="Y447" s="16" t="n">
        <v>355</v>
      </c>
      <c r="Z447" s="16" t="n">
        <v>26</v>
      </c>
      <c r="AA447" s="10" t="inlineStr">
        <is>
          <t>Gris</t>
        </is>
      </c>
      <c r="AB447" s="16" t="n">
        <v>2</v>
      </c>
      <c r="AC447" s="10" t="inlineStr">
        <is>
          <t>Coupe</t>
        </is>
      </c>
      <c r="AD447" s="10" t="n"/>
      <c r="AE447" s="10" t="n"/>
      <c r="AF447" s="10" t="inlineStr">
        <is>
          <t>Particulier</t>
        </is>
      </c>
      <c r="AG447" s="10" t="inlineStr">
        <is>
          <t>Le Mans</t>
        </is>
      </c>
      <c r="AH447" s="10" t="inlineStr">
        <is>
          <t>72000</t>
        </is>
      </c>
      <c r="AI447" s="10" t="inlineStr">
        <is>
          <t>Sarthe</t>
        </is>
      </c>
      <c r="AJ447" s="10" t="inlineStr">
        <is>
          <t>Pays de la Loire</t>
        </is>
      </c>
      <c r="AK447" s="16" t="n"/>
      <c r="AL447" s="10" t="n"/>
      <c r="AM447" s="10" t="n"/>
      <c r="AN447" s="10" t="n"/>
      <c r="AO447" s="10" t="n"/>
      <c r="AP447" s="19" t="inlineStr">
        <is>
          <t>Voir</t>
        </is>
      </c>
      <c r="AQ447" s="10" t="inlineStr">
        <is>
          <t>3272652346</t>
        </is>
      </c>
    </row>
    <row r="448">
      <c r="A448" s="10" t="inlineStr">
        <is>
          <t>Porsche 911 997 Carrera S</t>
        </is>
      </c>
      <c r="B448" s="10" t="inlineStr">
        <is>
          <t>Porsche 911 (997) Carrera S Cabriolet – Boîte Manuelle – Configuration Rare – 118 500 km</t>
        </is>
      </c>
      <c r="C448" s="10" t="n"/>
      <c r="D448" s="10" t="n"/>
      <c r="E448" s="10" t="inlineStr">
        <is>
          <t>En vente</t>
        </is>
      </c>
      <c r="F448" s="18" t="n">
        <v>46287</v>
      </c>
      <c r="G448" s="18" t="n">
        <v>46287</v>
      </c>
      <c r="H448" s="18" t="n">
        <v>46296</v>
      </c>
      <c r="I448" s="18" t="n"/>
      <c r="J448" s="17">
        <f>IF(OR(ISNUMBER(F448),ISNUMBER(G448)),IF(ISNUMBER(I448),I448,H448)-IF(ISNUMBER(F448),F448,G448),"")</f>
        <v/>
      </c>
      <c r="K448" s="12" t="n">
        <v>59911</v>
      </c>
      <c r="L448" s="12" t="n">
        <v>59911</v>
      </c>
      <c r="M448" s="13">
        <f>IF(AND(ISNUMBER(K448),ISNUMBER(L448),K448&gt;0),1-L448/K448,"")</f>
        <v/>
      </c>
      <c r="N448" s="16" t="n">
        <v>0</v>
      </c>
      <c r="O448" s="12" t="n"/>
      <c r="P448" s="12" t="n"/>
      <c r="Q448" s="12" t="n"/>
      <c r="R448" s="14">
        <f>IF(AND(ISNUMBER(L448),ISNUMBER(P448),ISNUMBER(Q448)),L448/((P448+Q448)/2)-1,"")</f>
        <v/>
      </c>
      <c r="S448" s="10" t="n"/>
      <c r="T448" s="15" t="n">
        <v>118500</v>
      </c>
      <c r="U448" s="16" t="n">
        <v>2007</v>
      </c>
      <c r="V448" s="10" t="n"/>
      <c r="W448" s="10" t="inlineStr">
        <is>
          <t>Essence</t>
        </is>
      </c>
      <c r="X448" s="10" t="inlineStr">
        <is>
          <t>Manuelle</t>
        </is>
      </c>
      <c r="Y448" s="16" t="n">
        <v>355</v>
      </c>
      <c r="Z448" s="16" t="n">
        <v>26</v>
      </c>
      <c r="AA448" s="10" t="inlineStr">
        <is>
          <t>Noir</t>
        </is>
      </c>
      <c r="AB448" s="16" t="n">
        <v>2</v>
      </c>
      <c r="AC448" s="10" t="inlineStr">
        <is>
          <t>Cabriolet</t>
        </is>
      </c>
      <c r="AD448" s="10" t="n"/>
      <c r="AE448" s="10" t="n"/>
      <c r="AF448" s="10" t="inlineStr">
        <is>
          <t>Particulier</t>
        </is>
      </c>
      <c r="AG448" s="10" t="inlineStr">
        <is>
          <t>Saint-Paul-de-Vence</t>
        </is>
      </c>
      <c r="AH448" s="10" t="inlineStr">
        <is>
          <t>06570</t>
        </is>
      </c>
      <c r="AI448" s="10" t="inlineStr">
        <is>
          <t>Alpes-Maritimes</t>
        </is>
      </c>
      <c r="AJ448" s="10" t="inlineStr">
        <is>
          <t>Provence-Alpes-Côte d'Azur</t>
        </is>
      </c>
      <c r="AK448" s="16" t="n"/>
      <c r="AL448" s="10" t="n"/>
      <c r="AM448" s="10" t="n"/>
      <c r="AN448" s="10" t="n"/>
      <c r="AO448" s="10" t="n"/>
      <c r="AP448" s="19" t="inlineStr">
        <is>
          <t>Voir</t>
        </is>
      </c>
      <c r="AQ448" s="10" t="inlineStr">
        <is>
          <t>3274429079</t>
        </is>
      </c>
    </row>
    <row r="449">
      <c r="A449" s="10" t="inlineStr">
        <is>
          <t>Porsche 911 997 Carrera S</t>
        </is>
      </c>
      <c r="B449" s="10" t="inlineStr">
        <is>
          <t>Porsche 911 IV (997) Carrera S TipTronic</t>
        </is>
      </c>
      <c r="C449" s="10" t="n"/>
      <c r="D449" s="10" t="n"/>
      <c r="E449" s="10" t="inlineStr">
        <is>
          <t>En vente</t>
        </is>
      </c>
      <c r="F449" s="18" t="n">
        <v>46287</v>
      </c>
      <c r="G449" s="18" t="n">
        <v>46287</v>
      </c>
      <c r="H449" s="18" t="n">
        <v>46296</v>
      </c>
      <c r="I449" s="18" t="n"/>
      <c r="J449" s="17">
        <f>IF(OR(ISNUMBER(F449),ISNUMBER(G449)),IF(ISNUMBER(I449),I449,H449)-IF(ISNUMBER(F449),F449,G449),"")</f>
        <v/>
      </c>
      <c r="K449" s="12" t="n">
        <v>53990</v>
      </c>
      <c r="L449" s="12" t="n">
        <v>53990</v>
      </c>
      <c r="M449" s="13">
        <f>IF(AND(ISNUMBER(K449),ISNUMBER(L449),K449&gt;0),1-L449/K449,"")</f>
        <v/>
      </c>
      <c r="N449" s="16" t="n">
        <v>0</v>
      </c>
      <c r="O449" s="12" t="n"/>
      <c r="P449" s="12" t="n"/>
      <c r="Q449" s="12" t="n"/>
      <c r="R449" s="14">
        <f>IF(AND(ISNUMBER(L449),ISNUMBER(P449),ISNUMBER(Q449)),L449/((P449+Q449)/2)-1,"")</f>
        <v/>
      </c>
      <c r="S449" s="10" t="n"/>
      <c r="T449" s="15" t="n">
        <v>82000</v>
      </c>
      <c r="U449" s="16" t="n">
        <v>2005</v>
      </c>
      <c r="V449" s="10" t="n"/>
      <c r="W449" s="10" t="inlineStr">
        <is>
          <t>Essence</t>
        </is>
      </c>
      <c r="X449" s="10" t="inlineStr">
        <is>
          <t>Automatique</t>
        </is>
      </c>
      <c r="Y449" s="16" t="n">
        <v>355</v>
      </c>
      <c r="Z449" s="16" t="n">
        <v>26</v>
      </c>
      <c r="AA449" s="10" t="inlineStr">
        <is>
          <t>Noir</t>
        </is>
      </c>
      <c r="AB449" s="16" t="n">
        <v>2</v>
      </c>
      <c r="AC449" s="10" t="inlineStr">
        <is>
          <t>Coupe</t>
        </is>
      </c>
      <c r="AD449" s="10" t="n"/>
      <c r="AE449" s="10" t="n"/>
      <c r="AF449" s="10" t="inlineStr">
        <is>
          <t>Pro</t>
        </is>
      </c>
      <c r="AG449" s="10" t="inlineStr">
        <is>
          <t>Méry-sur-Oise</t>
        </is>
      </c>
      <c r="AH449" s="10" t="inlineStr">
        <is>
          <t>95540</t>
        </is>
      </c>
      <c r="AI449" s="10" t="inlineStr">
        <is>
          <t>Val-d'Oise</t>
        </is>
      </c>
      <c r="AJ449" s="10" t="inlineStr">
        <is>
          <t>Ile-de-France</t>
        </is>
      </c>
      <c r="AK449" s="16" t="n"/>
      <c r="AL449" s="10" t="inlineStr">
        <is>
          <t>Oui</t>
        </is>
      </c>
      <c r="AM449" s="10" t="n"/>
      <c r="AN449" s="10" t="n"/>
      <c r="AO449" s="10" t="n"/>
      <c r="AP449" s="19" t="inlineStr">
        <is>
          <t>Voir</t>
        </is>
      </c>
      <c r="AQ449" s="10" t="inlineStr">
        <is>
          <t>3274821732</t>
        </is>
      </c>
    </row>
    <row r="450">
      <c r="A450" s="10" t="inlineStr">
        <is>
          <t>Porsche 911 997 Carrera S</t>
        </is>
      </c>
      <c r="B450" s="10" t="inlineStr">
        <is>
          <t>Porsche 911 997 Carrera S</t>
        </is>
      </c>
      <c r="C450" s="10" t="n"/>
      <c r="D450" s="10" t="n"/>
      <c r="E450" s="10" t="inlineStr">
        <is>
          <t>En vente</t>
        </is>
      </c>
      <c r="F450" s="18" t="n">
        <v>46291</v>
      </c>
      <c r="G450" s="18" t="n">
        <v>46291</v>
      </c>
      <c r="H450" s="18" t="n">
        <v>46296</v>
      </c>
      <c r="I450" s="18" t="n"/>
      <c r="J450" s="17">
        <f>IF(OR(ISNUMBER(F450),ISNUMBER(G450)),IF(ISNUMBER(I450),I450,H450)-IF(ISNUMBER(F450),F450,G450),"")</f>
        <v/>
      </c>
      <c r="K450" s="12" t="n">
        <v>44997</v>
      </c>
      <c r="L450" s="12" t="n">
        <v>44997</v>
      </c>
      <c r="M450" s="13">
        <f>IF(AND(ISNUMBER(K450),ISNUMBER(L450),K450&gt;0),1-L450/K450,"")</f>
        <v/>
      </c>
      <c r="N450" s="16" t="n">
        <v>0</v>
      </c>
      <c r="O450" s="12" t="n"/>
      <c r="P450" s="12" t="n"/>
      <c r="Q450" s="12" t="n"/>
      <c r="R450" s="14">
        <f>IF(AND(ISNUMBER(L450),ISNUMBER(P450),ISNUMBER(Q450)),L450/((P450+Q450)/2)-1,"")</f>
        <v/>
      </c>
      <c r="S450" s="10" t="n"/>
      <c r="T450" s="15" t="n">
        <v>158900</v>
      </c>
      <c r="U450" s="16" t="n">
        <v>2007</v>
      </c>
      <c r="V450" s="10" t="n"/>
      <c r="W450" s="10" t="inlineStr">
        <is>
          <t>Essence</t>
        </is>
      </c>
      <c r="X450" s="10" t="inlineStr">
        <is>
          <t>Automatique</t>
        </is>
      </c>
      <c r="Y450" s="16" t="n">
        <v>355</v>
      </c>
      <c r="Z450" s="16" t="n">
        <v>26</v>
      </c>
      <c r="AA450" s="10" t="inlineStr">
        <is>
          <t>Noir</t>
        </is>
      </c>
      <c r="AB450" s="16" t="n">
        <v>2</v>
      </c>
      <c r="AC450" s="10" t="inlineStr">
        <is>
          <t>Autre</t>
        </is>
      </c>
      <c r="AD450" s="10" t="n"/>
      <c r="AE450" s="10" t="n"/>
      <c r="AF450" s="10" t="inlineStr">
        <is>
          <t>Particulier</t>
        </is>
      </c>
      <c r="AG450" s="10" t="inlineStr">
        <is>
          <t>Liévin</t>
        </is>
      </c>
      <c r="AH450" s="10" t="inlineStr">
        <is>
          <t>62800</t>
        </is>
      </c>
      <c r="AI450" s="10" t="inlineStr">
        <is>
          <t>Pas-de-Calais</t>
        </is>
      </c>
      <c r="AJ450" s="10" t="inlineStr">
        <is>
          <t>Nord-Pas-de-Calais</t>
        </is>
      </c>
      <c r="AK450" s="16" t="n"/>
      <c r="AL450" s="10" t="n"/>
      <c r="AM450" s="10" t="n"/>
      <c r="AN450" s="10" t="n"/>
      <c r="AO450" s="10" t="n"/>
      <c r="AP450" s="19" t="inlineStr">
        <is>
          <t>Voir</t>
        </is>
      </c>
      <c r="AQ450" s="10" t="inlineStr">
        <is>
          <t>3277227146</t>
        </is>
      </c>
    </row>
    <row r="451">
      <c r="A451" s="10" t="inlineStr">
        <is>
          <t>Porsche 911 997 Carrera S</t>
        </is>
      </c>
      <c r="B451" s="10" t="inlineStr">
        <is>
          <t>Porsche 911 997 3.8 355 ch carrera s bvm</t>
        </is>
      </c>
      <c r="C451" s="10" t="n"/>
      <c r="D451" s="10" t="n"/>
      <c r="E451" s="10" t="inlineStr">
        <is>
          <t>En vente</t>
        </is>
      </c>
      <c r="F451" s="18" t="n">
        <v>46293</v>
      </c>
      <c r="G451" s="18" t="n">
        <v>46293</v>
      </c>
      <c r="H451" s="18" t="n">
        <v>46296</v>
      </c>
      <c r="I451" s="18" t="n"/>
      <c r="J451" s="17">
        <f>IF(OR(ISNUMBER(F451),ISNUMBER(G451)),IF(ISNUMBER(I451),I451,H451)-IF(ISNUMBER(F451),F451,G451),"")</f>
        <v/>
      </c>
      <c r="K451" s="12" t="n">
        <v>56990</v>
      </c>
      <c r="L451" s="12" t="n">
        <v>56990</v>
      </c>
      <c r="M451" s="13">
        <f>IF(AND(ISNUMBER(K451),ISNUMBER(L451),K451&gt;0),1-L451/K451,"")</f>
        <v/>
      </c>
      <c r="N451" s="16" t="n">
        <v>0</v>
      </c>
      <c r="O451" s="12" t="n"/>
      <c r="P451" s="12" t="n"/>
      <c r="Q451" s="12" t="n"/>
      <c r="R451" s="14">
        <f>IF(AND(ISNUMBER(L451),ISNUMBER(P451),ISNUMBER(Q451)),L451/((P451+Q451)/2)-1,"")</f>
        <v/>
      </c>
      <c r="S451" s="10" t="n"/>
      <c r="T451" s="15" t="n">
        <v>115000</v>
      </c>
      <c r="U451" s="16" t="n">
        <v>2005</v>
      </c>
      <c r="V451" s="10" t="n"/>
      <c r="W451" s="10" t="inlineStr">
        <is>
          <t>Essence</t>
        </is>
      </c>
      <c r="X451" s="10" t="inlineStr">
        <is>
          <t>Manuelle</t>
        </is>
      </c>
      <c r="Y451" s="16" t="n">
        <v>355</v>
      </c>
      <c r="Z451" s="16" t="n">
        <v>26</v>
      </c>
      <c r="AA451" s="10" t="inlineStr">
        <is>
          <t>Bleu</t>
        </is>
      </c>
      <c r="AB451" s="16" t="n">
        <v>2</v>
      </c>
      <c r="AC451" s="10" t="inlineStr">
        <is>
          <t>Autre</t>
        </is>
      </c>
      <c r="AD451" s="10" t="n"/>
      <c r="AE451" s="10" t="inlineStr"/>
      <c r="AF451" s="10" t="inlineStr">
        <is>
          <t>Pro</t>
        </is>
      </c>
      <c r="AG451" s="10" t="inlineStr">
        <is>
          <t>Lozanne</t>
        </is>
      </c>
      <c r="AH451" s="10" t="inlineStr">
        <is>
          <t>69380</t>
        </is>
      </c>
      <c r="AI451" s="10" t="inlineStr">
        <is>
          <t>Rhône</t>
        </is>
      </c>
      <c r="AJ451" s="10" t="inlineStr">
        <is>
          <t>Rhône-Alpes</t>
        </is>
      </c>
      <c r="AK451" s="16" t="n"/>
      <c r="AL451" s="10" t="inlineStr">
        <is>
          <t>Oui</t>
        </is>
      </c>
      <c r="AM451" s="10" t="n"/>
      <c r="AN451" s="10" t="n"/>
      <c r="AO451" s="10" t="n"/>
      <c r="AP451" s="19" t="inlineStr">
        <is>
          <t>Voir</t>
        </is>
      </c>
      <c r="AQ451" s="10" t="inlineStr">
        <is>
          <t>3278304511</t>
        </is>
      </c>
    </row>
    <row r="452">
      <c r="A452" s="10" t="inlineStr">
        <is>
          <t>Porsche 911 997 Carrera S</t>
        </is>
      </c>
      <c r="B452" s="10" t="inlineStr">
        <is>
          <t>PORSCHE 911 3.8i - BV PDK TYPE 997 II Carrera S - Suivi Porsche - Pack Chrono - ech Sport</t>
        </is>
      </c>
      <c r="C452" s="10" t="n"/>
      <c r="D452" s="10" t="n"/>
      <c r="E452" s="10" t="inlineStr">
        <is>
          <t>En vente</t>
        </is>
      </c>
      <c r="F452" s="18" t="n">
        <v>46240</v>
      </c>
      <c r="G452" s="18" t="n">
        <v>46240</v>
      </c>
      <c r="H452" s="18" t="n">
        <v>46296</v>
      </c>
      <c r="I452" s="18" t="n"/>
      <c r="J452" s="17">
        <f>IF(OR(ISNUMBER(F452),ISNUMBER(G452)),IF(ISNUMBER(I452),I452,H452)-IF(ISNUMBER(F452),F452,G452),"")</f>
        <v/>
      </c>
      <c r="K452" s="12" t="n">
        <v>69599</v>
      </c>
      <c r="L452" s="12" t="n">
        <v>69599</v>
      </c>
      <c r="M452" s="13">
        <f>IF(AND(ISNUMBER(K452),ISNUMBER(L452),K452&gt;0),1-L452/K452,"")</f>
        <v/>
      </c>
      <c r="N452" s="16" t="n">
        <v>0</v>
      </c>
      <c r="O452" s="12" t="n"/>
      <c r="P452" s="12" t="n"/>
      <c r="Q452" s="12" t="n"/>
      <c r="R452" s="14">
        <f>IF(AND(ISNUMBER(L452),ISNUMBER(P452),ISNUMBER(Q452)),L452/((P452+Q452)/2)-1,"")</f>
        <v/>
      </c>
      <c r="S452" s="10" t="n"/>
      <c r="T452" s="15" t="n">
        <v>102000</v>
      </c>
      <c r="U452" s="16" t="n">
        <v>2008</v>
      </c>
      <c r="V452" s="10" t="n"/>
      <c r="W452" s="10" t="inlineStr">
        <is>
          <t>Essence</t>
        </is>
      </c>
      <c r="X452" s="10" t="inlineStr">
        <is>
          <t>Automatique</t>
        </is>
      </c>
      <c r="Y452" s="16" t="n">
        <v>385</v>
      </c>
      <c r="Z452" s="16" t="n">
        <v>28</v>
      </c>
      <c r="AA452" s="10" t="inlineStr">
        <is>
          <t>Gris</t>
        </is>
      </c>
      <c r="AB452" s="16" t="n">
        <v>2</v>
      </c>
      <c r="AC452" s="10" t="inlineStr">
        <is>
          <t>Autre</t>
        </is>
      </c>
      <c r="AD452" s="10" t="n"/>
      <c r="AE452" s="10" t="n"/>
      <c r="AF452" s="10" t="inlineStr">
        <is>
          <t>Pro</t>
        </is>
      </c>
      <c r="AG452" s="10" t="inlineStr">
        <is>
          <t>Élancourt</t>
        </is>
      </c>
      <c r="AH452" s="10" t="inlineStr">
        <is>
          <t>78990</t>
        </is>
      </c>
      <c r="AI452" s="10" t="inlineStr">
        <is>
          <t>Yvelines</t>
        </is>
      </c>
      <c r="AJ452" s="10" t="inlineStr">
        <is>
          <t>Ile-de-France</t>
        </is>
      </c>
      <c r="AK452" s="16" t="n"/>
      <c r="AL452" s="10" t="n"/>
      <c r="AM452" s="10" t="n"/>
      <c r="AN452" s="10" t="n"/>
      <c r="AO452" s="10" t="n"/>
      <c r="AP452" s="19" t="inlineStr">
        <is>
          <t>Voir</t>
        </is>
      </c>
      <c r="AQ452" s="10" t="inlineStr">
        <is>
          <t>3278388453</t>
        </is>
      </c>
    </row>
    <row r="453">
      <c r="A453" s="10" t="inlineStr">
        <is>
          <t>Porsche Boxster 986</t>
        </is>
      </c>
      <c r="B453" s="10" t="inlineStr">
        <is>
          <t>PORSCHE BOXSTER 986 2.5 i 204CH</t>
        </is>
      </c>
      <c r="C453" s="10" t="n"/>
      <c r="D453" s="10" t="n"/>
      <c r="E453" s="10" t="inlineStr">
        <is>
          <t>En vente</t>
        </is>
      </c>
      <c r="F453" s="18" t="n">
        <v>46294</v>
      </c>
      <c r="G453" s="18" t="n">
        <v>46294</v>
      </c>
      <c r="H453" s="18" t="n">
        <v>46310</v>
      </c>
      <c r="I453" s="18" t="n"/>
      <c r="J453" s="17">
        <f>IF(OR(ISNUMBER(F453),ISNUMBER(G453)),IF(ISNUMBER(I453),I453,H453)-IF(ISNUMBER(F453),F453,G453),"")</f>
        <v/>
      </c>
      <c r="K453" s="12" t="n">
        <v>13990</v>
      </c>
      <c r="L453" s="12" t="n">
        <v>13990</v>
      </c>
      <c r="M453" s="13">
        <f>IF(AND(ISNUMBER(K453),ISNUMBER(L453),K453&gt;0),1-L453/K453,"")</f>
        <v/>
      </c>
      <c r="N453" s="16" t="n">
        <v>0</v>
      </c>
      <c r="O453" s="12" t="n"/>
      <c r="P453" s="12" t="n"/>
      <c r="Q453" s="12" t="n"/>
      <c r="R453" s="14">
        <f>IF(AND(ISNUMBER(L453),ISNUMBER(P453),ISNUMBER(Q453)),L453/((P453+Q453)/2)-1,"")</f>
        <v/>
      </c>
      <c r="S453" s="10" t="n"/>
      <c r="T453" s="15" t="n">
        <v>216300</v>
      </c>
      <c r="U453" s="16" t="n">
        <v>1999</v>
      </c>
      <c r="V453" s="10" t="inlineStr">
        <is>
          <t>02/1999</t>
        </is>
      </c>
      <c r="W453" s="10" t="inlineStr">
        <is>
          <t>Essence</t>
        </is>
      </c>
      <c r="X453" s="10" t="inlineStr">
        <is>
          <t>Automatique</t>
        </is>
      </c>
      <c r="Y453" s="16" t="n">
        <v>204</v>
      </c>
      <c r="Z453" s="16" t="n">
        <v>14</v>
      </c>
      <c r="AA453" s="10" t="inlineStr">
        <is>
          <t>Noir</t>
        </is>
      </c>
      <c r="AB453" s="16" t="n">
        <v>2</v>
      </c>
      <c r="AC453" s="10" t="inlineStr">
        <is>
          <t>Cabriolet</t>
        </is>
      </c>
      <c r="AD453" s="10" t="n"/>
      <c r="AE453" s="10" t="n"/>
      <c r="AF453" s="10" t="inlineStr">
        <is>
          <t>Pro</t>
        </is>
      </c>
      <c r="AG453" s="10" t="inlineStr">
        <is>
          <t>Perpignan</t>
        </is>
      </c>
      <c r="AH453" s="10" t="inlineStr">
        <is>
          <t>66000</t>
        </is>
      </c>
      <c r="AI453" s="10" t="inlineStr">
        <is>
          <t>Pyrénées-Orientales</t>
        </is>
      </c>
      <c r="AJ453" s="10" t="inlineStr">
        <is>
          <t>Languedoc-Roussillon</t>
        </is>
      </c>
      <c r="AK453" s="16" t="n">
        <v>9</v>
      </c>
      <c r="AL453" s="10" t="n"/>
      <c r="AM453" s="10" t="inlineStr">
        <is>
          <t>Non</t>
        </is>
      </c>
      <c r="AN453" s="10" t="inlineStr">
        <is>
          <t>- Porsche boxster 986 2.5 i 204CH - mise en circulation le 20/10/1999 - doubles des clés - option - portes centralisé - direction assistée - vitesse électrique - rétro électrique - capote électrique - climatisation automatique - autoradio cd - intérieur cuir - régulateur de vitesse - l’imitateur de vitesse - jantes alu -IMS OK - entretien suivi Porsche</t>
        </is>
      </c>
      <c r="AO453" s="10" t="inlineStr">
        <is>
          <t>Sellerie : Tout cuir ; Permis : Avec permis ; Vente en LOA/LLD : Non ; VO récent : false ; vehicle_commercial_warranty : Non ; vehicle_manufacturer_warranty : Non ; Importé : false ; vehicle_history_report_status : visible ; spare_parts_availability : Non renseignée</t>
        </is>
      </c>
      <c r="AP453" s="19" t="inlineStr">
        <is>
          <t>Voir</t>
        </is>
      </c>
      <c r="AQ453" s="10" t="inlineStr">
        <is>
          <t>3089498689</t>
        </is>
      </c>
    </row>
    <row r="454">
      <c r="A454" s="10" t="inlineStr">
        <is>
          <t>Porsche Boxster 986</t>
        </is>
      </c>
      <c r="B454" s="10" t="inlineStr">
        <is>
          <t>Porsche BOXSTER (986) 2.7 220cv</t>
        </is>
      </c>
      <c r="C454" s="10" t="inlineStr">
        <is>
          <t>Boxster 2.7 BV6</t>
        </is>
      </c>
      <c r="D454" s="10" t="inlineStr">
        <is>
          <t>Base</t>
        </is>
      </c>
      <c r="E454" s="10" t="inlineStr">
        <is>
          <t>En vente</t>
        </is>
      </c>
      <c r="F454" s="18" t="n">
        <v>45995</v>
      </c>
      <c r="G454" s="18" t="n">
        <v>45995</v>
      </c>
      <c r="H454" s="18" t="n">
        <v>46310</v>
      </c>
      <c r="I454" s="18" t="n"/>
      <c r="J454" s="17">
        <f>IF(OR(ISNUMBER(F454),ISNUMBER(G454)),IF(ISNUMBER(I454),I454,H454)-IF(ISNUMBER(F454),F454,G454),"")</f>
        <v/>
      </c>
      <c r="K454" s="12" t="n">
        <v>19990</v>
      </c>
      <c r="L454" s="12" t="n">
        <v>19990</v>
      </c>
      <c r="M454" s="13">
        <f>IF(AND(ISNUMBER(K454),ISNUMBER(L454),K454&gt;0),1-L454/K454,"")</f>
        <v/>
      </c>
      <c r="N454" s="16" t="n">
        <v>0</v>
      </c>
      <c r="O454" s="12" t="n">
        <v>20490</v>
      </c>
      <c r="P454" s="12" t="n"/>
      <c r="Q454" s="12" t="n"/>
      <c r="R454" s="14">
        <f>IF(AND(ISNUMBER(L454),ISNUMBER(P454),ISNUMBER(Q454)),L454/((P454+Q454)/2)-1,"")</f>
        <v/>
      </c>
      <c r="S454" s="10" t="n"/>
      <c r="T454" s="15" t="n">
        <v>97400</v>
      </c>
      <c r="U454" s="16" t="n">
        <v>2000</v>
      </c>
      <c r="V454" s="10" t="inlineStr">
        <is>
          <t>01/2000</t>
        </is>
      </c>
      <c r="W454" s="10" t="inlineStr">
        <is>
          <t>Essence</t>
        </is>
      </c>
      <c r="X454" s="10" t="inlineStr">
        <is>
          <t>Manuelle</t>
        </is>
      </c>
      <c r="Y454" s="16" t="n">
        <v>220</v>
      </c>
      <c r="Z454" s="16" t="n">
        <v>15</v>
      </c>
      <c r="AA454" s="10" t="inlineStr">
        <is>
          <t>Gris</t>
        </is>
      </c>
      <c r="AB454" s="16" t="n">
        <v>2</v>
      </c>
      <c r="AC454" s="10" t="inlineStr">
        <is>
          <t>Cabriolet</t>
        </is>
      </c>
      <c r="AD454" s="10" t="n"/>
      <c r="AE454" s="10" t="n"/>
      <c r="AF454" s="10" t="inlineStr">
        <is>
          <t>Pro</t>
        </is>
      </c>
      <c r="AG454" s="10" t="inlineStr">
        <is>
          <t>Beauchamp</t>
        </is>
      </c>
      <c r="AH454" s="10" t="inlineStr">
        <is>
          <t>95250</t>
        </is>
      </c>
      <c r="AI454" s="10" t="inlineStr">
        <is>
          <t>Val-d'Oise</t>
        </is>
      </c>
      <c r="AJ454" s="10" t="inlineStr">
        <is>
          <t>Ile-de-France</t>
        </is>
      </c>
      <c r="AK454" s="16" t="n">
        <v>31</v>
      </c>
      <c r="AL454" s="10" t="n"/>
      <c r="AM454" s="10" t="inlineStr">
        <is>
          <t>Non</t>
        </is>
      </c>
      <c r="AN454" s="10" t="inlineStr">
        <is>
          <t>Porsche BOXSTER (986) 2.7 220cv, (Cabriolet), GRIS, 15cv, 2 portes, mise en circulation le 26-01-2000, garantie 12 mois (12 MOIS). 2 places, couleur intérieur : NOIR, longueur : 4,32 mètres, boîte de vitesse : manuelle OPTIONS ET EQUIPEMENTS : Audio - Télécommunications - Radio CD Conduite - Régulateur de vitesse Extérieur - Jantes Alu - Pack Nord - Peinture métal Intérieur - Clim automatique - Direction assistée - Pack électrique Sécurité - ABS - Airbag conducteur - Airbags frontaux - Airbags l</t>
        </is>
      </c>
      <c r="AO454" s="10" t="inlineStr">
        <is>
          <t>Permis : Avec permis ; VO récent : false ; custom_ref : 37 ; Importé : true ; spare_parts_availability : Non renseignée</t>
        </is>
      </c>
      <c r="AP454" s="19" t="inlineStr">
        <is>
          <t>Voir</t>
        </is>
      </c>
      <c r="AQ454" s="10" t="inlineStr">
        <is>
          <t>3106206580</t>
        </is>
      </c>
    </row>
    <row r="455">
      <c r="A455" s="10" t="inlineStr">
        <is>
          <t>Porsche Boxster 986</t>
        </is>
      </c>
      <c r="B455" s="10" t="inlineStr">
        <is>
          <t>Porsche Boxster 986 2.7 i Roadster 220cv</t>
        </is>
      </c>
      <c r="C455" s="10" t="inlineStr">
        <is>
          <t>Boxster 2.7 BV6</t>
        </is>
      </c>
      <c r="D455" s="10" t="inlineStr">
        <is>
          <t>Base</t>
        </is>
      </c>
      <c r="E455" s="10" t="inlineStr">
        <is>
          <t>En vente</t>
        </is>
      </c>
      <c r="F455" s="18" t="n">
        <v>46078</v>
      </c>
      <c r="G455" s="18" t="n">
        <v>46078</v>
      </c>
      <c r="H455" s="18" t="n">
        <v>46310</v>
      </c>
      <c r="I455" s="18" t="n"/>
      <c r="J455" s="17">
        <f>IF(OR(ISNUMBER(F455),ISNUMBER(G455)),IF(ISNUMBER(I455),I455,H455)-IF(ISNUMBER(F455),F455,G455),"")</f>
        <v/>
      </c>
      <c r="K455" s="12" t="n">
        <v>18490</v>
      </c>
      <c r="L455" s="12" t="n">
        <v>18490</v>
      </c>
      <c r="M455" s="13">
        <f>IF(AND(ISNUMBER(K455),ISNUMBER(L455),K455&gt;0),1-L455/K455,"")</f>
        <v/>
      </c>
      <c r="N455" s="16" t="n">
        <v>0</v>
      </c>
      <c r="O455" s="12" t="n">
        <v>19990</v>
      </c>
      <c r="P455" s="12" t="n"/>
      <c r="Q455" s="12" t="n"/>
      <c r="R455" s="14">
        <f>IF(AND(ISNUMBER(L455),ISNUMBER(P455),ISNUMBER(Q455)),L455/((P455+Q455)/2)-1,"")</f>
        <v/>
      </c>
      <c r="S455" s="10" t="n"/>
      <c r="T455" s="15" t="n">
        <v>166600</v>
      </c>
      <c r="U455" s="16" t="n">
        <v>1999</v>
      </c>
      <c r="V455" s="10" t="inlineStr">
        <is>
          <t>12/1999</t>
        </is>
      </c>
      <c r="W455" s="10" t="inlineStr">
        <is>
          <t>Essence</t>
        </is>
      </c>
      <c r="X455" s="10" t="inlineStr">
        <is>
          <t>Manuelle</t>
        </is>
      </c>
      <c r="Y455" s="16" t="n">
        <v>220</v>
      </c>
      <c r="Z455" s="16" t="n">
        <v>15</v>
      </c>
      <c r="AA455" s="10" t="inlineStr">
        <is>
          <t>Vert</t>
        </is>
      </c>
      <c r="AB455" s="16" t="n">
        <v>2</v>
      </c>
      <c r="AC455" s="10" t="inlineStr">
        <is>
          <t>Cabriolet</t>
        </is>
      </c>
      <c r="AD455" s="10" t="n"/>
      <c r="AE455" s="10" t="n"/>
      <c r="AF455" s="10" t="inlineStr">
        <is>
          <t>Pro</t>
        </is>
      </c>
      <c r="AG455" s="10" t="inlineStr">
        <is>
          <t>Feytiat</t>
        </is>
      </c>
      <c r="AH455" s="10" t="inlineStr">
        <is>
          <t>87220</t>
        </is>
      </c>
      <c r="AI455" s="10" t="inlineStr">
        <is>
          <t>Haute-Vienne</t>
        </is>
      </c>
      <c r="AJ455" s="10" t="inlineStr">
        <is>
          <t>Limousin</t>
        </is>
      </c>
      <c r="AK455" s="16" t="n">
        <v>24</v>
      </c>
      <c r="AL455" s="10" t="inlineStr">
        <is>
          <t>Oui</t>
        </is>
      </c>
      <c r="AM455" s="10" t="inlineStr">
        <is>
          <t>Non</t>
        </is>
      </c>
      <c r="AN455" s="10" t="inlineStr">
        <is>
          <t>Porsche Boxster 986 2.7 i Roadster 220cv, cabriolet, vert, 15 cv, 2 portes, première mise en circulation le 16/12/1999, garantie : 6 mois. 2 places OPTIONS ET ÉQUIPEMENTS : Autres équipements et informations : - roues motrices Bonjour, ADV Autosport vous propose à la vente cette superbe Porsche Boxster 2.7 – 220 ch – 1999, dans une configuration rare et recherchée : Vert Forêt Tropicale. ℹ️ Véhicule vendu en intermédiation : ADV Autosport agit en tant qu'intermédiaire entre le vendeur particulie</t>
        </is>
      </c>
      <c r="AO455" s="10" t="inlineStr">
        <is>
          <t>Équipements intérieurs : 4 roues motrices ; Permis : Avec permis ; VO récent : false ; custom_ref : BIZ_DC8F4B ; Importé : true ; vehicle_history_report_status : visible ; spare_parts_availability : Non renseignée</t>
        </is>
      </c>
      <c r="AP455" s="19" t="inlineStr">
        <is>
          <t>Voir</t>
        </is>
      </c>
      <c r="AQ455" s="10" t="inlineStr">
        <is>
          <t>3151264594</t>
        </is>
      </c>
    </row>
    <row r="456">
      <c r="A456" s="10" t="inlineStr">
        <is>
          <t>Porsche Boxster 986</t>
        </is>
      </c>
      <c r="B456" s="10" t="inlineStr">
        <is>
          <t>Porsche BOXSTER (986) 3.2 S</t>
        </is>
      </c>
      <c r="C456" s="10" t="inlineStr">
        <is>
          <t>Boxster 3.2 S</t>
        </is>
      </c>
      <c r="D456" s="10" t="inlineStr">
        <is>
          <t>S</t>
        </is>
      </c>
      <c r="E456" s="10" t="inlineStr">
        <is>
          <t>En vente</t>
        </is>
      </c>
      <c r="F456" s="18" t="n">
        <v>46263</v>
      </c>
      <c r="G456" s="18" t="n">
        <v>46263</v>
      </c>
      <c r="H456" s="18" t="n">
        <v>46310</v>
      </c>
      <c r="I456" s="18" t="n"/>
      <c r="J456" s="17">
        <f>IF(OR(ISNUMBER(F456),ISNUMBER(G456)),IF(ISNUMBER(I456),I456,H456)-IF(ISNUMBER(F456),F456,G456),"")</f>
        <v/>
      </c>
      <c r="K456" s="12" t="n">
        <v>25950</v>
      </c>
      <c r="L456" s="12" t="n">
        <v>25950</v>
      </c>
      <c r="M456" s="13">
        <f>IF(AND(ISNUMBER(K456),ISNUMBER(L456),K456&gt;0),1-L456/K456,"")</f>
        <v/>
      </c>
      <c r="N456" s="16" t="n">
        <v>0</v>
      </c>
      <c r="O456" s="12" t="n"/>
      <c r="P456" s="12" t="n"/>
      <c r="Q456" s="12" t="n"/>
      <c r="R456" s="14">
        <f>IF(AND(ISNUMBER(L456),ISNUMBER(P456),ISNUMBER(Q456)),L456/((P456+Q456)/2)-1,"")</f>
        <v/>
      </c>
      <c r="S456" s="10" t="n"/>
      <c r="T456" s="15" t="n">
        <v>101130</v>
      </c>
      <c r="U456" s="16" t="n">
        <v>2003</v>
      </c>
      <c r="V456" s="10" t="inlineStr">
        <is>
          <t>10/2003</t>
        </is>
      </c>
      <c r="W456" s="10" t="inlineStr">
        <is>
          <t>Essence</t>
        </is>
      </c>
      <c r="X456" s="10" t="inlineStr">
        <is>
          <t>Manuelle</t>
        </is>
      </c>
      <c r="Y456" s="16" t="n">
        <v>260</v>
      </c>
      <c r="Z456" s="16" t="n">
        <v>18</v>
      </c>
      <c r="AA456" s="10" t="inlineStr">
        <is>
          <t>Noir</t>
        </is>
      </c>
      <c r="AB456" s="16" t="n"/>
      <c r="AC456" s="10" t="inlineStr">
        <is>
          <t>Cabriolet</t>
        </is>
      </c>
      <c r="AD456" s="10" t="n"/>
      <c r="AE456" s="10" t="n"/>
      <c r="AF456" s="10" t="inlineStr">
        <is>
          <t>Pro</t>
        </is>
      </c>
      <c r="AG456" s="10" t="inlineStr">
        <is>
          <t>Sainte-Marguerite</t>
        </is>
      </c>
      <c r="AH456" s="10" t="inlineStr">
        <is>
          <t>88100</t>
        </is>
      </c>
      <c r="AI456" s="10" t="inlineStr">
        <is>
          <t>Vosges</t>
        </is>
      </c>
      <c r="AJ456" s="10" t="inlineStr">
        <is>
          <t>Lorraine</t>
        </is>
      </c>
      <c r="AK456" s="16" t="n">
        <v>15</v>
      </c>
      <c r="AL456" s="10" t="n"/>
      <c r="AM456" s="10" t="inlineStr">
        <is>
          <t>Non</t>
        </is>
      </c>
      <c r="AN456" s="10" t="inlineStr">
        <is>
          <t>Porsche BOXSTER (986) 3.2 S, (Cabriolet), NOIR, 18cv, mise en circulation le 17-10-2003. longueur : 4,32 mètres, boîte de vitesse : manuelle OPTIONS ET EQUIPEMENTS : Audio - Télécommunications - Radio CD Conduite - Régulateur de vitesse Extérieur - Jantes Alu - Pack Nord - Peinture métal - Phares xénon Intérieur - Clim automatique - Direction assistée - Pack électrique Sécurité - ABS - Airbag conducteur - Airbags frontaux - Airbags latéraux avant - ESP Autres équipements et informations : - Sell</t>
        </is>
      </c>
      <c r="AO456" s="10" t="inlineStr">
        <is>
          <t>Permis : Avec permis ; VO récent : false ; custom_ref : 3914 ; Importé : true ; vehicle_history_report_status : visible ; spare_parts_availability : Non renseignée</t>
        </is>
      </c>
      <c r="AP456" s="19" t="inlineStr">
        <is>
          <t>Voir</t>
        </is>
      </c>
      <c r="AQ456" s="10" t="inlineStr">
        <is>
          <t>3161953342</t>
        </is>
      </c>
    </row>
    <row r="457">
      <c r="A457" s="10" t="inlineStr">
        <is>
          <t>Porsche Boxster 986</t>
        </is>
      </c>
      <c r="B457" s="10" t="inlineStr">
        <is>
          <t>Vends Porsche Boxster 986</t>
        </is>
      </c>
      <c r="C457" s="10" t="n"/>
      <c r="D457" s="10" t="n"/>
      <c r="E457" s="10" t="inlineStr">
        <is>
          <t>En vente</t>
        </is>
      </c>
      <c r="F457" s="18" t="n">
        <v>46303</v>
      </c>
      <c r="G457" s="18" t="n">
        <v>46303</v>
      </c>
      <c r="H457" s="18" t="n">
        <v>46310</v>
      </c>
      <c r="I457" s="18" t="n"/>
      <c r="J457" s="17">
        <f>IF(OR(ISNUMBER(F457),ISNUMBER(G457)),IF(ISNUMBER(I457),I457,H457)-IF(ISNUMBER(F457),F457,G457),"")</f>
        <v/>
      </c>
      <c r="K457" s="12" t="n">
        <v>19500</v>
      </c>
      <c r="L457" s="12" t="n">
        <v>19500</v>
      </c>
      <c r="M457" s="13">
        <f>IF(AND(ISNUMBER(K457),ISNUMBER(L457),K457&gt;0),1-L457/K457,"")</f>
        <v/>
      </c>
      <c r="N457" s="16" t="n">
        <v>0</v>
      </c>
      <c r="O457" s="12" t="n">
        <v>19900</v>
      </c>
      <c r="P457" s="12" t="n"/>
      <c r="Q457" s="12" t="n"/>
      <c r="R457" s="14">
        <f>IF(AND(ISNUMBER(L457),ISNUMBER(P457),ISNUMBER(Q457)),L457/((P457+Q457)/2)-1,"")</f>
        <v/>
      </c>
      <c r="S457" s="10" t="n"/>
      <c r="T457" s="15" t="n">
        <v>118500</v>
      </c>
      <c r="U457" s="16" t="n">
        <v>2003</v>
      </c>
      <c r="V457" s="10" t="inlineStr">
        <is>
          <t>05/2003</t>
        </is>
      </c>
      <c r="W457" s="10" t="inlineStr">
        <is>
          <t>Essence</t>
        </is>
      </c>
      <c r="X457" s="10" t="inlineStr">
        <is>
          <t>Manuelle</t>
        </is>
      </c>
      <c r="Y457" s="16" t="n">
        <v>228</v>
      </c>
      <c r="Z457" s="16" t="n">
        <v>15</v>
      </c>
      <c r="AA457" s="10" t="inlineStr">
        <is>
          <t>Bleu</t>
        </is>
      </c>
      <c r="AB457" s="16" t="n">
        <v>2</v>
      </c>
      <c r="AC457" s="10" t="inlineStr">
        <is>
          <t>Cabriolet</t>
        </is>
      </c>
      <c r="AD457" s="10" t="n"/>
      <c r="AE457" s="10" t="n"/>
      <c r="AF457" s="10" t="inlineStr">
        <is>
          <t>Particulier</t>
        </is>
      </c>
      <c r="AG457" s="10" t="inlineStr">
        <is>
          <t>Saint-Pierre-de-Chandieu</t>
        </is>
      </c>
      <c r="AH457" s="10" t="inlineStr">
        <is>
          <t>69780</t>
        </is>
      </c>
      <c r="AI457" s="10" t="inlineStr">
        <is>
          <t>Rhône</t>
        </is>
      </c>
      <c r="AJ457" s="10" t="inlineStr">
        <is>
          <t>Rhône-Alpes</t>
        </is>
      </c>
      <c r="AK457" s="16" t="n">
        <v>2</v>
      </c>
      <c r="AL457" s="10" t="n"/>
      <c r="AM457" s="10" t="inlineStr">
        <is>
          <t>Non</t>
        </is>
      </c>
      <c r="AN457" s="10" t="inlineStr">
        <is>
          <t>Porsche Boxster 986 - 2,7L - 15CV - boîte manuelle 5 rapports - bleue nuit intérieur cuir noir - vendu avec 4 jantes supplémentaires équipées pneus - 118500kms contrôle technique 10/2025 réalisé. très bon état général. Pour un plaisir à conduire.</t>
        </is>
      </c>
      <c r="AO457" s="10" t="inlineStr">
        <is>
          <t>vehicle_technical_inspection_valid : Non ; Dommages : Bon état général ; Sellerie : Tout cuir ; Permis : Avec permis ; Importé : false</t>
        </is>
      </c>
      <c r="AP457" s="19" t="inlineStr">
        <is>
          <t>Voir</t>
        </is>
      </c>
      <c r="AQ457" s="10" t="inlineStr">
        <is>
          <t>3175911144</t>
        </is>
      </c>
    </row>
    <row r="458">
      <c r="A458" s="10" t="inlineStr">
        <is>
          <t>Porsche Boxster 986</t>
        </is>
      </c>
      <c r="B458" s="10" t="inlineStr">
        <is>
          <t>Porsche Boxster 986 S</t>
        </is>
      </c>
      <c r="C458" s="10" t="inlineStr">
        <is>
          <t>S_Boxster 3.2 S</t>
        </is>
      </c>
      <c r="D458" s="10" t="inlineStr">
        <is>
          <t>S</t>
        </is>
      </c>
      <c r="E458" s="10" t="inlineStr">
        <is>
          <t>En vente</t>
        </is>
      </c>
      <c r="F458" s="18" t="n">
        <v>46288</v>
      </c>
      <c r="G458" s="18" t="n">
        <v>46288</v>
      </c>
      <c r="H458" s="18" t="n">
        <v>46310</v>
      </c>
      <c r="I458" s="18" t="n"/>
      <c r="J458" s="17">
        <f>IF(OR(ISNUMBER(F458),ISNUMBER(G458)),IF(ISNUMBER(I458),I458,H458)-IF(ISNUMBER(F458),F458,G458),"")</f>
        <v/>
      </c>
      <c r="K458" s="12" t="n">
        <v>26000</v>
      </c>
      <c r="L458" s="12" t="n">
        <v>26000</v>
      </c>
      <c r="M458" s="13">
        <f>IF(AND(ISNUMBER(K458),ISNUMBER(L458),K458&gt;0),1-L458/K458,"")</f>
        <v/>
      </c>
      <c r="N458" s="16" t="n">
        <v>0</v>
      </c>
      <c r="O458" s="12" t="n"/>
      <c r="P458" s="12" t="n"/>
      <c r="Q458" s="12" t="n"/>
      <c r="R458" s="14">
        <f>IF(AND(ISNUMBER(L458),ISNUMBER(P458),ISNUMBER(Q458)),L458/((P458+Q458)/2)-1,"")</f>
        <v/>
      </c>
      <c r="S458" s="10" t="n"/>
      <c r="T458" s="15" t="n">
        <v>107000</v>
      </c>
      <c r="U458" s="16" t="n">
        <v>2002</v>
      </c>
      <c r="V458" s="10" t="inlineStr">
        <is>
          <t>02/2002</t>
        </is>
      </c>
      <c r="W458" s="10" t="inlineStr">
        <is>
          <t>Essence</t>
        </is>
      </c>
      <c r="X458" s="10" t="inlineStr">
        <is>
          <t>Manuelle</t>
        </is>
      </c>
      <c r="Y458" s="16" t="n">
        <v>252</v>
      </c>
      <c r="Z458" s="16" t="n">
        <v>17</v>
      </c>
      <c r="AA458" s="10" t="inlineStr">
        <is>
          <t>Argent</t>
        </is>
      </c>
      <c r="AB458" s="16" t="n">
        <v>2</v>
      </c>
      <c r="AC458" s="10" t="inlineStr">
        <is>
          <t>Cabriolet</t>
        </is>
      </c>
      <c r="AD458" s="10" t="n"/>
      <c r="AE458" s="10" t="n"/>
      <c r="AF458" s="10" t="inlineStr">
        <is>
          <t>Particulier</t>
        </is>
      </c>
      <c r="AG458" s="10" t="inlineStr">
        <is>
          <t>Perpignan</t>
        </is>
      </c>
      <c r="AH458" s="10" t="inlineStr">
        <is>
          <t>66000</t>
        </is>
      </c>
      <c r="AI458" s="10" t="inlineStr">
        <is>
          <t>Pyrénées-Orientales</t>
        </is>
      </c>
      <c r="AJ458" s="10" t="inlineStr">
        <is>
          <t>Languedoc-Roussillon</t>
        </is>
      </c>
      <c r="AK458" s="16" t="n">
        <v>3</v>
      </c>
      <c r="AL458" s="10" t="n"/>
      <c r="AM458" s="10" t="inlineStr">
        <is>
          <t>Non</t>
        </is>
      </c>
      <c r="AN458" s="10" t="inlineStr">
        <is>
          <t>Porsche Boxter 986 S, année 2002. - 28 options ( donc châssis sport ) - CT Vierge -Roulement Ims Neuf ( facture à l'appuie ) - Je ne répond pas au mail car il s'agit du véhicule à mon père ( je laisse le tel visible dans les options ) - Pas sérieux ou indécis s'abstenir on à donné merci.</t>
        </is>
      </c>
      <c r="AO458" s="10" t="inlineStr">
        <is>
          <t>Dommages : Non endommagé ; Permis : Avec permis ; Importé : false</t>
        </is>
      </c>
      <c r="AP458" s="19" t="inlineStr">
        <is>
          <t>Voir</t>
        </is>
      </c>
      <c r="AQ458" s="10" t="inlineStr">
        <is>
          <t>3205141466</t>
        </is>
      </c>
    </row>
    <row r="459">
      <c r="A459" s="10" t="inlineStr">
        <is>
          <t>Porsche Boxster 986</t>
        </is>
      </c>
      <c r="B459" s="10" t="inlineStr">
        <is>
          <t>Porsche BOXSTER (986) 3.2 S Cabriolet</t>
        </is>
      </c>
      <c r="C459" s="10" t="inlineStr">
        <is>
          <t>Boxster 3.2 S</t>
        </is>
      </c>
      <c r="D459" s="10" t="inlineStr">
        <is>
          <t>S</t>
        </is>
      </c>
      <c r="E459" s="10" t="inlineStr">
        <is>
          <t>En vente</t>
        </is>
      </c>
      <c r="F459" s="18" t="n">
        <v>46286</v>
      </c>
      <c r="G459" s="18" t="n">
        <v>46286</v>
      </c>
      <c r="H459" s="18" t="n">
        <v>46310</v>
      </c>
      <c r="I459" s="18" t="n"/>
      <c r="J459" s="17">
        <f>IF(OR(ISNUMBER(F459),ISNUMBER(G459)),IF(ISNUMBER(I459),I459,H459)-IF(ISNUMBER(F459),F459,G459),"")</f>
        <v/>
      </c>
      <c r="K459" s="12" t="n">
        <v>18990</v>
      </c>
      <c r="L459" s="12" t="n">
        <v>18990</v>
      </c>
      <c r="M459" s="13">
        <f>IF(AND(ISNUMBER(K459),ISNUMBER(L459),K459&gt;0),1-L459/K459,"")</f>
        <v/>
      </c>
      <c r="N459" s="16" t="n">
        <v>0</v>
      </c>
      <c r="O459" s="12" t="n">
        <v>21990</v>
      </c>
      <c r="P459" s="12" t="n"/>
      <c r="Q459" s="12" t="n"/>
      <c r="R459" s="14">
        <f>IF(AND(ISNUMBER(L459),ISNUMBER(P459),ISNUMBER(Q459)),L459/((P459+Q459)/2)-1,"")</f>
        <v/>
      </c>
      <c r="S459" s="10" t="n"/>
      <c r="T459" s="15" t="n">
        <v>111100</v>
      </c>
      <c r="U459" s="16" t="n">
        <v>2002</v>
      </c>
      <c r="V459" s="10" t="inlineStr">
        <is>
          <t>01/2002</t>
        </is>
      </c>
      <c r="W459" s="10" t="inlineStr">
        <is>
          <t>Essence</t>
        </is>
      </c>
      <c r="X459" s="10" t="inlineStr">
        <is>
          <t>Manuelle</t>
        </is>
      </c>
      <c r="Y459" s="16" t="n">
        <v>252</v>
      </c>
      <c r="Z459" s="16" t="n">
        <v>17</v>
      </c>
      <c r="AA459" s="10" t="inlineStr">
        <is>
          <t>Gris</t>
        </is>
      </c>
      <c r="AB459" s="16" t="n"/>
      <c r="AC459" s="10" t="inlineStr">
        <is>
          <t>Cabriolet</t>
        </is>
      </c>
      <c r="AD459" s="10" t="n"/>
      <c r="AE459" s="10" t="n"/>
      <c r="AF459" s="10" t="inlineStr">
        <is>
          <t>Pro</t>
        </is>
      </c>
      <c r="AG459" s="10" t="inlineStr">
        <is>
          <t>Noyal-Châtillon-sur-Seiche</t>
        </is>
      </c>
      <c r="AH459" s="10" t="inlineStr">
        <is>
          <t>35230</t>
        </is>
      </c>
      <c r="AI459" s="10" t="inlineStr">
        <is>
          <t>Ille-et-Vilaine</t>
        </is>
      </c>
      <c r="AJ459" s="10" t="inlineStr">
        <is>
          <t>Bretagne</t>
        </is>
      </c>
      <c r="AK459" s="16" t="n">
        <v>14</v>
      </c>
      <c r="AL459" s="10" t="n"/>
      <c r="AM459" s="10" t="inlineStr">
        <is>
          <t>Non</t>
        </is>
      </c>
      <c r="AN459" s="10" t="inlineStr">
        <is>
          <t>Porsche BOXSTER (986) 3.2 S Cabriolet, (Cabriolet), GRIS, 17cv, mise en circulation le 14-01-2002. longueur : 4,32 mètres, boîte de vitesse : manuelle OPTIONS ET EQUIPEMENTS : Kilométrage non garanti. Cette mention est obligatoire pour les professionnels non concessionnaires. Rassurez-vous : Nous vérifions les informations du véhicule pour garantir transparence et confiance. - Flat-6 3.2 litres de 252 ch - Boîte manuelle 6 vitesses - ABS - Antipatinage (ASR) - PSM (Porsche Stability Management –</t>
        </is>
      </c>
      <c r="AO459" s="10" t="inlineStr">
        <is>
          <t>Permis : Avec permis ; VO récent : false ; custom_ref : 455 ; Importé : true ; vehicle_history_report_status : visible ; spare_parts_availability : Non renseignée</t>
        </is>
      </c>
      <c r="AP459" s="19" t="inlineStr">
        <is>
          <t>Voir</t>
        </is>
      </c>
      <c r="AQ459" s="10" t="inlineStr">
        <is>
          <t>3208942462</t>
        </is>
      </c>
    </row>
    <row r="460">
      <c r="A460" s="10" t="inlineStr">
        <is>
          <t>Porsche Boxster 986</t>
        </is>
      </c>
      <c r="B460" s="10" t="inlineStr">
        <is>
          <t>Porsche BOXSTER (986) 2.7</t>
        </is>
      </c>
      <c r="C460" s="10" t="inlineStr">
        <is>
          <t>Boxster 2.7</t>
        </is>
      </c>
      <c r="D460" s="10" t="inlineStr">
        <is>
          <t>Base</t>
        </is>
      </c>
      <c r="E460" s="10" t="inlineStr">
        <is>
          <t>En vente</t>
        </is>
      </c>
      <c r="F460" s="18" t="n">
        <v>46297</v>
      </c>
      <c r="G460" s="18" t="n">
        <v>46297</v>
      </c>
      <c r="H460" s="18" t="n">
        <v>46310</v>
      </c>
      <c r="I460" s="18" t="n"/>
      <c r="J460" s="17">
        <f>IF(OR(ISNUMBER(F460),ISNUMBER(G460)),IF(ISNUMBER(I460),I460,H460)-IF(ISNUMBER(F460),F460,G460),"")</f>
        <v/>
      </c>
      <c r="K460" s="12" t="n">
        <v>17900</v>
      </c>
      <c r="L460" s="12" t="n">
        <v>17900</v>
      </c>
      <c r="M460" s="13">
        <f>IF(AND(ISNUMBER(K460),ISNUMBER(L460),K460&gt;0),1-L460/K460,"")</f>
        <v/>
      </c>
      <c r="N460" s="16" t="n">
        <v>0</v>
      </c>
      <c r="O460" s="12" t="n">
        <v>21900</v>
      </c>
      <c r="P460" s="12" t="n"/>
      <c r="Q460" s="12" t="n"/>
      <c r="R460" s="14">
        <f>IF(AND(ISNUMBER(L460),ISNUMBER(P460),ISNUMBER(Q460)),L460/((P460+Q460)/2)-1,"")</f>
        <v/>
      </c>
      <c r="S460" s="10" t="n"/>
      <c r="T460" s="15" t="n">
        <v>115400</v>
      </c>
      <c r="U460" s="16" t="n">
        <v>2003</v>
      </c>
      <c r="V460" s="10" t="inlineStr">
        <is>
          <t>01/2003</t>
        </is>
      </c>
      <c r="W460" s="10" t="inlineStr">
        <is>
          <t>Essence</t>
        </is>
      </c>
      <c r="X460" s="10" t="inlineStr">
        <is>
          <t>Manuelle</t>
        </is>
      </c>
      <c r="Y460" s="16" t="n">
        <v>228</v>
      </c>
      <c r="Z460" s="16" t="n">
        <v>15</v>
      </c>
      <c r="AA460" s="10" t="inlineStr">
        <is>
          <t>Gris</t>
        </is>
      </c>
      <c r="AB460" s="16" t="n"/>
      <c r="AC460" s="10" t="inlineStr">
        <is>
          <t>Cabriolet</t>
        </is>
      </c>
      <c r="AD460" s="10" t="n"/>
      <c r="AE460" s="10" t="n"/>
      <c r="AF460" s="10" t="inlineStr">
        <is>
          <t>Pro</t>
        </is>
      </c>
      <c r="AG460" s="10" t="inlineStr">
        <is>
          <t>Royan</t>
        </is>
      </c>
      <c r="AH460" s="10" t="inlineStr">
        <is>
          <t>17200</t>
        </is>
      </c>
      <c r="AI460" s="10" t="inlineStr">
        <is>
          <t>Charente-Maritime</t>
        </is>
      </c>
      <c r="AJ460" s="10" t="inlineStr">
        <is>
          <t>Poitou-Charentes</t>
        </is>
      </c>
      <c r="AK460" s="16" t="n">
        <v>14</v>
      </c>
      <c r="AL460" s="10" t="n"/>
      <c r="AM460" s="10" t="inlineStr">
        <is>
          <t>Non</t>
        </is>
      </c>
      <c r="AN460" s="10" t="inlineStr">
        <is>
          <t>Porsche BOXSTER (986) 2.7, (Cabriolet), GRIS F, 15cv, mise en circulation le 01-01-2003, garantie 6 mois (6 MOIS). longueur : 4,32 mètres, boîte de vitesse : manuelle OPTIONS ET EQUIPEMENTS : Extérieur - Jantes Alu - Pack Nord Intérieur - Direction assistée - Pack électrique Sécurité - ABS - Airbag conducteur - Airbags frontaux - Airbags latéraux avant Kilométrage non garanti. Référence annonce : 329</t>
        </is>
      </c>
      <c r="AO460" s="10" t="inlineStr">
        <is>
          <t>Permis : Avec permis ; VO récent : false ; custom_ref : 329 ; Importé : true ; vehicle_history_report_status : visible ; spare_parts_availability : Non renseignée</t>
        </is>
      </c>
      <c r="AP460" s="19" t="inlineStr">
        <is>
          <t>Voir</t>
        </is>
      </c>
      <c r="AQ460" s="10" t="inlineStr">
        <is>
          <t>3213662506</t>
        </is>
      </c>
    </row>
    <row r="461">
      <c r="A461" s="10" t="inlineStr">
        <is>
          <t>Porsche Boxster 986</t>
        </is>
      </c>
      <c r="B461" s="10" t="inlineStr">
        <is>
          <t>Porsche BOXSTER (986) 3.2 S BV6 252CH JTES 18 PCM ÉCHAP SPORT XÉNON CARNET ET FACTURES</t>
        </is>
      </c>
      <c r="C461" s="10" t="inlineStr">
        <is>
          <t>Boxster 3.2 S</t>
        </is>
      </c>
      <c r="D461" s="10" t="inlineStr">
        <is>
          <t>S</t>
        </is>
      </c>
      <c r="E461" s="10" t="inlineStr">
        <is>
          <t>En vente</t>
        </is>
      </c>
      <c r="F461" s="18" t="n">
        <v>46296</v>
      </c>
      <c r="G461" s="18" t="n">
        <v>46240</v>
      </c>
      <c r="H461" s="18" t="n">
        <v>46310</v>
      </c>
      <c r="I461" s="18" t="n"/>
      <c r="J461" s="17">
        <f>IF(OR(ISNUMBER(F461),ISNUMBER(G461)),IF(ISNUMBER(I461),I461,H461)-IF(ISNUMBER(F461),F461,G461),"")</f>
        <v/>
      </c>
      <c r="K461" s="12" t="n">
        <v>19990</v>
      </c>
      <c r="L461" s="12" t="n">
        <v>19990</v>
      </c>
      <c r="M461" s="13">
        <f>IF(AND(ISNUMBER(K461),ISNUMBER(L461),K461&gt;0),1-L461/K461,"")</f>
        <v/>
      </c>
      <c r="N461" s="16" t="n">
        <v>0</v>
      </c>
      <c r="O461" s="12" t="n">
        <v>20890</v>
      </c>
      <c r="P461" s="12" t="n"/>
      <c r="Q461" s="12" t="n"/>
      <c r="R461" s="14">
        <f>IF(AND(ISNUMBER(L461),ISNUMBER(P461),ISNUMBER(Q461)),L461/((P461+Q461)/2)-1,"")</f>
        <v/>
      </c>
      <c r="S461" s="10" t="n"/>
      <c r="T461" s="15" t="n">
        <v>139900</v>
      </c>
      <c r="U461" s="16" t="n">
        <v>2002</v>
      </c>
      <c r="V461" s="10" t="inlineStr">
        <is>
          <t>02/2002</t>
        </is>
      </c>
      <c r="W461" s="10" t="inlineStr">
        <is>
          <t>Essence</t>
        </is>
      </c>
      <c r="X461" s="10" t="inlineStr">
        <is>
          <t>Manuelle</t>
        </is>
      </c>
      <c r="Y461" s="16" t="n"/>
      <c r="Z461" s="16" t="n"/>
      <c r="AA461" s="10" t="inlineStr">
        <is>
          <t>Noir</t>
        </is>
      </c>
      <c r="AB461" s="16" t="n"/>
      <c r="AC461" s="10" t="inlineStr">
        <is>
          <t>Cabriolet</t>
        </is>
      </c>
      <c r="AD461" s="10" t="n"/>
      <c r="AE461" s="10" t="n"/>
      <c r="AF461" s="10" t="inlineStr">
        <is>
          <t>Pro</t>
        </is>
      </c>
      <c r="AG461" s="10" t="inlineStr">
        <is>
          <t>Chassieu</t>
        </is>
      </c>
      <c r="AH461" s="10" t="inlineStr">
        <is>
          <t>69680</t>
        </is>
      </c>
      <c r="AI461" s="10" t="inlineStr">
        <is>
          <t>Rhône</t>
        </is>
      </c>
      <c r="AJ461" s="10" t="inlineStr">
        <is>
          <t>Rhône-Alpes</t>
        </is>
      </c>
      <c r="AK461" s="16" t="n">
        <v>36</v>
      </c>
      <c r="AL461" s="10" t="inlineStr">
        <is>
          <t>Oui</t>
        </is>
      </c>
      <c r="AM461" s="10" t="inlineStr">
        <is>
          <t>Non</t>
        </is>
      </c>
      <c r="AN461" s="10" t="inlineStr">
        <is>
          <t>Porsche BOXSTER (986) 3.2 S BV6 252CH JTES 18 PCM ÉCHAP SPORT XÉNON CARNET ET FACTURES, (Cabriolet), NOIR, 0cv, mise en circulation le 06-02-2002. couleur intérieur : NOIR, boîte de vitesse : manuelle OPTIONS ET EQUIPEMENTS : Kilométrage garanti. Boxster S 3.2L 252ch Bv6 Noir met cuir noir PCM pack alus jantes 18 Xénon fond de compteur blanc clim auto Cd windshott Échappement sport Carnet d entretien + factures possibilité de Hard top en supplément Carte grise -50% car l auto a plus de 10 années</t>
        </is>
      </c>
      <c r="AO461" s="10" t="inlineStr">
        <is>
          <t>Permis : Avec permis ; VO récent : false ; custom_ref : 197 ; Importé : true ; spare_parts_availability : Non renseignée</t>
        </is>
      </c>
      <c r="AP461" s="19" t="inlineStr">
        <is>
          <t>Voir</t>
        </is>
      </c>
      <c r="AQ461" s="10" t="inlineStr">
        <is>
          <t>3214892442</t>
        </is>
      </c>
    </row>
    <row r="462">
      <c r="A462" s="10" t="inlineStr">
        <is>
          <t>Porsche Boxster 986</t>
        </is>
      </c>
      <c r="B462" s="10" t="inlineStr">
        <is>
          <t>Porsche Boxster 986</t>
        </is>
      </c>
      <c r="C462" s="10" t="inlineStr">
        <is>
          <t>Base_Boxster 2.5</t>
        </is>
      </c>
      <c r="D462" s="10" t="inlineStr">
        <is>
          <t>Base</t>
        </is>
      </c>
      <c r="E462" s="10" t="inlineStr">
        <is>
          <t>En vente</t>
        </is>
      </c>
      <c r="F462" s="18" t="n">
        <v>46307</v>
      </c>
      <c r="G462" s="18" t="n">
        <v>46307</v>
      </c>
      <c r="H462" s="18" t="n">
        <v>46310</v>
      </c>
      <c r="I462" s="18" t="n"/>
      <c r="J462" s="17">
        <f>IF(OR(ISNUMBER(F462),ISNUMBER(G462)),IF(ISNUMBER(I462),I462,H462)-IF(ISNUMBER(F462),F462,G462),"")</f>
        <v/>
      </c>
      <c r="K462" s="12" t="n">
        <v>17000</v>
      </c>
      <c r="L462" s="12" t="n">
        <v>17000</v>
      </c>
      <c r="M462" s="13">
        <f>IF(AND(ISNUMBER(K462),ISNUMBER(L462),K462&gt;0),1-L462/K462,"")</f>
        <v/>
      </c>
      <c r="N462" s="16" t="n">
        <v>0</v>
      </c>
      <c r="O462" s="12" t="n"/>
      <c r="P462" s="12" t="n"/>
      <c r="Q462" s="12" t="n"/>
      <c r="R462" s="14">
        <f>IF(AND(ISNUMBER(L462),ISNUMBER(P462),ISNUMBER(Q462)),L462/((P462+Q462)/2)-1,"")</f>
        <v/>
      </c>
      <c r="S462" s="10" t="n"/>
      <c r="T462" s="15" t="n">
        <v>197000</v>
      </c>
      <c r="U462" s="16" t="n">
        <v>1999</v>
      </c>
      <c r="V462" s="10" t="inlineStr">
        <is>
          <t>04/1999</t>
        </is>
      </c>
      <c r="W462" s="10" t="inlineStr">
        <is>
          <t>Essence</t>
        </is>
      </c>
      <c r="X462" s="10" t="inlineStr">
        <is>
          <t>Manuelle</t>
        </is>
      </c>
      <c r="Y462" s="16" t="n">
        <v>204</v>
      </c>
      <c r="Z462" s="16" t="n">
        <v>13</v>
      </c>
      <c r="AA462" s="10" t="inlineStr">
        <is>
          <t>Noir</t>
        </is>
      </c>
      <c r="AB462" s="16" t="n">
        <v>2</v>
      </c>
      <c r="AC462" s="10" t="inlineStr">
        <is>
          <t>Cabriolet</t>
        </is>
      </c>
      <c r="AD462" s="10" t="n"/>
      <c r="AE462" s="10" t="n"/>
      <c r="AF462" s="10" t="inlineStr">
        <is>
          <t>Particulier</t>
        </is>
      </c>
      <c r="AG462" s="10" t="inlineStr">
        <is>
          <t>Seclin</t>
        </is>
      </c>
      <c r="AH462" s="10" t="inlineStr">
        <is>
          <t>59113</t>
        </is>
      </c>
      <c r="AI462" s="10" t="inlineStr">
        <is>
          <t>Nord</t>
        </is>
      </c>
      <c r="AJ462" s="10" t="inlineStr">
        <is>
          <t>Nord-Pas-de-Calais</t>
        </is>
      </c>
      <c r="AK462" s="16" t="n">
        <v>3</v>
      </c>
      <c r="AL462" s="10" t="n"/>
      <c r="AM462" s="10" t="inlineStr">
        <is>
          <t>Non</t>
        </is>
      </c>
      <c r="AN462" s="10" t="inlineStr">
        <is>
          <t>Je vends ma Porsche Boxster - Année : 1999 - Kilométrage : 197 000 km - Motorisation : 2.5 L, 204 ch - Carburant : Essence - Boîte de vitesses : Manuelle - Contrôle technique : Valide jusqu'en 10/2027 Frais récent : Pompe à Eau , Embrayage , vérin de coffre , thermostat d'eau , bougies , sonde lambda,écran climatisation, commodo, vidange et filtre à huile. Quelques micro-rayures et léger défaut sur la carrosserie. Usure du cuir sur le volant et le siège conducteur. N'hésitez pas à me contacter p</t>
        </is>
      </c>
      <c r="AO462" s="10" t="inlineStr">
        <is>
          <t>Dommages : Bon état général ; Sellerie : Tout cuir ; Équipements intérieurs : Aide au stationnement, Alarme antivol, Apple CarPlay / Android Auto, Bluetooth, Caméra de recul, Climatisation, Roue de secours, Sièges chauffants, Sièges en cuir ; Permis : Avec permis ; Importé : false</t>
        </is>
      </c>
      <c r="AP462" s="19" t="inlineStr">
        <is>
          <t>Voir</t>
        </is>
      </c>
      <c r="AQ462" s="10" t="inlineStr">
        <is>
          <t>3216720126</t>
        </is>
      </c>
    </row>
    <row r="463">
      <c r="A463" s="10" t="inlineStr">
        <is>
          <t>Porsche Boxster 986</t>
        </is>
      </c>
      <c r="B463" s="10" t="inlineStr">
        <is>
          <t>PORSCHE Porsche Boxster Type 986 3.2 S 986 250CV BOITE MECANIQUE</t>
        </is>
      </c>
      <c r="C463" s="10" t="inlineStr">
        <is>
          <t>Boxster 3.2 S</t>
        </is>
      </c>
      <c r="D463" s="10" t="inlineStr">
        <is>
          <t>S</t>
        </is>
      </c>
      <c r="E463" s="10" t="inlineStr">
        <is>
          <t>En vente</t>
        </is>
      </c>
      <c r="F463" s="18" t="n">
        <v>46202</v>
      </c>
      <c r="G463" s="18" t="n">
        <v>46202</v>
      </c>
      <c r="H463" s="18" t="n">
        <v>46310</v>
      </c>
      <c r="I463" s="18" t="n"/>
      <c r="J463" s="17">
        <f>IF(OR(ISNUMBER(F463),ISNUMBER(G463)),IF(ISNUMBER(I463),I463,H463)-IF(ISNUMBER(F463),F463,G463),"")</f>
        <v/>
      </c>
      <c r="K463" s="12" t="n">
        <v>22990</v>
      </c>
      <c r="L463" s="12" t="n">
        <v>22990</v>
      </c>
      <c r="M463" s="13">
        <f>IF(AND(ISNUMBER(K463),ISNUMBER(L463),K463&gt;0),1-L463/K463,"")</f>
        <v/>
      </c>
      <c r="N463" s="16" t="n">
        <v>0</v>
      </c>
      <c r="O463" s="12" t="n"/>
      <c r="P463" s="12" t="n"/>
      <c r="Q463" s="12" t="n"/>
      <c r="R463" s="14">
        <f>IF(AND(ISNUMBER(L463),ISNUMBER(P463),ISNUMBER(Q463)),L463/((P463+Q463)/2)-1,"")</f>
        <v/>
      </c>
      <c r="S463" s="10" t="n"/>
      <c r="T463" s="15" t="n">
        <v>144900</v>
      </c>
      <c r="U463" s="16" t="n">
        <v>2002</v>
      </c>
      <c r="V463" s="10" t="inlineStr">
        <is>
          <t>01/2002</t>
        </is>
      </c>
      <c r="W463" s="10" t="inlineStr">
        <is>
          <t>Essence</t>
        </is>
      </c>
      <c r="X463" s="10" t="inlineStr">
        <is>
          <t>Manuelle</t>
        </is>
      </c>
      <c r="Y463" s="16" t="n">
        <v>250</v>
      </c>
      <c r="Z463" s="16" t="n">
        <v>17</v>
      </c>
      <c r="AA463" s="10" t="inlineStr">
        <is>
          <t>Bleu</t>
        </is>
      </c>
      <c r="AB463" s="16" t="n">
        <v>3</v>
      </c>
      <c r="AC463" s="10" t="inlineStr">
        <is>
          <t>Cabriolet</t>
        </is>
      </c>
      <c r="AD463" s="10" t="n"/>
      <c r="AE463" s="10" t="n"/>
      <c r="AF463" s="10" t="inlineStr">
        <is>
          <t>Pro</t>
        </is>
      </c>
      <c r="AG463" s="10" t="inlineStr">
        <is>
          <t>Chambray-lès-Tours</t>
        </is>
      </c>
      <c r="AH463" s="10" t="inlineStr">
        <is>
          <t>37170</t>
        </is>
      </c>
      <c r="AI463" s="10" t="inlineStr">
        <is>
          <t>Indre-et-Loire</t>
        </is>
      </c>
      <c r="AJ463" s="10" t="inlineStr">
        <is>
          <t>Centre</t>
        </is>
      </c>
      <c r="AK463" s="16" t="n">
        <v>26</v>
      </c>
      <c r="AL463" s="10" t="inlineStr">
        <is>
          <t>Oui</t>
        </is>
      </c>
      <c r="AM463" s="10" t="inlineStr">
        <is>
          <t>Non</t>
        </is>
      </c>
      <c r="AN463" s="10" t="inlineStr">
        <is>
          <t>PORSCHE Porsche Boxster Type 986 3.2 S 986 250CV BOITE MECANIQUE, Bleu, 17CV, 3 portes, 08/01/2002 VEHICULE EN EXCELLENT ETAT TRACABILITE PARFAITE DE L'ENTRETIEN PORSCHE ET SPECIALISTE PORSCHE MEME PROPRIETAIRE DEPUIS 2019 ENTRETIEN SOIGNE : VIDANGE A JOUR, SILENCIEUX AR NEUF, CATALYSEURS CHANGES EN 2025 EMBRAYAGE CHANGE EN 2025 L'IMS SERA CHANGE POUR LA VENTE . Pour vous garantir un accueil personnalisé et un accompagnement de qualité, tous nos véhicules sont visibles uniquement sur rendez-vous</t>
        </is>
      </c>
      <c r="AO463" s="10" t="inlineStr">
        <is>
          <t>Équipements intérieurs : Bluetooth, Climatisation, Ordinateur de bord, Vitres électriques arrières ; VO récent : false ; custom_ref : 505377 ; Importé : true ; vehicle_history_report_status : visible ; spare_parts_availability : Non renseignée</t>
        </is>
      </c>
      <c r="AP463" s="19" t="inlineStr">
        <is>
          <t>Voir</t>
        </is>
      </c>
      <c r="AQ463" s="10" t="inlineStr">
        <is>
          <t>3224716293</t>
        </is>
      </c>
    </row>
    <row r="464">
      <c r="A464" s="10" t="inlineStr">
        <is>
          <t>Porsche Boxster 986</t>
        </is>
      </c>
      <c r="B464" s="10" t="inlineStr">
        <is>
          <t>Porsche Boxster 986</t>
        </is>
      </c>
      <c r="C464" s="10" t="n"/>
      <c r="D464" s="10" t="n"/>
      <c r="E464" s="10" t="inlineStr">
        <is>
          <t>En vente</t>
        </is>
      </c>
      <c r="F464" s="18" t="n">
        <v>46292</v>
      </c>
      <c r="G464" s="18" t="n">
        <v>46292</v>
      </c>
      <c r="H464" s="18" t="n">
        <v>46310</v>
      </c>
      <c r="I464" s="18" t="n"/>
      <c r="J464" s="17">
        <f>IF(OR(ISNUMBER(F464),ISNUMBER(G464)),IF(ISNUMBER(I464),I464,H464)-IF(ISNUMBER(F464),F464,G464),"")</f>
        <v/>
      </c>
      <c r="K464" s="12" t="n">
        <v>21000</v>
      </c>
      <c r="L464" s="12" t="n">
        <v>21000</v>
      </c>
      <c r="M464" s="13">
        <f>IF(AND(ISNUMBER(K464),ISNUMBER(L464),K464&gt;0),1-L464/K464,"")</f>
        <v/>
      </c>
      <c r="N464" s="16" t="n">
        <v>0</v>
      </c>
      <c r="O464" s="12" t="n"/>
      <c r="P464" s="12" t="n"/>
      <c r="Q464" s="12" t="n"/>
      <c r="R464" s="14">
        <f>IF(AND(ISNUMBER(L464),ISNUMBER(P464),ISNUMBER(Q464)),L464/((P464+Q464)/2)-1,"")</f>
        <v/>
      </c>
      <c r="S464" s="10" t="n"/>
      <c r="T464" s="15" t="n">
        <v>85700</v>
      </c>
      <c r="U464" s="16" t="n">
        <v>1998</v>
      </c>
      <c r="V464" s="10" t="inlineStr">
        <is>
          <t>02/1998</t>
        </is>
      </c>
      <c r="W464" s="10" t="inlineStr">
        <is>
          <t>Essence</t>
        </is>
      </c>
      <c r="X464" s="10" t="inlineStr">
        <is>
          <t>Automatique</t>
        </is>
      </c>
      <c r="Y464" s="16" t="n">
        <v>204</v>
      </c>
      <c r="Z464" s="16" t="n">
        <v>13</v>
      </c>
      <c r="AA464" s="10" t="n"/>
      <c r="AB464" s="16" t="n"/>
      <c r="AC464" s="10" t="inlineStr">
        <is>
          <t>Cabriolet</t>
        </is>
      </c>
      <c r="AD464" s="10" t="n"/>
      <c r="AE464" s="10" t="n"/>
      <c r="AF464" s="10" t="inlineStr">
        <is>
          <t>Particulier</t>
        </is>
      </c>
      <c r="AG464" s="10" t="inlineStr">
        <is>
          <t>Paris</t>
        </is>
      </c>
      <c r="AH464" s="10" t="inlineStr">
        <is>
          <t>75001</t>
        </is>
      </c>
      <c r="AI464" s="10" t="inlineStr">
        <is>
          <t>Paris</t>
        </is>
      </c>
      <c r="AJ464" s="10" t="inlineStr">
        <is>
          <t>Ile-de-France</t>
        </is>
      </c>
      <c r="AK464" s="16" t="n">
        <v>3</v>
      </c>
      <c r="AL464" s="10" t="n"/>
      <c r="AM464" s="10" t="inlineStr">
        <is>
          <t>Non</t>
        </is>
      </c>
      <c r="AN464" s="10" t="inlineStr">
        <is>
          <t>Je revends mon Boxster 85700 km en très bon état extérieur/interieur avec non pas 1 mais 2 carnets d’entretien chez spécialiste Porsche!, capote phase 2 avec verre comme neuve, pneus comme neufs , bougies et bobines neuves… rien à prévoir. Sera vendue avec un entretien chez spécialiste Porsche pour la vente. Nombreuses options ex : châssis sport , vrais sièges bacquet chauffants , strictement d’origine hormis la capote qui est une version améliorée. Pour le reste IMS changé (bien que le 2.5 ne s</t>
        </is>
      </c>
      <c r="AO464" s="10" t="inlineStr">
        <is>
          <t>vehicle_technical_inspection_valid : Non ; Dommages : Excellent état (proche du neuf) ; Sellerie : Tout cuir ; Permis : Avec permis ; Importé : false</t>
        </is>
      </c>
      <c r="AP464" s="19" t="inlineStr">
        <is>
          <t>Voir</t>
        </is>
      </c>
      <c r="AQ464" s="10" t="inlineStr">
        <is>
          <t>3228200524</t>
        </is>
      </c>
    </row>
    <row r="465">
      <c r="A465" s="10" t="inlineStr">
        <is>
          <t>Porsche Boxster 986</t>
        </is>
      </c>
      <c r="B465" s="10" t="inlineStr">
        <is>
          <t>Porsche Boxster 986 2.5 204ch 1999</t>
        </is>
      </c>
      <c r="C465" s="10" t="inlineStr">
        <is>
          <t>Boxster 2.5</t>
        </is>
      </c>
      <c r="D465" s="10" t="inlineStr">
        <is>
          <t>Base</t>
        </is>
      </c>
      <c r="E465" s="10" t="inlineStr">
        <is>
          <t>En vente</t>
        </is>
      </c>
      <c r="F465" s="18" t="n">
        <v>46218</v>
      </c>
      <c r="G465" s="18" t="n">
        <v>46218</v>
      </c>
      <c r="H465" s="18" t="n">
        <v>46310</v>
      </c>
      <c r="I465" s="18" t="n"/>
      <c r="J465" s="17">
        <f>IF(OR(ISNUMBER(F465),ISNUMBER(G465)),IF(ISNUMBER(I465),I465,H465)-IF(ISNUMBER(F465),F465,G465),"")</f>
        <v/>
      </c>
      <c r="K465" s="12" t="n">
        <v>19980</v>
      </c>
      <c r="L465" s="12" t="n">
        <v>19980</v>
      </c>
      <c r="M465" s="13">
        <f>IF(AND(ISNUMBER(K465),ISNUMBER(L465),K465&gt;0),1-L465/K465,"")</f>
        <v/>
      </c>
      <c r="N465" s="16" t="n">
        <v>0</v>
      </c>
      <c r="O465" s="12" t="n">
        <v>24990</v>
      </c>
      <c r="P465" s="12" t="n"/>
      <c r="Q465" s="12" t="n"/>
      <c r="R465" s="14">
        <f>IF(AND(ISNUMBER(L465),ISNUMBER(P465),ISNUMBER(Q465)),L465/((P465+Q465)/2)-1,"")</f>
        <v/>
      </c>
      <c r="S465" s="10" t="n"/>
      <c r="T465" s="15" t="n">
        <v>82000</v>
      </c>
      <c r="U465" s="16" t="n">
        <v>1999</v>
      </c>
      <c r="V465" s="10" t="inlineStr">
        <is>
          <t>08/1999</t>
        </is>
      </c>
      <c r="W465" s="10" t="inlineStr">
        <is>
          <t>Essence</t>
        </is>
      </c>
      <c r="X465" s="10" t="inlineStr">
        <is>
          <t>Manuelle</t>
        </is>
      </c>
      <c r="Y465" s="16" t="n">
        <v>204</v>
      </c>
      <c r="Z465" s="16" t="n">
        <v>14</v>
      </c>
      <c r="AA465" s="10" t="inlineStr">
        <is>
          <t>Noir</t>
        </is>
      </c>
      <c r="AB465" s="16" t="n">
        <v>2</v>
      </c>
      <c r="AC465" s="10" t="inlineStr">
        <is>
          <t>Cabriolet</t>
        </is>
      </c>
      <c r="AD465" s="10" t="n"/>
      <c r="AE465" s="10" t="n"/>
      <c r="AF465" s="10" t="inlineStr">
        <is>
          <t>Pro</t>
        </is>
      </c>
      <c r="AG465" s="10" t="inlineStr">
        <is>
          <t>Perrignier</t>
        </is>
      </c>
      <c r="AH465" s="10" t="inlineStr">
        <is>
          <t>74550</t>
        </is>
      </c>
      <c r="AI465" s="10" t="inlineStr">
        <is>
          <t>Haute-Savoie</t>
        </is>
      </c>
      <c r="AJ465" s="10" t="inlineStr">
        <is>
          <t>Rhône-Alpes</t>
        </is>
      </c>
      <c r="AK465" s="16" t="n">
        <v>45</v>
      </c>
      <c r="AL465" s="10" t="inlineStr">
        <is>
          <t>Oui</t>
        </is>
      </c>
      <c r="AM465" s="10" t="inlineStr">
        <is>
          <t>Non</t>
        </is>
      </c>
      <c r="AN465" s="10" t="inlineStr">
        <is>
          <t>L'Agence TransakAuto THONON-LES-BAINS, société spécialisée en courtage automobile, 1er réseau d'intermédiation automobile auprès des particuliers avec + de 180 agences en France depuis 2011, vous propose ce véhicule Porsche, BOXSTER, Noir, 14 chevaux fiscaux, 2 portes, 82 000 km. ⚠ 🔦 Véhicule visible uniquement sur rdv à l'agence TransakAuto THONON-LES-BAINS, du mardi au samedi de lundi à vendredi de 10:00–19:00 samedi 10:00–18:00 dimanche Fermé Véhicule en dépôt-vente [non stocké sur place]. V</t>
        </is>
      </c>
      <c r="AO465" s="10" t="inlineStr">
        <is>
          <t>Équipements intérieurs : Climatisation, Jantes en alliage ; VO récent : false ; custom_ref : VO44232466 ; Importé : true ; vehicle_history_report_status : visible ; spare_parts_availability : Non renseignée</t>
        </is>
      </c>
      <c r="AP465" s="19" t="inlineStr">
        <is>
          <t>Voir</t>
        </is>
      </c>
      <c r="AQ465" s="10" t="inlineStr">
        <is>
          <t>3233339199</t>
        </is>
      </c>
    </row>
    <row r="466">
      <c r="A466" s="10" t="inlineStr">
        <is>
          <t>Porsche Boxster 986</t>
        </is>
      </c>
      <c r="B466" s="10" t="inlineStr">
        <is>
          <t>Porsche Boxster 986 2.7 228 BVM</t>
        </is>
      </c>
      <c r="C466" s="10" t="n"/>
      <c r="D466" s="10" t="n"/>
      <c r="E466" s="10" t="inlineStr">
        <is>
          <t>En vente</t>
        </is>
      </c>
      <c r="F466" s="18" t="n">
        <v>46296</v>
      </c>
      <c r="G466" s="18" t="n">
        <v>46296</v>
      </c>
      <c r="H466" s="18" t="n">
        <v>46310</v>
      </c>
      <c r="I466" s="18" t="n"/>
      <c r="J466" s="17">
        <f>IF(OR(ISNUMBER(F466),ISNUMBER(G466)),IF(ISNUMBER(I466),I466,H466)-IF(ISNUMBER(F466),F466,G466),"")</f>
        <v/>
      </c>
      <c r="K466" s="12" t="n">
        <v>22990</v>
      </c>
      <c r="L466" s="12" t="n">
        <v>20990</v>
      </c>
      <c r="M466" s="13">
        <f>IF(AND(ISNUMBER(K466),ISNUMBER(L466),K466&gt;0),1-L466/K466,"")</f>
        <v/>
      </c>
      <c r="N466" s="16" t="n">
        <v>1</v>
      </c>
      <c r="O466" s="12" t="n">
        <v>22990</v>
      </c>
      <c r="P466" s="12" t="n"/>
      <c r="Q466" s="12" t="n"/>
      <c r="R466" s="14">
        <f>IF(AND(ISNUMBER(L466),ISNUMBER(P466),ISNUMBER(Q466)),L466/((P466+Q466)/2)-1,"")</f>
        <v/>
      </c>
      <c r="S466" s="10" t="n"/>
      <c r="T466" s="15" t="n">
        <v>98000</v>
      </c>
      <c r="U466" s="16" t="n">
        <v>2003</v>
      </c>
      <c r="V466" s="10" t="inlineStr">
        <is>
          <t>05/2003</t>
        </is>
      </c>
      <c r="W466" s="10" t="inlineStr">
        <is>
          <t>Essence</t>
        </is>
      </c>
      <c r="X466" s="10" t="inlineStr">
        <is>
          <t>Manuelle</t>
        </is>
      </c>
      <c r="Y466" s="16" t="n">
        <v>228</v>
      </c>
      <c r="Z466" s="16" t="n">
        <v>15</v>
      </c>
      <c r="AA466" s="10" t="inlineStr">
        <is>
          <t>Gris</t>
        </is>
      </c>
      <c r="AB466" s="16" t="n">
        <v>2</v>
      </c>
      <c r="AC466" s="10" t="inlineStr">
        <is>
          <t>Cabriolet</t>
        </is>
      </c>
      <c r="AD466" s="10" t="n"/>
      <c r="AE466" s="10" t="n"/>
      <c r="AF466" s="10" t="inlineStr">
        <is>
          <t>Pro</t>
        </is>
      </c>
      <c r="AG466" s="10" t="inlineStr">
        <is>
          <t>Chantonnay</t>
        </is>
      </c>
      <c r="AH466" s="10" t="inlineStr">
        <is>
          <t>85110</t>
        </is>
      </c>
      <c r="AI466" s="10" t="inlineStr">
        <is>
          <t>Vendée</t>
        </is>
      </c>
      <c r="AJ466" s="10" t="inlineStr">
        <is>
          <t>Pays de la Loire</t>
        </is>
      </c>
      <c r="AK466" s="16" t="n">
        <v>12</v>
      </c>
      <c r="AL466" s="10" t="n"/>
      <c r="AM466" s="10" t="inlineStr">
        <is>
          <t>Non</t>
        </is>
      </c>
      <c r="AN466" s="10" t="inlineStr">
        <is>
          <t>MS CONSULTING AUTOMOBILE vous propose cette Porsche Boxster 986 2.7i 228 - Garantie 6 mois - Gris Arctic Options et équipements: Volant cuir bleu Climatisation automatique Autoradio/CD CDR23 Pommeau de vitesse alu Console centrale arrière alu Seuils de portes alu Fond de compteur alu Levier frein à main alu PSM Capote bleue Sièges en cuir bleu - Historique des entretiens disponible. Prix affiché hors carte grise et frais de mise à la route de 390 €. Reprise possible. Véhicule en dépôt-vente, vis</t>
        </is>
      </c>
      <c r="AO466" s="10" t="inlineStr">
        <is>
          <t>vehicle_technical_inspection_valid : Non ; Sellerie : Tout cuir ; Permis : Avec permis ; Vente en LOA/LLD : Non ; VO récent : false ; vehicle_commercial_warranty : Oui ; vehicle_commercial_warranty_duration : 6 mois ; vehicle_commercial_warranty_extendable : Non ; vehicle_manufacturer_warranty : Non ; custom_ref : 11 ; Importé : false ; vehicle_history_report_status : visible ; vehicle_history_teaser_critair : 3 ; vehicle_history_teaser_owners : 3 ; vehicle_history_teaser_expertises : false ; vehicle_history_teaser_special_uses : false ; vehicle_history_teaser_atypical_operations : false ; vehicle_history_teaser_importations : false ; spare_parts_availability : Non renseignée</t>
        </is>
      </c>
      <c r="AP466" s="19" t="inlineStr">
        <is>
          <t>Voir</t>
        </is>
      </c>
      <c r="AQ466" s="10" t="inlineStr">
        <is>
          <t>3234830440</t>
        </is>
      </c>
    </row>
    <row r="467">
      <c r="A467" s="10" t="inlineStr">
        <is>
          <t>Porsche Boxster 986</t>
        </is>
      </c>
      <c r="B467" s="10" t="inlineStr">
        <is>
          <t>Porsche Boxster I (986) 3.2 S</t>
        </is>
      </c>
      <c r="C467" s="10" t="inlineStr">
        <is>
          <t>Boxster 3.2 S</t>
        </is>
      </c>
      <c r="D467" s="10" t="inlineStr">
        <is>
          <t>S</t>
        </is>
      </c>
      <c r="E467" s="10" t="inlineStr">
        <is>
          <t>En vente</t>
        </is>
      </c>
      <c r="F467" s="18" t="n">
        <v>46295</v>
      </c>
      <c r="G467" s="18" t="n">
        <v>46295</v>
      </c>
      <c r="H467" s="18" t="n">
        <v>46310</v>
      </c>
      <c r="I467" s="18" t="n"/>
      <c r="J467" s="17">
        <f>IF(OR(ISNUMBER(F467),ISNUMBER(G467)),IF(ISNUMBER(I467),I467,H467)-IF(ISNUMBER(F467),F467,G467),"")</f>
        <v/>
      </c>
      <c r="K467" s="12" t="n">
        <v>20990</v>
      </c>
      <c r="L467" s="12" t="n">
        <v>20990</v>
      </c>
      <c r="M467" s="13">
        <f>IF(AND(ISNUMBER(K467),ISNUMBER(L467),K467&gt;0),1-L467/K467,"")</f>
        <v/>
      </c>
      <c r="N467" s="16" t="n">
        <v>0</v>
      </c>
      <c r="O467" s="12" t="n">
        <v>21990</v>
      </c>
      <c r="P467" s="12" t="n"/>
      <c r="Q467" s="12" t="n"/>
      <c r="R467" s="14">
        <f>IF(AND(ISNUMBER(L467),ISNUMBER(P467),ISNUMBER(Q467)),L467/((P467+Q467)/2)-1,"")</f>
        <v/>
      </c>
      <c r="S467" s="10" t="n"/>
      <c r="T467" s="15" t="n">
        <v>125406</v>
      </c>
      <c r="U467" s="16" t="n">
        <v>2000</v>
      </c>
      <c r="V467" s="10" t="inlineStr">
        <is>
          <t>07/2000</t>
        </is>
      </c>
      <c r="W467" s="10" t="inlineStr">
        <is>
          <t>Essence</t>
        </is>
      </c>
      <c r="X467" s="10" t="inlineStr">
        <is>
          <t>Automatique</t>
        </is>
      </c>
      <c r="Y467" s="16" t="n">
        <v>252</v>
      </c>
      <c r="Z467" s="16" t="n">
        <v>18</v>
      </c>
      <c r="AA467" s="10" t="inlineStr">
        <is>
          <t>Noir</t>
        </is>
      </c>
      <c r="AB467" s="16" t="n">
        <v>2</v>
      </c>
      <c r="AC467" s="10" t="inlineStr">
        <is>
          <t>Cabriolet</t>
        </is>
      </c>
      <c r="AD467" s="10" t="inlineStr">
        <is>
          <t>Carnet d'entretien disponible</t>
        </is>
      </c>
      <c r="AE467" s="10" t="n"/>
      <c r="AF467" s="10" t="inlineStr">
        <is>
          <t>Pro</t>
        </is>
      </c>
      <c r="AG467" s="10" t="inlineStr">
        <is>
          <t>Béthune</t>
        </is>
      </c>
      <c r="AH467" s="10" t="inlineStr">
        <is>
          <t>62400</t>
        </is>
      </c>
      <c r="AI467" s="10" t="inlineStr">
        <is>
          <t>Pas-de-Calais</t>
        </is>
      </c>
      <c r="AJ467" s="10" t="inlineStr">
        <is>
          <t>Nord-Pas-de-Calais</t>
        </is>
      </c>
      <c r="AK467" s="16" t="n">
        <v>11</v>
      </c>
      <c r="AL467" s="10" t="inlineStr">
        <is>
          <t>Oui</t>
        </is>
      </c>
      <c r="AM467" s="10" t="inlineStr">
        <is>
          <t>Non</t>
        </is>
      </c>
      <c r="AN467" s="10" t="inlineStr">
        <is>
          <t>Porsche Boxster I (986) 3.2 S cabriolet, noir, 18 cv, 2 portes, première mise en circulation le 13/07/2000. ----------------------------------------------------------------------------------------- ⚠️Les équipements, les options et la version décrits sont sous réserve d'erreurs de saisie. Ils doivent être vérifiés par l'acheteur pendant l'essai ou à la livraison.⚠️ ------------------------------------------------------------------------------------------ ⭐️ Possibilité de garantie 6/12/24/48 moi</t>
        </is>
      </c>
      <c r="AO467" s="10" t="inlineStr">
        <is>
          <t>vehicle_technical_inspection_valid : Oui ; Permis : Avec permis ; VO récent : false ; custom_ref : 422 ; Importé : true ; vehicle_history_report_status : visible ; spare_parts_availability : Non renseignée</t>
        </is>
      </c>
      <c r="AP467" s="19" t="inlineStr">
        <is>
          <t>Voir</t>
        </is>
      </c>
      <c r="AQ467" s="10" t="inlineStr">
        <is>
          <t>3244969526</t>
        </is>
      </c>
    </row>
    <row r="468">
      <c r="A468" s="10" t="inlineStr">
        <is>
          <t>Porsche Boxster 986</t>
        </is>
      </c>
      <c r="B468" s="10" t="inlineStr">
        <is>
          <t>Porsche Boxster I (986) 3.2 S</t>
        </is>
      </c>
      <c r="C468" s="10" t="inlineStr">
        <is>
          <t>Boxster 3.2 S</t>
        </is>
      </c>
      <c r="D468" s="10" t="inlineStr">
        <is>
          <t>S</t>
        </is>
      </c>
      <c r="E468" s="10" t="inlineStr">
        <is>
          <t>En vente</t>
        </is>
      </c>
      <c r="F468" s="18" t="n">
        <v>46305</v>
      </c>
      <c r="G468" s="18" t="n">
        <v>46246</v>
      </c>
      <c r="H468" s="18" t="n">
        <v>46310</v>
      </c>
      <c r="I468" s="18" t="n"/>
      <c r="J468" s="17">
        <f>IF(OR(ISNUMBER(F468),ISNUMBER(G468)),IF(ISNUMBER(I468),I468,H468)-IF(ISNUMBER(F468),F468,G468),"")</f>
        <v/>
      </c>
      <c r="K468" s="12" t="n">
        <v>25380</v>
      </c>
      <c r="L468" s="12" t="n">
        <v>25380</v>
      </c>
      <c r="M468" s="13">
        <f>IF(AND(ISNUMBER(K468),ISNUMBER(L468),K468&gt;0),1-L468/K468,"")</f>
        <v/>
      </c>
      <c r="N468" s="16" t="n">
        <v>0</v>
      </c>
      <c r="O468" s="12" t="n"/>
      <c r="P468" s="12" t="n"/>
      <c r="Q468" s="12" t="n"/>
      <c r="R468" s="14">
        <f>IF(AND(ISNUMBER(L468),ISNUMBER(P468),ISNUMBER(Q468)),L468/((P468+Q468)/2)-1,"")</f>
        <v/>
      </c>
      <c r="S468" s="10" t="n"/>
      <c r="T468" s="15" t="n">
        <v>118000</v>
      </c>
      <c r="U468" s="16" t="n">
        <v>2002</v>
      </c>
      <c r="V468" s="10" t="inlineStr">
        <is>
          <t>12/2002</t>
        </is>
      </c>
      <c r="W468" s="10" t="inlineStr">
        <is>
          <t>Essence</t>
        </is>
      </c>
      <c r="X468" s="10" t="inlineStr">
        <is>
          <t>Manuelle</t>
        </is>
      </c>
      <c r="Y468" s="16" t="n">
        <v>260</v>
      </c>
      <c r="Z468" s="16" t="n">
        <v>18</v>
      </c>
      <c r="AA468" s="10" t="inlineStr">
        <is>
          <t>Gris</t>
        </is>
      </c>
      <c r="AB468" s="16" t="n">
        <v>2</v>
      </c>
      <c r="AC468" s="10" t="inlineStr">
        <is>
          <t>Cabriolet</t>
        </is>
      </c>
      <c r="AD468" s="10" t="n"/>
      <c r="AE468" s="10" t="n"/>
      <c r="AF468" s="10" t="inlineStr">
        <is>
          <t>Pro</t>
        </is>
      </c>
      <c r="AG468" s="10" t="inlineStr">
        <is>
          <t>Saint-Priest</t>
        </is>
      </c>
      <c r="AH468" s="10" t="inlineStr">
        <is>
          <t>69800</t>
        </is>
      </c>
      <c r="AI468" s="10" t="inlineStr">
        <is>
          <t>Rhône</t>
        </is>
      </c>
      <c r="AJ468" s="10" t="inlineStr">
        <is>
          <t>Rhône-Alpes</t>
        </is>
      </c>
      <c r="AK468" s="16" t="n">
        <v>19</v>
      </c>
      <c r="AL468" s="10" t="inlineStr">
        <is>
          <t>Oui</t>
        </is>
      </c>
      <c r="AM468" s="10" t="inlineStr">
        <is>
          <t>Non</t>
        </is>
      </c>
      <c r="AN468" s="10" t="inlineStr">
        <is>
          <t>Porsche Boxster I (986) 3.2 S cabriolet, gris, 18 cv, 2 portes, première mise en circulation le 05/12/2002, garantie 12 mois. - Financement possible avec ou sans apport - S3 Auto vous propose de vous racheter votre ancien véhicule sans conditions de rachat. .- Tous nos véhicules sont vendus avec une révision un contrôle technique et plus de 150 points de contrôle afin de vous garantir une qualité optimale une garantie de 12 mois commerciale incluse extensible jusqu'à 60 mois. .- - Horaires du Lu</t>
        </is>
      </c>
      <c r="AO468" s="10" t="inlineStr">
        <is>
          <t>vehicle_technical_inspection_valid : Oui ; Permis : Avec permis ; VO récent : false ; custom_ref : 4293 ; Importé : true ; vehicle_history_report_status : visible ; spare_parts_availability : Non renseignée</t>
        </is>
      </c>
      <c r="AP468" s="19" t="inlineStr">
        <is>
          <t>Voir</t>
        </is>
      </c>
      <c r="AQ468" s="10" t="inlineStr">
        <is>
          <t>3249044905</t>
        </is>
      </c>
    </row>
    <row r="469">
      <c r="A469" s="10" t="inlineStr">
        <is>
          <t>Porsche Boxster 986</t>
        </is>
      </c>
      <c r="B469" s="10" t="inlineStr">
        <is>
          <t>Porsche Boxster 986 2.7 220cv - Boîte manuelle - Historique limpide - Rapport d'expertise - Capote neuve</t>
        </is>
      </c>
      <c r="C469" s="10" t="n"/>
      <c r="D469" s="10" t="n"/>
      <c r="E469" s="10" t="inlineStr">
        <is>
          <t>En vente</t>
        </is>
      </c>
      <c r="F469" s="18" t="n">
        <v>46258</v>
      </c>
      <c r="G469" s="18" t="n">
        <v>46258</v>
      </c>
      <c r="H469" s="18" t="n">
        <v>46310</v>
      </c>
      <c r="I469" s="18" t="n"/>
      <c r="J469" s="17">
        <f>IF(OR(ISNUMBER(F469),ISNUMBER(G469)),IF(ISNUMBER(I469),I469,H469)-IF(ISNUMBER(F469),F469,G469),"")</f>
        <v/>
      </c>
      <c r="K469" s="12" t="n">
        <v>19990</v>
      </c>
      <c r="L469" s="12" t="n">
        <v>19990</v>
      </c>
      <c r="M469" s="13">
        <f>IF(AND(ISNUMBER(K469),ISNUMBER(L469),K469&gt;0),1-L469/K469,"")</f>
        <v/>
      </c>
      <c r="N469" s="16" t="n">
        <v>0</v>
      </c>
      <c r="O469" s="12" t="n"/>
      <c r="P469" s="12" t="n"/>
      <c r="Q469" s="12" t="n"/>
      <c r="R469" s="14">
        <f>IF(AND(ISNUMBER(L469),ISNUMBER(P469),ISNUMBER(Q469)),L469/((P469+Q469)/2)-1,"")</f>
        <v/>
      </c>
      <c r="S469" s="10" t="n"/>
      <c r="T469" s="15" t="n">
        <v>106000</v>
      </c>
      <c r="U469" s="16" t="n">
        <v>2001</v>
      </c>
      <c r="V469" s="10" t="inlineStr">
        <is>
          <t>05/2001</t>
        </is>
      </c>
      <c r="W469" s="10" t="inlineStr">
        <is>
          <t>Essence</t>
        </is>
      </c>
      <c r="X469" s="10" t="inlineStr">
        <is>
          <t>Manuelle</t>
        </is>
      </c>
      <c r="Y469" s="16" t="n">
        <v>220</v>
      </c>
      <c r="Z469" s="16" t="n">
        <v>14</v>
      </c>
      <c r="AA469" s="10" t="inlineStr">
        <is>
          <t>Bleu</t>
        </is>
      </c>
      <c r="AB469" s="16" t="n">
        <v>2</v>
      </c>
      <c r="AC469" s="10" t="inlineStr">
        <is>
          <t>Cabriolet</t>
        </is>
      </c>
      <c r="AD469" s="10" t="inlineStr">
        <is>
          <t>Carnet d'entretien disponible, Factures disponibles</t>
        </is>
      </c>
      <c r="AE469" s="10" t="n"/>
      <c r="AF469" s="10" t="inlineStr">
        <is>
          <t>Pro</t>
        </is>
      </c>
      <c r="AG469" s="10" t="inlineStr">
        <is>
          <t>Les Alluets-le-Roi</t>
        </is>
      </c>
      <c r="AH469" s="10" t="inlineStr">
        <is>
          <t>78580</t>
        </is>
      </c>
      <c r="AI469" s="10" t="inlineStr">
        <is>
          <t>Yvelines</t>
        </is>
      </c>
      <c r="AJ469" s="10" t="inlineStr">
        <is>
          <t>Ile-de-France</t>
        </is>
      </c>
      <c r="AK469" s="16" t="n">
        <v>15</v>
      </c>
      <c r="AL469" s="10" t="inlineStr">
        <is>
          <t>Oui</t>
        </is>
      </c>
      <c r="AM469" s="10" t="inlineStr">
        <is>
          <t>Non</t>
        </is>
      </c>
      <c r="AN469" s="10" t="inlineStr">
        <is>
          <t xml:space="preserve">L'Automobile Performance Paris, Vous présente cette magnifique Porsche Boxster du 15/05/2001 comptabilisant un peu moins de 106 000 km. * Entretiens : 18/03/2003 - 20 598 km - Centre Porsche Liège - Petit entretien + liquide de frein 05/07/2004 - 40 839 km - Centre Porsche Liège - Grand entretien 14/03/2007 - 60 559 km - Centre Porsche Liège - Petit entretien + liquide de frein 02/09/2008 - 68 282 km - Centre Porsche Liège - Petit entretien + bougies 17/05/2011- 71 330 km - Centre Porsche Liège </t>
        </is>
      </c>
      <c r="AO469" s="10" t="inlineStr">
        <is>
          <t>vehicle_technical_inspection_valid : Oui ; Contrôle technique : 2027 ; Dommages : Bon état général ; Sellerie : Cuir partiel, Alcantara ; Équipements intérieurs : Alarme antivol, Climatisation, Jantes en alliage, Roue de secours, Sièges en cuir, Sièges sport, Sièges électriques, Suspension sport / adaptative ; Permis : Avec permis ; Vente en LOA/LLD : Non ; VO récent : false ; vehicle_commercial_warranty : Non ; vehicle_manufacturer_warranty : Non ; custom_ref : NATHAN ; Importé : false ; vehicle_history_report_status : visible ; vehicle_history_teaser_critair : 3 ; vehicle_history_teaser_owners : 3 ; vehicle_history_teaser_expertises : true ; vehicle_history_teaser_special_uses : false ; vehicle_history_teaser_atypical_operations : false ; vehicle_history_teaser_importations : false ; spare_parts_availability : Non renseignée</t>
        </is>
      </c>
      <c r="AP469" s="19" t="inlineStr">
        <is>
          <t>Voir</t>
        </is>
      </c>
      <c r="AQ469" s="10" t="inlineStr">
        <is>
          <t>3255993553</t>
        </is>
      </c>
    </row>
    <row r="470">
      <c r="A470" s="10" t="inlineStr">
        <is>
          <t>Porsche Boxster 986</t>
        </is>
      </c>
      <c r="B470" s="10" t="inlineStr">
        <is>
          <t>Boxster 986</t>
        </is>
      </c>
      <c r="C470" s="10" t="n"/>
      <c r="D470" s="10" t="n"/>
      <c r="E470" s="10" t="inlineStr">
        <is>
          <t>En vente</t>
        </is>
      </c>
      <c r="F470" s="18" t="n">
        <v>46272</v>
      </c>
      <c r="G470" s="18" t="n">
        <v>46272</v>
      </c>
      <c r="H470" s="18" t="n">
        <v>46310</v>
      </c>
      <c r="I470" s="18" t="n"/>
      <c r="J470" s="17">
        <f>IF(OR(ISNUMBER(F470),ISNUMBER(G470)),IF(ISNUMBER(I470),I470,H470)-IF(ISNUMBER(F470),F470,G470),"")</f>
        <v/>
      </c>
      <c r="K470" s="12" t="n">
        <v>17500</v>
      </c>
      <c r="L470" s="12" t="n">
        <v>17500</v>
      </c>
      <c r="M470" s="13">
        <f>IF(AND(ISNUMBER(K470),ISNUMBER(L470),K470&gt;0),1-L470/K470,"")</f>
        <v/>
      </c>
      <c r="N470" s="16" t="n">
        <v>0</v>
      </c>
      <c r="O470" s="12" t="n"/>
      <c r="P470" s="12" t="n"/>
      <c r="Q470" s="12" t="n"/>
      <c r="R470" s="14">
        <f>IF(AND(ISNUMBER(L470),ISNUMBER(P470),ISNUMBER(Q470)),L470/((P470+Q470)/2)-1,"")</f>
        <v/>
      </c>
      <c r="S470" s="10" t="n"/>
      <c r="T470" s="15" t="n">
        <v>141600</v>
      </c>
      <c r="U470" s="16" t="n">
        <v>2004</v>
      </c>
      <c r="V470" s="10" t="inlineStr">
        <is>
          <t>10/2004</t>
        </is>
      </c>
      <c r="W470" s="10" t="inlineStr">
        <is>
          <t>Essence</t>
        </is>
      </c>
      <c r="X470" s="10" t="inlineStr">
        <is>
          <t>Manuelle</t>
        </is>
      </c>
      <c r="Y470" s="16" t="n">
        <v>228</v>
      </c>
      <c r="Z470" s="16" t="n">
        <v>15</v>
      </c>
      <c r="AA470" s="10" t="inlineStr">
        <is>
          <t>Noir</t>
        </is>
      </c>
      <c r="AB470" s="16" t="n">
        <v>2</v>
      </c>
      <c r="AC470" s="10" t="inlineStr">
        <is>
          <t>Cabriolet</t>
        </is>
      </c>
      <c r="AD470" s="10" t="n"/>
      <c r="AE470" s="10" t="n"/>
      <c r="AF470" s="10" t="inlineStr">
        <is>
          <t>Particulier</t>
        </is>
      </c>
      <c r="AG470" s="10" t="inlineStr">
        <is>
          <t>Lesménils</t>
        </is>
      </c>
      <c r="AH470" s="10" t="inlineStr">
        <is>
          <t>54700</t>
        </is>
      </c>
      <c r="AI470" s="10" t="inlineStr">
        <is>
          <t>Meurthe-et-Moselle</t>
        </is>
      </c>
      <c r="AJ470" s="10" t="inlineStr">
        <is>
          <t>Lorraine</t>
        </is>
      </c>
      <c r="AK470" s="16" t="n">
        <v>2</v>
      </c>
      <c r="AL470" s="10" t="n"/>
      <c r="AM470" s="10" t="inlineStr">
        <is>
          <t>Non</t>
        </is>
      </c>
      <c r="AN470" s="10" t="inlineStr">
        <is>
          <t>Boxster, 2.7 l 228cv. Pompe à eau, calorstat, bouchon vase expansion et liquide remplacés. Bon état. Laisse hardtop avec son chariot. Tout est fonctionnel</t>
        </is>
      </c>
      <c r="AO470" s="10" t="inlineStr">
        <is>
          <t>Sellerie : Tout cuir ; Permis : Avec permis ; Importé : false</t>
        </is>
      </c>
      <c r="AP470" s="19" t="inlineStr">
        <is>
          <t>Voir</t>
        </is>
      </c>
      <c r="AQ470" s="10" t="inlineStr">
        <is>
          <t>3265294019</t>
        </is>
      </c>
    </row>
    <row r="471">
      <c r="A471" s="10" t="inlineStr">
        <is>
          <t>Porsche Boxster 986</t>
        </is>
      </c>
      <c r="B471" s="10" t="inlineStr">
        <is>
          <t>Porsche Boxster 986</t>
        </is>
      </c>
      <c r="C471" s="10" t="n"/>
      <c r="D471" s="10" t="n"/>
      <c r="E471" s="10" t="inlineStr">
        <is>
          <t>En vente</t>
        </is>
      </c>
      <c r="F471" s="18" t="n">
        <v>46276</v>
      </c>
      <c r="G471" s="18" t="n">
        <v>46276</v>
      </c>
      <c r="H471" s="18" t="n">
        <v>46310</v>
      </c>
      <c r="I471" s="18" t="n"/>
      <c r="J471" s="17">
        <f>IF(OR(ISNUMBER(F471),ISNUMBER(G471)),IF(ISNUMBER(I471),I471,H471)-IF(ISNUMBER(F471),F471,G471),"")</f>
        <v/>
      </c>
      <c r="K471" s="12" t="n">
        <v>11450</v>
      </c>
      <c r="L471" s="12" t="n">
        <v>11450</v>
      </c>
      <c r="M471" s="13">
        <f>IF(AND(ISNUMBER(K471),ISNUMBER(L471),K471&gt;0),1-L471/K471,"")</f>
        <v/>
      </c>
      <c r="N471" s="16" t="n">
        <v>0</v>
      </c>
      <c r="O471" s="12" t="n"/>
      <c r="P471" s="12" t="n"/>
      <c r="Q471" s="12" t="n"/>
      <c r="R471" s="14">
        <f>IF(AND(ISNUMBER(L471),ISNUMBER(P471),ISNUMBER(Q471)),L471/((P471+Q471)/2)-1,"")</f>
        <v/>
      </c>
      <c r="S471" s="10" t="n"/>
      <c r="T471" s="15" t="n">
        <v>238000</v>
      </c>
      <c r="U471" s="16" t="n">
        <v>1997</v>
      </c>
      <c r="V471" s="10" t="inlineStr">
        <is>
          <t>10/1997</t>
        </is>
      </c>
      <c r="W471" s="10" t="inlineStr">
        <is>
          <t>Essence</t>
        </is>
      </c>
      <c r="X471" s="10" t="inlineStr">
        <is>
          <t>Manuelle</t>
        </is>
      </c>
      <c r="Y471" s="16" t="n">
        <v>204</v>
      </c>
      <c r="Z471" s="16" t="n">
        <v>13</v>
      </c>
      <c r="AA471" s="10" t="inlineStr">
        <is>
          <t>Gris</t>
        </is>
      </c>
      <c r="AB471" s="16" t="n">
        <v>2</v>
      </c>
      <c r="AC471" s="10" t="inlineStr">
        <is>
          <t>Cabriolet</t>
        </is>
      </c>
      <c r="AD471" s="10" t="n"/>
      <c r="AE471" s="10" t="n"/>
      <c r="AF471" s="10" t="inlineStr">
        <is>
          <t>Particulier</t>
        </is>
      </c>
      <c r="AG471" s="10" t="inlineStr">
        <is>
          <t>Étalans</t>
        </is>
      </c>
      <c r="AH471" s="10" t="inlineStr">
        <is>
          <t>25580</t>
        </is>
      </c>
      <c r="AI471" s="10" t="inlineStr">
        <is>
          <t>Doubs</t>
        </is>
      </c>
      <c r="AJ471" s="10" t="inlineStr">
        <is>
          <t>Franche-Comté</t>
        </is>
      </c>
      <c r="AK471" s="16" t="n">
        <v>3</v>
      </c>
      <c r="AL471" s="10" t="n"/>
      <c r="AM471" s="10" t="inlineStr">
        <is>
          <t>Non</t>
        </is>
      </c>
      <c r="AN471" s="10" t="inlineStr">
        <is>
          <t>Porsche Boxster 986 année 1997 Entretien à jour : freins neufs, pneus usures 20%, échappement neuf, pompe à eau neuve, courroie + 4 tendeurs neufs, Échange capteur ABS, 6 bougies et batterie neuve, échange boite de vitesse en 06/2019 et débitmètre ( facture à l'appui), peinture neuve. Aucun frais à prévoir! Renseignements par téléphone uniquement</t>
        </is>
      </c>
      <c r="AO471" s="10" t="inlineStr">
        <is>
          <t>vehicle_technical_inspection_valid : Non ; Permis : Avec permis ; Importé : false ; vehicle_history_teaser_critair : 3 ; vehicle_history_teaser_owners : 4 ; vehicle_history_teaser_expertises : false ; vehicle_history_teaser_special_uses : false ; vehicle_history_teaser_atypical_operations : true ; vehicle_history_teaser_importations : true</t>
        </is>
      </c>
      <c r="AP471" s="19" t="inlineStr">
        <is>
          <t>Voir</t>
        </is>
      </c>
      <c r="AQ471" s="10" t="inlineStr">
        <is>
          <t>3267627094</t>
        </is>
      </c>
    </row>
    <row r="472">
      <c r="A472" s="10" t="inlineStr">
        <is>
          <t>Porsche Boxster 986</t>
        </is>
      </c>
      <c r="B472" s="10" t="inlineStr">
        <is>
          <t>Porsche Boxster S 986 3.2 260 CH - HARDTOP / SUIVI D'ENTRETIEN</t>
        </is>
      </c>
      <c r="C472" s="10" t="inlineStr">
        <is>
          <t>Boxster 3.2 S</t>
        </is>
      </c>
      <c r="D472" s="10" t="inlineStr">
        <is>
          <t>S</t>
        </is>
      </c>
      <c r="E472" s="10" t="inlineStr">
        <is>
          <t>En vente</t>
        </is>
      </c>
      <c r="F472" s="18" t="n">
        <v>46284</v>
      </c>
      <c r="G472" s="18" t="n">
        <v>46284</v>
      </c>
      <c r="H472" s="18" t="n">
        <v>46310</v>
      </c>
      <c r="I472" s="18" t="n"/>
      <c r="J472" s="17">
        <f>IF(OR(ISNUMBER(F472),ISNUMBER(G472)),IF(ISNUMBER(I472),I472,H472)-IF(ISNUMBER(F472),F472,G472),"")</f>
        <v/>
      </c>
      <c r="K472" s="12" t="n">
        <v>21990</v>
      </c>
      <c r="L472" s="12" t="n">
        <v>21990</v>
      </c>
      <c r="M472" s="13">
        <f>IF(AND(ISNUMBER(K472),ISNUMBER(L472),K472&gt;0),1-L472/K472,"")</f>
        <v/>
      </c>
      <c r="N472" s="16" t="n">
        <v>0</v>
      </c>
      <c r="O472" s="12" t="n"/>
      <c r="P472" s="12" t="n"/>
      <c r="Q472" s="12" t="n"/>
      <c r="R472" s="14">
        <f>IF(AND(ISNUMBER(L472),ISNUMBER(P472),ISNUMBER(Q472)),L472/((P472+Q472)/2)-1,"")</f>
        <v/>
      </c>
      <c r="S472" s="10" t="n"/>
      <c r="T472" s="15" t="n">
        <v>133500</v>
      </c>
      <c r="U472" s="16" t="n">
        <v>2003</v>
      </c>
      <c r="V472" s="10" t="inlineStr">
        <is>
          <t>01/2003</t>
        </is>
      </c>
      <c r="W472" s="10" t="inlineStr">
        <is>
          <t>Essence</t>
        </is>
      </c>
      <c r="X472" s="10" t="inlineStr">
        <is>
          <t>Manuelle</t>
        </is>
      </c>
      <c r="Y472" s="16" t="n">
        <v>260</v>
      </c>
      <c r="Z472" s="16" t="n">
        <v>18</v>
      </c>
      <c r="AA472" s="10" t="inlineStr">
        <is>
          <t>Noir</t>
        </is>
      </c>
      <c r="AB472" s="16" t="n">
        <v>2</v>
      </c>
      <c r="AC472" s="10" t="inlineStr">
        <is>
          <t>Cabriolet</t>
        </is>
      </c>
      <c r="AD472" s="10" t="inlineStr">
        <is>
          <t>Carnet d'entretien disponible</t>
        </is>
      </c>
      <c r="AE472" s="10" t="n"/>
      <c r="AF472" s="10" t="inlineStr">
        <is>
          <t>Pro</t>
        </is>
      </c>
      <c r="AG472" s="10" t="inlineStr">
        <is>
          <t>Le Thor</t>
        </is>
      </c>
      <c r="AH472" s="10" t="inlineStr">
        <is>
          <t>84250</t>
        </is>
      </c>
      <c r="AI472" s="10" t="inlineStr">
        <is>
          <t>Vaucluse</t>
        </is>
      </c>
      <c r="AJ472" s="10" t="inlineStr">
        <is>
          <t>Provence-Alpes-Côte d'Azur</t>
        </is>
      </c>
      <c r="AK472" s="16" t="n">
        <v>24</v>
      </c>
      <c r="AL472" s="10" t="inlineStr">
        <is>
          <t>Oui</t>
        </is>
      </c>
      <c r="AM472" s="10" t="inlineStr">
        <is>
          <t>Non</t>
        </is>
      </c>
      <c r="AN472" s="10" t="inlineStr">
        <is>
          <t>Porsche Boxster S 986 3.2 260 CH - HARDTOP / SUIVI D'ENTRETIEN roadster, noir, 18 cv, 2 portes, première mise en circulation le 01/01/2003. Historique du véhicule, lunette arrière dégivrante, étriers de freins rouges, L'ISLE AUTO – Spécialiste du véhicule d'occasion PRIX AFFICHÉ HORS FRAIS D'AGENCE ET DE MISE À LA ROUTE -LIVRAISON POSSIBLE PARTOUT EN FRANCE -SERVICE CARTE GRISE -REPRISE DE VOTRE VÉHICULE -RECHERCHE PERSONNALISÉE DE VOTRE FUTUR VÉHICULE -GARANTIE EXTENSIBLE jusqu'à 36 MOIS. VÉHIC</t>
        </is>
      </c>
      <c r="AO472" s="10" t="inlineStr">
        <is>
          <t>vehicle_technical_inspection_valid : Oui ; Sellerie : Tout cuir ; Équipements intérieurs : Climatisation, Ordinateur de bord, Sièges chauffants, Vitres électriques arrières ; Permis : Avec permis ; VO récent : false ; custom_ref : OPT_AC8ED6 ; Importé : true ; vehicle_history_report_status : visible ; spare_parts_availability : Non renseignée</t>
        </is>
      </c>
      <c r="AP472" s="19" t="inlineStr">
        <is>
          <t>Voir</t>
        </is>
      </c>
      <c r="AQ472" s="10" t="inlineStr">
        <is>
          <t>3272564375</t>
        </is>
      </c>
    </row>
    <row r="473">
      <c r="A473" s="10" t="inlineStr">
        <is>
          <t>Porsche Boxster 986</t>
        </is>
      </c>
      <c r="B473" s="10" t="inlineStr">
        <is>
          <t>Porsche boxster 986</t>
        </is>
      </c>
      <c r="C473" s="10" t="n"/>
      <c r="D473" s="10" t="n"/>
      <c r="E473" s="10" t="inlineStr">
        <is>
          <t>En vente</t>
        </is>
      </c>
      <c r="F473" s="18" t="n">
        <v>46284</v>
      </c>
      <c r="G473" s="18" t="n">
        <v>46284</v>
      </c>
      <c r="H473" s="18" t="n">
        <v>46310</v>
      </c>
      <c r="I473" s="18" t="n"/>
      <c r="J473" s="17">
        <f>IF(OR(ISNUMBER(F473),ISNUMBER(G473)),IF(ISNUMBER(I473),I473,H473)-IF(ISNUMBER(F473),F473,G473),"")</f>
        <v/>
      </c>
      <c r="K473" s="12" t="n">
        <v>12000</v>
      </c>
      <c r="L473" s="12" t="n">
        <v>12000</v>
      </c>
      <c r="M473" s="13">
        <f>IF(AND(ISNUMBER(K473),ISNUMBER(L473),K473&gt;0),1-L473/K473,"")</f>
        <v/>
      </c>
      <c r="N473" s="16" t="n">
        <v>0</v>
      </c>
      <c r="O473" s="12" t="n"/>
      <c r="P473" s="12" t="n"/>
      <c r="Q473" s="12" t="n"/>
      <c r="R473" s="14">
        <f>IF(AND(ISNUMBER(L473),ISNUMBER(P473),ISNUMBER(Q473)),L473/((P473+Q473)/2)-1,"")</f>
        <v/>
      </c>
      <c r="S473" s="10" t="n"/>
      <c r="T473" s="15" t="n">
        <v>192000</v>
      </c>
      <c r="U473" s="16" t="n">
        <v>1998</v>
      </c>
      <c r="V473" s="10" t="inlineStr">
        <is>
          <t>05/1998</t>
        </is>
      </c>
      <c r="W473" s="10" t="inlineStr">
        <is>
          <t>Essence</t>
        </is>
      </c>
      <c r="X473" s="10" t="inlineStr">
        <is>
          <t>Manuelle</t>
        </is>
      </c>
      <c r="Y473" s="16" t="n">
        <v>204</v>
      </c>
      <c r="Z473" s="16" t="n">
        <v>13</v>
      </c>
      <c r="AA473" s="10" t="inlineStr">
        <is>
          <t>Autre</t>
        </is>
      </c>
      <c r="AB473" s="16" t="n">
        <v>2</v>
      </c>
      <c r="AC473" s="10" t="inlineStr">
        <is>
          <t>Cabriolet</t>
        </is>
      </c>
      <c r="AD473" s="10" t="n"/>
      <c r="AE473" s="10" t="n"/>
      <c r="AF473" s="10" t="inlineStr">
        <is>
          <t>Particulier</t>
        </is>
      </c>
      <c r="AG473" s="10" t="inlineStr">
        <is>
          <t>Brens</t>
        </is>
      </c>
      <c r="AH473" s="10" t="inlineStr">
        <is>
          <t>81600</t>
        </is>
      </c>
      <c r="AI473" s="10" t="inlineStr">
        <is>
          <t>Tarn</t>
        </is>
      </c>
      <c r="AJ473" s="10" t="inlineStr">
        <is>
          <t>Midi-Pyrénées</t>
        </is>
      </c>
      <c r="AK473" s="16" t="n">
        <v>3</v>
      </c>
      <c r="AL473" s="10" t="n"/>
      <c r="AM473" s="10" t="inlineStr">
        <is>
          <t>Non</t>
        </is>
      </c>
      <c r="AN473" s="10" t="inlineStr">
        <is>
          <t>À vendre Porsche Boxster, 98 Amortisseur avant amortisseur arrière neuf Puit de bougies neuf Bougies neuve Six bobine allumage neuf Plastique capote à changer</t>
        </is>
      </c>
      <c r="AO473" s="10" t="inlineStr">
        <is>
          <t>Permis : Avec permis ; Importé : false ; vehicle_history_report_status : visible</t>
        </is>
      </c>
      <c r="AP473" s="19" t="inlineStr">
        <is>
          <t>Voir</t>
        </is>
      </c>
      <c r="AQ473" s="10" t="inlineStr">
        <is>
          <t>3272892582</t>
        </is>
      </c>
    </row>
    <row r="474">
      <c r="A474" s="10" t="inlineStr">
        <is>
          <t>Porsche Boxster 986</t>
        </is>
      </c>
      <c r="B474" s="10" t="inlineStr">
        <is>
          <t>Porsche BOXSTER (986) 2.7</t>
        </is>
      </c>
      <c r="C474" s="10" t="inlineStr">
        <is>
          <t>Boxster 2.7</t>
        </is>
      </c>
      <c r="D474" s="10" t="inlineStr">
        <is>
          <t>Base</t>
        </is>
      </c>
      <c r="E474" s="10" t="inlineStr">
        <is>
          <t>En vente</t>
        </is>
      </c>
      <c r="F474" s="18" t="n">
        <v>46285</v>
      </c>
      <c r="G474" s="18" t="n">
        <v>46285</v>
      </c>
      <c r="H474" s="18" t="n">
        <v>46310</v>
      </c>
      <c r="I474" s="18" t="n"/>
      <c r="J474" s="17">
        <f>IF(OR(ISNUMBER(F474),ISNUMBER(G474)),IF(ISNUMBER(I474),I474,H474)-IF(ISNUMBER(F474),F474,G474),"")</f>
        <v/>
      </c>
      <c r="K474" s="12" t="n">
        <v>18990</v>
      </c>
      <c r="L474" s="12" t="n">
        <v>18990</v>
      </c>
      <c r="M474" s="13">
        <f>IF(AND(ISNUMBER(K474),ISNUMBER(L474),K474&gt;0),1-L474/K474,"")</f>
        <v/>
      </c>
      <c r="N474" s="16" t="n">
        <v>0</v>
      </c>
      <c r="O474" s="12" t="n"/>
      <c r="P474" s="12" t="n"/>
      <c r="Q474" s="12" t="n"/>
      <c r="R474" s="14">
        <f>IF(AND(ISNUMBER(L474),ISNUMBER(P474),ISNUMBER(Q474)),L474/((P474+Q474)/2)-1,"")</f>
        <v/>
      </c>
      <c r="S474" s="10" t="n"/>
      <c r="T474" s="15" t="n">
        <v>134354</v>
      </c>
      <c r="U474" s="16" t="n">
        <v>2003</v>
      </c>
      <c r="V474" s="10" t="inlineStr">
        <is>
          <t>02/2003</t>
        </is>
      </c>
      <c r="W474" s="10" t="inlineStr">
        <is>
          <t>Essence</t>
        </is>
      </c>
      <c r="X474" s="10" t="inlineStr">
        <is>
          <t>Manuelle</t>
        </is>
      </c>
      <c r="Y474" s="16" t="n">
        <v>228</v>
      </c>
      <c r="Z474" s="16" t="n">
        <v>15</v>
      </c>
      <c r="AA474" s="10" t="inlineStr">
        <is>
          <t>Gris</t>
        </is>
      </c>
      <c r="AB474" s="16" t="n"/>
      <c r="AC474" s="10" t="inlineStr">
        <is>
          <t>Cabriolet</t>
        </is>
      </c>
      <c r="AD474" s="10" t="n"/>
      <c r="AE474" s="10" t="n"/>
      <c r="AF474" s="10" t="inlineStr">
        <is>
          <t>Pro</t>
        </is>
      </c>
      <c r="AG474" s="10" t="inlineStr">
        <is>
          <t>Aubagne</t>
        </is>
      </c>
      <c r="AH474" s="10" t="inlineStr">
        <is>
          <t>13400</t>
        </is>
      </c>
      <c r="AI474" s="10" t="inlineStr">
        <is>
          <t>Bouches-du-Rhône</t>
        </is>
      </c>
      <c r="AJ474" s="10" t="inlineStr">
        <is>
          <t>Provence-Alpes-Côte d'Azur</t>
        </is>
      </c>
      <c r="AK474" s="16" t="n">
        <v>12</v>
      </c>
      <c r="AL474" s="10" t="n"/>
      <c r="AM474" s="10" t="inlineStr">
        <is>
          <t>Non</t>
        </is>
      </c>
      <c r="AN474" s="10" t="inlineStr">
        <is>
          <t>Porsche BOXSTER (986) 2.7, (Cabriolet), GRIS F, 15cv, mise en circulation le 10-02-2003. 2 places, couleur intérieur : NOIR, longueur : 4,32 mètres, boîte de vitesse : manuelle OPTIONS ET EQUIPEMENTS : Audio - Télécommunications - Radio CD Extérieur - Jantes Alu Intérieur - Clim automatique - Direction assistée - Pack électrique Sécurité - ABS - Airbags frontaux Autres équipements et informations : - Sièges chauffant - Sellerie cuir Kilométrage garanti. VEHICULE VENDU EN DEPOT-VENTE -&gt; Moteur éq</t>
        </is>
      </c>
      <c r="AO474" s="10" t="inlineStr">
        <is>
          <t>Permis : Avec permis ; VO récent : false ; custom_ref : 423 ; Importé : true ; vehicle_history_report_status : visible ; spare_parts_availability : Non renseignée</t>
        </is>
      </c>
      <c r="AP474" s="19" t="inlineStr">
        <is>
          <t>Voir</t>
        </is>
      </c>
      <c r="AQ474" s="10" t="inlineStr">
        <is>
          <t>3272963366</t>
        </is>
      </c>
    </row>
    <row r="475">
      <c r="A475" s="10" t="inlineStr">
        <is>
          <t>Porsche Boxster 986</t>
        </is>
      </c>
      <c r="B475" s="10" t="inlineStr">
        <is>
          <t>Porsche Boxster 986.1 2.7 220 ch Tiptronic</t>
        </is>
      </c>
      <c r="C475" s="10" t="inlineStr">
        <is>
          <t>Boxster 2.7 TipTronic</t>
        </is>
      </c>
      <c r="D475" s="10" t="inlineStr">
        <is>
          <t>Base</t>
        </is>
      </c>
      <c r="E475" s="10" t="inlineStr">
        <is>
          <t>En vente</t>
        </is>
      </c>
      <c r="F475" s="18" t="n">
        <v>46287</v>
      </c>
      <c r="G475" s="18" t="n">
        <v>46287</v>
      </c>
      <c r="H475" s="18" t="n">
        <v>46310</v>
      </c>
      <c r="I475" s="18" t="n"/>
      <c r="J475" s="17">
        <f>IF(OR(ISNUMBER(F475),ISNUMBER(G475)),IF(ISNUMBER(I475),I475,H475)-IF(ISNUMBER(F475),F475,G475),"")</f>
        <v/>
      </c>
      <c r="K475" s="12" t="n">
        <v>20990</v>
      </c>
      <c r="L475" s="12" t="n">
        <v>20990</v>
      </c>
      <c r="M475" s="13">
        <f>IF(AND(ISNUMBER(K475),ISNUMBER(L475),K475&gt;0),1-L475/K475,"")</f>
        <v/>
      </c>
      <c r="N475" s="16" t="n">
        <v>0</v>
      </c>
      <c r="O475" s="12" t="n"/>
      <c r="P475" s="12" t="n"/>
      <c r="Q475" s="12" t="n"/>
      <c r="R475" s="14">
        <f>IF(AND(ISNUMBER(L475),ISNUMBER(P475),ISNUMBER(Q475)),L475/((P475+Q475)/2)-1,"")</f>
        <v/>
      </c>
      <c r="S475" s="10" t="n"/>
      <c r="T475" s="15" t="n">
        <v>108500</v>
      </c>
      <c r="U475" s="16" t="n">
        <v>2002</v>
      </c>
      <c r="V475" s="10" t="inlineStr">
        <is>
          <t>02/2002</t>
        </is>
      </c>
      <c r="W475" s="10" t="inlineStr">
        <is>
          <t>Essence</t>
        </is>
      </c>
      <c r="X475" s="10" t="inlineStr">
        <is>
          <t>Automatique</t>
        </is>
      </c>
      <c r="Y475" s="16" t="n">
        <v>220</v>
      </c>
      <c r="Z475" s="16" t="n">
        <v>15</v>
      </c>
      <c r="AA475" s="10" t="inlineStr">
        <is>
          <t>Bleu</t>
        </is>
      </c>
      <c r="AB475" s="16" t="n">
        <v>2</v>
      </c>
      <c r="AC475" s="10" t="inlineStr">
        <is>
          <t>Cabriolet</t>
        </is>
      </c>
      <c r="AD475" s="10" t="inlineStr">
        <is>
          <t>Carnet d'entretien disponible</t>
        </is>
      </c>
      <c r="AE475" s="10" t="n"/>
      <c r="AF475" s="10" t="inlineStr">
        <is>
          <t>Pro</t>
        </is>
      </c>
      <c r="AG475" s="10" t="inlineStr">
        <is>
          <t>Jouy-le-Potier</t>
        </is>
      </c>
      <c r="AH475" s="10" t="inlineStr">
        <is>
          <t>45370</t>
        </is>
      </c>
      <c r="AI475" s="10" t="inlineStr">
        <is>
          <t>Loiret</t>
        </is>
      </c>
      <c r="AJ475" s="10" t="inlineStr">
        <is>
          <t>Centre</t>
        </is>
      </c>
      <c r="AK475" s="16" t="n">
        <v>45</v>
      </c>
      <c r="AL475" s="10" t="inlineStr">
        <is>
          <t>Oui</t>
        </is>
      </c>
      <c r="AM475" s="10" t="inlineStr">
        <is>
          <t>Non</t>
        </is>
      </c>
      <c r="AN475" s="10" t="inlineStr">
        <is>
          <t>Porsche Boxster 986.1 2.7 220 ch Tiptronic cabriolet, bleu, 15 cv, 2 portes, première mise en circulation le 22/02/2002, garantie 12 mois. -Une sélection 45 AUTOSPORT. -45 AUTOSPORT, spécialiste en véhicules de sport, de prestige et de collection pour la vente l'entretien et la réparation depuis 2007. -Nous disposons d'une sélection de véhicules révisés et garantis. -Échange / Reprise possible. Etudie toutes propositions. -Recherche personnalisée sur demande. 2 places, poids en charge : 1310 kg,</t>
        </is>
      </c>
      <c r="AO475" s="10" t="inlineStr">
        <is>
          <t>vehicle_technical_inspection_valid : Oui ; Équipements intérieurs : Aide au stationnement, Climatisation, Régulateur de vitesse, Vitres électriques arrières ; Permis : Avec permis ; VO récent : false ; custom_ref : 620 ; Importé : true ; vehicle_history_report_status : visible ; spare_parts_availability : Non renseignée</t>
        </is>
      </c>
      <c r="AP475" s="19" t="inlineStr">
        <is>
          <t>Voir</t>
        </is>
      </c>
      <c r="AQ475" s="10" t="inlineStr">
        <is>
          <t>3274504040</t>
        </is>
      </c>
    </row>
    <row r="476">
      <c r="A476" s="10" t="inlineStr">
        <is>
          <t>Porsche Boxster 986</t>
        </is>
      </c>
      <c r="B476" s="10" t="inlineStr">
        <is>
          <t>Porsche Boxster 986</t>
        </is>
      </c>
      <c r="C476" s="10" t="n"/>
      <c r="D476" s="10" t="n"/>
      <c r="E476" s="10" t="inlineStr">
        <is>
          <t>En vente</t>
        </is>
      </c>
      <c r="F476" s="18" t="n">
        <v>46288</v>
      </c>
      <c r="G476" s="18" t="n">
        <v>46288</v>
      </c>
      <c r="H476" s="18" t="n">
        <v>46310</v>
      </c>
      <c r="I476" s="18" t="n"/>
      <c r="J476" s="17">
        <f>IF(OR(ISNUMBER(F476),ISNUMBER(G476)),IF(ISNUMBER(I476),I476,H476)-IF(ISNUMBER(F476),F476,G476),"")</f>
        <v/>
      </c>
      <c r="K476" s="12" t="n">
        <v>19500</v>
      </c>
      <c r="L476" s="12" t="n">
        <v>19500</v>
      </c>
      <c r="M476" s="13">
        <f>IF(AND(ISNUMBER(K476),ISNUMBER(L476),K476&gt;0),1-L476/K476,"")</f>
        <v/>
      </c>
      <c r="N476" s="16" t="n">
        <v>0</v>
      </c>
      <c r="O476" s="12" t="n"/>
      <c r="P476" s="12" t="n"/>
      <c r="Q476" s="12" t="n"/>
      <c r="R476" s="14">
        <f>IF(AND(ISNUMBER(L476),ISNUMBER(P476),ISNUMBER(Q476)),L476/((P476+Q476)/2)-1,"")</f>
        <v/>
      </c>
      <c r="S476" s="10" t="n"/>
      <c r="T476" s="15" t="n">
        <v>125000</v>
      </c>
      <c r="U476" s="16" t="n">
        <v>2003</v>
      </c>
      <c r="V476" s="10" t="inlineStr">
        <is>
          <t>11/2003</t>
        </is>
      </c>
      <c r="W476" s="10" t="inlineStr">
        <is>
          <t>Essence</t>
        </is>
      </c>
      <c r="X476" s="10" t="inlineStr">
        <is>
          <t>Manuelle</t>
        </is>
      </c>
      <c r="Y476" s="16" t="n">
        <v>228</v>
      </c>
      <c r="Z476" s="16" t="n">
        <v>15</v>
      </c>
      <c r="AA476" s="10" t="inlineStr">
        <is>
          <t>Noir</t>
        </is>
      </c>
      <c r="AB476" s="16" t="n">
        <v>2</v>
      </c>
      <c r="AC476" s="10" t="inlineStr">
        <is>
          <t>Cabriolet</t>
        </is>
      </c>
      <c r="AD476" s="10" t="n"/>
      <c r="AE476" s="10" t="n"/>
      <c r="AF476" s="10" t="inlineStr">
        <is>
          <t>Particulier</t>
        </is>
      </c>
      <c r="AG476" s="10" t="inlineStr">
        <is>
          <t>Orchies</t>
        </is>
      </c>
      <c r="AH476" s="10" t="inlineStr">
        <is>
          <t>59310</t>
        </is>
      </c>
      <c r="AI476" s="10" t="inlineStr">
        <is>
          <t>Nord</t>
        </is>
      </c>
      <c r="AJ476" s="10" t="inlineStr">
        <is>
          <t>Nord-Pas-de-Calais</t>
        </is>
      </c>
      <c r="AK476" s="16" t="n">
        <v>3</v>
      </c>
      <c r="AL476" s="10" t="n"/>
      <c r="AM476" s="10" t="inlineStr">
        <is>
          <t>Non</t>
        </is>
      </c>
      <c r="AN476" s="10" t="inlineStr">
        <is>
          <t>Porsche Boxster 2.7L Mise en circulation 11/2003 Type 986 phase 2 122000 Km évolutif CT ok Possibilité hard-top en supplément Options : 197-batterie Stronger 342-Siège chauffant 394-17 "Boxster S 986 424-compartiment CD 534-Alarme 433 MHz 551-Pare-vent 573-Climatisation automatique 584-Boîte de rangement sur le couvercle du moteur 659-Ordinateur de bord 665-PCM 2 Porsche Communication Management incl. radio, CD 670-Module de navigation pour PCM 946-Sièges en cuir côté arrière similicuir</t>
        </is>
      </c>
      <c r="AO476" s="10" t="inlineStr">
        <is>
          <t>Permis : Avec permis ; Importé : false</t>
        </is>
      </c>
      <c r="AP476" s="19" t="inlineStr">
        <is>
          <t>Voir</t>
        </is>
      </c>
      <c r="AQ476" s="10" t="inlineStr">
        <is>
          <t>3275167558</t>
        </is>
      </c>
    </row>
    <row r="477">
      <c r="A477" s="10" t="inlineStr">
        <is>
          <t>Porsche Boxster 986</t>
        </is>
      </c>
      <c r="B477" s="10" t="inlineStr">
        <is>
          <t>Porsche Boxster 986</t>
        </is>
      </c>
      <c r="C477" s="10" t="inlineStr">
        <is>
          <t>Boxster 2.5</t>
        </is>
      </c>
      <c r="D477" s="10" t="inlineStr">
        <is>
          <t>Base</t>
        </is>
      </c>
      <c r="E477" s="10" t="inlineStr">
        <is>
          <t>En vente</t>
        </is>
      </c>
      <c r="F477" s="18" t="n">
        <v>46292</v>
      </c>
      <c r="G477" s="18" t="n">
        <v>46292</v>
      </c>
      <c r="H477" s="18" t="n">
        <v>46310</v>
      </c>
      <c r="I477" s="18" t="n"/>
      <c r="J477" s="17">
        <f>IF(OR(ISNUMBER(F477),ISNUMBER(G477)),IF(ISNUMBER(I477),I477,H477)-IF(ISNUMBER(F477),F477,G477),"")</f>
        <v/>
      </c>
      <c r="K477" s="12" t="n">
        <v>14000</v>
      </c>
      <c r="L477" s="12" t="n">
        <v>14000</v>
      </c>
      <c r="M477" s="13">
        <f>IF(AND(ISNUMBER(K477),ISNUMBER(L477),K477&gt;0),1-L477/K477,"")</f>
        <v/>
      </c>
      <c r="N477" s="16" t="n">
        <v>0</v>
      </c>
      <c r="O477" s="12" t="n"/>
      <c r="P477" s="12" t="n"/>
      <c r="Q477" s="12" t="n"/>
      <c r="R477" s="14">
        <f>IF(AND(ISNUMBER(L477),ISNUMBER(P477),ISNUMBER(Q477)),L477/((P477+Q477)/2)-1,"")</f>
        <v/>
      </c>
      <c r="S477" s="10" t="n"/>
      <c r="T477" s="15" t="n">
        <v>131500</v>
      </c>
      <c r="U477" s="16" t="n">
        <v>1999</v>
      </c>
      <c r="V477" s="10" t="inlineStr">
        <is>
          <t>05/1999</t>
        </is>
      </c>
      <c r="W477" s="10" t="inlineStr">
        <is>
          <t>Essence</t>
        </is>
      </c>
      <c r="X477" s="10" t="inlineStr">
        <is>
          <t>Manuelle</t>
        </is>
      </c>
      <c r="Y477" s="16" t="n">
        <v>204</v>
      </c>
      <c r="Z477" s="16" t="n">
        <v>13</v>
      </c>
      <c r="AA477" s="10" t="inlineStr">
        <is>
          <t>Gris</t>
        </is>
      </c>
      <c r="AB477" s="16" t="n">
        <v>2</v>
      </c>
      <c r="AC477" s="10" t="inlineStr">
        <is>
          <t>Cabriolet</t>
        </is>
      </c>
      <c r="AD477" s="10" t="inlineStr">
        <is>
          <t>Factures disponibles</t>
        </is>
      </c>
      <c r="AE477" s="10" t="n"/>
      <c r="AF477" s="10" t="inlineStr">
        <is>
          <t>Particulier</t>
        </is>
      </c>
      <c r="AG477" s="10" t="inlineStr">
        <is>
          <t>Montpellier</t>
        </is>
      </c>
      <c r="AH477" s="10" t="inlineStr">
        <is>
          <t>34000</t>
        </is>
      </c>
      <c r="AI477" s="10" t="inlineStr">
        <is>
          <t>Hérault</t>
        </is>
      </c>
      <c r="AJ477" s="10" t="inlineStr">
        <is>
          <t>Languedoc-Roussillon</t>
        </is>
      </c>
      <c r="AK477" s="16" t="n">
        <v>3</v>
      </c>
      <c r="AL477" s="10" t="n"/>
      <c r="AM477" s="10" t="inlineStr">
        <is>
          <t>Non</t>
        </is>
      </c>
      <c r="AN477" s="10" t="inlineStr">
        <is>
          <t>PAS d 'échange. Je vends ma Porsche Boxster 986 de 1999, un cabriolet sportif emblématique pour les amateurs de sensations fortes, un tuning de qualité qui apporte un vrai style et une vraie différence. - Marque : Porsche - Modèle : Boxster 986. 2,5 L - Année : 1999 - Kilométrage : 131 500 km - Motorisation : 204 Ch - Carburant : Essence - Boîte de vitesses : Manuelle 5 - Type : Cabriolet - Couleur : Gris Mat - Nombre de sièges : 2 - Nombre de portes : 2 - Puissance fiscale : 13 Cv - Contrôle te</t>
        </is>
      </c>
      <c r="AO477" s="10" t="inlineStr">
        <is>
          <t>vehicle_technical_inspection_valid : Oui ; Contrôle technique : 2028 ; Dommages : Traces d’usure normales ; Sellerie : Tout cuir ; Permis : Avec permis ; Importé : false ; vehicle_history_teaser_critair : 3 ; vehicle_history_teaser_owners : 5 ; vehicle_history_teaser_expertises : false ; vehicle_history_teaser_special_uses : false ; vehicle_history_teaser_atypical_operations : false ; vehicle_history_teaser_importations : false</t>
        </is>
      </c>
      <c r="AP477" s="19" t="inlineStr">
        <is>
          <t>Voir</t>
        </is>
      </c>
      <c r="AQ477" s="10" t="inlineStr">
        <is>
          <t>3277850572</t>
        </is>
      </c>
    </row>
    <row r="478">
      <c r="A478" s="10" t="inlineStr">
        <is>
          <t>Porsche Boxster 986</t>
        </is>
      </c>
      <c r="B478" s="10" t="inlineStr">
        <is>
          <t>PORSCHE BOXSTER 2.5i TYPE 986 CABRIOLET . PHASE 1 - GARANTIE 12 MOIS</t>
        </is>
      </c>
      <c r="C478" s="10" t="inlineStr">
        <is>
          <t>Boxster 2.5 TipTronic</t>
        </is>
      </c>
      <c r="D478" s="10" t="inlineStr">
        <is>
          <t>Base</t>
        </is>
      </c>
      <c r="E478" s="10" t="inlineStr">
        <is>
          <t>En vente</t>
        </is>
      </c>
      <c r="F478" s="18" t="n">
        <v>46293</v>
      </c>
      <c r="G478" s="18" t="n">
        <v>46293</v>
      </c>
      <c r="H478" s="18" t="n">
        <v>46310</v>
      </c>
      <c r="I478" s="18" t="n"/>
      <c r="J478" s="17">
        <f>IF(OR(ISNUMBER(F478),ISNUMBER(G478)),IF(ISNUMBER(I478),I478,H478)-IF(ISNUMBER(F478),F478,G478),"")</f>
        <v/>
      </c>
      <c r="K478" s="12" t="n">
        <v>15490</v>
      </c>
      <c r="L478" s="12" t="n">
        <v>15490</v>
      </c>
      <c r="M478" s="13">
        <f>IF(AND(ISNUMBER(K478),ISNUMBER(L478),K478&gt;0),1-L478/K478,"")</f>
        <v/>
      </c>
      <c r="N478" s="16" t="n">
        <v>0</v>
      </c>
      <c r="O478" s="12" t="n"/>
      <c r="P478" s="12" t="n"/>
      <c r="Q478" s="12" t="n"/>
      <c r="R478" s="14">
        <f>IF(AND(ISNUMBER(L478),ISNUMBER(P478),ISNUMBER(Q478)),L478/((P478+Q478)/2)-1,"")</f>
        <v/>
      </c>
      <c r="S478" s="10" t="n"/>
      <c r="T478" s="15" t="n">
        <v>124145</v>
      </c>
      <c r="U478" s="16" t="n">
        <v>2000</v>
      </c>
      <c r="V478" s="10" t="inlineStr">
        <is>
          <t>03/2000</t>
        </is>
      </c>
      <c r="W478" s="10" t="inlineStr">
        <is>
          <t>Essence</t>
        </is>
      </c>
      <c r="X478" s="10" t="inlineStr">
        <is>
          <t>Automatique</t>
        </is>
      </c>
      <c r="Y478" s="16" t="n">
        <v>204</v>
      </c>
      <c r="Z478" s="16" t="n">
        <v>14</v>
      </c>
      <c r="AA478" s="10" t="inlineStr">
        <is>
          <t>Noir</t>
        </is>
      </c>
      <c r="AB478" s="16" t="n">
        <v>2</v>
      </c>
      <c r="AC478" s="10" t="inlineStr">
        <is>
          <t>Cabriolet</t>
        </is>
      </c>
      <c r="AD478" s="10" t="n"/>
      <c r="AE478" s="10" t="n"/>
      <c r="AF478" s="10" t="inlineStr">
        <is>
          <t>Pro</t>
        </is>
      </c>
      <c r="AG478" s="10" t="inlineStr">
        <is>
          <t>Échiré</t>
        </is>
      </c>
      <c r="AH478" s="10" t="inlineStr">
        <is>
          <t>79410</t>
        </is>
      </c>
      <c r="AI478" s="10" t="inlineStr">
        <is>
          <t>Deux-Sèvres</t>
        </is>
      </c>
      <c r="AJ478" s="10" t="inlineStr">
        <is>
          <t>Poitou-Charentes</t>
        </is>
      </c>
      <c r="AK478" s="16" t="n">
        <v>18</v>
      </c>
      <c r="AL478" s="10" t="inlineStr">
        <is>
          <t>Oui</t>
        </is>
      </c>
      <c r="AM478" s="10" t="inlineStr">
        <is>
          <t>Non</t>
        </is>
      </c>
      <c r="AN478" s="10" t="inlineStr">
        <is>
          <t>BYE BUY CAR NIORT - F.B MOTORS 150 rue du puits japie, 79410 ECHIRE ESSAIS ET VISITES SUR RENDEZ-VOUS UNIQUEMENT Nous vous proposons cette PORSCHE BOXSTER de 2000 au prix de 15 490€. - Véhicule Garantie 7 points par EUROLA pendant 12 mois / 20 000km. - Extension de garantie possible jusqu’à 36 mois - Reprise de votre ancien véhicule possible - Livraison à domicile sur devis - Visite virtuelle Appelez nous pour avoir plus de renseignements sur nos véhicules ! La Porshe Boxster est un roadster 2 p</t>
        </is>
      </c>
      <c r="AO478" s="10" t="inlineStr">
        <is>
          <t>Dommages : Bon état général ; Permis : Avec permis ; VO récent : false ; custom_ref : 1825-0000014 ; Importé : true ; vehicle_history_report_status : visible ; spare_parts_availability : Non renseignée</t>
        </is>
      </c>
      <c r="AP478" s="19" t="inlineStr">
        <is>
          <t>Voir</t>
        </is>
      </c>
      <c r="AQ478" s="10" t="inlineStr">
        <is>
          <t>3278292369</t>
        </is>
      </c>
    </row>
    <row r="479">
      <c r="A479" s="10" t="inlineStr">
        <is>
          <t>Porsche Boxster 986</t>
        </is>
      </c>
      <c r="B479" s="10" t="inlineStr">
        <is>
          <t>Porsche Boxster 986 - 2L7</t>
        </is>
      </c>
      <c r="C479" s="10" t="n"/>
      <c r="D479" s="10" t="n"/>
      <c r="E479" s="10" t="inlineStr">
        <is>
          <t>En vente</t>
        </is>
      </c>
      <c r="F479" s="18" t="n">
        <v>46295</v>
      </c>
      <c r="G479" s="18" t="n">
        <v>46295</v>
      </c>
      <c r="H479" s="18" t="n">
        <v>46310</v>
      </c>
      <c r="I479" s="18" t="n"/>
      <c r="J479" s="17">
        <f>IF(OR(ISNUMBER(F479),ISNUMBER(G479)),IF(ISNUMBER(I479),I479,H479)-IF(ISNUMBER(F479),F479,G479),"")</f>
        <v/>
      </c>
      <c r="K479" s="12" t="n">
        <v>17800</v>
      </c>
      <c r="L479" s="12" t="n">
        <v>17800</v>
      </c>
      <c r="M479" s="13">
        <f>IF(AND(ISNUMBER(K479),ISNUMBER(L479),K479&gt;0),1-L479/K479,"")</f>
        <v/>
      </c>
      <c r="N479" s="16" t="n">
        <v>0</v>
      </c>
      <c r="O479" s="12" t="n"/>
      <c r="P479" s="12" t="n"/>
      <c r="Q479" s="12" t="n"/>
      <c r="R479" s="14">
        <f>IF(AND(ISNUMBER(L479),ISNUMBER(P479),ISNUMBER(Q479)),L479/((P479+Q479)/2)-1,"")</f>
        <v/>
      </c>
      <c r="S479" s="10" t="n"/>
      <c r="T479" s="15" t="n">
        <v>135000</v>
      </c>
      <c r="U479" s="16" t="n">
        <v>2001</v>
      </c>
      <c r="V479" s="10" t="inlineStr">
        <is>
          <t>06/2001</t>
        </is>
      </c>
      <c r="W479" s="10" t="inlineStr">
        <is>
          <t>Essence</t>
        </is>
      </c>
      <c r="X479" s="10" t="inlineStr">
        <is>
          <t>Manuelle</t>
        </is>
      </c>
      <c r="Y479" s="16" t="n">
        <v>220</v>
      </c>
      <c r="Z479" s="16" t="n">
        <v>15</v>
      </c>
      <c r="AA479" s="10" t="inlineStr">
        <is>
          <t>Autre</t>
        </is>
      </c>
      <c r="AB479" s="16" t="n">
        <v>2</v>
      </c>
      <c r="AC479" s="10" t="inlineStr">
        <is>
          <t>Cabriolet</t>
        </is>
      </c>
      <c r="AD479" s="10" t="n"/>
      <c r="AE479" s="10" t="n"/>
      <c r="AF479" s="10" t="inlineStr">
        <is>
          <t>Particulier</t>
        </is>
      </c>
      <c r="AG479" s="10" t="inlineStr">
        <is>
          <t>Les Ponts-de-Cé</t>
        </is>
      </c>
      <c r="AH479" s="10" t="inlineStr">
        <is>
          <t>49130</t>
        </is>
      </c>
      <c r="AI479" s="10" t="inlineStr">
        <is>
          <t>Maine-et-Loire</t>
        </is>
      </c>
      <c r="AJ479" s="10" t="inlineStr">
        <is>
          <t>Pays de la Loire</t>
        </is>
      </c>
      <c r="AK479" s="16" t="n">
        <v>3</v>
      </c>
      <c r="AL479" s="10" t="n"/>
      <c r="AM479" s="10" t="inlineStr">
        <is>
          <t>Non</t>
        </is>
      </c>
      <c r="AN479" s="10" t="inlineStr">
        <is>
          <t>Porsche Boxster 2.7L - 220 cv Date de 1ere mise en circulation : 13/06/2001 Intérieur/extérieur en très bon état. Sièges chauffants. Clim auto. L'embrayage et l'IMS ont été remplacés au Centre Porsche de Rennes en 2015 elle avait alors 97 272 kms. Entretien suivi. Dernière révision : Avril 2026. J'en suis propriétaire depuis 10 ans (Août 2016), c'est ma 3ième Porsche. Elle a aujourd'hui 135 000 kms. 1er contact par mail. Merci.</t>
        </is>
      </c>
      <c r="AO479" s="10" t="inlineStr">
        <is>
          <t>Permis : Avec permis ; Importé : false</t>
        </is>
      </c>
      <c r="AP479" s="19" t="inlineStr">
        <is>
          <t>Voir</t>
        </is>
      </c>
      <c r="AQ479" s="10" t="inlineStr">
        <is>
          <t>3279539872</t>
        </is>
      </c>
    </row>
    <row r="480">
      <c r="A480" s="10" t="inlineStr">
        <is>
          <t>Porsche Boxster 986</t>
        </is>
      </c>
      <c r="B480" s="10" t="inlineStr">
        <is>
          <t>Porsche Boxster 986 2.7L 220CH</t>
        </is>
      </c>
      <c r="C480" s="10" t="n"/>
      <c r="D480" s="10" t="n"/>
      <c r="E480" s="10" t="inlineStr">
        <is>
          <t>En vente</t>
        </is>
      </c>
      <c r="F480" s="18" t="n">
        <v>46297</v>
      </c>
      <c r="G480" s="18" t="n">
        <v>46297</v>
      </c>
      <c r="H480" s="18" t="n">
        <v>46310</v>
      </c>
      <c r="I480" s="18" t="n"/>
      <c r="J480" s="17">
        <f>IF(OR(ISNUMBER(F480),ISNUMBER(G480)),IF(ISNUMBER(I480),I480,H480)-IF(ISNUMBER(F480),F480,G480),"")</f>
        <v/>
      </c>
      <c r="K480" s="12" t="n">
        <v>15900</v>
      </c>
      <c r="L480" s="12" t="n">
        <v>15900</v>
      </c>
      <c r="M480" s="13">
        <f>IF(AND(ISNUMBER(K480),ISNUMBER(L480),K480&gt;0),1-L480/K480,"")</f>
        <v/>
      </c>
      <c r="N480" s="16" t="n">
        <v>0</v>
      </c>
      <c r="O480" s="12" t="n">
        <v>17800</v>
      </c>
      <c r="P480" s="12" t="n"/>
      <c r="Q480" s="12" t="n"/>
      <c r="R480" s="14">
        <f>IF(AND(ISNUMBER(L480),ISNUMBER(P480),ISNUMBER(Q480)),L480/((P480+Q480)/2)-1,"")</f>
        <v/>
      </c>
      <c r="S480" s="10" t="n"/>
      <c r="T480" s="15" t="n">
        <v>111700</v>
      </c>
      <c r="U480" s="16" t="n">
        <v>2000</v>
      </c>
      <c r="V480" s="10" t="inlineStr">
        <is>
          <t>02/2000</t>
        </is>
      </c>
      <c r="W480" s="10" t="inlineStr">
        <is>
          <t>Essence</t>
        </is>
      </c>
      <c r="X480" s="10" t="inlineStr">
        <is>
          <t>Manuelle</t>
        </is>
      </c>
      <c r="Y480" s="16" t="n">
        <v>220</v>
      </c>
      <c r="Z480" s="16" t="n">
        <v>15</v>
      </c>
      <c r="AA480" s="10" t="inlineStr">
        <is>
          <t>Bleu</t>
        </is>
      </c>
      <c r="AB480" s="16" t="n">
        <v>2</v>
      </c>
      <c r="AC480" s="10" t="inlineStr">
        <is>
          <t>Cabriolet</t>
        </is>
      </c>
      <c r="AD480" s="10" t="inlineStr">
        <is>
          <t>Factures disponibles</t>
        </is>
      </c>
      <c r="AE480" s="10" t="n"/>
      <c r="AF480" s="10" t="inlineStr">
        <is>
          <t>Particulier</t>
        </is>
      </c>
      <c r="AG480" s="10" t="inlineStr">
        <is>
          <t>Saint-Laurent-du-Var</t>
        </is>
      </c>
      <c r="AH480" s="10" t="inlineStr">
        <is>
          <t>06700</t>
        </is>
      </c>
      <c r="AI480" s="10" t="inlineStr">
        <is>
          <t>Alpes-Maritimes</t>
        </is>
      </c>
      <c r="AJ480" s="10" t="inlineStr">
        <is>
          <t>Provence-Alpes-Côte d'Azur</t>
        </is>
      </c>
      <c r="AK480" s="16" t="n">
        <v>19</v>
      </c>
      <c r="AL480" s="10" t="n"/>
      <c r="AM480" s="10" t="inlineStr">
        <is>
          <t>Non</t>
        </is>
      </c>
      <c r="AN480" s="10" t="inlineStr">
        <is>
          <t>Je vends ma Porsche Boxster 986 de 2000, dans une magnifique configuration encore garantie 7 mois. - Marque : Porsche - Modèle : Boxster 986 - Année : 2000 - Date de mise en circulation : 02/2000 - Kilométrage : 111 700 km (évolutif) - Motorisation : 2.7L 220 ch - Carburant : Essence - Boîte de vitesses : Manuelle - Type de véhicule : Cabriolet - Nombre de sièges : 2 - Nombre de portes : 2 - Couleur : Bleu - Puissance fiscale : 15 CV - Carte grise plus de 10ans (moitié prix) - Crit'Air : 3 - Nor</t>
        </is>
      </c>
      <c r="AO480" s="10" t="inlineStr">
        <is>
          <t>vehicle_technical_inspection_valid : Oui ; Dommages : Bon état général ; Sellerie : Tout cuir ; Équipements intérieurs : Bluetooth, Chargeurs USB, Climatisation, Siège réglable en hauteur, Sièges chauffants, Sièges en cuir, Sièges électriques ; vehicle_euro_emissions_standard : Euro 3 ; Permis : Avec permis ; Importé : false</t>
        </is>
      </c>
      <c r="AP480" s="19" t="inlineStr">
        <is>
          <t>Voir</t>
        </is>
      </c>
      <c r="AQ480" s="10" t="inlineStr">
        <is>
          <t>3280631151</t>
        </is>
      </c>
    </row>
    <row r="481">
      <c r="A481" s="10" t="inlineStr">
        <is>
          <t>Porsche Boxster 986</t>
        </is>
      </c>
      <c r="B481" s="10" t="inlineStr">
        <is>
          <t>Porsche Boxster BOXTER 986 3.2i S</t>
        </is>
      </c>
      <c r="C481" s="10" t="inlineStr">
        <is>
          <t>Boxster 3.2 S</t>
        </is>
      </c>
      <c r="D481" s="10" t="inlineStr">
        <is>
          <t>S</t>
        </is>
      </c>
      <c r="E481" s="10" t="inlineStr">
        <is>
          <t>En vente</t>
        </is>
      </c>
      <c r="F481" s="18" t="n">
        <v>46297</v>
      </c>
      <c r="G481" s="18" t="n">
        <v>46297</v>
      </c>
      <c r="H481" s="18" t="n">
        <v>46310</v>
      </c>
      <c r="I481" s="18" t="n"/>
      <c r="J481" s="17">
        <f>IF(OR(ISNUMBER(F481),ISNUMBER(G481)),IF(ISNUMBER(I481),I481,H481)-IF(ISNUMBER(F481),F481,G481),"")</f>
        <v/>
      </c>
      <c r="K481" s="12" t="n">
        <v>21990</v>
      </c>
      <c r="L481" s="12" t="n">
        <v>21990</v>
      </c>
      <c r="M481" s="13">
        <f>IF(AND(ISNUMBER(K481),ISNUMBER(L481),K481&gt;0),1-L481/K481,"")</f>
        <v/>
      </c>
      <c r="N481" s="16" t="n">
        <v>0</v>
      </c>
      <c r="O481" s="12" t="n"/>
      <c r="P481" s="12" t="n"/>
      <c r="Q481" s="12" t="n"/>
      <c r="R481" s="14">
        <f>IF(AND(ISNUMBER(L481),ISNUMBER(P481),ISNUMBER(Q481)),L481/((P481+Q481)/2)-1,"")</f>
        <v/>
      </c>
      <c r="S481" s="10" t="n"/>
      <c r="T481" s="15" t="n">
        <v>148500</v>
      </c>
      <c r="U481" s="16" t="n">
        <v>1999</v>
      </c>
      <c r="V481" s="10" t="inlineStr">
        <is>
          <t>12/1999</t>
        </is>
      </c>
      <c r="W481" s="10" t="inlineStr">
        <is>
          <t>Essence</t>
        </is>
      </c>
      <c r="X481" s="10" t="inlineStr">
        <is>
          <t>Automatique</t>
        </is>
      </c>
      <c r="Y481" s="16" t="n">
        <v>252</v>
      </c>
      <c r="Z481" s="16" t="n">
        <v>17</v>
      </c>
      <c r="AA481" s="10" t="inlineStr">
        <is>
          <t>Beige</t>
        </is>
      </c>
      <c r="AB481" s="16" t="n">
        <v>2</v>
      </c>
      <c r="AC481" s="10" t="inlineStr">
        <is>
          <t>Cabriolet</t>
        </is>
      </c>
      <c r="AD481" s="10" t="n"/>
      <c r="AE481" s="10" t="n"/>
      <c r="AF481" s="10" t="inlineStr">
        <is>
          <t>Pro</t>
        </is>
      </c>
      <c r="AG481" s="10" t="inlineStr">
        <is>
          <t>Aubenas</t>
        </is>
      </c>
      <c r="AH481" s="10" t="inlineStr">
        <is>
          <t>07200</t>
        </is>
      </c>
      <c r="AI481" s="10" t="inlineStr">
        <is>
          <t>Ardèche</t>
        </is>
      </c>
      <c r="AJ481" s="10" t="inlineStr">
        <is>
          <t>Rhône-Alpes</t>
        </is>
      </c>
      <c r="AK481" s="16" t="n">
        <v>23</v>
      </c>
      <c r="AL481" s="10" t="inlineStr">
        <is>
          <t>Oui</t>
        </is>
      </c>
      <c r="AM481" s="10" t="inlineStr">
        <is>
          <t>Non</t>
        </is>
      </c>
      <c r="AN481" s="10" t="inlineStr">
        <is>
          <t xml:space="preserve">Porsche Boxster BOXTER 986 3.2i S roadster, beige clair, 17 cv, 2 portes, couleur intérieure : marron, première mise en circulation le 20/12/1999. ***NOS VEHICULES SONT VISIBLES UNIQUEMENT SUR RDV*** ***POSSIBILITE DE REPRISE - FINANCEMENT ET D'EXTENSION DE GARANTIE*** ***HORS FRAIS D'IMMATRICULATION ET DE MISE EN CIRCULATION 489€*** ***SOUS RESERVE D'ERREURS DE REDACTION ET D'OPTIONS*** 2 places OPTIONS ET ÉQUIPEMENTS : Extérieur : - Projecteurs additionnels - jantes : alliage - jantes alliage </t>
        </is>
      </c>
      <c r="AO481" s="10" t="inlineStr">
        <is>
          <t>Sellerie : Tout cuir ; Équipements intérieurs : Jantes en alliage, Ordinateur de bord, Vitres électriques arrières ; Permis : Avec permis ; VO récent : false ; custom_ref : 9zeo18 ; Importé : true ; vehicle_history_report_status : visible ; spare_parts_availability : Non renseignée</t>
        </is>
      </c>
      <c r="AP481" s="19" t="inlineStr">
        <is>
          <t>Voir</t>
        </is>
      </c>
      <c r="AQ481" s="10" t="inlineStr">
        <is>
          <t>3280951759</t>
        </is>
      </c>
    </row>
    <row r="482">
      <c r="A482" s="10" t="inlineStr">
        <is>
          <t>Porsche Boxster 986</t>
        </is>
      </c>
      <c r="B482" s="10" t="inlineStr">
        <is>
          <t>Porsche boxster 986 s phase ii</t>
        </is>
      </c>
      <c r="C482" s="10" t="inlineStr">
        <is>
          <t>Boxster 3.2 S</t>
        </is>
      </c>
      <c r="D482" s="10" t="inlineStr">
        <is>
          <t>S</t>
        </is>
      </c>
      <c r="E482" s="10" t="inlineStr">
        <is>
          <t>En vente</t>
        </is>
      </c>
      <c r="F482" s="18" t="n">
        <v>46298</v>
      </c>
      <c r="G482" s="18" t="n">
        <v>46298</v>
      </c>
      <c r="H482" s="18" t="n">
        <v>46310</v>
      </c>
      <c r="I482" s="18" t="n"/>
      <c r="J482" s="17">
        <f>IF(OR(ISNUMBER(F482),ISNUMBER(G482)),IF(ISNUMBER(I482),I482,H482)-IF(ISNUMBER(F482),F482,G482),"")</f>
        <v/>
      </c>
      <c r="K482" s="12" t="n">
        <v>22986</v>
      </c>
      <c r="L482" s="12" t="n">
        <v>22986</v>
      </c>
      <c r="M482" s="13">
        <f>IF(AND(ISNUMBER(K482),ISNUMBER(L482),K482&gt;0),1-L482/K482,"")</f>
        <v/>
      </c>
      <c r="N482" s="16" t="n">
        <v>0</v>
      </c>
      <c r="O482" s="12" t="n"/>
      <c r="P482" s="12" t="n"/>
      <c r="Q482" s="12" t="n"/>
      <c r="R482" s="14">
        <f>IF(AND(ISNUMBER(L482),ISNUMBER(P482),ISNUMBER(Q482)),L482/((P482+Q482)/2)-1,"")</f>
        <v/>
      </c>
      <c r="S482" s="10" t="n"/>
      <c r="T482" s="15" t="n">
        <v>126000</v>
      </c>
      <c r="U482" s="16" t="n">
        <v>2003</v>
      </c>
      <c r="V482" s="10" t="inlineStr">
        <is>
          <t>04/2003</t>
        </is>
      </c>
      <c r="W482" s="10" t="inlineStr">
        <is>
          <t>Essence</t>
        </is>
      </c>
      <c r="X482" s="10" t="inlineStr">
        <is>
          <t>Manuelle</t>
        </is>
      </c>
      <c r="Y482" s="16" t="n">
        <v>260</v>
      </c>
      <c r="Z482" s="16" t="n">
        <v>18</v>
      </c>
      <c r="AA482" s="10" t="inlineStr">
        <is>
          <t>Noir</t>
        </is>
      </c>
      <c r="AB482" s="16" t="n">
        <v>2</v>
      </c>
      <c r="AC482" s="10" t="inlineStr">
        <is>
          <t>Cabriolet</t>
        </is>
      </c>
      <c r="AD482" s="10" t="n"/>
      <c r="AE482" s="10" t="n"/>
      <c r="AF482" s="10" t="inlineStr">
        <is>
          <t>Particulier</t>
        </is>
      </c>
      <c r="AG482" s="10" t="inlineStr">
        <is>
          <t>Clermont-l'Hérault</t>
        </is>
      </c>
      <c r="AH482" s="10" t="inlineStr">
        <is>
          <t>34800</t>
        </is>
      </c>
      <c r="AI482" s="10" t="inlineStr">
        <is>
          <t>Hérault</t>
        </is>
      </c>
      <c r="AJ482" s="10" t="inlineStr">
        <is>
          <t>Languedoc-Roussillon</t>
        </is>
      </c>
      <c r="AK482" s="16" t="n">
        <v>10</v>
      </c>
      <c r="AL482" s="10" t="n"/>
      <c r="AM482" s="10" t="inlineStr">
        <is>
          <t>Non</t>
        </is>
      </c>
      <c r="AN482" s="10" t="inlineStr">
        <is>
          <t>Bonjour, Je vends mon PORSCHE BOXSTER 986 S PHASE II de 2003. 126000 KMS D’ORIGINE (Peu Evolutif). Historique complet (carnet d’entretien et factures). 260 cv DIN. 18 cv fiscaux. Peinture Neuve (12 septembre 2025) IMS et EMBRAYGE changés à 110000 kms (facture). Véhicule entretenu. Suspension rabaissée (TECHART). Elargisseur de voies. (Retirés récemment mais vendus avec la voiture). Train arrière révisé. Changement des 4 coupelles d’amortisseurs. Jantes 18 pouces CARRERA (option d’origine) en par</t>
        </is>
      </c>
      <c r="AO482" s="10" t="inlineStr">
        <is>
          <t>vehicle_technical_inspection_valid : Non ; Dommages : Excellent état (proche du neuf) ; Sellerie : Tout cuir ; Équipements intérieurs : Climatisation, Jantes en alliage, Ordinateur de bord, Phares anti-brouillard, Régulateur de vitesse, Sièges chauffants, Sièges en cuir, Sièges sport, Volant réglable en hauteur, Volant réglable en profondeur ; Permis : Avec permis ; Importé : false ; vehicle_history_report_status : visible</t>
        </is>
      </c>
      <c r="AP482" s="19" t="inlineStr">
        <is>
          <t>Voir</t>
        </is>
      </c>
      <c r="AQ482" s="10" t="inlineStr">
        <is>
          <t>3281142481</t>
        </is>
      </c>
    </row>
    <row r="483">
      <c r="A483" s="10" t="inlineStr">
        <is>
          <t>Porsche Boxster 986</t>
        </is>
      </c>
      <c r="B483" s="10" t="inlineStr">
        <is>
          <t>Porsche boxster 986 2.7</t>
        </is>
      </c>
      <c r="C483" s="10" t="inlineStr">
        <is>
          <t>Boxster 2.7 BV6</t>
        </is>
      </c>
      <c r="D483" s="10" t="inlineStr">
        <is>
          <t>Base</t>
        </is>
      </c>
      <c r="E483" s="10" t="inlineStr">
        <is>
          <t>En vente</t>
        </is>
      </c>
      <c r="F483" s="18" t="n">
        <v>46298</v>
      </c>
      <c r="G483" s="18" t="n">
        <v>46298</v>
      </c>
      <c r="H483" s="18" t="n">
        <v>46310</v>
      </c>
      <c r="I483" s="18" t="n"/>
      <c r="J483" s="17">
        <f>IF(OR(ISNUMBER(F483),ISNUMBER(G483)),IF(ISNUMBER(I483),I483,H483)-IF(ISNUMBER(F483),F483,G483),"")</f>
        <v/>
      </c>
      <c r="K483" s="12" t="n">
        <v>17000</v>
      </c>
      <c r="L483" s="12" t="n">
        <v>17000</v>
      </c>
      <c r="M483" s="13">
        <f>IF(AND(ISNUMBER(K483),ISNUMBER(L483),K483&gt;0),1-L483/K483,"")</f>
        <v/>
      </c>
      <c r="N483" s="16" t="n">
        <v>0</v>
      </c>
      <c r="O483" s="12" t="n"/>
      <c r="P483" s="12" t="n"/>
      <c r="Q483" s="12" t="n"/>
      <c r="R483" s="14">
        <f>IF(AND(ISNUMBER(L483),ISNUMBER(P483),ISNUMBER(Q483)),L483/((P483+Q483)/2)-1,"")</f>
        <v/>
      </c>
      <c r="S483" s="10" t="n"/>
      <c r="T483" s="15" t="n">
        <v>136000</v>
      </c>
      <c r="U483" s="16" t="n">
        <v>2000</v>
      </c>
      <c r="V483" s="10" t="inlineStr">
        <is>
          <t>06/2000</t>
        </is>
      </c>
      <c r="W483" s="10" t="inlineStr">
        <is>
          <t>Essence</t>
        </is>
      </c>
      <c r="X483" s="10" t="inlineStr">
        <is>
          <t>Manuelle</t>
        </is>
      </c>
      <c r="Y483" s="16" t="n">
        <v>220</v>
      </c>
      <c r="Z483" s="16" t="n">
        <v>15</v>
      </c>
      <c r="AA483" s="10" t="inlineStr">
        <is>
          <t>Rouge</t>
        </is>
      </c>
      <c r="AB483" s="16" t="n">
        <v>2</v>
      </c>
      <c r="AC483" s="10" t="inlineStr">
        <is>
          <t>Cabriolet</t>
        </is>
      </c>
      <c r="AD483" s="10" t="n"/>
      <c r="AE483" s="10" t="n"/>
      <c r="AF483" s="10" t="inlineStr">
        <is>
          <t>Particulier</t>
        </is>
      </c>
      <c r="AG483" s="10" t="inlineStr">
        <is>
          <t>La Garde</t>
        </is>
      </c>
      <c r="AH483" s="10" t="inlineStr">
        <is>
          <t>83130</t>
        </is>
      </c>
      <c r="AI483" s="10" t="inlineStr">
        <is>
          <t>Var</t>
        </is>
      </c>
      <c r="AJ483" s="10" t="inlineStr">
        <is>
          <t>Provence-Alpes-Côte d'Azur</t>
        </is>
      </c>
      <c r="AK483" s="16" t="n">
        <v>3</v>
      </c>
      <c r="AL483" s="10" t="n"/>
      <c r="AM483" s="10" t="inlineStr">
        <is>
          <t>Non</t>
        </is>
      </c>
      <c r="AN483" s="10" t="inlineStr">
        <is>
          <t>Vends Porsche Boxster 986 2.7. Année 2000. Contrôle technique vierge. Boîte de vitesse manuelle. Capote électrique. Révision faite pour la vente. Carrosserie irréprochable. Dors dans un garage. Climatisation. Carnet d’entretien et factures disponibles. N’hésitez pas à me contacter. Vendeur sérieux, curieux merci de s’abstenir. Pas d’échange.</t>
        </is>
      </c>
      <c r="AO483" s="10" t="inlineStr">
        <is>
          <t>Permis : Avec permis ; Importé : false</t>
        </is>
      </c>
      <c r="AP483" s="19" t="inlineStr">
        <is>
          <t>Voir</t>
        </is>
      </c>
      <c r="AQ483" s="10" t="inlineStr">
        <is>
          <t>3281269760</t>
        </is>
      </c>
    </row>
    <row r="484">
      <c r="A484" s="10" t="inlineStr">
        <is>
          <t>Porsche Boxster 986</t>
        </is>
      </c>
      <c r="B484" s="10" t="inlineStr">
        <is>
          <t>Porsche boxster 986 2.5 tiptronic — 1998</t>
        </is>
      </c>
      <c r="C484" s="10" t="n"/>
      <c r="D484" s="10" t="n"/>
      <c r="E484" s="10" t="inlineStr">
        <is>
          <t>En vente</t>
        </is>
      </c>
      <c r="F484" s="18" t="n">
        <v>46299</v>
      </c>
      <c r="G484" s="18" t="n">
        <v>46299</v>
      </c>
      <c r="H484" s="18" t="n">
        <v>46310</v>
      </c>
      <c r="I484" s="18" t="n"/>
      <c r="J484" s="17">
        <f>IF(OR(ISNUMBER(F484),ISNUMBER(G484)),IF(ISNUMBER(I484),I484,H484)-IF(ISNUMBER(F484),F484,G484),"")</f>
        <v/>
      </c>
      <c r="K484" s="12" t="n">
        <v>23000</v>
      </c>
      <c r="L484" s="12" t="n">
        <v>23000</v>
      </c>
      <c r="M484" s="13">
        <f>IF(AND(ISNUMBER(K484),ISNUMBER(L484),K484&gt;0),1-L484/K484,"")</f>
        <v/>
      </c>
      <c r="N484" s="16" t="n">
        <v>0</v>
      </c>
      <c r="O484" s="12" t="n"/>
      <c r="P484" s="12" t="n"/>
      <c r="Q484" s="12" t="n"/>
      <c r="R484" s="14">
        <f>IF(AND(ISNUMBER(L484),ISNUMBER(P484),ISNUMBER(Q484)),L484/((P484+Q484)/2)-1,"")</f>
        <v/>
      </c>
      <c r="S484" s="10" t="n"/>
      <c r="T484" s="15" t="n">
        <v>120000</v>
      </c>
      <c r="U484" s="16" t="n">
        <v>1998</v>
      </c>
      <c r="V484" s="10" t="inlineStr">
        <is>
          <t>11/1998</t>
        </is>
      </c>
      <c r="W484" s="10" t="inlineStr">
        <is>
          <t>Essence</t>
        </is>
      </c>
      <c r="X484" s="10" t="inlineStr">
        <is>
          <t>Automatique</t>
        </is>
      </c>
      <c r="Y484" s="16" t="n">
        <v>204</v>
      </c>
      <c r="Z484" s="16" t="n">
        <v>14</v>
      </c>
      <c r="AA484" s="10" t="inlineStr">
        <is>
          <t>Bleu</t>
        </is>
      </c>
      <c r="AB484" s="16" t="n">
        <v>2</v>
      </c>
      <c r="AC484" s="10" t="inlineStr">
        <is>
          <t>Cabriolet</t>
        </is>
      </c>
      <c r="AD484" s="10" t="inlineStr">
        <is>
          <t>Carnet d'entretien disponible, Factures disponibles, Véhicule non fumeur, Réparations utiles déjà faites</t>
        </is>
      </c>
      <c r="AE484" s="10" t="n"/>
      <c r="AF484" s="10" t="inlineStr">
        <is>
          <t>Particulier</t>
        </is>
      </c>
      <c r="AG484" s="10" t="inlineStr">
        <is>
          <t>Menton</t>
        </is>
      </c>
      <c r="AH484" s="10" t="inlineStr">
        <is>
          <t>06500</t>
        </is>
      </c>
      <c r="AI484" s="10" t="inlineStr">
        <is>
          <t>Alpes-Maritimes</t>
        </is>
      </c>
      <c r="AJ484" s="10" t="inlineStr">
        <is>
          <t>Provence-Alpes-Côte d'Azur</t>
        </is>
      </c>
      <c r="AK484" s="16" t="n">
        <v>3</v>
      </c>
      <c r="AL484" s="10" t="n"/>
      <c r="AM484" s="10" t="inlineStr">
        <is>
          <t>Non</t>
        </is>
      </c>
      <c r="AN484" s="10" t="inlineStr">
        <is>
          <t>PORSCHE BOXSTER 986 2.5 TIPTRONIC — 1998 120 000 km — 23 000 € Bleu nuit — intérieur cuir rouge brique Très belle Porsche Boxster 986 2.5 Tiptronic de 1998, avec une configuration rare et élégante, associant le bleu nuit à un superbe intérieur cuir rouge brique. 🔧 IMPORTANT INVESTISSEMENT MÉCANIQUE IMS double rangée remplacé par Flat 06 Environ 4 000 €, sous garantie. Embrayage / boîte reconditionné par ATGF Travaux tout juste terminés, environ 3 800 €, sous garantie. Moteur actuellement en rem</t>
        </is>
      </c>
      <c r="AO484" s="10" t="inlineStr">
        <is>
          <t>Dommages : Bon état général ; Sellerie : Tout cuir ; vehicle_euro_emissions_standard : Euro 3 ; Permis : Avec permis ; Importé : false</t>
        </is>
      </c>
      <c r="AP484" s="19" t="inlineStr">
        <is>
          <t>Voir</t>
        </is>
      </c>
      <c r="AQ484" s="10" t="inlineStr">
        <is>
          <t>3281743699</t>
        </is>
      </c>
    </row>
    <row r="485">
      <c r="A485" s="10" t="inlineStr">
        <is>
          <t>Porsche Boxster 986</t>
        </is>
      </c>
      <c r="B485" s="10" t="inlineStr">
        <is>
          <t>Porsche Boxster 986 2.5 i 204ch</t>
        </is>
      </c>
      <c r="C485" s="10" t="inlineStr">
        <is>
          <t>Boxster 2.5</t>
        </is>
      </c>
      <c r="D485" s="10" t="inlineStr">
        <is>
          <t>Base</t>
        </is>
      </c>
      <c r="E485" s="10" t="inlineStr">
        <is>
          <t>En vente</t>
        </is>
      </c>
      <c r="F485" s="18" t="n">
        <v>46300</v>
      </c>
      <c r="G485" s="18" t="n">
        <v>46300</v>
      </c>
      <c r="H485" s="18" t="n">
        <v>46310</v>
      </c>
      <c r="I485" s="18" t="n"/>
      <c r="J485" s="17">
        <f>IF(OR(ISNUMBER(F485),ISNUMBER(G485)),IF(ISNUMBER(I485),I485,H485)-IF(ISNUMBER(F485),F485,G485),"")</f>
        <v/>
      </c>
      <c r="K485" s="12" t="n">
        <v>15990</v>
      </c>
      <c r="L485" s="12" t="n">
        <v>15990</v>
      </c>
      <c r="M485" s="13">
        <f>IF(AND(ISNUMBER(K485),ISNUMBER(L485),K485&gt;0),1-L485/K485,"")</f>
        <v/>
      </c>
      <c r="N485" s="16" t="n">
        <v>0</v>
      </c>
      <c r="O485" s="12" t="n"/>
      <c r="P485" s="12" t="n"/>
      <c r="Q485" s="12" t="n"/>
      <c r="R485" s="14">
        <f>IF(AND(ISNUMBER(L485),ISNUMBER(P485),ISNUMBER(Q485)),L485/((P485+Q485)/2)-1,"")</f>
        <v/>
      </c>
      <c r="S485" s="10" t="n"/>
      <c r="T485" s="15" t="n">
        <v>145432</v>
      </c>
      <c r="U485" s="16" t="n">
        <v>1999</v>
      </c>
      <c r="V485" s="10" t="inlineStr">
        <is>
          <t>01/1999</t>
        </is>
      </c>
      <c r="W485" s="10" t="inlineStr">
        <is>
          <t>Essence</t>
        </is>
      </c>
      <c r="X485" s="10" t="inlineStr">
        <is>
          <t>Manuelle</t>
        </is>
      </c>
      <c r="Y485" s="16" t="n">
        <v>204</v>
      </c>
      <c r="Z485" s="16" t="n">
        <v>14</v>
      </c>
      <c r="AA485" s="10" t="inlineStr">
        <is>
          <t>Noir</t>
        </is>
      </c>
      <c r="AB485" s="16" t="n">
        <v>2</v>
      </c>
      <c r="AC485" s="10" t="inlineStr">
        <is>
          <t>Cabriolet</t>
        </is>
      </c>
      <c r="AD485" s="10" t="inlineStr">
        <is>
          <t>Factures disponibles, Carnet d'entretien disponible</t>
        </is>
      </c>
      <c r="AE485" s="10" t="n"/>
      <c r="AF485" s="10" t="inlineStr">
        <is>
          <t>Pro</t>
        </is>
      </c>
      <c r="AG485" s="10" t="inlineStr">
        <is>
          <t>Charolles</t>
        </is>
      </c>
      <c r="AH485" s="10" t="inlineStr">
        <is>
          <t>71120</t>
        </is>
      </c>
      <c r="AI485" s="10" t="inlineStr">
        <is>
          <t>Saône-et-Loire</t>
        </is>
      </c>
      <c r="AJ485" s="10" t="inlineStr">
        <is>
          <t>Bourgogne</t>
        </is>
      </c>
      <c r="AK485" s="16" t="n">
        <v>5</v>
      </c>
      <c r="AL485" s="10" t="n"/>
      <c r="AM485" s="10" t="inlineStr">
        <is>
          <t>Non</t>
        </is>
      </c>
      <c r="AN485" s="10" t="inlineStr">
        <is>
          <t>PORSCHE BOXSTER 986 2.5 i 204ch, noir, 2 portes, mise en circulation le 01/01/1999, garantie 6 mois Kilométrage : 145432km Boîte de vitesse : Manuelle 5 rapports Nombre de places : 2 OPTIONS ET ÉQUIPEMENTS : - Jantes alliages 17 pouces - Centralisation - Climatisation automatique - Console centrale - Régulateur de vitesse - Sièges cuir - Sièges électrique - Roue de secours - Vitres électriques - Fillet anti remous - Ouverture/Fermeture de la capote électrique Véhicule en excellent état Roulement</t>
        </is>
      </c>
      <c r="AO485" s="10" t="inlineStr">
        <is>
          <t>Dommages : Bon état général ; Sellerie : Tout cuir ; Équipements intérieurs : Jantes en alliage ; Permis : Avec permis ; VO récent : false ; vehicle_commercial_warranty : Non ; vehicle_manufacturer_warranty : Non ; Importé : false ; vehicle_history_report_status : visible ; spare_parts_availability : Non renseignée</t>
        </is>
      </c>
      <c r="AP485" s="19" t="inlineStr">
        <is>
          <t>Voir</t>
        </is>
      </c>
      <c r="AQ485" s="10" t="inlineStr">
        <is>
          <t>3282908902</t>
        </is>
      </c>
    </row>
    <row r="486">
      <c r="A486" s="10" t="inlineStr">
        <is>
          <t>Porsche Boxster 986</t>
        </is>
      </c>
      <c r="B486" s="10" t="inlineStr">
        <is>
          <t>Porsche boxster 986 2.5</t>
        </is>
      </c>
      <c r="C486" s="10" t="n"/>
      <c r="D486" s="10" t="n"/>
      <c r="E486" s="10" t="inlineStr">
        <is>
          <t>En vente</t>
        </is>
      </c>
      <c r="F486" s="18" t="n">
        <v>46300</v>
      </c>
      <c r="G486" s="18" t="n">
        <v>46300</v>
      </c>
      <c r="H486" s="18" t="n">
        <v>46310</v>
      </c>
      <c r="I486" s="18" t="n"/>
      <c r="J486" s="17">
        <f>IF(OR(ISNUMBER(F486),ISNUMBER(G486)),IF(ISNUMBER(I486),I486,H486)-IF(ISNUMBER(F486),F486,G486),"")</f>
        <v/>
      </c>
      <c r="K486" s="12" t="n">
        <v>10999</v>
      </c>
      <c r="L486" s="12" t="n">
        <v>10999</v>
      </c>
      <c r="M486" s="13">
        <f>IF(AND(ISNUMBER(K486),ISNUMBER(L486),K486&gt;0),1-L486/K486,"")</f>
        <v/>
      </c>
      <c r="N486" s="16" t="n">
        <v>0</v>
      </c>
      <c r="O486" s="12" t="n"/>
      <c r="P486" s="12" t="n"/>
      <c r="Q486" s="12" t="n"/>
      <c r="R486" s="14">
        <f>IF(AND(ISNUMBER(L486),ISNUMBER(P486),ISNUMBER(Q486)),L486/((P486+Q486)/2)-1,"")</f>
        <v/>
      </c>
      <c r="S486" s="10" t="n"/>
      <c r="T486" s="15" t="n">
        <v>212000</v>
      </c>
      <c r="U486" s="16" t="n">
        <v>1997</v>
      </c>
      <c r="V486" s="10" t="inlineStr">
        <is>
          <t>03/1997</t>
        </is>
      </c>
      <c r="W486" s="10" t="inlineStr">
        <is>
          <t>Essence</t>
        </is>
      </c>
      <c r="X486" s="10" t="inlineStr">
        <is>
          <t>Manuelle</t>
        </is>
      </c>
      <c r="Y486" s="16" t="n">
        <v>204</v>
      </c>
      <c r="Z486" s="16" t="n">
        <v>14</v>
      </c>
      <c r="AA486" s="10" t="inlineStr">
        <is>
          <t>Autre</t>
        </is>
      </c>
      <c r="AB486" s="16" t="n">
        <v>2</v>
      </c>
      <c r="AC486" s="10" t="inlineStr">
        <is>
          <t>Cabriolet</t>
        </is>
      </c>
      <c r="AD486" s="10" t="n"/>
      <c r="AE486" s="10" t="n"/>
      <c r="AF486" s="10" t="inlineStr">
        <is>
          <t>Particulier</t>
        </is>
      </c>
      <c r="AG486" s="10" t="inlineStr">
        <is>
          <t>Sarrebourg</t>
        </is>
      </c>
      <c r="AH486" s="10" t="inlineStr">
        <is>
          <t>57400</t>
        </is>
      </c>
      <c r="AI486" s="10" t="inlineStr">
        <is>
          <t>Moselle</t>
        </is>
      </c>
      <c r="AJ486" s="10" t="inlineStr">
        <is>
          <t>Lorraine</t>
        </is>
      </c>
      <c r="AK486" s="16" t="n">
        <v>3</v>
      </c>
      <c r="AL486" s="10" t="n"/>
      <c r="AM486" s="10" t="inlineStr">
        <is>
          <t>Non</t>
        </is>
      </c>
      <c r="AN486" s="10" t="inlineStr">
        <is>
          <t>Je vends ma Porsche Boxster 986 de 1997, un cabriolet sportif emblématique et passionnant. - Marque : Porsche - Modèle : Boxster 986 - Année : 1997 - Kilométrage : 215 000 km - Motorisation : 2.5 204 ch - Carburant : Essence - Boîte de vitesses : Manuelle - Type de véhicule : Cabriolet - Nombre de portes : 2 - Puissance fiscale : 13 Cv - Contrôle technique : Valide jusqu'en 02/2028 - carte grise à jour à mon nom - pompe à essence, vidange moteur avec filtre à huile, serrure de porte passager, jo</t>
        </is>
      </c>
      <c r="AO486" s="10" t="inlineStr">
        <is>
          <t>vehicle_technical_inspection_valid : Oui ; Contrôle technique : 2027 ; Permis : Avec permis ; Importé : false</t>
        </is>
      </c>
      <c r="AP486" s="19" t="inlineStr">
        <is>
          <t>Voir</t>
        </is>
      </c>
      <c r="AQ486" s="10" t="inlineStr">
        <is>
          <t>3282993849</t>
        </is>
      </c>
    </row>
    <row r="487">
      <c r="A487" s="10" t="inlineStr">
        <is>
          <t>Porsche Boxster 986</t>
        </is>
      </c>
      <c r="B487" s="10" t="inlineStr">
        <is>
          <t>A vendre Porsche Boxster 986 décapotable</t>
        </is>
      </c>
      <c r="C487" s="10" t="n"/>
      <c r="D487" s="10" t="n"/>
      <c r="E487" s="10" t="inlineStr">
        <is>
          <t>En vente</t>
        </is>
      </c>
      <c r="F487" s="18" t="n">
        <v>46301</v>
      </c>
      <c r="G487" s="18" t="n">
        <v>46301</v>
      </c>
      <c r="H487" s="18" t="n">
        <v>46310</v>
      </c>
      <c r="I487" s="18" t="n"/>
      <c r="J487" s="17">
        <f>IF(OR(ISNUMBER(F487),ISNUMBER(G487)),IF(ISNUMBER(I487),I487,H487)-IF(ISNUMBER(F487),F487,G487),"")</f>
        <v/>
      </c>
      <c r="K487" s="12" t="n">
        <v>20400</v>
      </c>
      <c r="L487" s="12" t="n">
        <v>20400</v>
      </c>
      <c r="M487" s="13">
        <f>IF(AND(ISNUMBER(K487),ISNUMBER(L487),K487&gt;0),1-L487/K487,"")</f>
        <v/>
      </c>
      <c r="N487" s="16" t="n">
        <v>0</v>
      </c>
      <c r="O487" s="12" t="n"/>
      <c r="P487" s="12" t="n"/>
      <c r="Q487" s="12" t="n"/>
      <c r="R487" s="14">
        <f>IF(AND(ISNUMBER(L487),ISNUMBER(P487),ISNUMBER(Q487)),L487/((P487+Q487)/2)-1,"")</f>
        <v/>
      </c>
      <c r="S487" s="10" t="n"/>
      <c r="T487" s="15" t="n">
        <v>119204</v>
      </c>
      <c r="U487" s="16" t="n">
        <v>1996</v>
      </c>
      <c r="V487" s="10" t="n"/>
      <c r="W487" s="10" t="inlineStr">
        <is>
          <t>Essence</t>
        </is>
      </c>
      <c r="X487" s="10" t="inlineStr">
        <is>
          <t>Manuelle</t>
        </is>
      </c>
      <c r="Y487" s="16" t="n"/>
      <c r="Z487" s="16" t="n"/>
      <c r="AA487" s="10" t="inlineStr">
        <is>
          <t>Rouge</t>
        </is>
      </c>
      <c r="AB487" s="16" t="n"/>
      <c r="AC487" s="10" t="n"/>
      <c r="AD487" s="10" t="n"/>
      <c r="AE487" s="10" t="n"/>
      <c r="AF487" s="10" t="inlineStr">
        <is>
          <t>Particulier</t>
        </is>
      </c>
      <c r="AG487" s="10" t="inlineStr">
        <is>
          <t>Saintry-sur-Seine</t>
        </is>
      </c>
      <c r="AH487" s="10" t="inlineStr">
        <is>
          <t>91250</t>
        </is>
      </c>
      <c r="AI487" s="10" t="inlineStr">
        <is>
          <t>Essonne</t>
        </is>
      </c>
      <c r="AJ487" s="10" t="inlineStr">
        <is>
          <t>Ile-de-France</t>
        </is>
      </c>
      <c r="AK487" s="16" t="n">
        <v>3</v>
      </c>
      <c r="AL487" s="10" t="n"/>
      <c r="AM487" s="10" t="inlineStr">
        <is>
          <t>Non</t>
        </is>
      </c>
      <c r="AN487" s="10" t="inlineStr">
        <is>
          <t>Direction assistée Climatisation automatique Vitres en verre athermique dégradé Vitres électriques Volant réglable en profondeur Anti démarrage GPS Arceaux de sécurité Lunette arrière dégivrante Rétroviseurs électriques 3e feu stop arrière Capote électrique Jantes alliage 17 Intérieur cuir rouge getano et alcantara 2 prises USB Airbag conducteur Airbag frontal passager Feux antibrouillard arrière Projecteurs antibrouillard ABS Ceinture de sécurité a pretensionneurs Compte tours et compteur de vi</t>
        </is>
      </c>
      <c r="AO487" s="10" t="inlineStr">
        <is>
          <t>Permis : Avec permis ; Importé : false ; vehicle_history_report_status : visible</t>
        </is>
      </c>
      <c r="AP487" s="19" t="inlineStr">
        <is>
          <t>Voir</t>
        </is>
      </c>
      <c r="AQ487" s="10" t="inlineStr">
        <is>
          <t>3283155837</t>
        </is>
      </c>
    </row>
    <row r="488">
      <c r="A488" s="10" t="inlineStr">
        <is>
          <t>Porsche Boxster 986</t>
        </is>
      </c>
      <c r="B488" s="10" t="inlineStr">
        <is>
          <t>Porsche Boxster 986 3.2 252 ch</t>
        </is>
      </c>
      <c r="C488" s="10" t="inlineStr">
        <is>
          <t>Boxster 3.2 S</t>
        </is>
      </c>
      <c r="D488" s="10" t="inlineStr">
        <is>
          <t>S</t>
        </is>
      </c>
      <c r="E488" s="10" t="inlineStr">
        <is>
          <t>En vente</t>
        </is>
      </c>
      <c r="F488" s="18" t="n">
        <v>46301</v>
      </c>
      <c r="G488" s="18" t="n">
        <v>46301</v>
      </c>
      <c r="H488" s="18" t="n">
        <v>46310</v>
      </c>
      <c r="I488" s="18" t="n"/>
      <c r="J488" s="17">
        <f>IF(OR(ISNUMBER(F488),ISNUMBER(G488)),IF(ISNUMBER(I488),I488,H488)-IF(ISNUMBER(F488),F488,G488),"")</f>
        <v/>
      </c>
      <c r="K488" s="12" t="n">
        <v>22090</v>
      </c>
      <c r="L488" s="12" t="n">
        <v>22090</v>
      </c>
      <c r="M488" s="13">
        <f>IF(AND(ISNUMBER(K488),ISNUMBER(L488),K488&gt;0),1-L488/K488,"")</f>
        <v/>
      </c>
      <c r="N488" s="16" t="n">
        <v>0</v>
      </c>
      <c r="O488" s="12" t="n"/>
      <c r="P488" s="12" t="n"/>
      <c r="Q488" s="12" t="n"/>
      <c r="R488" s="14">
        <f>IF(AND(ISNUMBER(L488),ISNUMBER(P488),ISNUMBER(Q488)),L488/((P488+Q488)/2)-1,"")</f>
        <v/>
      </c>
      <c r="S488" s="10" t="n"/>
      <c r="T488" s="15" t="n">
        <v>83500</v>
      </c>
      <c r="U488" s="16" t="n">
        <v>2002</v>
      </c>
      <c r="V488" s="10" t="inlineStr">
        <is>
          <t>02/2002</t>
        </is>
      </c>
      <c r="W488" s="10" t="inlineStr">
        <is>
          <t>Essence</t>
        </is>
      </c>
      <c r="X488" s="10" t="inlineStr">
        <is>
          <t>Manuelle</t>
        </is>
      </c>
      <c r="Y488" s="16" t="n">
        <v>252</v>
      </c>
      <c r="Z488" s="16" t="n">
        <v>17</v>
      </c>
      <c r="AA488" s="10" t="inlineStr">
        <is>
          <t>Noir</t>
        </is>
      </c>
      <c r="AB488" s="16" t="n">
        <v>2</v>
      </c>
      <c r="AC488" s="10" t="inlineStr">
        <is>
          <t>Cabriolet</t>
        </is>
      </c>
      <c r="AD488" s="10" t="n"/>
      <c r="AE488" s="10" t="n"/>
      <c r="AF488" s="10" t="inlineStr">
        <is>
          <t>Pro</t>
        </is>
      </c>
      <c r="AG488" s="10" t="inlineStr">
        <is>
          <t>Limoges</t>
        </is>
      </c>
      <c r="AH488" s="10" t="inlineStr">
        <is>
          <t>87280</t>
        </is>
      </c>
      <c r="AI488" s="10" t="inlineStr">
        <is>
          <t>Haute-Vienne</t>
        </is>
      </c>
      <c r="AJ488" s="10" t="inlineStr">
        <is>
          <t>Limousin</t>
        </is>
      </c>
      <c r="AK488" s="16" t="n">
        <v>19</v>
      </c>
      <c r="AL488" s="10" t="n"/>
      <c r="AM488" s="10" t="inlineStr">
        <is>
          <t>Non</t>
        </is>
      </c>
      <c r="AN488" s="10" t="inlineStr">
        <is>
          <t>Porsche Boxster 986 3.2 252 ch, roadster, noir, 17 cv, 2 portes, première mise en circulation le 08/02/2002. 2 places OPTIONS ET ÉQUIPEMENTS : Audio - Télécommunications : - Bluetooth - Prise audio auxilliaire : usb - Téléphone Bluetooth Extérieur : - feux de détresse Intérieur : - climatisation : automatique - fermeture centralisée - ordinateur de bord - pack cuir - sieges reglables en hauteur Pack : - volant réglable Sécurité : - ABS - Airbags frontaux - Airbags rideaux - ESP - airbags latérau</t>
        </is>
      </c>
      <c r="AO488" s="10" t="inlineStr">
        <is>
          <t>Équipements intérieurs : Bluetooth, Climatisation, Ordinateur de bord, Siège réglable en hauteur ; Permis : Avec permis ; VO récent : false ; custom_ref : BHC_902949 ; Importé : true ; vehicle_history_report_status : visible ; spare_parts_availability : Non renseignée</t>
        </is>
      </c>
      <c r="AP488" s="19" t="inlineStr">
        <is>
          <t>Voir</t>
        </is>
      </c>
      <c r="AQ488" s="10" t="inlineStr">
        <is>
          <t>3283554799</t>
        </is>
      </c>
    </row>
    <row r="489">
      <c r="A489" s="10" t="inlineStr">
        <is>
          <t>Porsche Boxster 986</t>
        </is>
      </c>
      <c r="B489" s="10" t="inlineStr">
        <is>
          <t>Porsche boxster 986</t>
        </is>
      </c>
      <c r="C489" s="10" t="n"/>
      <c r="D489" s="10" t="n"/>
      <c r="E489" s="10" t="inlineStr">
        <is>
          <t>En vente</t>
        </is>
      </c>
      <c r="F489" s="18" t="n">
        <v>46302</v>
      </c>
      <c r="G489" s="18" t="n">
        <v>46302</v>
      </c>
      <c r="H489" s="18" t="n">
        <v>46310</v>
      </c>
      <c r="I489" s="18" t="n"/>
      <c r="J489" s="17">
        <f>IF(OR(ISNUMBER(F489),ISNUMBER(G489)),IF(ISNUMBER(I489),I489,H489)-IF(ISNUMBER(F489),F489,G489),"")</f>
        <v/>
      </c>
      <c r="K489" s="12" t="n">
        <v>19500</v>
      </c>
      <c r="L489" s="12" t="n">
        <v>19500</v>
      </c>
      <c r="M489" s="13">
        <f>IF(AND(ISNUMBER(K489),ISNUMBER(L489),K489&gt;0),1-L489/K489,"")</f>
        <v/>
      </c>
      <c r="N489" s="16" t="n">
        <v>0</v>
      </c>
      <c r="O489" s="12" t="n"/>
      <c r="P489" s="12" t="n"/>
      <c r="Q489" s="12" t="n"/>
      <c r="R489" s="14">
        <f>IF(AND(ISNUMBER(L489),ISNUMBER(P489),ISNUMBER(Q489)),L489/((P489+Q489)/2)-1,"")</f>
        <v/>
      </c>
      <c r="S489" s="10" t="n"/>
      <c r="T489" s="15" t="n">
        <v>124000</v>
      </c>
      <c r="U489" s="16" t="n">
        <v>2000</v>
      </c>
      <c r="V489" s="10" t="inlineStr">
        <is>
          <t>06/2000</t>
        </is>
      </c>
      <c r="W489" s="10" t="inlineStr">
        <is>
          <t>Essence</t>
        </is>
      </c>
      <c r="X489" s="10" t="inlineStr">
        <is>
          <t>Manuelle</t>
        </is>
      </c>
      <c r="Y489" s="16" t="n">
        <v>220</v>
      </c>
      <c r="Z489" s="16" t="n">
        <v>15</v>
      </c>
      <c r="AA489" s="10" t="inlineStr">
        <is>
          <t>Gris</t>
        </is>
      </c>
      <c r="AB489" s="16" t="n">
        <v>2</v>
      </c>
      <c r="AC489" s="10" t="inlineStr">
        <is>
          <t>Cabriolet</t>
        </is>
      </c>
      <c r="AD489" s="10" t="inlineStr">
        <is>
          <t>Factures disponibles, Réparations utiles déjà faites</t>
        </is>
      </c>
      <c r="AE489" s="10" t="n"/>
      <c r="AF489" s="10" t="inlineStr">
        <is>
          <t>Particulier</t>
        </is>
      </c>
      <c r="AG489" s="10" t="inlineStr">
        <is>
          <t>Allauch</t>
        </is>
      </c>
      <c r="AH489" s="10" t="inlineStr">
        <is>
          <t>13190</t>
        </is>
      </c>
      <c r="AI489" s="10" t="inlineStr">
        <is>
          <t>Bouches-du-Rhône</t>
        </is>
      </c>
      <c r="AJ489" s="10" t="inlineStr">
        <is>
          <t>Provence-Alpes-Côte d'Azur</t>
        </is>
      </c>
      <c r="AK489" s="16" t="n">
        <v>3</v>
      </c>
      <c r="AL489" s="10" t="n"/>
      <c r="AM489" s="10" t="inlineStr">
        <is>
          <t>Non</t>
        </is>
      </c>
      <c r="AN489" s="10" t="inlineStr">
        <is>
          <t>​Superbe Porsche Boxster 986 2.7L (220 ch) ​Je mets en vente mon Porsche Boxster 986 2.7L de 2000, présenté dans une élégante livrée grise intemporelle. Véhicule de passionné, très soigné, avec un historique d'entretien à jour et un kilométrage certifié de 125 000 km (faible et cohérent au vu de son année, soit moins de 5 000 km/an). Le précédent propriétaire est un employé porsche. ​Équipé du mythique moteur Flat-6 de 2.7L associé à une boîte de vitesses manuelle, ce modèle offre une sonorité e</t>
        </is>
      </c>
      <c r="AO489" s="10" t="inlineStr">
        <is>
          <t>vehicle_technical_inspection_valid : Oui ; Dommages : Excellent état (proche du neuf) ; Sellerie : Cuir partiel, Alcantara ; Équipements intérieurs : Apple CarPlay / Android Auto, Bluetooth, Climatisation, Jantes en alliage, Phares LED / Xenon, Radio numérique DAB, Roue de secours, Système de navigation, Volant réglable en profondeur ; Permis : Avec permis ; Importé : false</t>
        </is>
      </c>
      <c r="AP489" s="19" t="inlineStr">
        <is>
          <t>Voir</t>
        </is>
      </c>
      <c r="AQ489" s="10" t="inlineStr">
        <is>
          <t>3283952066</t>
        </is>
      </c>
    </row>
    <row r="490">
      <c r="A490" s="10" t="inlineStr">
        <is>
          <t>Porsche Boxster 986</t>
        </is>
      </c>
      <c r="B490" s="10" t="inlineStr">
        <is>
          <t>Porsche Boxster 986 Faible Kms</t>
        </is>
      </c>
      <c r="C490" s="10" t="n"/>
      <c r="D490" s="10" t="n"/>
      <c r="E490" s="10" t="inlineStr">
        <is>
          <t>En vente</t>
        </is>
      </c>
      <c r="F490" s="18" t="n">
        <v>46303</v>
      </c>
      <c r="G490" s="18" t="n">
        <v>46303</v>
      </c>
      <c r="H490" s="18" t="n">
        <v>46310</v>
      </c>
      <c r="I490" s="18" t="n"/>
      <c r="J490" s="17">
        <f>IF(OR(ISNUMBER(F490),ISNUMBER(G490)),IF(ISNUMBER(I490),I490,H490)-IF(ISNUMBER(F490),F490,G490),"")</f>
        <v/>
      </c>
      <c r="K490" s="12" t="n">
        <v>19800</v>
      </c>
      <c r="L490" s="12" t="n">
        <v>19800</v>
      </c>
      <c r="M490" s="13">
        <f>IF(AND(ISNUMBER(K490),ISNUMBER(L490),K490&gt;0),1-L490/K490,"")</f>
        <v/>
      </c>
      <c r="N490" s="16" t="n">
        <v>0</v>
      </c>
      <c r="O490" s="12" t="n"/>
      <c r="P490" s="12" t="n"/>
      <c r="Q490" s="12" t="n"/>
      <c r="R490" s="14">
        <f>IF(AND(ISNUMBER(L490),ISNUMBER(P490),ISNUMBER(Q490)),L490/((P490+Q490)/2)-1,"")</f>
        <v/>
      </c>
      <c r="S490" s="10" t="n"/>
      <c r="T490" s="15" t="n">
        <v>58900</v>
      </c>
      <c r="U490" s="16" t="n">
        <v>2001</v>
      </c>
      <c r="V490" s="10" t="inlineStr">
        <is>
          <t>02/2000</t>
        </is>
      </c>
      <c r="W490" s="10" t="inlineStr">
        <is>
          <t>Essence</t>
        </is>
      </c>
      <c r="X490" s="10" t="inlineStr">
        <is>
          <t>Automatique</t>
        </is>
      </c>
      <c r="Y490" s="16" t="n">
        <v>220</v>
      </c>
      <c r="Z490" s="16" t="n"/>
      <c r="AA490" s="10" t="inlineStr">
        <is>
          <t>Argent</t>
        </is>
      </c>
      <c r="AB490" s="16" t="n">
        <v>2</v>
      </c>
      <c r="AC490" s="10" t="inlineStr">
        <is>
          <t>Cabriolet</t>
        </is>
      </c>
      <c r="AD490" s="10" t="inlineStr">
        <is>
          <t>Réparations utiles déjà faites</t>
        </is>
      </c>
      <c r="AE490" s="10" t="inlineStr">
        <is>
          <t>Véhicule importé</t>
        </is>
      </c>
      <c r="AF490" s="10" t="inlineStr">
        <is>
          <t>Particulier</t>
        </is>
      </c>
      <c r="AG490" s="10" t="inlineStr">
        <is>
          <t>Valbonne</t>
        </is>
      </c>
      <c r="AH490" s="10" t="inlineStr">
        <is>
          <t>06560</t>
        </is>
      </c>
      <c r="AI490" s="10" t="inlineStr">
        <is>
          <t>Alpes-Maritimes</t>
        </is>
      </c>
      <c r="AJ490" s="10" t="inlineStr">
        <is>
          <t>Provence-Alpes-Côte d'Azur</t>
        </is>
      </c>
      <c r="AK490" s="16" t="n">
        <v>3</v>
      </c>
      <c r="AL490" s="10" t="n"/>
      <c r="AM490" s="10" t="inlineStr">
        <is>
          <t>Non</t>
        </is>
      </c>
      <c r="AN490" s="10" t="inlineStr">
        <is>
          <t>Bonjour, Je vends une Porsche Boxster, emporter des États-Unis, le rapport Carfax est disponible pour justifier du kilométrage. Elle fait partie des boxers de phase 1, le roulement IMS est donc un double roulement billes fiable qui ne nécessite pas d’être changé. Une révision complète ainsi qu’une vérification moteur a été effectuée dans un garage spécialisé dans les anciennes voitures. La voiture se comporte très bien, rien à signaler dans un bon état général. N’hésite pas à me contacter pour p</t>
        </is>
      </c>
      <c r="AO490" s="10" t="inlineStr">
        <is>
          <t>vehicle_technical_inspection_valid : Oui ; Contrôle technique : 2029 ; Dommages : Bon état général ; Sellerie : Tout cuir ; Équipements intérieurs : Climatisation, Sièges chauffants ; Permis : Avec permis ; Importé : false</t>
        </is>
      </c>
      <c r="AP490" s="19" t="inlineStr">
        <is>
          <t>Voir</t>
        </is>
      </c>
      <c r="AQ490" s="10" t="inlineStr">
        <is>
          <t>3284594155</t>
        </is>
      </c>
    </row>
    <row r="491">
      <c r="A491" s="10" t="inlineStr">
        <is>
          <t>Porsche Boxster 986</t>
        </is>
      </c>
      <c r="B491" s="10" t="inlineStr">
        <is>
          <t>Porsche Boxster 986</t>
        </is>
      </c>
      <c r="C491" s="10" t="n"/>
      <c r="D491" s="10" t="n"/>
      <c r="E491" s="10" t="inlineStr">
        <is>
          <t>En vente</t>
        </is>
      </c>
      <c r="F491" s="18" t="n">
        <v>46303</v>
      </c>
      <c r="G491" s="18" t="n">
        <v>46303</v>
      </c>
      <c r="H491" s="18" t="n">
        <v>46310</v>
      </c>
      <c r="I491" s="18" t="n"/>
      <c r="J491" s="17">
        <f>IF(OR(ISNUMBER(F491),ISNUMBER(G491)),IF(ISNUMBER(I491),I491,H491)-IF(ISNUMBER(F491),F491,G491),"")</f>
        <v/>
      </c>
      <c r="K491" s="12" t="n">
        <v>22500</v>
      </c>
      <c r="L491" s="12" t="n">
        <v>22500</v>
      </c>
      <c r="M491" s="13">
        <f>IF(AND(ISNUMBER(K491),ISNUMBER(L491),K491&gt;0),1-L491/K491,"")</f>
        <v/>
      </c>
      <c r="N491" s="16" t="n">
        <v>0</v>
      </c>
      <c r="O491" s="12" t="n"/>
      <c r="P491" s="12" t="n"/>
      <c r="Q491" s="12" t="n"/>
      <c r="R491" s="14">
        <f>IF(AND(ISNUMBER(L491),ISNUMBER(P491),ISNUMBER(Q491)),L491/((P491+Q491)/2)-1,"")</f>
        <v/>
      </c>
      <c r="S491" s="10" t="n"/>
      <c r="T491" s="15" t="n">
        <v>63000</v>
      </c>
      <c r="U491" s="16" t="n">
        <v>1999</v>
      </c>
      <c r="V491" s="10" t="inlineStr">
        <is>
          <t>05/1999</t>
        </is>
      </c>
      <c r="W491" s="10" t="inlineStr">
        <is>
          <t>Essence</t>
        </is>
      </c>
      <c r="X491" s="10" t="inlineStr">
        <is>
          <t>Manuelle</t>
        </is>
      </c>
      <c r="Y491" s="16" t="n">
        <v>204</v>
      </c>
      <c r="Z491" s="16" t="n">
        <v>14</v>
      </c>
      <c r="AA491" s="10" t="inlineStr">
        <is>
          <t>Autre</t>
        </is>
      </c>
      <c r="AB491" s="16" t="n">
        <v>2</v>
      </c>
      <c r="AC491" s="10" t="inlineStr">
        <is>
          <t>Cabriolet</t>
        </is>
      </c>
      <c r="AD491" s="10" t="n"/>
      <c r="AE491" s="10" t="n"/>
      <c r="AF491" s="10" t="inlineStr">
        <is>
          <t>Particulier</t>
        </is>
      </c>
      <c r="AG491" s="10" t="inlineStr">
        <is>
          <t>Vieux-Charmont</t>
        </is>
      </c>
      <c r="AH491" s="10" t="inlineStr">
        <is>
          <t>25600</t>
        </is>
      </c>
      <c r="AI491" s="10" t="inlineStr">
        <is>
          <t>Doubs</t>
        </is>
      </c>
      <c r="AJ491" s="10" t="inlineStr">
        <is>
          <t>Franche-Comté</t>
        </is>
      </c>
      <c r="AK491" s="16" t="n">
        <v>3</v>
      </c>
      <c r="AL491" s="10" t="n"/>
      <c r="AM491" s="10" t="inlineStr">
        <is>
          <t>Non</t>
        </is>
      </c>
      <c r="AN491" s="10" t="inlineStr">
        <is>
          <t>Porsche Boxster 986 2.5L – 1999 – 63 000 km – Noir / Cuir Noir Porsche Boxster 986 Phase 1 de 1999 en couleur noire avec intérieur cuir noir. Faible kilométrage de seulement 63 000 km. Entretien exclusivement chez Porsche et spécialistes, révision effectuée à 62 000 km + batterie neuve. Aucune fuite, aucun bruit, mécanique saine, elle fonctionne parfaitement. Excellent état: • Capote en très bon état • Carrosserie très propre • Intérieur impeccable Équipements notables : • Sièges et volant sport</t>
        </is>
      </c>
      <c r="AO491" s="10" t="inlineStr">
        <is>
          <t>Permis : Avec permis ; Importé : false</t>
        </is>
      </c>
      <c r="AP491" s="19" t="inlineStr">
        <is>
          <t>Voir</t>
        </is>
      </c>
      <c r="AQ491" s="10" t="inlineStr">
        <is>
          <t>3284730229</t>
        </is>
      </c>
    </row>
    <row r="492">
      <c r="A492" s="10" t="inlineStr">
        <is>
          <t>Porsche Boxster 986</t>
        </is>
      </c>
      <c r="B492" s="10" t="inlineStr">
        <is>
          <t>Porsche boxster 986 s</t>
        </is>
      </c>
      <c r="C492" s="10" t="inlineStr">
        <is>
          <t>Boxster 3.2 S</t>
        </is>
      </c>
      <c r="D492" s="10" t="inlineStr">
        <is>
          <t>S</t>
        </is>
      </c>
      <c r="E492" s="10" t="inlineStr">
        <is>
          <t>En vente</t>
        </is>
      </c>
      <c r="F492" s="18" t="n">
        <v>46306</v>
      </c>
      <c r="G492" s="18" t="n">
        <v>46306</v>
      </c>
      <c r="H492" s="18" t="n">
        <v>46310</v>
      </c>
      <c r="I492" s="18" t="n"/>
      <c r="J492" s="17">
        <f>IF(OR(ISNUMBER(F492),ISNUMBER(G492)),IF(ISNUMBER(I492),I492,H492)-IF(ISNUMBER(F492),F492,G492),"")</f>
        <v/>
      </c>
      <c r="K492" s="12" t="n">
        <v>22500</v>
      </c>
      <c r="L492" s="12" t="n">
        <v>22500</v>
      </c>
      <c r="M492" s="13">
        <f>IF(AND(ISNUMBER(K492),ISNUMBER(L492),K492&gt;0),1-L492/K492,"")</f>
        <v/>
      </c>
      <c r="N492" s="16" t="n">
        <v>0</v>
      </c>
      <c r="O492" s="12" t="n"/>
      <c r="P492" s="12" t="n"/>
      <c r="Q492" s="12" t="n"/>
      <c r="R492" s="14">
        <f>IF(AND(ISNUMBER(L492),ISNUMBER(P492),ISNUMBER(Q492)),L492/((P492+Q492)/2)-1,"")</f>
        <v/>
      </c>
      <c r="S492" s="10" t="n"/>
      <c r="T492" s="15" t="n">
        <v>131000</v>
      </c>
      <c r="U492" s="16" t="n">
        <v>2000</v>
      </c>
      <c r="V492" s="10" t="inlineStr">
        <is>
          <t>08/2000</t>
        </is>
      </c>
      <c r="W492" s="10" t="inlineStr">
        <is>
          <t>Essence</t>
        </is>
      </c>
      <c r="X492" s="10" t="inlineStr">
        <is>
          <t>Manuelle</t>
        </is>
      </c>
      <c r="Y492" s="16" t="n">
        <v>252</v>
      </c>
      <c r="Z492" s="16" t="n">
        <v>17</v>
      </c>
      <c r="AA492" s="10" t="inlineStr">
        <is>
          <t>Noir</t>
        </is>
      </c>
      <c r="AB492" s="16" t="n">
        <v>2</v>
      </c>
      <c r="AC492" s="10" t="inlineStr">
        <is>
          <t>Cabriolet</t>
        </is>
      </c>
      <c r="AD492" s="10" t="inlineStr">
        <is>
          <t>Carnet d'entretien disponible, Factures disponibles, Véhicule non fumeur, Réparations utiles déjà faites</t>
        </is>
      </c>
      <c r="AE492" s="10" t="inlineStr">
        <is>
          <t>Véhicule importé</t>
        </is>
      </c>
      <c r="AF492" s="10" t="inlineStr">
        <is>
          <t>Particulier</t>
        </is>
      </c>
      <c r="AG492" s="10" t="inlineStr">
        <is>
          <t>Le Perreux-sur-Marne</t>
        </is>
      </c>
      <c r="AH492" s="10" t="inlineStr">
        <is>
          <t>94170</t>
        </is>
      </c>
      <c r="AI492" s="10" t="inlineStr">
        <is>
          <t>Val-de-Marne</t>
        </is>
      </c>
      <c r="AJ492" s="10" t="inlineStr">
        <is>
          <t>Ile-de-France</t>
        </is>
      </c>
      <c r="AK492" s="16" t="n">
        <v>3</v>
      </c>
      <c r="AL492" s="10" t="n"/>
      <c r="AM492" s="10" t="inlineStr">
        <is>
          <t>Non</t>
        </is>
      </c>
      <c r="AN492" s="10" t="inlineStr">
        <is>
          <t>Je mets en vente ma Porsche Boxster S (986) de juillet 2000, équipée du mythique Flat-6 atmosphérique 3.2L de 252 ch associé à une boîte manuelle 6 rapports. Véhicule de passionné bénéficiant d'un historique exceptionnellement complet avec carnet d'entretien d'origine intégralement tamponné et factures disponibles depuis sa sortie d'usine. Un rapport d'expertise daté de novembre 2025 est également disponible. Configuration recherchée associant moteur central, boîte mécanique 6 rapports et châssi</t>
        </is>
      </c>
      <c r="AO492" s="10" t="inlineStr">
        <is>
          <t>vehicle_technical_inspection_valid : Oui ; Contrôle technique : 2028 ; Dommages : Bon état général ; Sellerie : Alcantara ; Équipements intérieurs : Alarme antivol, Climatisation, Jantes en alliage, Ordinateur de bord, Phares anti-brouillard, Phares LED / Xenon, Roue de secours, Rétroviseurs dégivrants, Siège réglable en hauteur, Sièges chauffants, Suspension sport / adaptative, Système audio haut de gamme, Volant réglable en profondeur ; vehicle_euro_emissions_standard : Euro 4 ; Permis : Avec permis ; Importé : false ; vehicle_history_teaser_critair : 3 ; vehicle_history_teaser_owners : 9 ; vehicle_history_teaser_expertises : false ; vehicle_history_teaser_special_uses : false ; vehicle_history_teaser_atypical_operations : false ; vehicle_history_teaser_importations : false</t>
        </is>
      </c>
      <c r="AP492" s="19" t="inlineStr">
        <is>
          <t>Voir</t>
        </is>
      </c>
      <c r="AQ492" s="10" t="inlineStr">
        <is>
          <t>3286790616</t>
        </is>
      </c>
    </row>
    <row r="493">
      <c r="A493" s="10" t="inlineStr">
        <is>
          <t>Porsche Boxster 986</t>
        </is>
      </c>
      <c r="B493" s="10" t="inlineStr">
        <is>
          <t>Porsche Boxster 986</t>
        </is>
      </c>
      <c r="C493" s="10" t="n"/>
      <c r="D493" s="10" t="n"/>
      <c r="E493" s="10" t="inlineStr">
        <is>
          <t>En vente</t>
        </is>
      </c>
      <c r="F493" s="18" t="n">
        <v>46274</v>
      </c>
      <c r="G493" s="18" t="n">
        <v>46274</v>
      </c>
      <c r="H493" s="18" t="n">
        <v>46296</v>
      </c>
      <c r="I493" s="18" t="n"/>
      <c r="J493" s="17">
        <f>IF(OR(ISNUMBER(F493),ISNUMBER(G493)),IF(ISNUMBER(I493),I493,H493)-IF(ISNUMBER(F493),F493,G493),"")</f>
        <v/>
      </c>
      <c r="K493" s="12" t="n">
        <v>14500</v>
      </c>
      <c r="L493" s="12" t="n">
        <v>14500</v>
      </c>
      <c r="M493" s="13">
        <f>IF(AND(ISNUMBER(K493),ISNUMBER(L493),K493&gt;0),1-L493/K493,"")</f>
        <v/>
      </c>
      <c r="N493" s="16" t="n">
        <v>0</v>
      </c>
      <c r="O493" s="12" t="n"/>
      <c r="P493" s="12" t="n"/>
      <c r="Q493" s="12" t="n"/>
      <c r="R493" s="14">
        <f>IF(AND(ISNUMBER(L493),ISNUMBER(P493),ISNUMBER(Q493)),L493/((P493+Q493)/2)-1,"")</f>
        <v/>
      </c>
      <c r="S493" s="10" t="n"/>
      <c r="T493" s="15" t="n">
        <v>192000</v>
      </c>
      <c r="U493" s="16" t="n">
        <v>1999</v>
      </c>
      <c r="V493" s="10" t="n"/>
      <c r="W493" s="10" t="inlineStr">
        <is>
          <t>Essence</t>
        </is>
      </c>
      <c r="X493" s="10" t="inlineStr">
        <is>
          <t>Automatique</t>
        </is>
      </c>
      <c r="Y493" s="16" t="n">
        <v>204</v>
      </c>
      <c r="Z493" s="16" t="n">
        <v>14</v>
      </c>
      <c r="AA493" s="10" t="inlineStr">
        <is>
          <t>Gris</t>
        </is>
      </c>
      <c r="AB493" s="16" t="n">
        <v>2</v>
      </c>
      <c r="AC493" s="10" t="inlineStr">
        <is>
          <t>Cabriolet</t>
        </is>
      </c>
      <c r="AD493" s="10" t="n"/>
      <c r="AE493" s="10" t="n"/>
      <c r="AF493" s="10" t="inlineStr">
        <is>
          <t>Particulier</t>
        </is>
      </c>
      <c r="AG493" s="10" t="inlineStr">
        <is>
          <t>Mondragon</t>
        </is>
      </c>
      <c r="AH493" s="10" t="inlineStr">
        <is>
          <t>84430</t>
        </is>
      </c>
      <c r="AI493" s="10" t="inlineStr">
        <is>
          <t>Vaucluse</t>
        </is>
      </c>
      <c r="AJ493" s="10" t="inlineStr">
        <is>
          <t>Provence-Alpes-Côte d'Azur</t>
        </is>
      </c>
      <c r="AK493" s="16" t="n"/>
      <c r="AL493" s="10" t="n"/>
      <c r="AM493" s="10" t="n"/>
      <c r="AN493" s="10" t="inlineStr">
        <is>
          <t>Bonjour, Je vends ou échange (contre SUV ou break) ma Porsche 986 2.5 204 CV / 150 KW Essence de 1999 valeur 14500 € (à débattre) Véhicule entretenu chez Porsche et ou spécialiste Porsche Nombreuses options et équipements Contrôle technique fait OK Annonce en ligne = Véhicule disponible Cordialement</t>
        </is>
      </c>
      <c r="AO493" s="10" t="n"/>
      <c r="AP493" s="19" t="inlineStr">
        <is>
          <t>Voir</t>
        </is>
      </c>
      <c r="AQ493" s="10" t="inlineStr">
        <is>
          <t>3147288483</t>
        </is>
      </c>
    </row>
    <row r="494">
      <c r="A494" s="10" t="inlineStr">
        <is>
          <t>Porsche Boxster 986</t>
        </is>
      </c>
      <c r="B494" s="10" t="inlineStr">
        <is>
          <t>Porsche Boxster 986 (Vente ou Echange)</t>
        </is>
      </c>
      <c r="C494" s="10" t="n"/>
      <c r="D494" s="10" t="n"/>
      <c r="E494" s="10" t="inlineStr">
        <is>
          <t>En vente</t>
        </is>
      </c>
      <c r="F494" s="18" t="n">
        <v>46293</v>
      </c>
      <c r="G494" s="18" t="n">
        <v>46293</v>
      </c>
      <c r="H494" s="18" t="n">
        <v>46296</v>
      </c>
      <c r="I494" s="18" t="n"/>
      <c r="J494" s="17">
        <f>IF(OR(ISNUMBER(F494),ISNUMBER(G494)),IF(ISNUMBER(I494),I494,H494)-IF(ISNUMBER(F494),F494,G494),"")</f>
        <v/>
      </c>
      <c r="K494" s="12" t="n">
        <v>9700</v>
      </c>
      <c r="L494" s="12" t="n">
        <v>9700</v>
      </c>
      <c r="M494" s="13">
        <f>IF(AND(ISNUMBER(K494),ISNUMBER(L494),K494&gt;0),1-L494/K494,"")</f>
        <v/>
      </c>
      <c r="N494" s="16" t="n">
        <v>0</v>
      </c>
      <c r="O494" s="12" t="n"/>
      <c r="P494" s="12" t="n"/>
      <c r="Q494" s="12" t="n"/>
      <c r="R494" s="14">
        <f>IF(AND(ISNUMBER(L494),ISNUMBER(P494),ISNUMBER(Q494)),L494/((P494+Q494)/2)-1,"")</f>
        <v/>
      </c>
      <c r="S494" s="10" t="n"/>
      <c r="T494" s="15" t="n">
        <v>225000</v>
      </c>
      <c r="U494" s="16" t="n">
        <v>1999</v>
      </c>
      <c r="V494" s="10" t="n"/>
      <c r="W494" s="10" t="inlineStr">
        <is>
          <t>Essence</t>
        </is>
      </c>
      <c r="X494" s="10" t="inlineStr">
        <is>
          <t>Manuelle</t>
        </is>
      </c>
      <c r="Y494" s="16" t="n">
        <v>204</v>
      </c>
      <c r="Z494" s="16" t="n">
        <v>13</v>
      </c>
      <c r="AA494" s="10" t="inlineStr">
        <is>
          <t>Bleu</t>
        </is>
      </c>
      <c r="AB494" s="16" t="n">
        <v>2</v>
      </c>
      <c r="AC494" s="10" t="inlineStr">
        <is>
          <t>Cabriolet</t>
        </is>
      </c>
      <c r="AD494" s="10" t="n"/>
      <c r="AE494" s="10" t="n"/>
      <c r="AF494" s="10" t="inlineStr">
        <is>
          <t>Particulier</t>
        </is>
      </c>
      <c r="AG494" s="10" t="inlineStr">
        <is>
          <t>Hagetmau</t>
        </is>
      </c>
      <c r="AH494" s="10" t="inlineStr">
        <is>
          <t>40700</t>
        </is>
      </c>
      <c r="AI494" s="10" t="inlineStr">
        <is>
          <t>Landes</t>
        </is>
      </c>
      <c r="AJ494" s="10" t="inlineStr">
        <is>
          <t>Aquitaine</t>
        </is>
      </c>
      <c r="AK494" s="16" t="n"/>
      <c r="AL494" s="10" t="n"/>
      <c r="AM494" s="10" t="n"/>
      <c r="AN494" s="10" t="inlineStr">
        <is>
          <t>Porsche Boxster 2.5 – 204ch 12/1999 220 000 kms - Peu Evolutif Caractéristiques : Moteur Flat-6 - 2.5L – 204 ch Boîte manuelle 5 rapports Jantes avec logo Porsche Options &amp; équipements : Intérieur beige/noir Sièges cuir Climatisation Direction assistée Fermeture centralisée Vitres électriques Rétroviseurs électriques Airbags Antidémarrage électronique Système audio changé, plus récent avec connexion téléphone et USB ABS Véhicule suivi, entretenu rigoureusement Dors dans un garage Véhicule de pas</t>
        </is>
      </c>
      <c r="AO494" s="10" t="n"/>
      <c r="AP494" s="19" t="inlineStr">
        <is>
          <t>Voir</t>
        </is>
      </c>
      <c r="AQ494" s="10" t="inlineStr">
        <is>
          <t>3171445222</t>
        </is>
      </c>
    </row>
    <row r="495">
      <c r="A495" s="10" t="inlineStr">
        <is>
          <t>Porsche Boxster 986</t>
        </is>
      </c>
      <c r="B495" s="10" t="inlineStr">
        <is>
          <t>PORSCHE BOXSTER 986 1998 avec HARD TOP</t>
        </is>
      </c>
      <c r="C495" s="10" t="n"/>
      <c r="D495" s="10" t="n"/>
      <c r="E495" s="10" t="inlineStr">
        <is>
          <t>En vente</t>
        </is>
      </c>
      <c r="F495" s="18" t="n">
        <v>46294</v>
      </c>
      <c r="G495" s="18" t="n">
        <v>46294</v>
      </c>
      <c r="H495" s="18" t="n">
        <v>46296</v>
      </c>
      <c r="I495" s="18" t="n"/>
      <c r="J495" s="17">
        <f>IF(OR(ISNUMBER(F495),ISNUMBER(G495)),IF(ISNUMBER(I495),I495,H495)-IF(ISNUMBER(F495),F495,G495),"")</f>
        <v/>
      </c>
      <c r="K495" s="12" t="n">
        <v>16000</v>
      </c>
      <c r="L495" s="12" t="n">
        <v>16000</v>
      </c>
      <c r="M495" s="13">
        <f>IF(AND(ISNUMBER(K495),ISNUMBER(L495),K495&gt;0),1-L495/K495,"")</f>
        <v/>
      </c>
      <c r="N495" s="16" t="n">
        <v>0</v>
      </c>
      <c r="O495" s="12" t="n"/>
      <c r="P495" s="12" t="n"/>
      <c r="Q495" s="12" t="n"/>
      <c r="R495" s="14">
        <f>IF(AND(ISNUMBER(L495),ISNUMBER(P495),ISNUMBER(Q495)),L495/((P495+Q495)/2)-1,"")</f>
        <v/>
      </c>
      <c r="S495" s="10" t="n"/>
      <c r="T495" s="15" t="n">
        <v>129400</v>
      </c>
      <c r="U495" s="16" t="n">
        <v>1998</v>
      </c>
      <c r="V495" s="10" t="n"/>
      <c r="W495" s="10" t="inlineStr">
        <is>
          <t>Essence</t>
        </is>
      </c>
      <c r="X495" s="10" t="inlineStr">
        <is>
          <t>Automatique</t>
        </is>
      </c>
      <c r="Y495" s="16" t="n">
        <v>220</v>
      </c>
      <c r="Z495" s="16" t="n">
        <v>14</v>
      </c>
      <c r="AA495" s="10" t="inlineStr">
        <is>
          <t>Bleu</t>
        </is>
      </c>
      <c r="AB495" s="16" t="n">
        <v>2</v>
      </c>
      <c r="AC495" s="10" t="inlineStr">
        <is>
          <t>Cabriolet</t>
        </is>
      </c>
      <c r="AD495" s="10" t="n"/>
      <c r="AE495" s="10" t="inlineStr"/>
      <c r="AF495" s="10" t="inlineStr">
        <is>
          <t>Particulier</t>
        </is>
      </c>
      <c r="AG495" s="10" t="inlineStr">
        <is>
          <t>Duclair</t>
        </is>
      </c>
      <c r="AH495" s="10" t="inlineStr">
        <is>
          <t>76480</t>
        </is>
      </c>
      <c r="AI495" s="10" t="inlineStr">
        <is>
          <t>Seine-Maritime</t>
        </is>
      </c>
      <c r="AJ495" s="10" t="inlineStr">
        <is>
          <t>Haute-Normandie</t>
        </is>
      </c>
      <c r="AK495" s="16" t="n"/>
      <c r="AL495" s="10" t="n"/>
      <c r="AM495" s="10" t="n"/>
      <c r="AN495" s="10" t="inlineStr">
        <is>
          <t>PORSCHE BOXTER 2.5 L 204 CV Type 986 de 1998, 14 CV fiscaux, boite automatique TIPTRONIC 5 vitesses, 129400 KM d'origine, entretien suivi, double des clés, carnet d'entretien, manuel d'utilisation, GPS, CARPLAY, prises USB, climatisation automatique, vitres électriques, direction assistée, régulateur de vitesse, réglage partiellement électrique des sièges, sièges chauffants, intérieur cuir en très bon état, capote en parfait état + HARD TOP. Lunette arrière neuve. Véhicule en parfait état généra</t>
        </is>
      </c>
      <c r="AO495" s="10" t="n"/>
      <c r="AP495" s="19" t="inlineStr">
        <is>
          <t>Voir</t>
        </is>
      </c>
      <c r="AQ495" s="10" t="inlineStr">
        <is>
          <t>3194804756</t>
        </is>
      </c>
    </row>
    <row r="496">
      <c r="A496" s="10" t="inlineStr">
        <is>
          <t>Porsche Boxster 986</t>
        </is>
      </c>
      <c r="B496" s="10" t="inlineStr">
        <is>
          <t>Boxster 986</t>
        </is>
      </c>
      <c r="C496" s="10" t="n"/>
      <c r="D496" s="10" t="n"/>
      <c r="E496" s="10" t="inlineStr">
        <is>
          <t>En vente</t>
        </is>
      </c>
      <c r="F496" s="18" t="n">
        <v>46265</v>
      </c>
      <c r="G496" s="18" t="n">
        <v>46265</v>
      </c>
      <c r="H496" s="18" t="n">
        <v>46296</v>
      </c>
      <c r="I496" s="18" t="n"/>
      <c r="J496" s="17">
        <f>IF(OR(ISNUMBER(F496),ISNUMBER(G496)),IF(ISNUMBER(I496),I496,H496)-IF(ISNUMBER(F496),F496,G496),"")</f>
        <v/>
      </c>
      <c r="K496" s="12" t="n">
        <v>14900</v>
      </c>
      <c r="L496" s="12" t="n">
        <v>14900</v>
      </c>
      <c r="M496" s="13">
        <f>IF(AND(ISNUMBER(K496),ISNUMBER(L496),K496&gt;0),1-L496/K496,"")</f>
        <v/>
      </c>
      <c r="N496" s="16" t="n">
        <v>0</v>
      </c>
      <c r="O496" s="12" t="n"/>
      <c r="P496" s="12" t="n"/>
      <c r="Q496" s="12" t="n"/>
      <c r="R496" s="14">
        <f>IF(AND(ISNUMBER(L496),ISNUMBER(P496),ISNUMBER(Q496)),L496/((P496+Q496)/2)-1,"")</f>
        <v/>
      </c>
      <c r="S496" s="10" t="n"/>
      <c r="T496" s="15" t="n">
        <v>157225</v>
      </c>
      <c r="U496" s="16" t="n">
        <v>1997</v>
      </c>
      <c r="V496" s="10" t="n"/>
      <c r="W496" s="10" t="inlineStr">
        <is>
          <t>Essence</t>
        </is>
      </c>
      <c r="X496" s="10" t="inlineStr">
        <is>
          <t>Manuelle</t>
        </is>
      </c>
      <c r="Y496" s="16" t="n">
        <v>204</v>
      </c>
      <c r="Z496" s="16" t="n">
        <v>14</v>
      </c>
      <c r="AA496" s="10" t="inlineStr">
        <is>
          <t>Bleu</t>
        </is>
      </c>
      <c r="AB496" s="16" t="n">
        <v>2</v>
      </c>
      <c r="AC496" s="10" t="inlineStr">
        <is>
          <t>Cabriolet</t>
        </is>
      </c>
      <c r="AD496" s="10" t="n"/>
      <c r="AE496" s="10" t="n"/>
      <c r="AF496" s="10" t="inlineStr">
        <is>
          <t>Particulier</t>
        </is>
      </c>
      <c r="AG496" s="10" t="inlineStr">
        <is>
          <t>Pîtres</t>
        </is>
      </c>
      <c r="AH496" s="10" t="inlineStr">
        <is>
          <t>27590</t>
        </is>
      </c>
      <c r="AI496" s="10" t="inlineStr">
        <is>
          <t>Eure</t>
        </is>
      </c>
      <c r="AJ496" s="10" t="inlineStr">
        <is>
          <t>Haute-Normandie</t>
        </is>
      </c>
      <c r="AK496" s="16" t="n"/>
      <c r="AL496" s="10" t="n"/>
      <c r="AM496" s="10" t="n"/>
      <c r="AN496" s="10" t="inlineStr">
        <is>
          <t>Vend Boxster 986. MES 21/03/1997. Passage possible en collection dès l'année prochaine. Configuration d'origine. CT du 21/05/2026 OK. Carnet entretien Porsche jusqu'à 105000 kms et autres garages après. Boite mécanique. 14 cv fiscaux. 204 cv Din. 157225 kms. Premier contact par messagerie.</t>
        </is>
      </c>
      <c r="AO496" s="10" t="n"/>
      <c r="AP496" s="19" t="inlineStr">
        <is>
          <t>Voir</t>
        </is>
      </c>
      <c r="AQ496" s="10" t="inlineStr">
        <is>
          <t>3223210758</t>
        </is>
      </c>
    </row>
    <row r="497">
      <c r="A497" s="10" t="inlineStr">
        <is>
          <t>Porsche Boxster 986</t>
        </is>
      </c>
      <c r="B497" s="10" t="inlineStr">
        <is>
          <t>Porsche boxster 986</t>
        </is>
      </c>
      <c r="C497" s="10" t="n"/>
      <c r="D497" s="10" t="n"/>
      <c r="E497" s="10" t="inlineStr">
        <is>
          <t>En vente</t>
        </is>
      </c>
      <c r="F497" s="18" t="n">
        <v>46265</v>
      </c>
      <c r="G497" s="18" t="n">
        <v>46265</v>
      </c>
      <c r="H497" s="18" t="n">
        <v>46296</v>
      </c>
      <c r="I497" s="18" t="n"/>
      <c r="J497" s="17">
        <f>IF(OR(ISNUMBER(F497),ISNUMBER(G497)),IF(ISNUMBER(I497),I497,H497)-IF(ISNUMBER(F497),F497,G497),"")</f>
        <v/>
      </c>
      <c r="K497" s="12" t="n">
        <v>21500</v>
      </c>
      <c r="L497" s="12" t="n">
        <v>21500</v>
      </c>
      <c r="M497" s="13">
        <f>IF(AND(ISNUMBER(K497),ISNUMBER(L497),K497&gt;0),1-L497/K497,"")</f>
        <v/>
      </c>
      <c r="N497" s="16" t="n">
        <v>0</v>
      </c>
      <c r="O497" s="12" t="n"/>
      <c r="P497" s="12" t="n"/>
      <c r="Q497" s="12" t="n"/>
      <c r="R497" s="14">
        <f>IF(AND(ISNUMBER(L497),ISNUMBER(P497),ISNUMBER(Q497)),L497/((P497+Q497)/2)-1,"")</f>
        <v/>
      </c>
      <c r="S497" s="10" t="n"/>
      <c r="T497" s="15" t="n">
        <v>129800</v>
      </c>
      <c r="U497" s="16" t="n">
        <v>2004</v>
      </c>
      <c r="V497" s="10" t="n"/>
      <c r="W497" s="10" t="inlineStr">
        <is>
          <t>Essence</t>
        </is>
      </c>
      <c r="X497" s="10" t="inlineStr">
        <is>
          <t>Manuelle</t>
        </is>
      </c>
      <c r="Y497" s="16" t="n">
        <v>228</v>
      </c>
      <c r="Z497" s="16" t="n">
        <v>15</v>
      </c>
      <c r="AA497" s="10" t="inlineStr">
        <is>
          <t>Noir</t>
        </is>
      </c>
      <c r="AB497" s="16" t="n">
        <v>2</v>
      </c>
      <c r="AC497" s="10" t="inlineStr">
        <is>
          <t>Cabriolet</t>
        </is>
      </c>
      <c r="AD497" s="10" t="n"/>
      <c r="AE497" s="10" t="n"/>
      <c r="AF497" s="10" t="inlineStr">
        <is>
          <t>Particulier</t>
        </is>
      </c>
      <c r="AG497" s="10" t="inlineStr">
        <is>
          <t>Six-Fours-les-Plages</t>
        </is>
      </c>
      <c r="AH497" s="10" t="inlineStr">
        <is>
          <t>83140</t>
        </is>
      </c>
      <c r="AI497" s="10" t="inlineStr">
        <is>
          <t>Var</t>
        </is>
      </c>
      <c r="AJ497" s="10" t="inlineStr">
        <is>
          <t>Provence-Alpes-Côte d'Azur</t>
        </is>
      </c>
      <c r="AK497" s="16" t="n"/>
      <c r="AL497" s="10" t="n"/>
      <c r="AM497" s="10" t="n"/>
      <c r="AN497" s="10" t="inlineStr">
        <is>
          <t>Même Propriétaire depuis 19ans Entretien Porsche Pneus arrières Michelin Neuf Dernière version Boxster 986 toutes options(alarme, climatisation automatique, sièges électriques chauffants cuir, lunette arrière verre dégivrante, radio CD Porsche, régulateur de vitesse, volant réglable, antibrouillards, jantes alliages)</t>
        </is>
      </c>
      <c r="AO497" s="10" t="n"/>
      <c r="AP497" s="19" t="inlineStr">
        <is>
          <t>Voir</t>
        </is>
      </c>
      <c r="AQ497" s="10" t="inlineStr">
        <is>
          <t>3226389764</t>
        </is>
      </c>
    </row>
    <row r="498">
      <c r="A498" s="10" t="inlineStr">
        <is>
          <t>Porsche Boxster 986</t>
        </is>
      </c>
      <c r="B498" s="10" t="inlineStr">
        <is>
          <t>Porsche Boxster 986 2.7 228 ch BVM</t>
        </is>
      </c>
      <c r="C498" s="10" t="n"/>
      <c r="D498" s="10" t="n"/>
      <c r="E498" s="10" t="inlineStr">
        <is>
          <t>En vente</t>
        </is>
      </c>
      <c r="F498" s="18" t="n">
        <v>46263</v>
      </c>
      <c r="G498" s="18" t="n">
        <v>46263</v>
      </c>
      <c r="H498" s="18" t="n">
        <v>46296</v>
      </c>
      <c r="I498" s="18" t="n"/>
      <c r="J498" s="17">
        <f>IF(OR(ISNUMBER(F498),ISNUMBER(G498)),IF(ISNUMBER(I498),I498,H498)-IF(ISNUMBER(F498),F498,G498),"")</f>
        <v/>
      </c>
      <c r="K498" s="12" t="n">
        <v>20990</v>
      </c>
      <c r="L498" s="12" t="n">
        <v>20990</v>
      </c>
      <c r="M498" s="13">
        <f>IF(AND(ISNUMBER(K498),ISNUMBER(L498),K498&gt;0),1-L498/K498,"")</f>
        <v/>
      </c>
      <c r="N498" s="16" t="n">
        <v>0</v>
      </c>
      <c r="O498" s="12" t="n"/>
      <c r="P498" s="12" t="n"/>
      <c r="Q498" s="12" t="n"/>
      <c r="R498" s="14">
        <f>IF(AND(ISNUMBER(L498),ISNUMBER(P498),ISNUMBER(Q498)),L498/((P498+Q498)/2)-1,"")</f>
        <v/>
      </c>
      <c r="S498" s="10" t="n"/>
      <c r="T498" s="15" t="n">
        <v>137900</v>
      </c>
      <c r="U498" s="16" t="n">
        <v>2003</v>
      </c>
      <c r="V498" s="10" t="n"/>
      <c r="W498" s="10" t="inlineStr">
        <is>
          <t>Essence</t>
        </is>
      </c>
      <c r="X498" s="10" t="inlineStr">
        <is>
          <t>Manuelle</t>
        </is>
      </c>
      <c r="Y498" s="16" t="n">
        <v>228</v>
      </c>
      <c r="Z498" s="16" t="n">
        <v>15</v>
      </c>
      <c r="AA498" s="10" t="inlineStr">
        <is>
          <t>Gris</t>
        </is>
      </c>
      <c r="AB498" s="16" t="n">
        <v>2</v>
      </c>
      <c r="AC498" s="10" t="inlineStr">
        <is>
          <t>Cabriolet</t>
        </is>
      </c>
      <c r="AD498" s="10" t="n"/>
      <c r="AE498" s="10" t="n"/>
      <c r="AF498" s="10" t="inlineStr">
        <is>
          <t>Pro</t>
        </is>
      </c>
      <c r="AG498" s="10" t="inlineStr">
        <is>
          <t>Jouy-le-Potier</t>
        </is>
      </c>
      <c r="AH498" s="10" t="inlineStr">
        <is>
          <t>45370</t>
        </is>
      </c>
      <c r="AI498" s="10" t="inlineStr">
        <is>
          <t>Loiret</t>
        </is>
      </c>
      <c r="AJ498" s="10" t="inlineStr">
        <is>
          <t>Centre</t>
        </is>
      </c>
      <c r="AK498" s="16" t="n"/>
      <c r="AL498" s="10" t="n"/>
      <c r="AM498" s="10" t="n"/>
      <c r="AN498" s="10" t="inlineStr">
        <is>
          <t>Porsche Boxster 986 2.7 228 ch BVM cabriolet, gris, 15 cv, 2 portes, couleur intérieure : bleu, première mise en circulation le 31/07/2003, garantie 12 mois. -Une sélection 45 AUTOSPORT. -45 AUTOSPORT, spécialiste en véhicules de sport, de prestige et de collection pour la vente l'entretien et la réparation depuis 2007. -Nous disposons d'une sélection de véhicules révisés et garantis. -Échange / Reprise possible. Etudie toutes propositions. -Recherche personnalisée sur demande. 2 places, poids e</t>
        </is>
      </c>
      <c r="AO498" s="10" t="n"/>
      <c r="AP498" s="19" t="inlineStr">
        <is>
          <t>Voir</t>
        </is>
      </c>
      <c r="AQ498" s="10" t="inlineStr">
        <is>
          <t>3227346667</t>
        </is>
      </c>
    </row>
    <row r="499">
      <c r="A499" s="10" t="inlineStr">
        <is>
          <t>Porsche Boxster 986</t>
        </is>
      </c>
      <c r="B499" s="10" t="inlineStr">
        <is>
          <t>Porsche Boxster 986 2,5 L</t>
        </is>
      </c>
      <c r="C499" s="10" t="n"/>
      <c r="D499" s="10" t="n"/>
      <c r="E499" s="10" t="inlineStr">
        <is>
          <t>En vente</t>
        </is>
      </c>
      <c r="F499" s="18" t="n">
        <v>46281</v>
      </c>
      <c r="G499" s="18" t="n">
        <v>46281</v>
      </c>
      <c r="H499" s="18" t="n">
        <v>46296</v>
      </c>
      <c r="I499" s="18" t="n"/>
      <c r="J499" s="17">
        <f>IF(OR(ISNUMBER(F499),ISNUMBER(G499)),IF(ISNUMBER(I499),I499,H499)-IF(ISNUMBER(F499),F499,G499),"")</f>
        <v/>
      </c>
      <c r="K499" s="12" t="n">
        <v>18000</v>
      </c>
      <c r="L499" s="12" t="n">
        <v>18000</v>
      </c>
      <c r="M499" s="13">
        <f>IF(AND(ISNUMBER(K499),ISNUMBER(L499),K499&gt;0),1-L499/K499,"")</f>
        <v/>
      </c>
      <c r="N499" s="16" t="n">
        <v>0</v>
      </c>
      <c r="O499" s="12" t="n"/>
      <c r="P499" s="12" t="n"/>
      <c r="Q499" s="12" t="n"/>
      <c r="R499" s="14">
        <f>IF(AND(ISNUMBER(L499),ISNUMBER(P499),ISNUMBER(Q499)),L499/((P499+Q499)/2)-1,"")</f>
        <v/>
      </c>
      <c r="S499" s="10" t="n"/>
      <c r="T499" s="15" t="n">
        <v>110000</v>
      </c>
      <c r="U499" s="16" t="n">
        <v>2000</v>
      </c>
      <c r="V499" s="10" t="n"/>
      <c r="W499" s="10" t="inlineStr">
        <is>
          <t>Essence</t>
        </is>
      </c>
      <c r="X499" s="10" t="inlineStr">
        <is>
          <t>Manuelle</t>
        </is>
      </c>
      <c r="Y499" s="16" t="n">
        <v>204</v>
      </c>
      <c r="Z499" s="16" t="n">
        <v>14</v>
      </c>
      <c r="AA499" s="10" t="inlineStr">
        <is>
          <t>Noir</t>
        </is>
      </c>
      <c r="AB499" s="16" t="n">
        <v>2</v>
      </c>
      <c r="AC499" s="10" t="inlineStr">
        <is>
          <t>Cabriolet</t>
        </is>
      </c>
      <c r="AD499" s="10" t="n"/>
      <c r="AE499" s="10" t="n"/>
      <c r="AF499" s="10" t="inlineStr">
        <is>
          <t>Particulier</t>
        </is>
      </c>
      <c r="AG499" s="10" t="inlineStr">
        <is>
          <t>Pont-l'Évêque</t>
        </is>
      </c>
      <c r="AH499" s="10" t="inlineStr">
        <is>
          <t>14130</t>
        </is>
      </c>
      <c r="AI499" s="10" t="inlineStr">
        <is>
          <t>Calvados</t>
        </is>
      </c>
      <c r="AJ499" s="10" t="inlineStr">
        <is>
          <t>Basse-Normandie</t>
        </is>
      </c>
      <c r="AK499" s="16" t="n"/>
      <c r="AL499" s="10" t="n"/>
      <c r="AM499" s="10" t="n"/>
      <c r="AN499" s="10" t="inlineStr">
        <is>
          <t>PORSCHE BOXSTER 986 Année 2000 14 CV. 110000 KM 2L5 - 204cv Capote neuve avec vitre en verre et dégivrage KIT échappement inox 2 soties type turbo autres photos sur demande</t>
        </is>
      </c>
      <c r="AO499" s="10" t="n"/>
      <c r="AP499" s="19" t="inlineStr">
        <is>
          <t>Voir</t>
        </is>
      </c>
      <c r="AQ499" s="10" t="inlineStr">
        <is>
          <t>3235072145</t>
        </is>
      </c>
    </row>
    <row r="500">
      <c r="A500" s="10" t="inlineStr">
        <is>
          <t>Porsche Boxster 986</t>
        </is>
      </c>
      <c r="B500" s="10" t="inlineStr">
        <is>
          <t>PORSCHE BOXSTER 986 3.2 i Roadster Cabriolet 252cv - Suivi d'entretien - Hardtop - Capote Alpaga -</t>
        </is>
      </c>
      <c r="C500" s="10" t="n"/>
      <c r="D500" s="10" t="n"/>
      <c r="E500" s="10" t="inlineStr">
        <is>
          <t>En vente</t>
        </is>
      </c>
      <c r="F500" s="18" t="n">
        <v>46224</v>
      </c>
      <c r="G500" s="18" t="n">
        <v>46224</v>
      </c>
      <c r="H500" s="18" t="n">
        <v>46296</v>
      </c>
      <c r="I500" s="18" t="n"/>
      <c r="J500" s="17">
        <f>IF(OR(ISNUMBER(F500),ISNUMBER(G500)),IF(ISNUMBER(I500),I500,H500)-IF(ISNUMBER(F500),F500,G500),"")</f>
        <v/>
      </c>
      <c r="K500" s="12" t="n">
        <v>16990</v>
      </c>
      <c r="L500" s="12" t="n">
        <v>16990</v>
      </c>
      <c r="M500" s="13">
        <f>IF(AND(ISNUMBER(K500),ISNUMBER(L500),K500&gt;0),1-L500/K500,"")</f>
        <v/>
      </c>
      <c r="N500" s="16" t="n">
        <v>0</v>
      </c>
      <c r="O500" s="12" t="n"/>
      <c r="P500" s="12" t="n"/>
      <c r="Q500" s="12" t="n"/>
      <c r="R500" s="14">
        <f>IF(AND(ISNUMBER(L500),ISNUMBER(P500),ISNUMBER(Q500)),L500/((P500+Q500)/2)-1,"")</f>
        <v/>
      </c>
      <c r="S500" s="10" t="n"/>
      <c r="T500" s="15" t="n">
        <v>115000</v>
      </c>
      <c r="U500" s="16" t="n">
        <v>2001</v>
      </c>
      <c r="V500" s="10" t="n"/>
      <c r="W500" s="10" t="inlineStr">
        <is>
          <t>Essence</t>
        </is>
      </c>
      <c r="X500" s="10" t="inlineStr">
        <is>
          <t>Manuelle</t>
        </is>
      </c>
      <c r="Y500" s="16" t="n">
        <v>252</v>
      </c>
      <c r="Z500" s="16" t="n">
        <v>17</v>
      </c>
      <c r="AA500" s="10" t="inlineStr">
        <is>
          <t>Noir</t>
        </is>
      </c>
      <c r="AB500" s="16" t="n">
        <v>2</v>
      </c>
      <c r="AC500" s="10" t="n"/>
      <c r="AD500" s="10" t="n"/>
      <c r="AE500" s="10" t="n"/>
      <c r="AF500" s="10" t="inlineStr">
        <is>
          <t>Pro</t>
        </is>
      </c>
      <c r="AG500" s="10" t="inlineStr">
        <is>
          <t>Aix-en-Provence</t>
        </is>
      </c>
      <c r="AH500" s="10" t="inlineStr">
        <is>
          <t>13290</t>
        </is>
      </c>
      <c r="AI500" s="10" t="inlineStr">
        <is>
          <t>Bouches-du-Rhône</t>
        </is>
      </c>
      <c r="AJ500" s="10" t="inlineStr">
        <is>
          <t>Provence-Alpes-Côte d'Azur</t>
        </is>
      </c>
      <c r="AK500" s="16" t="n"/>
      <c r="AL500" s="10" t="inlineStr">
        <is>
          <t>Oui</t>
        </is>
      </c>
      <c r="AM500" s="10" t="n"/>
      <c r="AN500" s="10" t="inlineStr">
        <is>
          <t>L'Agence TransakAuto AIX EN PROVENCE SUD, société spécialisée en courtage automobile, 1er réseau d'intermédiation automobile auprès des particuliers avec + de 180 agences en France depuis 2011, vous propose ce véhicule Porsche, BOXSTER, Noir, 17 chevaux fiscaux, 2 portes, 115 000 km. ⚠ 🔦 Véhicule visible uniquement sur rdv à l'agence TransakAuto AIX EN PROVENCE SUD, du mardi au samedi de Du mardi au samedi de 9h30 à 18h30 Véhicule en dépôt-vente [non stocké sur place]. Visible uniquement sur re</t>
        </is>
      </c>
      <c r="AO500" s="10" t="n"/>
      <c r="AP500" s="19" t="inlineStr">
        <is>
          <t>Voir</t>
        </is>
      </c>
      <c r="AQ500" s="10" t="inlineStr">
        <is>
          <t>3236629923</t>
        </is>
      </c>
    </row>
    <row r="501">
      <c r="A501" s="10" t="inlineStr">
        <is>
          <t>Porsche Boxster 986</t>
        </is>
      </c>
      <c r="B501" s="10" t="inlineStr">
        <is>
          <t>Porsche Boxster 986</t>
        </is>
      </c>
      <c r="C501" s="10" t="n"/>
      <c r="D501" s="10" t="n"/>
      <c r="E501" s="10" t="inlineStr">
        <is>
          <t>En vente</t>
        </is>
      </c>
      <c r="F501" s="18" t="n">
        <v>46260</v>
      </c>
      <c r="G501" s="18" t="n">
        <v>46260</v>
      </c>
      <c r="H501" s="18" t="n">
        <v>46296</v>
      </c>
      <c r="I501" s="18" t="n"/>
      <c r="J501" s="17">
        <f>IF(OR(ISNUMBER(F501),ISNUMBER(G501)),IF(ISNUMBER(I501),I501,H501)-IF(ISNUMBER(F501),F501,G501),"")</f>
        <v/>
      </c>
      <c r="K501" s="12" t="n">
        <v>18500</v>
      </c>
      <c r="L501" s="12" t="n">
        <v>18500</v>
      </c>
      <c r="M501" s="13">
        <f>IF(AND(ISNUMBER(K501),ISNUMBER(L501),K501&gt;0),1-L501/K501,"")</f>
        <v/>
      </c>
      <c r="N501" s="16" t="n">
        <v>0</v>
      </c>
      <c r="O501" s="12" t="n"/>
      <c r="P501" s="12" t="n"/>
      <c r="Q501" s="12" t="n"/>
      <c r="R501" s="14">
        <f>IF(AND(ISNUMBER(L501),ISNUMBER(P501),ISNUMBER(Q501)),L501/((P501+Q501)/2)-1,"")</f>
        <v/>
      </c>
      <c r="S501" s="10" t="n"/>
      <c r="T501" s="15" t="n">
        <v>145000</v>
      </c>
      <c r="U501" s="16" t="n">
        <v>2001</v>
      </c>
      <c r="V501" s="10" t="n"/>
      <c r="W501" s="10" t="inlineStr">
        <is>
          <t>Essence</t>
        </is>
      </c>
      <c r="X501" s="10" t="inlineStr">
        <is>
          <t>Manuelle</t>
        </is>
      </c>
      <c r="Y501" s="16" t="n">
        <v>220</v>
      </c>
      <c r="Z501" s="16" t="n">
        <v>15</v>
      </c>
      <c r="AA501" s="10" t="inlineStr">
        <is>
          <t>Noir</t>
        </is>
      </c>
      <c r="AB501" s="16" t="n">
        <v>2</v>
      </c>
      <c r="AC501" s="10" t="inlineStr">
        <is>
          <t>Cabriolet</t>
        </is>
      </c>
      <c r="AD501" s="10" t="n"/>
      <c r="AE501" s="10" t="n"/>
      <c r="AF501" s="10" t="inlineStr">
        <is>
          <t>Particulier</t>
        </is>
      </c>
      <c r="AG501" s="10" t="inlineStr">
        <is>
          <t>Montlhéry</t>
        </is>
      </c>
      <c r="AH501" s="10" t="inlineStr">
        <is>
          <t>91310</t>
        </is>
      </c>
      <c r="AI501" s="10" t="inlineStr">
        <is>
          <t>Essonne</t>
        </is>
      </c>
      <c r="AJ501" s="10" t="inlineStr">
        <is>
          <t>Ile-de-France</t>
        </is>
      </c>
      <c r="AK501" s="16" t="n"/>
      <c r="AL501" s="10" t="n"/>
      <c r="AM501" s="10" t="n"/>
      <c r="AN501" s="10" t="inlineStr">
        <is>
          <t>Pour financer un nouvel achat, je me sépare de plusieurs de mes voitures dont ma porsche Boxster 986 2,7L boîte meca que je possède depuis 3 ans La voiture est en parfait état extérieur/intérieur et mécanique, elle roule parfaitement et la capote est également en parfait état de fonctionnement. Très peu de traces d’usure sont notables. Nombreuses options : volant 3 branches, sièges chauffants, PCM, jantes sport design,… Entretenue chez spécialiste de la marque, et sera vendue révisée Frais récen</t>
        </is>
      </c>
      <c r="AO501" s="10" t="n"/>
      <c r="AP501" s="19" t="inlineStr">
        <is>
          <t>Voir</t>
        </is>
      </c>
      <c r="AQ501" s="10" t="inlineStr">
        <is>
          <t>3257381352</t>
        </is>
      </c>
    </row>
    <row r="502">
      <c r="A502" s="10" t="inlineStr">
        <is>
          <t>Porsche Boxster 986</t>
        </is>
      </c>
      <c r="B502" s="10" t="inlineStr">
        <is>
          <t>PORSCHE Boxster 986 2.7 220 BV5 - Historique complet - Origine France</t>
        </is>
      </c>
      <c r="C502" s="10" t="n"/>
      <c r="D502" s="10" t="n"/>
      <c r="E502" s="10" t="inlineStr">
        <is>
          <t>En vente</t>
        </is>
      </c>
      <c r="F502" s="18" t="n">
        <v>46266</v>
      </c>
      <c r="G502" s="18" t="n">
        <v>46266</v>
      </c>
      <c r="H502" s="18" t="n">
        <v>46296</v>
      </c>
      <c r="I502" s="18" t="n"/>
      <c r="J502" s="17">
        <f>IF(OR(ISNUMBER(F502),ISNUMBER(G502)),IF(ISNUMBER(I502),I502,H502)-IF(ISNUMBER(F502),F502,G502),"")</f>
        <v/>
      </c>
      <c r="K502" s="12" t="n">
        <v>14490</v>
      </c>
      <c r="L502" s="12" t="n">
        <v>14490</v>
      </c>
      <c r="M502" s="13">
        <f>IF(AND(ISNUMBER(K502),ISNUMBER(L502),K502&gt;0),1-L502/K502,"")</f>
        <v/>
      </c>
      <c r="N502" s="16" t="n">
        <v>0</v>
      </c>
      <c r="O502" s="12" t="n"/>
      <c r="P502" s="12" t="n"/>
      <c r="Q502" s="12" t="n"/>
      <c r="R502" s="14">
        <f>IF(AND(ISNUMBER(L502),ISNUMBER(P502),ISNUMBER(Q502)),L502/((P502+Q502)/2)-1,"")</f>
        <v/>
      </c>
      <c r="S502" s="10" t="n"/>
      <c r="T502" s="15" t="n">
        <v>163000</v>
      </c>
      <c r="U502" s="16" t="n">
        <v>2001</v>
      </c>
      <c r="V502" s="10" t="n"/>
      <c r="W502" s="10" t="inlineStr">
        <is>
          <t>Essence</t>
        </is>
      </c>
      <c r="X502" s="10" t="inlineStr">
        <is>
          <t>Manuelle</t>
        </is>
      </c>
      <c r="Y502" s="16" t="n">
        <v>220</v>
      </c>
      <c r="Z502" s="16" t="n">
        <v>15</v>
      </c>
      <c r="AA502" s="10" t="inlineStr">
        <is>
          <t>Argent</t>
        </is>
      </c>
      <c r="AB502" s="16" t="n">
        <v>2</v>
      </c>
      <c r="AC502" s="10" t="inlineStr">
        <is>
          <t>Cabriolet</t>
        </is>
      </c>
      <c r="AD502" s="10" t="n"/>
      <c r="AE502" s="10" t="n"/>
      <c r="AF502" s="10" t="inlineStr">
        <is>
          <t>Pro</t>
        </is>
      </c>
      <c r="AG502" s="10" t="inlineStr">
        <is>
          <t>Bidart</t>
        </is>
      </c>
      <c r="AH502" s="10" t="inlineStr">
        <is>
          <t>64210</t>
        </is>
      </c>
      <c r="AI502" s="10" t="inlineStr">
        <is>
          <t>Pyrénées-Atlantiques</t>
        </is>
      </c>
      <c r="AJ502" s="10" t="inlineStr">
        <is>
          <t>Aquitaine</t>
        </is>
      </c>
      <c r="AK502" s="16" t="n"/>
      <c r="AL502" s="10" t="inlineStr">
        <is>
          <t>Oui</t>
        </is>
      </c>
      <c r="AM502" s="10" t="n"/>
      <c r="AN502" s="10" t="inlineStr">
        <is>
          <t>PORSCHE Boxster 986 2.7 220 BV5 - Historique complet - Origine France, Argent, 15CV, 2 portes, 12/01/2001 - ORIGINE FRANCE - MÊME PROPRIETAIRE DEPUIS 10 ANS - HISTORIQUE D'ENTRETIEN COMPLET (factures + carnet) - EMBRAYAGE REMPLACÉ PAR PORSCHE À 159 000KMS (12/2025) - GARANTIE POSSIBLE JUSQU'À 36 MOIS Pour vous garantir un accueil personnalisé et un accompagnement de qualité, tous nos véhicules sont visibles uniquement sur rendez-vous. L’AGENCE AUTOMOBILIÈRE accompagne chaque vente dans un esprit</t>
        </is>
      </c>
      <c r="AO502" s="10" t="n"/>
      <c r="AP502" s="19" t="inlineStr">
        <is>
          <t>Voir</t>
        </is>
      </c>
      <c r="AQ502" s="10" t="inlineStr">
        <is>
          <t>3261091532</t>
        </is>
      </c>
    </row>
    <row r="503">
      <c r="A503" s="10" t="inlineStr">
        <is>
          <t>Porsche Boxster 986</t>
        </is>
      </c>
      <c r="B503" s="10" t="inlineStr">
        <is>
          <t>Porsche boxster 986 phase 2</t>
        </is>
      </c>
      <c r="C503" s="10" t="n"/>
      <c r="D503" s="10" t="n"/>
      <c r="E503" s="10" t="inlineStr">
        <is>
          <t>En vente</t>
        </is>
      </c>
      <c r="F503" s="18" t="n">
        <v>46266</v>
      </c>
      <c r="G503" s="18" t="n">
        <v>46266</v>
      </c>
      <c r="H503" s="18" t="n">
        <v>46296</v>
      </c>
      <c r="I503" s="18" t="n"/>
      <c r="J503" s="17">
        <f>IF(OR(ISNUMBER(F503),ISNUMBER(G503)),IF(ISNUMBER(I503),I503,H503)-IF(ISNUMBER(F503),F503,G503),"")</f>
        <v/>
      </c>
      <c r="K503" s="12" t="n">
        <v>19900</v>
      </c>
      <c r="L503" s="12" t="n">
        <v>19900</v>
      </c>
      <c r="M503" s="13">
        <f>IF(AND(ISNUMBER(K503),ISNUMBER(L503),K503&gt;0),1-L503/K503,"")</f>
        <v/>
      </c>
      <c r="N503" s="16" t="n">
        <v>0</v>
      </c>
      <c r="O503" s="12" t="n"/>
      <c r="P503" s="12" t="n"/>
      <c r="Q503" s="12" t="n"/>
      <c r="R503" s="14">
        <f>IF(AND(ISNUMBER(L503),ISNUMBER(P503),ISNUMBER(Q503)),L503/((P503+Q503)/2)-1,"")</f>
        <v/>
      </c>
      <c r="S503" s="10" t="n"/>
      <c r="T503" s="15" t="n">
        <v>91000</v>
      </c>
      <c r="U503" s="16" t="n">
        <v>2004</v>
      </c>
      <c r="V503" s="10" t="n"/>
      <c r="W503" s="10" t="inlineStr">
        <is>
          <t>Essence</t>
        </is>
      </c>
      <c r="X503" s="10" t="inlineStr">
        <is>
          <t>Manuelle</t>
        </is>
      </c>
      <c r="Y503" s="16" t="n">
        <v>228</v>
      </c>
      <c r="Z503" s="16" t="n">
        <v>15</v>
      </c>
      <c r="AA503" s="10" t="inlineStr">
        <is>
          <t>Rouge</t>
        </is>
      </c>
      <c r="AB503" s="16" t="n">
        <v>2</v>
      </c>
      <c r="AC503" s="10" t="inlineStr">
        <is>
          <t>Cabriolet</t>
        </is>
      </c>
      <c r="AD503" s="10" t="n"/>
      <c r="AE503" s="10" t="n"/>
      <c r="AF503" s="10" t="inlineStr">
        <is>
          <t>Particulier</t>
        </is>
      </c>
      <c r="AG503" s="10" t="inlineStr">
        <is>
          <t>Valence</t>
        </is>
      </c>
      <c r="AH503" s="10" t="inlineStr">
        <is>
          <t>26000</t>
        </is>
      </c>
      <c r="AI503" s="10" t="inlineStr">
        <is>
          <t>Drôme</t>
        </is>
      </c>
      <c r="AJ503" s="10" t="inlineStr">
        <is>
          <t>Rhône-Alpes</t>
        </is>
      </c>
      <c r="AK503" s="16" t="n"/>
      <c r="AL503" s="10" t="n"/>
      <c r="AM503" s="10" t="n"/>
      <c r="AN503" s="10" t="inlineStr">
        <is>
          <t>Je vends ma Porsche Boxster 986 Phase 2 de 2004, un cabriolet sportif emblématique pour les amateurs de sensations fortes. - Marque : Porsche - Modèle : Boxster 986 Phase 2 - Année : 2004 - Date de mise en circulation : 09/2004 - Kilométrage : 91 000 km - Motorisation : 2,7 L 228 Ch - Carburant : Essence - Boîte de vitesses : Manuelle - Type de véhicule : Cabriolet - Couleur : Rouge - Nombre de sièges : 2 - Nombre de portes : 2 - Puissance fiscale : 15 Cv Véhicule acheté chez un professionnel en</t>
        </is>
      </c>
      <c r="AO503" s="10" t="n"/>
      <c r="AP503" s="19" t="inlineStr">
        <is>
          <t>Voir</t>
        </is>
      </c>
      <c r="AQ503" s="10" t="inlineStr">
        <is>
          <t>3261152041</t>
        </is>
      </c>
    </row>
    <row r="504">
      <c r="A504" s="10" t="inlineStr">
        <is>
          <t>Porsche Boxster 986</t>
        </is>
      </c>
      <c r="B504" s="10" t="inlineStr">
        <is>
          <t>Porsche BOXSTER (986) 3.2 S 252 CH</t>
        </is>
      </c>
      <c r="C504" s="10" t="n"/>
      <c r="D504" s="10" t="n"/>
      <c r="E504" s="10" t="inlineStr">
        <is>
          <t>En vente</t>
        </is>
      </c>
      <c r="F504" s="18" t="n">
        <v>46274</v>
      </c>
      <c r="G504" s="18" t="n">
        <v>46274</v>
      </c>
      <c r="H504" s="18" t="n">
        <v>46296</v>
      </c>
      <c r="I504" s="18" t="n"/>
      <c r="J504" s="17">
        <f>IF(OR(ISNUMBER(F504),ISNUMBER(G504)),IF(ISNUMBER(I504),I504,H504)-IF(ISNUMBER(F504),F504,G504),"")</f>
        <v/>
      </c>
      <c r="K504" s="12" t="n">
        <v>6990</v>
      </c>
      <c r="L504" s="12" t="n">
        <v>6990</v>
      </c>
      <c r="M504" s="13">
        <f>IF(AND(ISNUMBER(K504),ISNUMBER(L504),K504&gt;0),1-L504/K504,"")</f>
        <v/>
      </c>
      <c r="N504" s="16" t="n">
        <v>0</v>
      </c>
      <c r="O504" s="12" t="n"/>
      <c r="P504" s="12" t="n"/>
      <c r="Q504" s="12" t="n"/>
      <c r="R504" s="14">
        <f>IF(AND(ISNUMBER(L504),ISNUMBER(P504),ISNUMBER(Q504)),L504/((P504+Q504)/2)-1,"")</f>
        <v/>
      </c>
      <c r="S504" s="10" t="n"/>
      <c r="T504" s="15" t="n">
        <v>118900</v>
      </c>
      <c r="U504" s="16" t="n">
        <v>1999</v>
      </c>
      <c r="V504" s="10" t="n"/>
      <c r="W504" s="10" t="inlineStr">
        <is>
          <t>Essence</t>
        </is>
      </c>
      <c r="X504" s="10" t="inlineStr">
        <is>
          <t>Manuelle</t>
        </is>
      </c>
      <c r="Y504" s="16" t="n">
        <v>252</v>
      </c>
      <c r="Z504" s="16" t="n">
        <v>18</v>
      </c>
      <c r="AA504" s="10" t="inlineStr">
        <is>
          <t>Bleu</t>
        </is>
      </c>
      <c r="AB504" s="16" t="n">
        <v>2</v>
      </c>
      <c r="AC504" s="10" t="inlineStr">
        <is>
          <t>Cabriolet</t>
        </is>
      </c>
      <c r="AD504" s="10" t="n"/>
      <c r="AE504" s="10" t="n"/>
      <c r="AF504" s="10" t="inlineStr">
        <is>
          <t>Pro</t>
        </is>
      </c>
      <c r="AG504" s="10" t="inlineStr">
        <is>
          <t>Perreux</t>
        </is>
      </c>
      <c r="AH504" s="10" t="inlineStr">
        <is>
          <t>42120</t>
        </is>
      </c>
      <c r="AI504" s="10" t="inlineStr">
        <is>
          <t>Loire</t>
        </is>
      </c>
      <c r="AJ504" s="10" t="inlineStr">
        <is>
          <t>Rhône-Alpes</t>
        </is>
      </c>
      <c r="AK504" s="16" t="n"/>
      <c r="AL504" s="10" t="n"/>
      <c r="AM504" s="10" t="n"/>
      <c r="AN504" s="10" t="inlineStr">
        <is>
          <t>Porsche BOXSTER (986) 3.2 S 252 CH, (Cabriolet), BLEU, 18cv, 2 portes, mise en circulation le 26-11-1999. longueur : 4,32 mètres, boîte de vitesse : manuelle OPTIONS ET EQUIPEMENTS : Audio - Télécommunications - Radio CD Extérieur - Jantes Alu - Pack Nord - Peinture métal Intérieur - Clim automatique - Clim manuelle - Direction assistée - Pack électrique Sécurité - ABS - Airbag conducteur - Airbags frontaux - Airbags latéraux avant - Antipatinage Autres équipements et informations : - Sellerie c</t>
        </is>
      </c>
      <c r="AO504" s="10" t="n"/>
      <c r="AP504" s="19" t="inlineStr">
        <is>
          <t>Voir</t>
        </is>
      </c>
      <c r="AQ504" s="10" t="inlineStr">
        <is>
          <t>3266137442</t>
        </is>
      </c>
    </row>
    <row r="505">
      <c r="A505" s="10" t="inlineStr">
        <is>
          <t>Porsche Boxster 986</t>
        </is>
      </c>
      <c r="B505" s="10" t="inlineStr">
        <is>
          <t>Porsche Boxster (986) 260 S</t>
        </is>
      </c>
      <c r="C505" s="10" t="n"/>
      <c r="D505" s="10" t="n"/>
      <c r="E505" s="10" t="inlineStr">
        <is>
          <t>En vente</t>
        </is>
      </c>
      <c r="F505" s="18" t="n">
        <v>46274</v>
      </c>
      <c r="G505" s="18" t="n">
        <v>46274</v>
      </c>
      <c r="H505" s="18" t="n">
        <v>46296</v>
      </c>
      <c r="I505" s="18" t="n"/>
      <c r="J505" s="17">
        <f>IF(OR(ISNUMBER(F505),ISNUMBER(G505)),IF(ISNUMBER(I505),I505,H505)-IF(ISNUMBER(F505),F505,G505),"")</f>
        <v/>
      </c>
      <c r="K505" s="12" t="n">
        <v>14900</v>
      </c>
      <c r="L505" s="12" t="n">
        <v>14900</v>
      </c>
      <c r="M505" s="13">
        <f>IF(AND(ISNUMBER(K505),ISNUMBER(L505),K505&gt;0),1-L505/K505,"")</f>
        <v/>
      </c>
      <c r="N505" s="16" t="n">
        <v>0</v>
      </c>
      <c r="O505" s="12" t="n"/>
      <c r="P505" s="12" t="n"/>
      <c r="Q505" s="12" t="n"/>
      <c r="R505" s="14">
        <f>IF(AND(ISNUMBER(L505),ISNUMBER(P505),ISNUMBER(Q505)),L505/((P505+Q505)/2)-1,"")</f>
        <v/>
      </c>
      <c r="S505" s="10" t="n"/>
      <c r="T505" s="15" t="n">
        <v>225000</v>
      </c>
      <c r="U505" s="16" t="n">
        <v>2003</v>
      </c>
      <c r="V505" s="10" t="n"/>
      <c r="W505" s="10" t="inlineStr">
        <is>
          <t>Essence</t>
        </is>
      </c>
      <c r="X505" s="10" t="inlineStr">
        <is>
          <t>Manuelle</t>
        </is>
      </c>
      <c r="Y505" s="16" t="n">
        <v>260</v>
      </c>
      <c r="Z505" s="16" t="n">
        <v>18</v>
      </c>
      <c r="AA505" s="10" t="inlineStr">
        <is>
          <t>Noir</t>
        </is>
      </c>
      <c r="AB505" s="16" t="n">
        <v>2</v>
      </c>
      <c r="AC505" s="10" t="inlineStr">
        <is>
          <t>Cabriolet</t>
        </is>
      </c>
      <c r="AD505" s="10" t="n"/>
      <c r="AE505" s="10" t="n"/>
      <c r="AF505" s="10" t="inlineStr">
        <is>
          <t>Particulier</t>
        </is>
      </c>
      <c r="AG505" s="10" t="inlineStr">
        <is>
          <t>Saint-Sauveur</t>
        </is>
      </c>
      <c r="AH505" s="10" t="inlineStr">
        <is>
          <t>24520</t>
        </is>
      </c>
      <c r="AI505" s="10" t="inlineStr">
        <is>
          <t>Dordogne</t>
        </is>
      </c>
      <c r="AJ505" s="10" t="inlineStr">
        <is>
          <t>Aquitaine</t>
        </is>
      </c>
      <c r="AK505" s="16" t="n"/>
      <c r="AL505" s="10" t="n"/>
      <c r="AM505" s="10" t="n"/>
      <c r="AN505" s="10" t="inlineStr">
        <is>
          <t>Je vend a contre coeur mon Porsche Boxster S phase 2 J’ai réaliser mon rêve il y a 4 ans dans le but de la garder indéfiniment , et de faire les travaux. Des changements de vie me contraint a la vendre. J’ai mis du temps à poster l’annonce car ce n’est pas mon souhait de la vendre. Elle démarre au quart de tour et roule parfaitement bien. -Il n’y a pas le CT car la sonde lambda est HS est donc un voyant au tableau de bord. -La clim fonctionne parfaitement mais les radiateur ont une fuite donc le</t>
        </is>
      </c>
      <c r="AO505" s="10" t="n"/>
      <c r="AP505" s="19" t="inlineStr">
        <is>
          <t>Voir</t>
        </is>
      </c>
      <c r="AQ505" s="10" t="inlineStr">
        <is>
          <t>3266468992</t>
        </is>
      </c>
    </row>
    <row r="506">
      <c r="A506" s="10" t="inlineStr">
        <is>
          <t>Porsche Boxster 986</t>
        </is>
      </c>
      <c r="B506" s="10" t="inlineStr">
        <is>
          <t>Porsche Boxster 986 2.5l</t>
        </is>
      </c>
      <c r="C506" s="10" t="n"/>
      <c r="D506" s="10" t="n"/>
      <c r="E506" s="10" t="inlineStr">
        <is>
          <t>En vente</t>
        </is>
      </c>
      <c r="F506" s="18" t="n">
        <v>46275</v>
      </c>
      <c r="G506" s="18" t="n">
        <v>46275</v>
      </c>
      <c r="H506" s="18" t="n">
        <v>46296</v>
      </c>
      <c r="I506" s="18" t="n"/>
      <c r="J506" s="17">
        <f>IF(OR(ISNUMBER(F506),ISNUMBER(G506)),IF(ISNUMBER(I506),I506,H506)-IF(ISNUMBER(F506),F506,G506),"")</f>
        <v/>
      </c>
      <c r="K506" s="12" t="n">
        <v>14800</v>
      </c>
      <c r="L506" s="12" t="n">
        <v>14800</v>
      </c>
      <c r="M506" s="13">
        <f>IF(AND(ISNUMBER(K506),ISNUMBER(L506),K506&gt;0),1-L506/K506,"")</f>
        <v/>
      </c>
      <c r="N506" s="16" t="n">
        <v>0</v>
      </c>
      <c r="O506" s="12" t="n"/>
      <c r="P506" s="12" t="n"/>
      <c r="Q506" s="12" t="n"/>
      <c r="R506" s="14">
        <f>IF(AND(ISNUMBER(L506),ISNUMBER(P506),ISNUMBER(Q506)),L506/((P506+Q506)/2)-1,"")</f>
        <v/>
      </c>
      <c r="S506" s="10" t="n"/>
      <c r="T506" s="15" t="n">
        <v>218650</v>
      </c>
      <c r="U506" s="16" t="n">
        <v>1997</v>
      </c>
      <c r="V506" s="10" t="n"/>
      <c r="W506" s="10" t="inlineStr">
        <is>
          <t>Essence</t>
        </is>
      </c>
      <c r="X506" s="10" t="inlineStr">
        <is>
          <t>Manuelle</t>
        </is>
      </c>
      <c r="Y506" s="16" t="n">
        <v>204</v>
      </c>
      <c r="Z506" s="16" t="n">
        <v>13</v>
      </c>
      <c r="AA506" s="10" t="inlineStr">
        <is>
          <t>Noir</t>
        </is>
      </c>
      <c r="AB506" s="16" t="n">
        <v>2</v>
      </c>
      <c r="AC506" s="10" t="inlineStr">
        <is>
          <t>Cabriolet</t>
        </is>
      </c>
      <c r="AD506" s="10" t="n"/>
      <c r="AE506" s="10" t="n"/>
      <c r="AF506" s="10" t="inlineStr">
        <is>
          <t>Particulier</t>
        </is>
      </c>
      <c r="AG506" s="10" t="inlineStr">
        <is>
          <t>Celles-sur-Durolle</t>
        </is>
      </c>
      <c r="AH506" s="10" t="inlineStr">
        <is>
          <t>63250</t>
        </is>
      </c>
      <c r="AI506" s="10" t="inlineStr">
        <is>
          <t>Puy-de-Dôme</t>
        </is>
      </c>
      <c r="AJ506" s="10" t="inlineStr">
        <is>
          <t>Auvergne</t>
        </is>
      </c>
      <c r="AK506" s="16" t="n"/>
      <c r="AL506" s="10" t="n"/>
      <c r="AM506" s="10" t="n"/>
      <c r="AN506" s="10" t="inlineStr">
        <is>
          <t>Jolie et performante Porsche Boxster du 03/06/1997. 6 cylindres. 204 CV din et 13cv fiscaux . Noire avec intérieur cuir vert et moquette verte. Mécanique respire la santé ! Échappement sport magnifique son surtout dans les tours c'est le son typique Porsche . Entretenue régulièrement factures à l'appui depuis 2024 (gros entretien) Française depuis sa sortie d'usine. 4 pneus Bridgestone Turanza très bons . État général superbe. Carrosserie mériterait un polissage mais déjà très propre. Quelques r</t>
        </is>
      </c>
      <c r="AO506" s="10" t="n"/>
      <c r="AP506" s="19" t="inlineStr">
        <is>
          <t>Voir</t>
        </is>
      </c>
      <c r="AQ506" s="10" t="inlineStr">
        <is>
          <t>3267019398</t>
        </is>
      </c>
    </row>
    <row r="507">
      <c r="A507" s="10" t="inlineStr">
        <is>
          <t>Porsche Boxster 986</t>
        </is>
      </c>
      <c r="B507" s="10" t="inlineStr">
        <is>
          <t>Porsche Boxster 986</t>
        </is>
      </c>
      <c r="C507" s="10" t="n"/>
      <c r="D507" s="10" t="n"/>
      <c r="E507" s="10" t="inlineStr">
        <is>
          <t>En vente</t>
        </is>
      </c>
      <c r="F507" s="18" t="n">
        <v>46276</v>
      </c>
      <c r="G507" s="18" t="n">
        <v>46276</v>
      </c>
      <c r="H507" s="18" t="n">
        <v>46296</v>
      </c>
      <c r="I507" s="18" t="n"/>
      <c r="J507" s="17">
        <f>IF(OR(ISNUMBER(F507),ISNUMBER(G507)),IF(ISNUMBER(I507),I507,H507)-IF(ISNUMBER(F507),F507,G507),"")</f>
        <v/>
      </c>
      <c r="K507" s="12" t="n">
        <v>13990</v>
      </c>
      <c r="L507" s="12" t="n">
        <v>13990</v>
      </c>
      <c r="M507" s="13">
        <f>IF(AND(ISNUMBER(K507),ISNUMBER(L507),K507&gt;0),1-L507/K507,"")</f>
        <v/>
      </c>
      <c r="N507" s="16" t="n">
        <v>0</v>
      </c>
      <c r="O507" s="12" t="n"/>
      <c r="P507" s="12" t="n"/>
      <c r="Q507" s="12" t="n"/>
      <c r="R507" s="14">
        <f>IF(AND(ISNUMBER(L507),ISNUMBER(P507),ISNUMBER(Q507)),L507/((P507+Q507)/2)-1,"")</f>
        <v/>
      </c>
      <c r="S507" s="10" t="n"/>
      <c r="T507" s="15" t="n">
        <v>162000</v>
      </c>
      <c r="U507" s="16" t="n">
        <v>2001</v>
      </c>
      <c r="V507" s="10" t="n"/>
      <c r="W507" s="10" t="inlineStr">
        <is>
          <t>Essence</t>
        </is>
      </c>
      <c r="X507" s="10" t="inlineStr">
        <is>
          <t>Manuelle</t>
        </is>
      </c>
      <c r="Y507" s="16" t="n">
        <v>220</v>
      </c>
      <c r="Z507" s="16" t="n">
        <v>15</v>
      </c>
      <c r="AA507" s="10" t="inlineStr">
        <is>
          <t>Autre</t>
        </is>
      </c>
      <c r="AB507" s="16" t="n">
        <v>2</v>
      </c>
      <c r="AC507" s="10" t="inlineStr">
        <is>
          <t>Cabriolet</t>
        </is>
      </c>
      <c r="AD507" s="10" t="n"/>
      <c r="AE507" s="10" t="n"/>
      <c r="AF507" s="10" t="inlineStr">
        <is>
          <t>Particulier</t>
        </is>
      </c>
      <c r="AG507" s="10" t="inlineStr">
        <is>
          <t>Seltz</t>
        </is>
      </c>
      <c r="AH507" s="10" t="inlineStr">
        <is>
          <t>67470</t>
        </is>
      </c>
      <c r="AI507" s="10" t="inlineStr">
        <is>
          <t>Bas-Rhin</t>
        </is>
      </c>
      <c r="AJ507" s="10" t="inlineStr">
        <is>
          <t>Alsace</t>
        </is>
      </c>
      <c r="AK507" s="16" t="n"/>
      <c r="AL507" s="10" t="n"/>
      <c r="AM507" s="10" t="n"/>
      <c r="AN507" s="10" t="inlineStr">
        <is>
          <t>Découvrez à la vente une superbe 986 en excellent état. Les pneus sont quasi neufs et l'embrayage a été récemment remplacé. LA CAPOTE EST EN BON ETAT</t>
        </is>
      </c>
      <c r="AO507" s="10" t="n"/>
      <c r="AP507" s="19" t="inlineStr">
        <is>
          <t>Voir</t>
        </is>
      </c>
      <c r="AQ507" s="10" t="inlineStr">
        <is>
          <t>3267529893</t>
        </is>
      </c>
    </row>
    <row r="508">
      <c r="A508" s="10" t="inlineStr">
        <is>
          <t>Porsche Boxster 986</t>
        </is>
      </c>
      <c r="B508" s="10" t="inlineStr">
        <is>
          <t>Porsche boxster 986</t>
        </is>
      </c>
      <c r="C508" s="10" t="n"/>
      <c r="D508" s="10" t="n"/>
      <c r="E508" s="10" t="inlineStr">
        <is>
          <t>En vente</t>
        </is>
      </c>
      <c r="F508" s="18" t="n">
        <v>46278</v>
      </c>
      <c r="G508" s="18" t="n">
        <v>46278</v>
      </c>
      <c r="H508" s="18" t="n">
        <v>46296</v>
      </c>
      <c r="I508" s="18" t="n"/>
      <c r="J508" s="17">
        <f>IF(OR(ISNUMBER(F508),ISNUMBER(G508)),IF(ISNUMBER(I508),I508,H508)-IF(ISNUMBER(F508),F508,G508),"")</f>
        <v/>
      </c>
      <c r="K508" s="12" t="n">
        <v>17900</v>
      </c>
      <c r="L508" s="12" t="n">
        <v>17900</v>
      </c>
      <c r="M508" s="13">
        <f>IF(AND(ISNUMBER(K508),ISNUMBER(L508),K508&gt;0),1-L508/K508,"")</f>
        <v/>
      </c>
      <c r="N508" s="16" t="n">
        <v>0</v>
      </c>
      <c r="O508" s="12" t="n"/>
      <c r="P508" s="12" t="n"/>
      <c r="Q508" s="12" t="n"/>
      <c r="R508" s="14">
        <f>IF(AND(ISNUMBER(L508),ISNUMBER(P508),ISNUMBER(Q508)),L508/((P508+Q508)/2)-1,"")</f>
        <v/>
      </c>
      <c r="S508" s="10" t="n"/>
      <c r="T508" s="15" t="n">
        <v>133000</v>
      </c>
      <c r="U508" s="16" t="n">
        <v>1997</v>
      </c>
      <c r="V508" s="10" t="n"/>
      <c r="W508" s="10" t="inlineStr">
        <is>
          <t>Essence</t>
        </is>
      </c>
      <c r="X508" s="10" t="inlineStr">
        <is>
          <t>Automatique</t>
        </is>
      </c>
      <c r="Y508" s="16" t="n">
        <v>204</v>
      </c>
      <c r="Z508" s="16" t="n">
        <v>14</v>
      </c>
      <c r="AA508" s="10" t="inlineStr">
        <is>
          <t>Gris</t>
        </is>
      </c>
      <c r="AB508" s="16" t="n">
        <v>2</v>
      </c>
      <c r="AC508" s="10" t="inlineStr">
        <is>
          <t>Cabriolet</t>
        </is>
      </c>
      <c r="AD508" s="10" t="n"/>
      <c r="AE508" s="10" t="n"/>
      <c r="AF508" s="10" t="inlineStr">
        <is>
          <t>Particulier</t>
        </is>
      </c>
      <c r="AG508" s="10" t="inlineStr">
        <is>
          <t>Dole</t>
        </is>
      </c>
      <c r="AH508" s="10" t="inlineStr">
        <is>
          <t>39100</t>
        </is>
      </c>
      <c r="AI508" s="10" t="inlineStr">
        <is>
          <t>Jura</t>
        </is>
      </c>
      <c r="AJ508" s="10" t="inlineStr">
        <is>
          <t>Franche-Comté</t>
        </is>
      </c>
      <c r="AK508" s="16" t="n"/>
      <c r="AL508" s="10" t="n"/>
      <c r="AM508" s="10" t="n"/>
      <c r="AN508" s="10" t="inlineStr">
        <is>
          <t>Je vends ma Porsche Boxster 986 de 1997, un cabriolet sportif emblématique et intemporel avec le combo parfait comme le concept car et origine France. - Marque : Porsche - Modèle : Boxster 986 - Année : 1997 - Kilométrage : 133 000 km - Motorisation : 204 Ch - Carburant : Essence - Boîte de vitesses : Automatique - Couleur : Gris - Type de véhicule : Cabriolet - Nombre de sièges : 2 - Nombre de portes : 2 - Puissance fiscale : 14 Cv - Crit'air : 3 - Contrôle technique : Valide jusqu'en 12/2027 P</t>
        </is>
      </c>
      <c r="AO508" s="10" t="n"/>
      <c r="AP508" s="19" t="inlineStr">
        <is>
          <t>Voir</t>
        </is>
      </c>
      <c r="AQ508" s="10" t="inlineStr">
        <is>
          <t>3269059217</t>
        </is>
      </c>
    </row>
    <row r="509">
      <c r="A509" s="10" t="inlineStr">
        <is>
          <t>Porsche Boxster 986</t>
        </is>
      </c>
      <c r="B509" s="10" t="inlineStr">
        <is>
          <t>Porsche boxster 986 2.5</t>
        </is>
      </c>
      <c r="C509" s="10" t="n"/>
      <c r="D509" s="10" t="n"/>
      <c r="E509" s="10" t="inlineStr">
        <is>
          <t>En vente</t>
        </is>
      </c>
      <c r="F509" s="18" t="n">
        <v>46281</v>
      </c>
      <c r="G509" s="18" t="n">
        <v>46281</v>
      </c>
      <c r="H509" s="18" t="n">
        <v>46296</v>
      </c>
      <c r="I509" s="18" t="n"/>
      <c r="J509" s="17">
        <f>IF(OR(ISNUMBER(F509),ISNUMBER(G509)),IF(ISNUMBER(I509),I509,H509)-IF(ISNUMBER(F509),F509,G509),"")</f>
        <v/>
      </c>
      <c r="K509" s="12" t="n">
        <v>11500</v>
      </c>
      <c r="L509" s="12" t="n">
        <v>11500</v>
      </c>
      <c r="M509" s="13">
        <f>IF(AND(ISNUMBER(K509),ISNUMBER(L509),K509&gt;0),1-L509/K509,"")</f>
        <v/>
      </c>
      <c r="N509" s="16" t="n">
        <v>0</v>
      </c>
      <c r="O509" s="12" t="n"/>
      <c r="P509" s="12" t="n"/>
      <c r="Q509" s="12" t="n"/>
      <c r="R509" s="14">
        <f>IF(AND(ISNUMBER(L509),ISNUMBER(P509),ISNUMBER(Q509)),L509/((P509+Q509)/2)-1,"")</f>
        <v/>
      </c>
      <c r="S509" s="10" t="n"/>
      <c r="T509" s="15" t="n">
        <v>212000</v>
      </c>
      <c r="U509" s="16" t="n">
        <v>1997</v>
      </c>
      <c r="V509" s="10" t="n"/>
      <c r="W509" s="10" t="inlineStr">
        <is>
          <t>Essence</t>
        </is>
      </c>
      <c r="X509" s="10" t="inlineStr">
        <is>
          <t>Manuelle</t>
        </is>
      </c>
      <c r="Y509" s="16" t="n">
        <v>204</v>
      </c>
      <c r="Z509" s="16" t="n">
        <v>13</v>
      </c>
      <c r="AA509" s="10" t="inlineStr">
        <is>
          <t>Autre</t>
        </is>
      </c>
      <c r="AB509" s="16" t="n">
        <v>2</v>
      </c>
      <c r="AC509" s="10" t="inlineStr">
        <is>
          <t>Cabriolet</t>
        </is>
      </c>
      <c r="AD509" s="10" t="n"/>
      <c r="AE509" s="10" t="n"/>
      <c r="AF509" s="10" t="inlineStr">
        <is>
          <t>Particulier</t>
        </is>
      </c>
      <c r="AG509" s="10" t="inlineStr">
        <is>
          <t>Sarrebourg</t>
        </is>
      </c>
      <c r="AH509" s="10" t="inlineStr">
        <is>
          <t>57400</t>
        </is>
      </c>
      <c r="AI509" s="10" t="inlineStr">
        <is>
          <t>Moselle</t>
        </is>
      </c>
      <c r="AJ509" s="10" t="inlineStr">
        <is>
          <t>Lorraine</t>
        </is>
      </c>
      <c r="AK509" s="16" t="n"/>
      <c r="AL509" s="10" t="n"/>
      <c r="AM509" s="10" t="n"/>
      <c r="AN509" s="10" t="inlineStr">
        <is>
          <t>Je vends ma Porsche Boxster 986 de 1997, un cabriolet sportif emblématique et passionnant. - Marque : Porsche - Modèle : Boxster 986 - Année : 1997 - Kilométrage : 215 000 km - Motorisation : 2.5 204 ch - Carburant : Essence - Boîte de vitesses : Manuelle - Type de véhicule : Cabriolet - Nombre de portes : 2 - Puissance fiscale : 13 Cv - Contrôle technique : Valide jusqu'en 02/2028 - carte grise à jour à mon nom - pompe à essence, vidange moteur avec filtre à huile, serrure de porte passager, jo</t>
        </is>
      </c>
      <c r="AO509" s="10" t="n"/>
      <c r="AP509" s="19" t="inlineStr">
        <is>
          <t>Voir</t>
        </is>
      </c>
      <c r="AQ509" s="10" t="inlineStr">
        <is>
          <t>3270983963</t>
        </is>
      </c>
    </row>
    <row r="510">
      <c r="A510" s="10" t="inlineStr">
        <is>
          <t>Porsche Boxster 986</t>
        </is>
      </c>
      <c r="B510" s="10" t="inlineStr">
        <is>
          <t>Porsche boxster 986</t>
        </is>
      </c>
      <c r="C510" s="10" t="n"/>
      <c r="D510" s="10" t="n"/>
      <c r="E510" s="10" t="inlineStr">
        <is>
          <t>En vente</t>
        </is>
      </c>
      <c r="F510" s="18" t="n">
        <v>46282</v>
      </c>
      <c r="G510" s="18" t="n">
        <v>46282</v>
      </c>
      <c r="H510" s="18" t="n">
        <v>46296</v>
      </c>
      <c r="I510" s="18" t="n"/>
      <c r="J510" s="17">
        <f>IF(OR(ISNUMBER(F510),ISNUMBER(G510)),IF(ISNUMBER(I510),I510,H510)-IF(ISNUMBER(F510),F510,G510),"")</f>
        <v/>
      </c>
      <c r="K510" s="12" t="n">
        <v>17500</v>
      </c>
      <c r="L510" s="12" t="n">
        <v>17500</v>
      </c>
      <c r="M510" s="13">
        <f>IF(AND(ISNUMBER(K510),ISNUMBER(L510),K510&gt;0),1-L510/K510,"")</f>
        <v/>
      </c>
      <c r="N510" s="16" t="n">
        <v>0</v>
      </c>
      <c r="O510" s="12" t="n"/>
      <c r="P510" s="12" t="n"/>
      <c r="Q510" s="12" t="n"/>
      <c r="R510" s="14">
        <f>IF(AND(ISNUMBER(L510),ISNUMBER(P510),ISNUMBER(Q510)),L510/((P510+Q510)/2)-1,"")</f>
        <v/>
      </c>
      <c r="S510" s="10" t="n"/>
      <c r="T510" s="15" t="n">
        <v>162995</v>
      </c>
      <c r="U510" s="16" t="n">
        <v>2001</v>
      </c>
      <c r="V510" s="10" t="n"/>
      <c r="W510" s="10" t="inlineStr">
        <is>
          <t>Essence</t>
        </is>
      </c>
      <c r="X510" s="10" t="inlineStr">
        <is>
          <t>Manuelle</t>
        </is>
      </c>
      <c r="Y510" s="16" t="n">
        <v>220</v>
      </c>
      <c r="Z510" s="16" t="n">
        <v>15</v>
      </c>
      <c r="AA510" s="10" t="inlineStr">
        <is>
          <t>Noir</t>
        </is>
      </c>
      <c r="AB510" s="16" t="n">
        <v>2</v>
      </c>
      <c r="AC510" s="10" t="inlineStr">
        <is>
          <t>Cabriolet</t>
        </is>
      </c>
      <c r="AD510" s="10" t="n"/>
      <c r="AE510" s="10" t="n"/>
      <c r="AF510" s="10" t="inlineStr">
        <is>
          <t>Particulier</t>
        </is>
      </c>
      <c r="AG510" s="10" t="inlineStr">
        <is>
          <t>Heugueville-sur-Sienne</t>
        </is>
      </c>
      <c r="AH510" s="10" t="inlineStr">
        <is>
          <t>50200</t>
        </is>
      </c>
      <c r="AI510" s="10" t="inlineStr">
        <is>
          <t>Manche</t>
        </is>
      </c>
      <c r="AJ510" s="10" t="inlineStr">
        <is>
          <t>Basse-Normandie</t>
        </is>
      </c>
      <c r="AK510" s="16" t="n"/>
      <c r="AL510" s="10" t="n"/>
      <c r="AM510" s="10" t="n"/>
      <c r="AN510" s="10" t="inlineStr">
        <is>
          <t>Porsche Boxster 2.7i BVM Phase II 15 cv, 2 portes, couleur intérieure : noir première mise en circulation le 04 2001 CT ok Logé garage sous bâche Historique du véhicule : Historique d'entretien avec factures 06/2020 Capote entière avec vitre arrière 04/2021 Pompe à eau + courroie 04/2024 Volant moteur+ kit embrayage 08/2025 Bobine d'allumage. Ligne échappement inox . Ce véhicule possède de nombreux équipements et options telles que les suivantes : - Jantes Boxster 17" - Range + chargeur CD - Ant</t>
        </is>
      </c>
      <c r="AO510" s="10" t="n"/>
      <c r="AP510" s="19" t="inlineStr">
        <is>
          <t>Voir</t>
        </is>
      </c>
      <c r="AQ510" s="10" t="inlineStr">
        <is>
          <t>3271472221</t>
        </is>
      </c>
    </row>
    <row r="511">
      <c r="A511" s="10" t="inlineStr">
        <is>
          <t>Porsche Boxster 986</t>
        </is>
      </c>
      <c r="B511" s="10" t="inlineStr">
        <is>
          <t>Porsche Boxster 986 2.5 éthanol</t>
        </is>
      </c>
      <c r="C511" s="10" t="n"/>
      <c r="D511" s="10" t="n"/>
      <c r="E511" s="10" t="inlineStr">
        <is>
          <t>En vente</t>
        </is>
      </c>
      <c r="F511" s="18" t="n">
        <v>46288</v>
      </c>
      <c r="G511" s="18" t="n">
        <v>46288</v>
      </c>
      <c r="H511" s="18" t="n">
        <v>46296</v>
      </c>
      <c r="I511" s="18" t="n"/>
      <c r="J511" s="17">
        <f>IF(OR(ISNUMBER(F511),ISNUMBER(G511)),IF(ISNUMBER(I511),I511,H511)-IF(ISNUMBER(F511),F511,G511),"")</f>
        <v/>
      </c>
      <c r="K511" s="12" t="n">
        <v>10900</v>
      </c>
      <c r="L511" s="12" t="n">
        <v>10900</v>
      </c>
      <c r="M511" s="13">
        <f>IF(AND(ISNUMBER(K511),ISNUMBER(L511),K511&gt;0),1-L511/K511,"")</f>
        <v/>
      </c>
      <c r="N511" s="16" t="n">
        <v>0</v>
      </c>
      <c r="O511" s="12" t="n"/>
      <c r="P511" s="12" t="n"/>
      <c r="Q511" s="12" t="n"/>
      <c r="R511" s="14">
        <f>IF(AND(ISNUMBER(L511),ISNUMBER(P511),ISNUMBER(Q511)),L511/((P511+Q511)/2)-1,"")</f>
        <v/>
      </c>
      <c r="S511" s="10" t="n"/>
      <c r="T511" s="15" t="n">
        <v>252000</v>
      </c>
      <c r="U511" s="16" t="n">
        <v>1997</v>
      </c>
      <c r="V511" s="10" t="n"/>
      <c r="W511" s="10" t="inlineStr">
        <is>
          <t>Autre</t>
        </is>
      </c>
      <c r="X511" s="10" t="inlineStr">
        <is>
          <t>Automatique</t>
        </is>
      </c>
      <c r="Y511" s="16" t="n">
        <v>204</v>
      </c>
      <c r="Z511" s="16" t="n">
        <v>14</v>
      </c>
      <c r="AA511" s="10" t="inlineStr">
        <is>
          <t>Autre</t>
        </is>
      </c>
      <c r="AB511" s="16" t="n">
        <v>2</v>
      </c>
      <c r="AC511" s="10" t="inlineStr">
        <is>
          <t>Cabriolet</t>
        </is>
      </c>
      <c r="AD511" s="10" t="n"/>
      <c r="AE511" s="10" t="n"/>
      <c r="AF511" s="10" t="inlineStr">
        <is>
          <t>Particulier</t>
        </is>
      </c>
      <c r="AG511" s="10" t="inlineStr">
        <is>
          <t>Vieux-Condé</t>
        </is>
      </c>
      <c r="AH511" s="10" t="inlineStr">
        <is>
          <t>59690</t>
        </is>
      </c>
      <c r="AI511" s="10" t="inlineStr">
        <is>
          <t>Nord</t>
        </is>
      </c>
      <c r="AJ511" s="10" t="inlineStr">
        <is>
          <t>Nord-Pas-de-Calais</t>
        </is>
      </c>
      <c r="AK511" s="16" t="n"/>
      <c r="AL511" s="10" t="n"/>
      <c r="AM511" s="10" t="n"/>
      <c r="AN511" s="10" t="inlineStr">
        <is>
          <t>Bonjour je propose a la vente ma Porsche Boxster 986 Le véhicule a reçu beaucoup de pièces neuves Roulement IMS à double rangée Train avant complètement refait à neuf Bobines et bougies neuves Pompe a eau renforcé et courroie d'accessoire récente Filtre a carburant neuf Entretien classique, vidange+ divers filtre ainsi que les plaquettes av seront fait pour la vente Pare brise neuf La voiture est vendu avec 4 pneus neufs d'avance en plus des pneus déjà montés Véhicule équipé d'une gestion éthano</t>
        </is>
      </c>
      <c r="AO511" s="10" t="n"/>
      <c r="AP511" s="19" t="inlineStr">
        <is>
          <t>Voir</t>
        </is>
      </c>
      <c r="AQ511" s="10" t="inlineStr">
        <is>
          <t>3275432969</t>
        </is>
      </c>
    </row>
    <row r="512">
      <c r="A512" s="10" t="inlineStr">
        <is>
          <t>Porsche Boxster 986</t>
        </is>
      </c>
      <c r="B512" s="10" t="inlineStr">
        <is>
          <t>Porsche Boxster 986 2.7</t>
        </is>
      </c>
      <c r="C512" s="10" t="n"/>
      <c r="D512" s="10" t="n"/>
      <c r="E512" s="10" t="inlineStr">
        <is>
          <t>En vente</t>
        </is>
      </c>
      <c r="F512" s="18" t="n">
        <v>46290</v>
      </c>
      <c r="G512" s="18" t="n">
        <v>46290</v>
      </c>
      <c r="H512" s="18" t="n">
        <v>46296</v>
      </c>
      <c r="I512" s="18" t="n"/>
      <c r="J512" s="17">
        <f>IF(OR(ISNUMBER(F512),ISNUMBER(G512)),IF(ISNUMBER(I512),I512,H512)-IF(ISNUMBER(F512),F512,G512),"")</f>
        <v/>
      </c>
      <c r="K512" s="12" t="n">
        <v>5000</v>
      </c>
      <c r="L512" s="12" t="n">
        <v>5000</v>
      </c>
      <c r="M512" s="13">
        <f>IF(AND(ISNUMBER(K512),ISNUMBER(L512),K512&gt;0),1-L512/K512,"")</f>
        <v/>
      </c>
      <c r="N512" s="16" t="n">
        <v>0</v>
      </c>
      <c r="O512" s="12" t="n"/>
      <c r="P512" s="12" t="n"/>
      <c r="Q512" s="12" t="n"/>
      <c r="R512" s="14">
        <f>IF(AND(ISNUMBER(L512),ISNUMBER(P512),ISNUMBER(Q512)),L512/((P512+Q512)/2)-1,"")</f>
        <v/>
      </c>
      <c r="S512" s="10" t="n"/>
      <c r="T512" s="15" t="n">
        <v>169000</v>
      </c>
      <c r="U512" s="16" t="n">
        <v>2003</v>
      </c>
      <c r="V512" s="10" t="n"/>
      <c r="W512" s="10" t="inlineStr">
        <is>
          <t>Essence</t>
        </is>
      </c>
      <c r="X512" s="10" t="inlineStr">
        <is>
          <t>Manuelle</t>
        </is>
      </c>
      <c r="Y512" s="16" t="n">
        <v>228</v>
      </c>
      <c r="Z512" s="16" t="n">
        <v>16</v>
      </c>
      <c r="AA512" s="10" t="inlineStr">
        <is>
          <t>Noir</t>
        </is>
      </c>
      <c r="AB512" s="16" t="n">
        <v>2</v>
      </c>
      <c r="AC512" s="10" t="inlineStr">
        <is>
          <t>Cabriolet</t>
        </is>
      </c>
      <c r="AD512" s="10" t="n"/>
      <c r="AE512" s="10" t="n"/>
      <c r="AF512" s="10" t="inlineStr">
        <is>
          <t>Particulier</t>
        </is>
      </c>
      <c r="AG512" s="10" t="inlineStr">
        <is>
          <t>Alfortville</t>
        </is>
      </c>
      <c r="AH512" s="10" t="inlineStr">
        <is>
          <t>94140</t>
        </is>
      </c>
      <c r="AI512" s="10" t="inlineStr">
        <is>
          <t>Val-de-Marne</t>
        </is>
      </c>
      <c r="AJ512" s="10" t="inlineStr">
        <is>
          <t>Ile-de-France</t>
        </is>
      </c>
      <c r="AK512" s="16" t="n"/>
      <c r="AL512" s="10" t="n"/>
      <c r="AM512" s="10" t="n"/>
      <c r="AN512" s="10" t="inlineStr">
        <is>
          <t>🏁 Porsche Boxster 986 2.7 – 228 ch – Boîte manuelle – Cabriolet À vendre Porsche Boxster 986 2.7 de 2003, 228 ch, boîte manuelle et conduite à droite. 170 000 km, roule parfaitement. Belle configuration avec jantes 18 pouces sur mesure, échappement inox, volant Porsche 3 branches, stickers Boxster et aileron arrière. Capote électrique fonctionnelle. 🇬🇧 Véhicule actuellement en V5C anglais. ➡️ Vente avec le V5C anglais à 5 000 €, pour la personne souhaitant effectuer elle-même les démarches d’</t>
        </is>
      </c>
      <c r="AO512" s="10" t="n"/>
      <c r="AP512" s="19" t="inlineStr">
        <is>
          <t>Voir</t>
        </is>
      </c>
      <c r="AQ512" s="10" t="inlineStr">
        <is>
          <t>3276464340</t>
        </is>
      </c>
    </row>
    <row r="513">
      <c r="A513" s="10" t="inlineStr">
        <is>
          <t>Porsche Boxster 986</t>
        </is>
      </c>
      <c r="B513" s="10" t="inlineStr">
        <is>
          <t>Porsche Boxster 986 avec 77053 km</t>
        </is>
      </c>
      <c r="C513" s="10" t="n"/>
      <c r="D513" s="10" t="n"/>
      <c r="E513" s="10" t="inlineStr">
        <is>
          <t>En vente</t>
        </is>
      </c>
      <c r="F513" s="18" t="n">
        <v>46291</v>
      </c>
      <c r="G513" s="18" t="n">
        <v>46291</v>
      </c>
      <c r="H513" s="18" t="n">
        <v>46296</v>
      </c>
      <c r="I513" s="18" t="n"/>
      <c r="J513" s="17">
        <f>IF(OR(ISNUMBER(F513),ISNUMBER(G513)),IF(ISNUMBER(I513),I513,H513)-IF(ISNUMBER(F513),F513,G513),"")</f>
        <v/>
      </c>
      <c r="K513" s="12" t="n">
        <v>13650</v>
      </c>
      <c r="L513" s="12" t="n">
        <v>13650</v>
      </c>
      <c r="M513" s="13">
        <f>IF(AND(ISNUMBER(K513),ISNUMBER(L513),K513&gt;0),1-L513/K513,"")</f>
        <v/>
      </c>
      <c r="N513" s="16" t="n">
        <v>0</v>
      </c>
      <c r="O513" s="12" t="n"/>
      <c r="P513" s="12" t="n"/>
      <c r="Q513" s="12" t="n"/>
      <c r="R513" s="14">
        <f>IF(AND(ISNUMBER(L513),ISNUMBER(P513),ISNUMBER(Q513)),L513/((P513+Q513)/2)-1,"")</f>
        <v/>
      </c>
      <c r="S513" s="10" t="n"/>
      <c r="T513" s="15" t="n">
        <v>77053</v>
      </c>
      <c r="U513" s="16" t="n">
        <v>1998</v>
      </c>
      <c r="V513" s="10" t="n"/>
      <c r="W513" s="10" t="inlineStr">
        <is>
          <t>Essence</t>
        </is>
      </c>
      <c r="X513" s="10" t="inlineStr">
        <is>
          <t>Automatique</t>
        </is>
      </c>
      <c r="Y513" s="16" t="n">
        <v>204</v>
      </c>
      <c r="Z513" s="16" t="n">
        <v>14</v>
      </c>
      <c r="AA513" s="10" t="inlineStr">
        <is>
          <t>Bleu</t>
        </is>
      </c>
      <c r="AB513" s="16" t="n">
        <v>2</v>
      </c>
      <c r="AC513" s="10" t="inlineStr">
        <is>
          <t>Cabriolet</t>
        </is>
      </c>
      <c r="AD513" s="10" t="n"/>
      <c r="AE513" s="10" t="n"/>
      <c r="AF513" s="10" t="inlineStr">
        <is>
          <t>Particulier</t>
        </is>
      </c>
      <c r="AG513" s="10" t="inlineStr">
        <is>
          <t>La Valette-du-Var</t>
        </is>
      </c>
      <c r="AH513" s="10" t="inlineStr">
        <is>
          <t>83160</t>
        </is>
      </c>
      <c r="AI513" s="10" t="inlineStr">
        <is>
          <t>Var</t>
        </is>
      </c>
      <c r="AJ513" s="10" t="inlineStr">
        <is>
          <t>Provence-Alpes-Côte d'Azur</t>
        </is>
      </c>
      <c r="AK513" s="16" t="n"/>
      <c r="AL513" s="10" t="n"/>
      <c r="AM513" s="10" t="n"/>
      <c r="AN513" s="10" t="inlineStr">
        <is>
          <t>Je vends maPorsche Boxster 986 2.5 Tiptronic – 77 053 km évolutifs car déplacements quotidiens. Tiptronic de 1998 clim , 204 cv kilométrage justifiable et vérifiable via Histovec &gt; CT . Entretien et frais récent: De nombreux frais ont été réalisés récemment : - Pompe à eau remplacée - Courroie et galets remplacés - Bobines d'allumage remplacées - Bougies remplacées - 4 pneus récents/neufs - Capote en bon état avec lunette arrière en verre Pas d'échange. Premier contact par mail . Curieux et offr</t>
        </is>
      </c>
      <c r="AO513" s="10" t="n"/>
      <c r="AP513" s="19" t="inlineStr">
        <is>
          <t>Voir</t>
        </is>
      </c>
      <c r="AQ513" s="10" t="inlineStr">
        <is>
          <t>3277303432</t>
        </is>
      </c>
    </row>
    <row r="514">
      <c r="A514" s="10" t="inlineStr">
        <is>
          <t>Porsche Boxster 986</t>
        </is>
      </c>
      <c r="B514" s="10" t="inlineStr">
        <is>
          <t>PORSCHE BOXSTER 2.7i - 228ch TYPE 986 CABRIOLET PHASE 2</t>
        </is>
      </c>
      <c r="C514" s="10" t="n"/>
      <c r="D514" s="10" t="n"/>
      <c r="E514" s="10" t="inlineStr">
        <is>
          <t>En vente</t>
        </is>
      </c>
      <c r="F514" s="18" t="n">
        <v>46293</v>
      </c>
      <c r="G514" s="18" t="n">
        <v>46293</v>
      </c>
      <c r="H514" s="18" t="n">
        <v>46296</v>
      </c>
      <c r="I514" s="18" t="n"/>
      <c r="J514" s="17">
        <f>IF(OR(ISNUMBER(F514),ISNUMBER(G514)),IF(ISNUMBER(I514),I514,H514)-IF(ISNUMBER(F514),F514,G514),"")</f>
        <v/>
      </c>
      <c r="K514" s="12" t="n">
        <v>18290</v>
      </c>
      <c r="L514" s="12" t="n">
        <v>18290</v>
      </c>
      <c r="M514" s="13">
        <f>IF(AND(ISNUMBER(K514),ISNUMBER(L514),K514&gt;0),1-L514/K514,"")</f>
        <v/>
      </c>
      <c r="N514" s="16" t="n">
        <v>0</v>
      </c>
      <c r="O514" s="12" t="n"/>
      <c r="P514" s="12" t="n"/>
      <c r="Q514" s="12" t="n"/>
      <c r="R514" s="14">
        <f>IF(AND(ISNUMBER(L514),ISNUMBER(P514),ISNUMBER(Q514)),L514/((P514+Q514)/2)-1,"")</f>
        <v/>
      </c>
      <c r="S514" s="10" t="n"/>
      <c r="T514" s="15" t="n">
        <v>171000</v>
      </c>
      <c r="U514" s="16" t="n">
        <v>2003</v>
      </c>
      <c r="V514" s="10" t="n"/>
      <c r="W514" s="10" t="inlineStr">
        <is>
          <t>Essence</t>
        </is>
      </c>
      <c r="X514" s="10" t="inlineStr">
        <is>
          <t>Manuelle</t>
        </is>
      </c>
      <c r="Y514" s="16" t="n">
        <v>228</v>
      </c>
      <c r="Z514" s="16" t="n">
        <v>15</v>
      </c>
      <c r="AA514" s="10" t="inlineStr">
        <is>
          <t>Noir</t>
        </is>
      </c>
      <c r="AB514" s="16" t="n">
        <v>2</v>
      </c>
      <c r="AC514" s="10" t="inlineStr">
        <is>
          <t>Cabriolet</t>
        </is>
      </c>
      <c r="AD514" s="10" t="n"/>
      <c r="AE514" s="10" t="n"/>
      <c r="AF514" s="10" t="inlineStr">
        <is>
          <t>Pro</t>
        </is>
      </c>
      <c r="AG514" s="10" t="inlineStr">
        <is>
          <t>Eysines</t>
        </is>
      </c>
      <c r="AH514" s="10" t="inlineStr">
        <is>
          <t>33320</t>
        </is>
      </c>
      <c r="AI514" s="10" t="inlineStr">
        <is>
          <t>Gironde</t>
        </is>
      </c>
      <c r="AJ514" s="10" t="inlineStr">
        <is>
          <t>Aquitaine</t>
        </is>
      </c>
      <c r="AK514" s="16" t="n"/>
      <c r="AL514" s="10" t="inlineStr">
        <is>
          <t>Oui</t>
        </is>
      </c>
      <c r="AM514" s="10" t="n"/>
      <c r="AN514" s="10" t="inlineStr">
        <is>
          <t>Porsche Boxster 986 2.7L – 220 ch – Excellent état Neway Motors vous propose ce superbe Porsche Boxster 986 2.7 de 2003, un roadster emblématique offrant un plaisir de conduite authentique grâce à son moteur central arrière et sa sonorité caractéristique. ✅ Moteur remplacé à 125 000 km ✅ 167 500 km au compteur (évolutif) ✅ IMS contrôlé / OK ✅ Contrôle technique valide Équipements et entretien : Sièges chauffants 4 jantes équipées de pneus remplacés en novembre Radiateur de chauffage neuf Biellet</t>
        </is>
      </c>
      <c r="AO514" s="10" t="n"/>
      <c r="AP514" s="19" t="inlineStr">
        <is>
          <t>Voir</t>
        </is>
      </c>
      <c r="AQ514" s="10" t="inlineStr">
        <is>
          <t>3278140957</t>
        </is>
      </c>
    </row>
    <row r="515">
      <c r="A515" s="10" t="inlineStr">
        <is>
          <t>Porsche Boxster 986</t>
        </is>
      </c>
      <c r="B515" s="10" t="inlineStr">
        <is>
          <t>Porsche boxster 986</t>
        </is>
      </c>
      <c r="C515" s="10" t="n"/>
      <c r="D515" s="10" t="n"/>
      <c r="E515" s="10" t="inlineStr">
        <is>
          <t>En vente</t>
        </is>
      </c>
      <c r="F515" s="18" t="n">
        <v>46295</v>
      </c>
      <c r="G515" s="18" t="n">
        <v>46295</v>
      </c>
      <c r="H515" s="18" t="n">
        <v>46296</v>
      </c>
      <c r="I515" s="18" t="n"/>
      <c r="J515" s="17">
        <f>IF(OR(ISNUMBER(F515),ISNUMBER(G515)),IF(ISNUMBER(I515),I515,H515)-IF(ISNUMBER(F515),F515,G515),"")</f>
        <v/>
      </c>
      <c r="K515" s="12" t="n">
        <v>19900</v>
      </c>
      <c r="L515" s="12" t="n">
        <v>19900</v>
      </c>
      <c r="M515" s="13">
        <f>IF(AND(ISNUMBER(K515),ISNUMBER(L515),K515&gt;0),1-L515/K515,"")</f>
        <v/>
      </c>
      <c r="N515" s="16" t="n">
        <v>0</v>
      </c>
      <c r="O515" s="12" t="n"/>
      <c r="P515" s="12" t="n"/>
      <c r="Q515" s="12" t="n"/>
      <c r="R515" s="14">
        <f>IF(AND(ISNUMBER(L515),ISNUMBER(P515),ISNUMBER(Q515)),L515/((P515+Q515)/2)-1,"")</f>
        <v/>
      </c>
      <c r="S515" s="10" t="n"/>
      <c r="T515" s="15" t="n">
        <v>127152</v>
      </c>
      <c r="U515" s="16" t="n">
        <v>2001</v>
      </c>
      <c r="V515" s="10" t="n"/>
      <c r="W515" s="10" t="inlineStr">
        <is>
          <t>Essence</t>
        </is>
      </c>
      <c r="X515" s="10" t="inlineStr">
        <is>
          <t>Manuelle</t>
        </is>
      </c>
      <c r="Y515" s="16" t="n">
        <v>220</v>
      </c>
      <c r="Z515" s="16" t="n">
        <v>15</v>
      </c>
      <c r="AA515" s="10" t="inlineStr">
        <is>
          <t>Noir</t>
        </is>
      </c>
      <c r="AB515" s="16" t="n">
        <v>2</v>
      </c>
      <c r="AC515" s="10" t="inlineStr">
        <is>
          <t>Cabriolet</t>
        </is>
      </c>
      <c r="AD515" s="10" t="n"/>
      <c r="AE515" s="10" t="n"/>
      <c r="AF515" s="10" t="inlineStr">
        <is>
          <t>Particulier</t>
        </is>
      </c>
      <c r="AG515" s="10" t="inlineStr">
        <is>
          <t>Crossac</t>
        </is>
      </c>
      <c r="AH515" s="10" t="inlineStr">
        <is>
          <t>44160</t>
        </is>
      </c>
      <c r="AI515" s="10" t="inlineStr">
        <is>
          <t>Loire-Atlantique</t>
        </is>
      </c>
      <c r="AJ515" s="10" t="inlineStr">
        <is>
          <t>Pays de la Loire</t>
        </is>
      </c>
      <c r="AK515" s="16" t="n"/>
      <c r="AL515" s="10" t="n"/>
      <c r="AM515" s="10" t="n"/>
      <c r="AN515" s="10" t="inlineStr">
        <is>
          <t>Je vends ma Porsche Boxster 986 de 2001, un cabriolet sportif emblématique et passionnant. - Marque : Porsche - Modèle : Boxster 986 - Année : 2001 - Kilométrage : 127 152 km - Motorisation : 220 Ch - Puissance fiscale : 15 Cv - Carburant : Essence - Boîte de vitesses : Manuelle - Type de véhicule : Cabriolet - Couleur : Noir - Nombre de portes : 2 - Contrôle technique : Valide jusqu'en 03/2027 Double ims Pas d échange Le contrôle technique sera refait pour la vente Je la vend à contre coeur pou</t>
        </is>
      </c>
      <c r="AO515" s="10" t="n"/>
      <c r="AP515" s="19" t="inlineStr">
        <is>
          <t>Voir</t>
        </is>
      </c>
      <c r="AQ515" s="10" t="inlineStr">
        <is>
          <t>3279820769</t>
        </is>
      </c>
    </row>
    <row r="516">
      <c r="A516" s="10" t="inlineStr">
        <is>
          <t>Porsche Boxster 987</t>
        </is>
      </c>
      <c r="B516" s="10" t="inlineStr">
        <is>
          <t>Porsche BOXSTER (987) 3.4 S</t>
        </is>
      </c>
      <c r="C516" s="10" t="inlineStr">
        <is>
          <t>Boxster 3.4 S</t>
        </is>
      </c>
      <c r="D516" s="10" t="inlineStr">
        <is>
          <t>S</t>
        </is>
      </c>
      <c r="E516" s="10" t="inlineStr">
        <is>
          <t>En vente</t>
        </is>
      </c>
      <c r="F516" s="18" t="n">
        <v>46055</v>
      </c>
      <c r="G516" s="18" t="n">
        <v>46055</v>
      </c>
      <c r="H516" s="18" t="n">
        <v>46310</v>
      </c>
      <c r="I516" s="18" t="n"/>
      <c r="J516" s="17">
        <f>IF(OR(ISNUMBER(F516),ISNUMBER(G516)),IF(ISNUMBER(I516),I516,H516)-IF(ISNUMBER(F516),F516,G516),"")</f>
        <v/>
      </c>
      <c r="K516" s="12" t="n">
        <v>29990</v>
      </c>
      <c r="L516" s="12" t="n">
        <v>29990</v>
      </c>
      <c r="M516" s="13">
        <f>IF(AND(ISNUMBER(K516),ISNUMBER(L516),K516&gt;0),1-L516/K516,"")</f>
        <v/>
      </c>
      <c r="N516" s="16" t="n">
        <v>0</v>
      </c>
      <c r="O516" s="12" t="n">
        <v>31990</v>
      </c>
      <c r="P516" s="12" t="n"/>
      <c r="Q516" s="12" t="n"/>
      <c r="R516" s="14">
        <f>IF(AND(ISNUMBER(L516),ISNUMBER(P516),ISNUMBER(Q516)),L516/((P516+Q516)/2)-1,"")</f>
        <v/>
      </c>
      <c r="S516" s="10" t="n"/>
      <c r="T516" s="15" t="n">
        <v>128000</v>
      </c>
      <c r="U516" s="16" t="n">
        <v>2007</v>
      </c>
      <c r="V516" s="10" t="inlineStr">
        <is>
          <t>07/2007</t>
        </is>
      </c>
      <c r="W516" s="10" t="inlineStr">
        <is>
          <t>Essence</t>
        </is>
      </c>
      <c r="X516" s="10" t="inlineStr">
        <is>
          <t>Manuelle</t>
        </is>
      </c>
      <c r="Y516" s="16" t="n">
        <v>295</v>
      </c>
      <c r="Z516" s="16" t="n">
        <v>21</v>
      </c>
      <c r="AA516" s="10" t="inlineStr">
        <is>
          <t>Noir</t>
        </is>
      </c>
      <c r="AB516" s="16" t="n">
        <v>2</v>
      </c>
      <c r="AC516" s="10" t="inlineStr">
        <is>
          <t>Cabriolet</t>
        </is>
      </c>
      <c r="AD516" s="10" t="n"/>
      <c r="AE516" s="10" t="n"/>
      <c r="AF516" s="10" t="inlineStr">
        <is>
          <t>Pro</t>
        </is>
      </c>
      <c r="AG516" s="10" t="inlineStr">
        <is>
          <t>Ranville</t>
        </is>
      </c>
      <c r="AH516" s="10" t="inlineStr">
        <is>
          <t>14860</t>
        </is>
      </c>
      <c r="AI516" s="10" t="inlineStr">
        <is>
          <t>Calvados</t>
        </is>
      </c>
      <c r="AJ516" s="10" t="inlineStr">
        <is>
          <t>Basse-Normandie</t>
        </is>
      </c>
      <c r="AK516" s="16" t="n">
        <v>14</v>
      </c>
      <c r="AL516" s="10" t="n"/>
      <c r="AM516" s="10" t="inlineStr">
        <is>
          <t>Non</t>
        </is>
      </c>
      <c r="AN516" s="10" t="inlineStr">
        <is>
          <t>Porsche BOXSTER (987) 3.4 S, (Cabriolet), NOIR, 21cv, 2 portes, mise en circulation le 20-07-2007. 2 places, longueur : 4,33 mètres, boîte de vitesse : manuelle OPTIONS ET EQUIPEMENTS : Audio - Télécommunications - Radio CD Extérieur - Jantes Alu - Rétroviseurs électriques dégivrants Intérieur - Clim manuelle - Direction assistée - Fixations Isofix aux places arrières - Ordinateur de bord - Verrouillage centralisé des portes - Vitres avant électriques Sécurité - ABS - Airbags latéraux avant - Ai</t>
        </is>
      </c>
      <c r="AO516" s="10" t="inlineStr">
        <is>
          <t>Permis : Avec permis ; VO récent : false ; custom_ref : 1717 ; Importé : true ; vehicle_history_report_status : visible ; spare_parts_availability : Non renseignée</t>
        </is>
      </c>
      <c r="AP516" s="19" t="inlineStr">
        <is>
          <t>Voir</t>
        </is>
      </c>
      <c r="AQ516" s="10" t="inlineStr">
        <is>
          <t>3138081600</t>
        </is>
      </c>
    </row>
    <row r="517">
      <c r="A517" s="10" t="inlineStr">
        <is>
          <t>Porsche Boxster 987</t>
        </is>
      </c>
      <c r="B517" s="10" t="inlineStr">
        <is>
          <t>Porsche BOXSTER 987 3.2 S 280CV</t>
        </is>
      </c>
      <c r="C517" s="10" t="inlineStr">
        <is>
          <t>Boxster 3.2 S</t>
        </is>
      </c>
      <c r="D517" s="10" t="inlineStr">
        <is>
          <t>S</t>
        </is>
      </c>
      <c r="E517" s="10" t="inlineStr">
        <is>
          <t>En vente</t>
        </is>
      </c>
      <c r="F517" s="18" t="n">
        <v>46259</v>
      </c>
      <c r="G517" s="18" t="n">
        <v>46259</v>
      </c>
      <c r="H517" s="18" t="n">
        <v>46310</v>
      </c>
      <c r="I517" s="18" t="n"/>
      <c r="J517" s="17">
        <f>IF(OR(ISNUMBER(F517),ISNUMBER(G517)),IF(ISNUMBER(I517),I517,H517)-IF(ISNUMBER(F517),F517,G517),"")</f>
        <v/>
      </c>
      <c r="K517" s="12" t="n">
        <v>37900</v>
      </c>
      <c r="L517" s="12" t="n">
        <v>36900</v>
      </c>
      <c r="M517" s="13">
        <f>IF(AND(ISNUMBER(K517),ISNUMBER(L517),K517&gt;0),1-L517/K517,"")</f>
        <v/>
      </c>
      <c r="N517" s="16" t="n">
        <v>1</v>
      </c>
      <c r="O517" s="12" t="n">
        <v>37900</v>
      </c>
      <c r="P517" s="12" t="n"/>
      <c r="Q517" s="12" t="n"/>
      <c r="R517" s="14">
        <f>IF(AND(ISNUMBER(L517),ISNUMBER(P517),ISNUMBER(Q517)),L517/((P517+Q517)/2)-1,"")</f>
        <v/>
      </c>
      <c r="S517" s="10" t="n"/>
      <c r="T517" s="15" t="n">
        <v>86340</v>
      </c>
      <c r="U517" s="16" t="n">
        <v>2006</v>
      </c>
      <c r="V517" s="10" t="inlineStr">
        <is>
          <t>05/2006</t>
        </is>
      </c>
      <c r="W517" s="10" t="inlineStr">
        <is>
          <t>Essence</t>
        </is>
      </c>
      <c r="X517" s="10" t="inlineStr">
        <is>
          <t>Manuelle</t>
        </is>
      </c>
      <c r="Y517" s="16" t="n">
        <v>280</v>
      </c>
      <c r="Z517" s="16" t="n">
        <v>19</v>
      </c>
      <c r="AA517" s="10" t="inlineStr">
        <is>
          <t>Noir</t>
        </is>
      </c>
      <c r="AB517" s="16" t="n"/>
      <c r="AC517" s="10" t="inlineStr">
        <is>
          <t>Cabriolet</t>
        </is>
      </c>
      <c r="AD517" s="10" t="n"/>
      <c r="AE517" s="10" t="n"/>
      <c r="AF517" s="10" t="inlineStr">
        <is>
          <t>Pro</t>
        </is>
      </c>
      <c r="AG517" s="10" t="inlineStr">
        <is>
          <t>Vendenheim</t>
        </is>
      </c>
      <c r="AH517" s="10" t="inlineStr">
        <is>
          <t>67550</t>
        </is>
      </c>
      <c r="AI517" s="10" t="inlineStr">
        <is>
          <t>Bas-Rhin</t>
        </is>
      </c>
      <c r="AJ517" s="10" t="inlineStr">
        <is>
          <t>Alsace</t>
        </is>
      </c>
      <c r="AK517" s="16" t="n">
        <v>13</v>
      </c>
      <c r="AL517" s="10" t="n"/>
      <c r="AM517" s="10" t="inlineStr">
        <is>
          <t>Non</t>
        </is>
      </c>
      <c r="AN517" s="10" t="inlineStr">
        <is>
          <t>Porsche BOXSTER 987 3.2 S 280CV, (Cabriolet), NOIR, 19cv, mise en circulation le 11-05-2006, garantie 6 mois (6 MOIS). 2 places, couleur intérieur : NOIR, boîte de vitesse : manuelle OPTIONS ET EQUIPEMENTS : Autres équipements et informations : - Boite de vitesse manuelle à 6 rapports - Carnet d'entretien Porsche à jour - Climatisation Automatique - Combiné grand écran central tactilePorsche PCCM Plus dernière génération avec connexion USB et Navigation + Module télephone Bluetooth - Cylindrée 3</t>
        </is>
      </c>
      <c r="AO517" s="10" t="inlineStr">
        <is>
          <t>Permis : Avec permis ; VO récent : false ; custom_ref : 1256 ; Importé : true ; vehicle_history_report_status : visible ; spare_parts_availability : Non renseignée</t>
        </is>
      </c>
      <c r="AP517" s="19" t="inlineStr">
        <is>
          <t>Voir</t>
        </is>
      </c>
      <c r="AQ517" s="10" t="inlineStr">
        <is>
          <t>3192502697</t>
        </is>
      </c>
    </row>
    <row r="518">
      <c r="A518" s="10" t="inlineStr">
        <is>
          <t>Porsche Boxster 987</t>
        </is>
      </c>
      <c r="B518" s="10" t="inlineStr">
        <is>
          <t>Porsche BOXSTER (987) 3.4 S</t>
        </is>
      </c>
      <c r="C518" s="10" t="inlineStr">
        <is>
          <t>Boxster 3.4 S</t>
        </is>
      </c>
      <c r="D518" s="10" t="inlineStr">
        <is>
          <t>S</t>
        </is>
      </c>
      <c r="E518" s="10" t="inlineStr">
        <is>
          <t>En vente</t>
        </is>
      </c>
      <c r="F518" s="18" t="n">
        <v>46262</v>
      </c>
      <c r="G518" s="18" t="n">
        <v>46262</v>
      </c>
      <c r="H518" s="18" t="n">
        <v>46310</v>
      </c>
      <c r="I518" s="18" t="n"/>
      <c r="J518" s="17">
        <f>IF(OR(ISNUMBER(F518),ISNUMBER(G518)),IF(ISNUMBER(I518),I518,H518)-IF(ISNUMBER(F518),F518,G518),"")</f>
        <v/>
      </c>
      <c r="K518" s="12" t="n">
        <v>29990</v>
      </c>
      <c r="L518" s="12" t="n">
        <v>29990</v>
      </c>
      <c r="M518" s="13">
        <f>IF(AND(ISNUMBER(K518),ISNUMBER(L518),K518&gt;0),1-L518/K518,"")</f>
        <v/>
      </c>
      <c r="N518" s="16" t="n">
        <v>0</v>
      </c>
      <c r="O518" s="12" t="n"/>
      <c r="P518" s="12" t="n"/>
      <c r="Q518" s="12" t="n"/>
      <c r="R518" s="14">
        <f>IF(AND(ISNUMBER(L518),ISNUMBER(P518),ISNUMBER(Q518)),L518/((P518+Q518)/2)-1,"")</f>
        <v/>
      </c>
      <c r="S518" s="10" t="n"/>
      <c r="T518" s="15" t="n">
        <v>110000</v>
      </c>
      <c r="U518" s="16" t="n">
        <v>2008</v>
      </c>
      <c r="V518" s="10" t="inlineStr">
        <is>
          <t>05/2008</t>
        </is>
      </c>
      <c r="W518" s="10" t="inlineStr">
        <is>
          <t>Essence</t>
        </is>
      </c>
      <c r="X518" s="10" t="inlineStr">
        <is>
          <t>Manuelle</t>
        </is>
      </c>
      <c r="Y518" s="16" t="n">
        <v>295</v>
      </c>
      <c r="Z518" s="16" t="n"/>
      <c r="AA518" s="10" t="inlineStr">
        <is>
          <t>Noir</t>
        </is>
      </c>
      <c r="AB518" s="16" t="n"/>
      <c r="AC518" s="10" t="inlineStr">
        <is>
          <t>Cabriolet</t>
        </is>
      </c>
      <c r="AD518" s="10" t="n"/>
      <c r="AE518" s="10" t="n"/>
      <c r="AF518" s="10" t="inlineStr">
        <is>
          <t>Pro</t>
        </is>
      </c>
      <c r="AG518" s="10" t="inlineStr">
        <is>
          <t>Allonzier-la-Caille</t>
        </is>
      </c>
      <c r="AH518" s="10" t="inlineStr">
        <is>
          <t>74350</t>
        </is>
      </c>
      <c r="AI518" s="10" t="inlineStr">
        <is>
          <t>Haute-Savoie</t>
        </is>
      </c>
      <c r="AJ518" s="10" t="inlineStr">
        <is>
          <t>Rhône-Alpes</t>
        </is>
      </c>
      <c r="AK518" s="16" t="n">
        <v>5</v>
      </c>
      <c r="AL518" s="10" t="n"/>
      <c r="AM518" s="10" t="inlineStr">
        <is>
          <t>Non</t>
        </is>
      </c>
      <c r="AN518" s="10" t="inlineStr">
        <is>
          <t>Porsche BOXSTER (987) 3.4 S, (Cabriolet), NOIR, 0cv, mise en circulation le 20-05-2008. 2 places, couleur intérieur : NOIR, longueur : 4,33 mètres, boîte de vitesse : manuelle OPTIONS ET EQUIPEMENTS : Audio - Télécommunications - Radio CD Extérieur - Jantes Alu - Rétroviseurs électriques dégivrants Intérieur - Clim manuelle - Direction assistée - Fixations Isofix aux places arrières - Ordinateur de bord - Verrouillage centralisé des portes - Vitres avant électriques Sécurité - ABS - Airbags laté</t>
        </is>
      </c>
      <c r="AO518" s="10" t="inlineStr">
        <is>
          <t>Permis : Avec permis ; VO récent : false ; custom_ref : 46 ; Importé : true ; spare_parts_availability : Non renseignée</t>
        </is>
      </c>
      <c r="AP518" s="19" t="inlineStr">
        <is>
          <t>Voir</t>
        </is>
      </c>
      <c r="AQ518" s="10" t="inlineStr">
        <is>
          <t>3194330539</t>
        </is>
      </c>
    </row>
    <row r="519">
      <c r="A519" s="10" t="inlineStr">
        <is>
          <t>Porsche Boxster 987</t>
        </is>
      </c>
      <c r="B519" s="10" t="inlineStr">
        <is>
          <t>Porsche Boxster S II (987) 3.4 303ch Design Edition 2</t>
        </is>
      </c>
      <c r="C519" s="10" t="inlineStr">
        <is>
          <t>Boxster 3.4 Design Edition 2</t>
        </is>
      </c>
      <c r="D519" s="10" t="inlineStr">
        <is>
          <t>Design Edition 2</t>
        </is>
      </c>
      <c r="E519" s="10" t="inlineStr">
        <is>
          <t>En vente</t>
        </is>
      </c>
      <c r="F519" s="18" t="n">
        <v>46277</v>
      </c>
      <c r="G519" s="18" t="n">
        <v>46277</v>
      </c>
      <c r="H519" s="18" t="n">
        <v>46310</v>
      </c>
      <c r="I519" s="18" t="n"/>
      <c r="J519" s="17">
        <f>IF(OR(ISNUMBER(F519),ISNUMBER(G519)),IF(ISNUMBER(I519),I519,H519)-IF(ISNUMBER(F519),F519,G519),"")</f>
        <v/>
      </c>
      <c r="K519" s="12" t="n">
        <v>43990</v>
      </c>
      <c r="L519" s="12" t="n">
        <v>43990</v>
      </c>
      <c r="M519" s="13">
        <f>IF(AND(ISNUMBER(K519),ISNUMBER(L519),K519&gt;0),1-L519/K519,"")</f>
        <v/>
      </c>
      <c r="N519" s="16" t="n">
        <v>0</v>
      </c>
      <c r="O519" s="12" t="n">
        <v>45990</v>
      </c>
      <c r="P519" s="12" t="n"/>
      <c r="Q519" s="12" t="n"/>
      <c r="R519" s="14">
        <f>IF(AND(ISNUMBER(L519),ISNUMBER(P519),ISNUMBER(Q519)),L519/((P519+Q519)/2)-1,"")</f>
        <v/>
      </c>
      <c r="S519" s="10" t="n"/>
      <c r="T519" s="15" t="n">
        <v>53000</v>
      </c>
      <c r="U519" s="16" t="n">
        <v>2009</v>
      </c>
      <c r="V519" s="10" t="inlineStr">
        <is>
          <t>06/2009</t>
        </is>
      </c>
      <c r="W519" s="10" t="inlineStr">
        <is>
          <t>Essence</t>
        </is>
      </c>
      <c r="X519" s="10" t="inlineStr">
        <is>
          <t>Manuelle</t>
        </is>
      </c>
      <c r="Y519" s="16" t="n">
        <v>303</v>
      </c>
      <c r="Z519" s="16" t="n">
        <v>21</v>
      </c>
      <c r="AA519" s="10" t="inlineStr">
        <is>
          <t>Blanc</t>
        </is>
      </c>
      <c r="AB519" s="16" t="n">
        <v>2</v>
      </c>
      <c r="AC519" s="10" t="inlineStr">
        <is>
          <t>Cabriolet</t>
        </is>
      </c>
      <c r="AD519" s="10" t="inlineStr">
        <is>
          <t>Carnet d'entretien disponible</t>
        </is>
      </c>
      <c r="AE519" s="10" t="n"/>
      <c r="AF519" s="10" t="inlineStr">
        <is>
          <t>Pro</t>
        </is>
      </c>
      <c r="AG519" s="10" t="inlineStr">
        <is>
          <t>Méry-sur-Oise</t>
        </is>
      </c>
      <c r="AH519" s="10" t="inlineStr">
        <is>
          <t>95540</t>
        </is>
      </c>
      <c r="AI519" s="10" t="inlineStr">
        <is>
          <t>Val-d'Oise</t>
        </is>
      </c>
      <c r="AJ519" s="10" t="inlineStr">
        <is>
          <t>Ile-de-France</t>
        </is>
      </c>
      <c r="AK519" s="16" t="n">
        <v>26</v>
      </c>
      <c r="AL519" s="10" t="inlineStr">
        <is>
          <t>Oui</t>
        </is>
      </c>
      <c r="AM519" s="10" t="inlineStr">
        <is>
          <t>Non</t>
        </is>
      </c>
      <c r="AN519" s="10" t="inlineStr">
        <is>
          <t>Porsche Boxster S II (987) 3.4 303ch Design Edition 2 cabriolet, blanc, 21 cv, 2 portes, première mise en circulation le 16/06/2009, garantie 12 mois. L'AUTOMOBILE PARIS VOUS PROPOSE CETTE MAGNIFIQUE PORSCHE BOXSTER S DESIGN EDITION 2 3.4 303CH Mise en circulation: 16/06/2009 Kilométrage: 53000 km Matching number: 161/500 OPTIONS &amp; ÉQUIPEMENTS: Extérieur: Jantes Porsche Sport Design 19' Peinture métallisée blanche Capote électrique noire Pack Design Edition 2 exclusif Signature intemporelle Pors</t>
        </is>
      </c>
      <c r="AO519" s="10" t="inlineStr">
        <is>
          <t>vehicle_technical_inspection_valid : Oui ; Permis : Avec permis ; VO récent : false ; custom_ref : 2668 ; Importé : true ; vehicle_history_report_status : visible ; spare_parts_availability : Non renseignée</t>
        </is>
      </c>
      <c r="AP519" s="19" t="inlineStr">
        <is>
          <t>Voir</t>
        </is>
      </c>
      <c r="AQ519" s="10" t="inlineStr">
        <is>
          <t>3203094670</t>
        </is>
      </c>
    </row>
    <row r="520">
      <c r="A520" s="10" t="inlineStr">
        <is>
          <t>Porsche Boxster 987</t>
        </is>
      </c>
      <c r="B520" s="10" t="inlineStr">
        <is>
          <t>Porche Boxster 987 2,7l 240ch</t>
        </is>
      </c>
      <c r="C520" s="10" t="inlineStr">
        <is>
          <t>Base_Boxster 2.7</t>
        </is>
      </c>
      <c r="D520" s="10" t="inlineStr">
        <is>
          <t>Base</t>
        </is>
      </c>
      <c r="E520" s="10" t="inlineStr">
        <is>
          <t>En vente</t>
        </is>
      </c>
      <c r="F520" s="18" t="n">
        <v>46293</v>
      </c>
      <c r="G520" s="18" t="n">
        <v>46293</v>
      </c>
      <c r="H520" s="18" t="n">
        <v>46310</v>
      </c>
      <c r="I520" s="18" t="n"/>
      <c r="J520" s="17">
        <f>IF(OR(ISNUMBER(F520),ISNUMBER(G520)),IF(ISNUMBER(I520),I520,H520)-IF(ISNUMBER(F520),F520,G520),"")</f>
        <v/>
      </c>
      <c r="K520" s="12" t="n">
        <v>24000</v>
      </c>
      <c r="L520" s="12" t="n">
        <v>24000</v>
      </c>
      <c r="M520" s="13">
        <f>IF(AND(ISNUMBER(K520),ISNUMBER(L520),K520&gt;0),1-L520/K520,"")</f>
        <v/>
      </c>
      <c r="N520" s="16" t="n">
        <v>0</v>
      </c>
      <c r="O520" s="12" t="n">
        <v>24500</v>
      </c>
      <c r="P520" s="12" t="n"/>
      <c r="Q520" s="12" t="n"/>
      <c r="R520" s="14">
        <f>IF(AND(ISNUMBER(L520),ISNUMBER(P520),ISNUMBER(Q520)),L520/((P520+Q520)/2)-1,"")</f>
        <v/>
      </c>
      <c r="S520" s="10" t="n"/>
      <c r="T520" s="15" t="n">
        <v>165800</v>
      </c>
      <c r="U520" s="16" t="n">
        <v>2006</v>
      </c>
      <c r="V520" s="10" t="inlineStr">
        <is>
          <t>05/2006</t>
        </is>
      </c>
      <c r="W520" s="10" t="inlineStr">
        <is>
          <t>Essence</t>
        </is>
      </c>
      <c r="X520" s="10" t="inlineStr">
        <is>
          <t>Manuelle</t>
        </is>
      </c>
      <c r="Y520" s="16" t="n">
        <v>240</v>
      </c>
      <c r="Z520" s="16" t="n">
        <v>16</v>
      </c>
      <c r="AA520" s="10" t="inlineStr">
        <is>
          <t>Blanc</t>
        </is>
      </c>
      <c r="AB520" s="16" t="n">
        <v>2</v>
      </c>
      <c r="AC520" s="10" t="inlineStr">
        <is>
          <t>Cabriolet</t>
        </is>
      </c>
      <c r="AD520" s="10" t="n"/>
      <c r="AE520" s="10" t="n"/>
      <c r="AF520" s="10" t="inlineStr">
        <is>
          <t>Particulier</t>
        </is>
      </c>
      <c r="AG520" s="10" t="inlineStr">
        <is>
          <t>Dieulefit</t>
        </is>
      </c>
      <c r="AH520" s="10" t="inlineStr">
        <is>
          <t>26220</t>
        </is>
      </c>
      <c r="AI520" s="10" t="inlineStr">
        <is>
          <t>Drôme</t>
        </is>
      </c>
      <c r="AJ520" s="10" t="inlineStr">
        <is>
          <t>Rhône-Alpes</t>
        </is>
      </c>
      <c r="AK520" s="16" t="n">
        <v>3</v>
      </c>
      <c r="AL520" s="10" t="n"/>
      <c r="AM520" s="10" t="inlineStr">
        <is>
          <t>Non</t>
        </is>
      </c>
      <c r="AN520" s="10" t="inlineStr">
        <is>
          <t>Boxster 987 2,4l 240ch Km 165800 évolutifs Flat 6, boîte mécanique 5 rapports. Peinture blanche carrera. Lustrage carrosserie complet. Nettoyage intérieur. Jantes alu 17" Levier vitesse court. Compteurs blanc. Échappement sport. Intérieur tout cuir teraccota. Sièges sports chauffants. Winddschott porsche. Rétroviseurs électriques. Régulateur de vitesse. Climatisation automatique Autoradio Alpine Bluetooth, cd, écran tactile. Phares xénon Phares antibrouillard. Véhicule en très bon état, toujours</t>
        </is>
      </c>
      <c r="AO520" s="10" t="inlineStr">
        <is>
          <t>Dommages : Bon état général ; Sellerie : Tout cuir ; Équipements intérieurs : Alarme antivol, Bluetooth, Climatisation, Coffre à ouverture électrique, Jantes en alliage, Phares anti-brouillard, Phares LED / Xenon, Régulateur de vitesse, Sièges chauffants, Sièges sport, Système audio haut de gamme ; Permis : Avec permis ; Importé : false</t>
        </is>
      </c>
      <c r="AP520" s="19" t="inlineStr">
        <is>
          <t>Voir</t>
        </is>
      </c>
      <c r="AQ520" s="10" t="inlineStr">
        <is>
          <t>3206698877</t>
        </is>
      </c>
    </row>
    <row r="521">
      <c r="A521" s="10" t="inlineStr">
        <is>
          <t>Porsche Boxster 987</t>
        </is>
      </c>
      <c r="B521" s="10" t="inlineStr">
        <is>
          <t>Porsche BOXSTER (987) 2.7 240CH</t>
        </is>
      </c>
      <c r="C521" s="10" t="n"/>
      <c r="D521" s="10" t="n"/>
      <c r="E521" s="10" t="inlineStr">
        <is>
          <t>En vente</t>
        </is>
      </c>
      <c r="F521" s="18" t="n">
        <v>46306</v>
      </c>
      <c r="G521" s="18" t="n">
        <v>46306</v>
      </c>
      <c r="H521" s="18" t="n">
        <v>46310</v>
      </c>
      <c r="I521" s="18" t="n"/>
      <c r="J521" s="17">
        <f>IF(OR(ISNUMBER(F521),ISNUMBER(G521)),IF(ISNUMBER(I521),I521,H521)-IF(ISNUMBER(F521),F521,G521),"")</f>
        <v/>
      </c>
      <c r="K521" s="12" t="n">
        <v>19900</v>
      </c>
      <c r="L521" s="12" t="n">
        <v>19900</v>
      </c>
      <c r="M521" s="13">
        <f>IF(AND(ISNUMBER(K521),ISNUMBER(L521),K521&gt;0),1-L521/K521,"")</f>
        <v/>
      </c>
      <c r="N521" s="16" t="n">
        <v>0</v>
      </c>
      <c r="O521" s="12" t="n">
        <v>20500</v>
      </c>
      <c r="P521" s="12" t="n"/>
      <c r="Q521" s="12" t="n"/>
      <c r="R521" s="14">
        <f>IF(AND(ISNUMBER(L521),ISNUMBER(P521),ISNUMBER(Q521)),L521/((P521+Q521)/2)-1,"")</f>
        <v/>
      </c>
      <c r="S521" s="10" t="n"/>
      <c r="T521" s="15" t="n">
        <v>134200</v>
      </c>
      <c r="U521" s="16" t="n">
        <v>2005</v>
      </c>
      <c r="V521" s="10" t="inlineStr">
        <is>
          <t>06/2005</t>
        </is>
      </c>
      <c r="W521" s="10" t="inlineStr">
        <is>
          <t>Essence</t>
        </is>
      </c>
      <c r="X521" s="10" t="inlineStr">
        <is>
          <t>Manuelle</t>
        </is>
      </c>
      <c r="Y521" s="16" t="n">
        <v>240</v>
      </c>
      <c r="Z521" s="16" t="n">
        <v>16</v>
      </c>
      <c r="AA521" s="10" t="inlineStr">
        <is>
          <t>Bleu</t>
        </is>
      </c>
      <c r="AB521" s="16" t="n">
        <v>2</v>
      </c>
      <c r="AC521" s="10" t="inlineStr">
        <is>
          <t>Cabriolet</t>
        </is>
      </c>
      <c r="AD521" s="10" t="n"/>
      <c r="AE521" s="10" t="n"/>
      <c r="AF521" s="10" t="inlineStr">
        <is>
          <t>Particulier</t>
        </is>
      </c>
      <c r="AG521" s="10" t="inlineStr">
        <is>
          <t>Val de Virvée</t>
        </is>
      </c>
      <c r="AH521" s="10" t="inlineStr">
        <is>
          <t>33240</t>
        </is>
      </c>
      <c r="AI521" s="10" t="inlineStr">
        <is>
          <t>Gironde</t>
        </is>
      </c>
      <c r="AJ521" s="10" t="inlineStr">
        <is>
          <t>Aquitaine</t>
        </is>
      </c>
      <c r="AK521" s="16" t="n">
        <v>3</v>
      </c>
      <c r="AL521" s="10" t="inlineStr">
        <is>
          <t>Oui</t>
        </is>
      </c>
      <c r="AM521" s="10" t="inlineStr">
        <is>
          <t>Non</t>
        </is>
      </c>
      <c r="AN521" s="10" t="inlineStr">
        <is>
          <t>Porsche Boxster 2,7 l 240 cv cabriolet 16 cv. Première mise en circulation le 20/06/2005 134 200 km. Je vends le véhicule suite à un changement de projet (achat d'un Cayman). Véhicule en parfait état, entretenu chez un spécialiste Porsche. Peinture entièrement refaite en 2023 chez un carrossier, donc état extérieur impeccable. Sièges en cuir rouge en très bon état (teinte rare sur cette série). Elargisseurs présents sur la voie arrière Dernier contrôle technique réalisé le 147/09/2026 : Vierge D</t>
        </is>
      </c>
      <c r="AO521" s="10" t="inlineStr">
        <is>
          <t>vehicle_technical_inspection_valid : Non ; Dommages : Non endommagé ; Sellerie : Tout cuir ; Permis : Avec permis ; Importé : false</t>
        </is>
      </c>
      <c r="AP521" s="19" t="inlineStr">
        <is>
          <t>Voir</t>
        </is>
      </c>
      <c r="AQ521" s="10" t="inlineStr">
        <is>
          <t>3213417811</t>
        </is>
      </c>
    </row>
    <row r="522">
      <c r="A522" s="10" t="inlineStr">
        <is>
          <t>Porsche Boxster 987</t>
        </is>
      </c>
      <c r="B522" s="10" t="inlineStr">
        <is>
          <t>Porsche BOXSTER (987) 3.2 S ENTRETIEN COMPLET</t>
        </is>
      </c>
      <c r="C522" s="10" t="inlineStr">
        <is>
          <t>Boxster 3.2 S</t>
        </is>
      </c>
      <c r="D522" s="10" t="inlineStr">
        <is>
          <t>S</t>
        </is>
      </c>
      <c r="E522" s="10" t="inlineStr">
        <is>
          <t>En vente</t>
        </is>
      </c>
      <c r="F522" s="18" t="n">
        <v>46294</v>
      </c>
      <c r="G522" s="18" t="n">
        <v>46294</v>
      </c>
      <c r="H522" s="18" t="n">
        <v>46310</v>
      </c>
      <c r="I522" s="18" t="n"/>
      <c r="J522" s="17">
        <f>IF(OR(ISNUMBER(F522),ISNUMBER(G522)),IF(ISNUMBER(I522),I522,H522)-IF(ISNUMBER(F522),F522,G522),"")</f>
        <v/>
      </c>
      <c r="K522" s="12" t="n">
        <v>28490</v>
      </c>
      <c r="L522" s="12" t="n">
        <v>28490</v>
      </c>
      <c r="M522" s="13">
        <f>IF(AND(ISNUMBER(K522),ISNUMBER(L522),K522&gt;0),1-L522/K522,"")</f>
        <v/>
      </c>
      <c r="N522" s="16" t="n">
        <v>0</v>
      </c>
      <c r="O522" s="12" t="n"/>
      <c r="P522" s="12" t="n"/>
      <c r="Q522" s="12" t="n"/>
      <c r="R522" s="14">
        <f>IF(AND(ISNUMBER(L522),ISNUMBER(P522),ISNUMBER(Q522)),L522/((P522+Q522)/2)-1,"")</f>
        <v/>
      </c>
      <c r="S522" s="10" t="n"/>
      <c r="T522" s="15" t="n">
        <v>138000</v>
      </c>
      <c r="U522" s="16" t="n">
        <v>2005</v>
      </c>
      <c r="V522" s="10" t="inlineStr">
        <is>
          <t>04/2005</t>
        </is>
      </c>
      <c r="W522" s="10" t="inlineStr">
        <is>
          <t>Essence</t>
        </is>
      </c>
      <c r="X522" s="10" t="inlineStr">
        <is>
          <t>Manuelle</t>
        </is>
      </c>
      <c r="Y522" s="16" t="n">
        <v>280</v>
      </c>
      <c r="Z522" s="16" t="n">
        <v>19</v>
      </c>
      <c r="AA522" s="10" t="inlineStr">
        <is>
          <t>Bleu</t>
        </is>
      </c>
      <c r="AB522" s="16" t="n"/>
      <c r="AC522" s="10" t="inlineStr">
        <is>
          <t>Cabriolet</t>
        </is>
      </c>
      <c r="AD522" s="10" t="n"/>
      <c r="AE522" s="10" t="n"/>
      <c r="AF522" s="10" t="inlineStr">
        <is>
          <t>Pro</t>
        </is>
      </c>
      <c r="AG522" s="10" t="inlineStr">
        <is>
          <t>Bazouges Cré sur Loir</t>
        </is>
      </c>
      <c r="AH522" s="10" t="inlineStr">
        <is>
          <t>72200</t>
        </is>
      </c>
      <c r="AI522" s="10" t="inlineStr">
        <is>
          <t>Sarthe</t>
        </is>
      </c>
      <c r="AJ522" s="10" t="inlineStr">
        <is>
          <t>Pays de la Loire</t>
        </is>
      </c>
      <c r="AK522" s="16" t="n">
        <v>30</v>
      </c>
      <c r="AL522" s="10" t="n"/>
      <c r="AM522" s="10" t="inlineStr">
        <is>
          <t>Non</t>
        </is>
      </c>
      <c r="AN522" s="10" t="inlineStr">
        <is>
          <t>Porsche BOXSTER (987) 3.2 S ENTRETIEN COMPLET, (Cabriolet), BLEU, 19cv, mise en circulation le 16-04-2005, garantie 12 mois (12 MOIS). 2 places, couleur intérieur : BLEU, longueur : 4,33 mètres, boîte de vitesse : manuelle OPTIONS ET EQUIPEMENTS : Audio - Télécommunications - Radio CD Conduite - Régulateur de vitesse Extérieur - Jantes Alu - Peinture métal - Rétroviseurs électriques dégivrants Intérieur - Clim automatique - Clim manuelle - Direction assistée - Ordinateur de bord - Sièges avant c</t>
        </is>
      </c>
      <c r="AO522" s="10" t="inlineStr">
        <is>
          <t>Permis : Avec permis ; VO récent : false ; custom_ref : 207 ; Importé : true ; vehicle_history_report_status : visible ; spare_parts_availability : Non renseignée</t>
        </is>
      </c>
      <c r="AP522" s="19" t="inlineStr">
        <is>
          <t>Voir</t>
        </is>
      </c>
      <c r="AQ522" s="10" t="inlineStr">
        <is>
          <t>3213662086</t>
        </is>
      </c>
    </row>
    <row r="523">
      <c r="A523" s="10" t="inlineStr">
        <is>
          <t>Porsche Boxster 987</t>
        </is>
      </c>
      <c r="B523" s="10" t="inlineStr">
        <is>
          <t>PORSCHE BOXSTER 987 phase 2</t>
        </is>
      </c>
      <c r="C523" s="10" t="n"/>
      <c r="D523" s="10" t="n"/>
      <c r="E523" s="10" t="inlineStr">
        <is>
          <t>En vente</t>
        </is>
      </c>
      <c r="F523" s="18" t="n">
        <v>46304</v>
      </c>
      <c r="G523" s="18" t="n">
        <v>46304</v>
      </c>
      <c r="H523" s="18" t="n">
        <v>46310</v>
      </c>
      <c r="I523" s="18" t="n"/>
      <c r="J523" s="17">
        <f>IF(OR(ISNUMBER(F523),ISNUMBER(G523)),IF(ISNUMBER(I523),I523,H523)-IF(ISNUMBER(F523),F523,G523),"")</f>
        <v/>
      </c>
      <c r="K523" s="12" t="n">
        <v>34500</v>
      </c>
      <c r="L523" s="12" t="n">
        <v>34500</v>
      </c>
      <c r="M523" s="13">
        <f>IF(AND(ISNUMBER(K523),ISNUMBER(L523),K523&gt;0),1-L523/K523,"")</f>
        <v/>
      </c>
      <c r="N523" s="16" t="n">
        <v>0</v>
      </c>
      <c r="O523" s="12" t="n"/>
      <c r="P523" s="12" t="n"/>
      <c r="Q523" s="12" t="n"/>
      <c r="R523" s="14">
        <f>IF(AND(ISNUMBER(L523),ISNUMBER(P523),ISNUMBER(Q523)),L523/((P523+Q523)/2)-1,"")</f>
        <v/>
      </c>
      <c r="S523" s="10" t="n"/>
      <c r="T523" s="15" t="n">
        <v>147000</v>
      </c>
      <c r="U523" s="16" t="n">
        <v>2010</v>
      </c>
      <c r="V523" s="10" t="inlineStr">
        <is>
          <t>06/2010</t>
        </is>
      </c>
      <c r="W523" s="10" t="inlineStr">
        <is>
          <t>Essence</t>
        </is>
      </c>
      <c r="X523" s="10" t="inlineStr">
        <is>
          <t>Automatique</t>
        </is>
      </c>
      <c r="Y523" s="16" t="n">
        <v>255</v>
      </c>
      <c r="Z523" s="16" t="n">
        <v>17</v>
      </c>
      <c r="AA523" s="10" t="inlineStr">
        <is>
          <t>Marron</t>
        </is>
      </c>
      <c r="AB523" s="16" t="n">
        <v>2</v>
      </c>
      <c r="AC523" s="10" t="inlineStr">
        <is>
          <t>Cabriolet</t>
        </is>
      </c>
      <c r="AD523" s="10" t="n"/>
      <c r="AE523" s="10" t="n"/>
      <c r="AF523" s="10" t="inlineStr">
        <is>
          <t>Particulier</t>
        </is>
      </c>
      <c r="AG523" s="10" t="inlineStr">
        <is>
          <t>Allauch</t>
        </is>
      </c>
      <c r="AH523" s="10" t="inlineStr">
        <is>
          <t>13190</t>
        </is>
      </c>
      <c r="AI523" s="10" t="inlineStr">
        <is>
          <t>Bouches-du-Rhône</t>
        </is>
      </c>
      <c r="AJ523" s="10" t="inlineStr">
        <is>
          <t>Provence-Alpes-Côte d'Azur</t>
        </is>
      </c>
      <c r="AK523" s="16" t="n">
        <v>3</v>
      </c>
      <c r="AL523" s="10" t="n"/>
      <c r="AM523" s="10" t="inlineStr">
        <is>
          <t>Non</t>
        </is>
      </c>
      <c r="AN523" s="10" t="inlineStr">
        <is>
          <t>BOXSTER 2,9l 06/2010 Véhicule Français, état proche du neuf Factures d'achat du véhicule neuf avec toutes les options, Carnet d'entretien a jour, toutes les Factures d'entretien [ chez Porsche uniquement], tous les contrôles technique Aucun travaux a prévoir Stationne dans un garage Pour plus de renseignements me contacter par mail . Pas de dépôt vente pas de professionnel</t>
        </is>
      </c>
      <c r="AO523" s="10" t="inlineStr">
        <is>
          <t>vehicle_technical_inspection_valid : Non ; Dommages : Excellent état (proche du neuf) ; Sellerie : Tout cuir ; Permis : Avec permis ; ad_warranty_type : essential ; Importé : false</t>
        </is>
      </c>
      <c r="AP523" s="19" t="inlineStr">
        <is>
          <t>Voir</t>
        </is>
      </c>
      <c r="AQ523" s="10" t="inlineStr">
        <is>
          <t>3214095058</t>
        </is>
      </c>
    </row>
    <row r="524">
      <c r="A524" s="10" t="inlineStr">
        <is>
          <t>Porsche Boxster 987</t>
        </is>
      </c>
      <c r="B524" s="10" t="inlineStr">
        <is>
          <t>Porsche Boxster II (987.2) 2.9 BVM ORIGINE FRANCE</t>
        </is>
      </c>
      <c r="C524" s="10" t="inlineStr">
        <is>
          <t>Boxster 2.9</t>
        </is>
      </c>
      <c r="D524" s="10" t="inlineStr">
        <is>
          <t>Base</t>
        </is>
      </c>
      <c r="E524" s="10" t="inlineStr">
        <is>
          <t>En vente</t>
        </is>
      </c>
      <c r="F524" s="18" t="n">
        <v>46298</v>
      </c>
      <c r="G524" s="18" t="n">
        <v>46298</v>
      </c>
      <c r="H524" s="18" t="n">
        <v>46310</v>
      </c>
      <c r="I524" s="18" t="n"/>
      <c r="J524" s="17">
        <f>IF(OR(ISNUMBER(F524),ISNUMBER(G524)),IF(ISNUMBER(I524),I524,H524)-IF(ISNUMBER(F524),F524,G524),"")</f>
        <v/>
      </c>
      <c r="K524" s="12" t="n">
        <v>38990</v>
      </c>
      <c r="L524" s="12" t="n">
        <v>38990</v>
      </c>
      <c r="M524" s="13">
        <f>IF(AND(ISNUMBER(K524),ISNUMBER(L524),K524&gt;0),1-L524/K524,"")</f>
        <v/>
      </c>
      <c r="N524" s="16" t="n">
        <v>0</v>
      </c>
      <c r="O524" s="12" t="n"/>
      <c r="P524" s="12" t="n"/>
      <c r="Q524" s="12" t="n"/>
      <c r="R524" s="14">
        <f>IF(AND(ISNUMBER(L524),ISNUMBER(P524),ISNUMBER(Q524)),L524/((P524+Q524)/2)-1,"")</f>
        <v/>
      </c>
      <c r="S524" s="10" t="n"/>
      <c r="T524" s="15" t="n">
        <v>64000</v>
      </c>
      <c r="U524" s="16" t="n">
        <v>2010</v>
      </c>
      <c r="V524" s="10" t="inlineStr">
        <is>
          <t>07/2010</t>
        </is>
      </c>
      <c r="W524" s="10" t="inlineStr">
        <is>
          <t>Essence</t>
        </is>
      </c>
      <c r="X524" s="10" t="inlineStr">
        <is>
          <t>Manuelle</t>
        </is>
      </c>
      <c r="Y524" s="16" t="n">
        <v>256</v>
      </c>
      <c r="Z524" s="16" t="n">
        <v>17</v>
      </c>
      <c r="AA524" s="10" t="inlineStr">
        <is>
          <t>Blanc</t>
        </is>
      </c>
      <c r="AB524" s="16" t="n">
        <v>2</v>
      </c>
      <c r="AC524" s="10" t="inlineStr">
        <is>
          <t>Cabriolet</t>
        </is>
      </c>
      <c r="AD524" s="10" t="inlineStr">
        <is>
          <t>Carnet d'entretien disponible</t>
        </is>
      </c>
      <c r="AE524" s="10" t="n"/>
      <c r="AF524" s="10" t="inlineStr">
        <is>
          <t>Pro</t>
        </is>
      </c>
      <c r="AG524" s="10" t="inlineStr">
        <is>
          <t>Roquebrune-sur-Argens</t>
        </is>
      </c>
      <c r="AH524" s="10" t="inlineStr">
        <is>
          <t>83520</t>
        </is>
      </c>
      <c r="AI524" s="10" t="inlineStr">
        <is>
          <t>Var</t>
        </is>
      </c>
      <c r="AJ524" s="10" t="inlineStr">
        <is>
          <t>Provence-Alpes-Côte d'Azur</t>
        </is>
      </c>
      <c r="AK524" s="16" t="n">
        <v>21</v>
      </c>
      <c r="AL524" s="10" t="inlineStr">
        <is>
          <t>Oui</t>
        </is>
      </c>
      <c r="AM524" s="10" t="inlineStr">
        <is>
          <t>Non</t>
        </is>
      </c>
      <c r="AN524" s="10" t="inlineStr">
        <is>
          <t>Porsche Boxster II (987.2) 2.9 BVM ORIGINE FRANCE cabriolet, blanc, 17 cv, 2 portes, première mise en circulation le 13/07/2010, garantie 6 mois. - ENTRETIEN À JOUR PORSCHE &amp; SPÉCIALISTES - VÉHICULE FRANÇAIS, PAS DE MALUS ! - RIEN À PRÉVOIR - CARNET TAMPONNÉ ET FACTURES - PHASE 2 - PAS CONCERNÉ PAR LES CYLINDRES OU L'IMS - FAIBLE KILOMÉTRAGE CERTIFIÉ - VISITE OU VISIO SUR RDV - REPRISES POSSIBLE AU PLAISIR DE VOUS RENCONTRER ET DE VOUS FAIRE PARTAGER NOTRE PASSION. *Des erreurs peuvent se glisse</t>
        </is>
      </c>
      <c r="AO524" s="10" t="inlineStr">
        <is>
          <t>vehicle_technical_inspection_valid : Oui ; Équipements intérieurs : Aide au stationnement, Bluetooth, Climatisation, Ordinateur de bord, Phares anti-brouillard, Régulateur de vitesse, Système de navigation ; Permis : Avec permis ; VO récent : false ; custom_ref : 352 ; Importé : true ; vehicle_history_report_status : visible ; spare_parts_availability : Non renseignée</t>
        </is>
      </c>
      <c r="AP524" s="19" t="inlineStr">
        <is>
          <t>Voir</t>
        </is>
      </c>
      <c r="AQ524" s="10" t="inlineStr">
        <is>
          <t>3215149218</t>
        </is>
      </c>
    </row>
    <row r="525">
      <c r="A525" s="10" t="inlineStr">
        <is>
          <t>Porsche Boxster 987</t>
        </is>
      </c>
      <c r="B525" s="10" t="inlineStr">
        <is>
          <t>Porsche Boxster 987 2.9 PDK 255 ch Sport Chrono + Yellow speed + Sportdesign</t>
        </is>
      </c>
      <c r="C525" s="10" t="inlineStr">
        <is>
          <t>Boxster 2.9 PDK</t>
        </is>
      </c>
      <c r="D525" s="10" t="inlineStr">
        <is>
          <t>Base</t>
        </is>
      </c>
      <c r="E525" s="10" t="inlineStr">
        <is>
          <t>En vente</t>
        </is>
      </c>
      <c r="F525" s="18" t="n">
        <v>46263</v>
      </c>
      <c r="G525" s="18" t="n">
        <v>46263</v>
      </c>
      <c r="H525" s="18" t="n">
        <v>46310</v>
      </c>
      <c r="I525" s="18" t="n"/>
      <c r="J525" s="17">
        <f>IF(OR(ISNUMBER(F525),ISNUMBER(G525)),IF(ISNUMBER(I525),I525,H525)-IF(ISNUMBER(F525),F525,G525),"")</f>
        <v/>
      </c>
      <c r="K525" s="12" t="n">
        <v>35990</v>
      </c>
      <c r="L525" s="12" t="n">
        <v>35990</v>
      </c>
      <c r="M525" s="13">
        <f>IF(AND(ISNUMBER(K525),ISNUMBER(L525),K525&gt;0),1-L525/K525,"")</f>
        <v/>
      </c>
      <c r="N525" s="16" t="n">
        <v>0</v>
      </c>
      <c r="O525" s="12" t="n"/>
      <c r="P525" s="12" t="n"/>
      <c r="Q525" s="12" t="n"/>
      <c r="R525" s="14">
        <f>IF(AND(ISNUMBER(L525),ISNUMBER(P525),ISNUMBER(Q525)),L525/((P525+Q525)/2)-1,"")</f>
        <v/>
      </c>
      <c r="S525" s="10" t="n"/>
      <c r="T525" s="15" t="n">
        <v>108000</v>
      </c>
      <c r="U525" s="16" t="n">
        <v>2009</v>
      </c>
      <c r="V525" s="10" t="inlineStr">
        <is>
          <t>03/2009</t>
        </is>
      </c>
      <c r="W525" s="10" t="inlineStr">
        <is>
          <t>Essence</t>
        </is>
      </c>
      <c r="X525" s="10" t="inlineStr">
        <is>
          <t>Automatique</t>
        </is>
      </c>
      <c r="Y525" s="16" t="n">
        <v>255</v>
      </c>
      <c r="Z525" s="16" t="n">
        <v>17</v>
      </c>
      <c r="AA525" s="10" t="inlineStr">
        <is>
          <t>Jaune</t>
        </is>
      </c>
      <c r="AB525" s="16" t="n">
        <v>2</v>
      </c>
      <c r="AC525" s="10" t="inlineStr">
        <is>
          <t>Cabriolet</t>
        </is>
      </c>
      <c r="AD525" s="10" t="n"/>
      <c r="AE525" s="10" t="n"/>
      <c r="AF525" s="10" t="inlineStr">
        <is>
          <t>Pro</t>
        </is>
      </c>
      <c r="AG525" s="10" t="inlineStr">
        <is>
          <t>Villenave-d'Ornon</t>
        </is>
      </c>
      <c r="AH525" s="10" t="inlineStr">
        <is>
          <t>33140</t>
        </is>
      </c>
      <c r="AI525" s="10" t="inlineStr">
        <is>
          <t>Gironde</t>
        </is>
      </c>
      <c r="AJ525" s="10" t="inlineStr">
        <is>
          <t>Aquitaine</t>
        </is>
      </c>
      <c r="AK525" s="16" t="n">
        <v>17</v>
      </c>
      <c r="AL525" s="10" t="inlineStr">
        <is>
          <t>Oui</t>
        </is>
      </c>
      <c r="AM525" s="10" t="inlineStr">
        <is>
          <t>Non</t>
        </is>
      </c>
      <c r="AN525" s="10" t="inlineStr">
        <is>
          <t>Porsche Boxster 987 2.9 PDK 255 ch Sport Chrono + Yellow speed + Sportdesign, cabriolet, jaune, 17 cv, 2 portes, première mise en circulation le 01/03/2009, garantie : 6 mois. Prix TTC : 35 990 € Extérieur : Système de stabilisation dynamique PSM évolué (Porsche Stability Management) - Porsche Side Impact Protection System (POSIP) - Rétroviseurs extérieurs (double bras) à réglage électrique, chauffants,et asphérique côté conducteur - Aileron AR télescopique - Etriers de frein Noirs anodisés - Pr</t>
        </is>
      </c>
      <c r="AO525" s="10" t="inlineStr">
        <is>
          <t>Permis : Avec permis ; VO récent : false ; custom_ref : 4538 ; Importé : true ; spare_parts_availability : Non renseignée</t>
        </is>
      </c>
      <c r="AP525" s="19" t="inlineStr">
        <is>
          <t>Voir</t>
        </is>
      </c>
      <c r="AQ525" s="10" t="inlineStr">
        <is>
          <t>3227303911</t>
        </is>
      </c>
    </row>
    <row r="526">
      <c r="A526" s="10" t="inlineStr">
        <is>
          <t>Porsche Boxster 987</t>
        </is>
      </c>
      <c r="B526" s="10" t="inlineStr">
        <is>
          <t>Porsche Boxster 987</t>
        </is>
      </c>
      <c r="C526" s="10" t="n"/>
      <c r="D526" s="10" t="n"/>
      <c r="E526" s="10" t="inlineStr">
        <is>
          <t>En vente</t>
        </is>
      </c>
      <c r="F526" s="18" t="n">
        <v>46279</v>
      </c>
      <c r="G526" s="18" t="n">
        <v>46279</v>
      </c>
      <c r="H526" s="18" t="n">
        <v>46310</v>
      </c>
      <c r="I526" s="18" t="n"/>
      <c r="J526" s="17">
        <f>IF(OR(ISNUMBER(F526),ISNUMBER(G526)),IF(ISNUMBER(I526),I526,H526)-IF(ISNUMBER(F526),F526,G526),"")</f>
        <v/>
      </c>
      <c r="K526" s="12" t="n">
        <v>28990</v>
      </c>
      <c r="L526" s="12" t="n">
        <v>28990</v>
      </c>
      <c r="M526" s="13">
        <f>IF(AND(ISNUMBER(K526),ISNUMBER(L526),K526&gt;0),1-L526/K526,"")</f>
        <v/>
      </c>
      <c r="N526" s="16" t="n">
        <v>0</v>
      </c>
      <c r="O526" s="12" t="n"/>
      <c r="P526" s="12" t="n"/>
      <c r="Q526" s="12" t="n"/>
      <c r="R526" s="14">
        <f>IF(AND(ISNUMBER(L526),ISNUMBER(P526),ISNUMBER(Q526)),L526/((P526+Q526)/2)-1,"")</f>
        <v/>
      </c>
      <c r="S526" s="10" t="n"/>
      <c r="T526" s="15" t="n">
        <v>64900</v>
      </c>
      <c r="U526" s="16" t="n">
        <v>2005</v>
      </c>
      <c r="V526" s="10" t="inlineStr">
        <is>
          <t>02/2005</t>
        </is>
      </c>
      <c r="W526" s="10" t="inlineStr">
        <is>
          <t>Essence</t>
        </is>
      </c>
      <c r="X526" s="10" t="inlineStr">
        <is>
          <t>Manuelle</t>
        </is>
      </c>
      <c r="Y526" s="16" t="n">
        <v>240</v>
      </c>
      <c r="Z526" s="16" t="n">
        <v>16</v>
      </c>
      <c r="AA526" s="10" t="inlineStr">
        <is>
          <t>Bleu</t>
        </is>
      </c>
      <c r="AB526" s="16" t="n">
        <v>2</v>
      </c>
      <c r="AC526" s="10" t="inlineStr">
        <is>
          <t>Cabriolet</t>
        </is>
      </c>
      <c r="AD526" s="10" t="n"/>
      <c r="AE526" s="10" t="n"/>
      <c r="AF526" s="10" t="inlineStr">
        <is>
          <t>Pro</t>
        </is>
      </c>
      <c r="AG526" s="10" t="inlineStr">
        <is>
          <t>Vieux-Charmont</t>
        </is>
      </c>
      <c r="AH526" s="10" t="inlineStr">
        <is>
          <t>25600</t>
        </is>
      </c>
      <c r="AI526" s="10" t="inlineStr">
        <is>
          <t>Doubs</t>
        </is>
      </c>
      <c r="AJ526" s="10" t="inlineStr">
        <is>
          <t>Franche-Comté</t>
        </is>
      </c>
      <c r="AK526" s="16" t="n">
        <v>10</v>
      </c>
      <c r="AL526" s="10" t="n"/>
      <c r="AM526" s="10" t="inlineStr">
        <is>
          <t>Non</t>
        </is>
      </c>
      <c r="AN526" s="10" t="inlineStr">
        <is>
          <t>MCG PROPULSION vous propose à la vente INFORMATIONS GENERALES · Modèle : Porsche Boxster 987 · 1ère mise en circulation : 22/02/2005 / Année : 2005 · Kilométrage : 064 900 km · Puissance : 240 CV / 16 CV · Boîte de vitesses : Boîte manuelle 5 rapports · Version pays : Origine Suisse Garantie 12 mois ÉQUIPEMENTS ET CARACTÉRISTIQUES CONFORT ET CONDUITE Couleur extérieur Gris Atlas métallisé avec des reflets légèrement bleutés Couleur intérieur Noir Climatisation Pare-vent Sellerie des sièges avant</t>
        </is>
      </c>
      <c r="AO526" s="10" t="inlineStr">
        <is>
          <t>vehicle_technical_inspection_valid : Non ; Permis : Avec permis ; Vente en LOA/LLD : Non ; VO récent : false ; vehicle_commercial_warranty : Non ; vehicle_manufacturer_warranty : Non ; Importé : false ; spare_parts_availability : Non renseignée</t>
        </is>
      </c>
      <c r="AP526" s="19" t="inlineStr">
        <is>
          <t>Voir</t>
        </is>
      </c>
      <c r="AQ526" s="10" t="inlineStr">
        <is>
          <t>3232184088</t>
        </is>
      </c>
    </row>
    <row r="527">
      <c r="A527" s="10" t="inlineStr">
        <is>
          <t>Porsche Boxster 987</t>
        </is>
      </c>
      <c r="B527" s="10" t="inlineStr">
        <is>
          <t>Porsche BOXSTER (987) 2.7 245CH</t>
        </is>
      </c>
      <c r="C527" s="10" t="inlineStr">
        <is>
          <t>Boxster 2.7 245ch</t>
        </is>
      </c>
      <c r="D527" s="10" t="inlineStr">
        <is>
          <t>Base</t>
        </is>
      </c>
      <c r="E527" s="10" t="inlineStr">
        <is>
          <t>En vente</t>
        </is>
      </c>
      <c r="F527" s="18" t="n">
        <v>46288</v>
      </c>
      <c r="G527" s="18" t="n">
        <v>46288</v>
      </c>
      <c r="H527" s="18" t="n">
        <v>46310</v>
      </c>
      <c r="I527" s="18" t="n"/>
      <c r="J527" s="17">
        <f>IF(OR(ISNUMBER(F527),ISNUMBER(G527)),IF(ISNUMBER(I527),I527,H527)-IF(ISNUMBER(F527),F527,G527),"")</f>
        <v/>
      </c>
      <c r="K527" s="12" t="n">
        <v>26900</v>
      </c>
      <c r="L527" s="12" t="n">
        <v>26900</v>
      </c>
      <c r="M527" s="13">
        <f>IF(AND(ISNUMBER(K527),ISNUMBER(L527),K527&gt;0),1-L527/K527,"")</f>
        <v/>
      </c>
      <c r="N527" s="16" t="n">
        <v>0</v>
      </c>
      <c r="O527" s="12" t="n"/>
      <c r="P527" s="12" t="n"/>
      <c r="Q527" s="12" t="n"/>
      <c r="R527" s="14">
        <f>IF(AND(ISNUMBER(L527),ISNUMBER(P527),ISNUMBER(Q527)),L527/((P527+Q527)/2)-1,"")</f>
        <v/>
      </c>
      <c r="S527" s="10" t="n"/>
      <c r="T527" s="15" t="n">
        <v>97000</v>
      </c>
      <c r="U527" s="16" t="n">
        <v>2006</v>
      </c>
      <c r="V527" s="10" t="inlineStr">
        <is>
          <t>09/2006</t>
        </is>
      </c>
      <c r="W527" s="10" t="inlineStr">
        <is>
          <t>Essence</t>
        </is>
      </c>
      <c r="X527" s="10" t="inlineStr">
        <is>
          <t>Manuelle</t>
        </is>
      </c>
      <c r="Y527" s="16" t="n">
        <v>245</v>
      </c>
      <c r="Z527" s="16" t="n">
        <v>16</v>
      </c>
      <c r="AA527" s="10" t="inlineStr">
        <is>
          <t>Gris</t>
        </is>
      </c>
      <c r="AB527" s="16" t="n">
        <v>2</v>
      </c>
      <c r="AC527" s="10" t="inlineStr">
        <is>
          <t>Cabriolet</t>
        </is>
      </c>
      <c r="AD527" s="10" t="n"/>
      <c r="AE527" s="10" t="n"/>
      <c r="AF527" s="10" t="inlineStr">
        <is>
          <t>Pro</t>
        </is>
      </c>
      <c r="AG527" s="10" t="inlineStr">
        <is>
          <t>La Chapelle-Gauthier</t>
        </is>
      </c>
      <c r="AH527" s="10" t="inlineStr">
        <is>
          <t>77720</t>
        </is>
      </c>
      <c r="AI527" s="10" t="inlineStr">
        <is>
          <t>Seine-et-Marne</t>
        </is>
      </c>
      <c r="AJ527" s="10" t="inlineStr">
        <is>
          <t>Ile-de-France</t>
        </is>
      </c>
      <c r="AK527" s="16" t="n">
        <v>30</v>
      </c>
      <c r="AL527" s="10" t="n"/>
      <c r="AM527" s="10" t="inlineStr">
        <is>
          <t>Non</t>
        </is>
      </c>
      <c r="AN527" s="10" t="inlineStr">
        <is>
          <t>Porsche BOXSTER (987) 2.7 245CH, (Cabriolet), GRIS, 16cv, 2 portes, mise en circulation le 19-09-2006, garantie 12 mois (12 MOIS GARANTIE M). 2 places, couleur intérieur : NOIR, longueur : 4,33 mètres, boîte de vitesse : manuelle OPTIONS ET EQUIPEMENTS : Audio - Télécommunications - GPS Cartographique - Radio CD Conduite - Régulateur de vitesse Extérieur - Peinture métal - Radar de recul - Rétroviseurs électriques dégivrants Intérieur - Clim automatique - Direction assistée - Sièges avant chauff</t>
        </is>
      </c>
      <c r="AO527" s="10" t="inlineStr">
        <is>
          <t>Permis : Avec permis ; VO récent : false ; custom_ref : 1459 ; Importé : true ; vehicle_history_report_status : visible ; spare_parts_availability : Non renseignée</t>
        </is>
      </c>
      <c r="AP527" s="19" t="inlineStr">
        <is>
          <t>Voir</t>
        </is>
      </c>
      <c r="AQ527" s="10" t="inlineStr">
        <is>
          <t>3241715497</t>
        </is>
      </c>
    </row>
    <row r="528">
      <c r="A528" s="10" t="inlineStr">
        <is>
          <t>Porsche Boxster 987</t>
        </is>
      </c>
      <c r="B528" s="10" t="inlineStr">
        <is>
          <t>Porsche Boxster 987-2.7L 240 ch</t>
        </is>
      </c>
      <c r="C528" s="10" t="n"/>
      <c r="D528" s="10" t="n"/>
      <c r="E528" s="10" t="inlineStr">
        <is>
          <t>En vente</t>
        </is>
      </c>
      <c r="F528" s="18" t="n">
        <v>46309</v>
      </c>
      <c r="G528" s="18" t="n">
        <v>46309</v>
      </c>
      <c r="H528" s="18" t="n">
        <v>46310</v>
      </c>
      <c r="I528" s="18" t="n"/>
      <c r="J528" s="17">
        <f>IF(OR(ISNUMBER(F528),ISNUMBER(G528)),IF(ISNUMBER(I528),I528,H528)-IF(ISNUMBER(F528),F528,G528),"")</f>
        <v/>
      </c>
      <c r="K528" s="12" t="n">
        <v>28000</v>
      </c>
      <c r="L528" s="12" t="n">
        <v>28000</v>
      </c>
      <c r="M528" s="13">
        <f>IF(AND(ISNUMBER(K528),ISNUMBER(L528),K528&gt;0),1-L528/K528,"")</f>
        <v/>
      </c>
      <c r="N528" s="16" t="n">
        <v>0</v>
      </c>
      <c r="O528" s="12" t="n"/>
      <c r="P528" s="12" t="n"/>
      <c r="Q528" s="12" t="n"/>
      <c r="R528" s="14">
        <f>IF(AND(ISNUMBER(L528),ISNUMBER(P528),ISNUMBER(Q528)),L528/((P528+Q528)/2)-1,"")</f>
        <v/>
      </c>
      <c r="S528" s="10" t="n"/>
      <c r="T528" s="15" t="n">
        <v>110500</v>
      </c>
      <c r="U528" s="16" t="n">
        <v>2005</v>
      </c>
      <c r="V528" s="10" t="inlineStr">
        <is>
          <t>03/2005</t>
        </is>
      </c>
      <c r="W528" s="10" t="inlineStr">
        <is>
          <t>Essence</t>
        </is>
      </c>
      <c r="X528" s="10" t="inlineStr">
        <is>
          <t>Manuelle</t>
        </is>
      </c>
      <c r="Y528" s="16" t="n">
        <v>240</v>
      </c>
      <c r="Z528" s="16" t="n">
        <v>16</v>
      </c>
      <c r="AA528" s="10" t="inlineStr">
        <is>
          <t>Bleu</t>
        </is>
      </c>
      <c r="AB528" s="16" t="n">
        <v>2</v>
      </c>
      <c r="AC528" s="10" t="inlineStr">
        <is>
          <t>Cabriolet</t>
        </is>
      </c>
      <c r="AD528" s="10" t="inlineStr">
        <is>
          <t>Carnet d'entretien disponible, Factures disponibles, Véhicule non fumeur, Réparations utiles déjà faites</t>
        </is>
      </c>
      <c r="AE528" s="10" t="n"/>
      <c r="AF528" s="10" t="inlineStr">
        <is>
          <t>Particulier</t>
        </is>
      </c>
      <c r="AG528" s="10" t="inlineStr">
        <is>
          <t>Magalas</t>
        </is>
      </c>
      <c r="AH528" s="10" t="inlineStr">
        <is>
          <t>34480</t>
        </is>
      </c>
      <c r="AI528" s="10" t="inlineStr">
        <is>
          <t>Hérault</t>
        </is>
      </c>
      <c r="AJ528" s="10" t="inlineStr">
        <is>
          <t>Languedoc-Roussillon</t>
        </is>
      </c>
      <c r="AK528" s="16" t="n">
        <v>3</v>
      </c>
      <c r="AL528" s="10" t="n"/>
      <c r="AM528" s="10" t="inlineStr">
        <is>
          <t>Non</t>
        </is>
      </c>
      <c r="AN528" s="10" t="inlineStr">
        <is>
          <t>Je vends ma Porsche Boxster 987 dans une superbe configuration Bleu marine / intérieur Havane, élégante ,rare et très recherchée. Configuration exceptionnelle. Origine France. Informations génerales : Année : 2005 KMS 110500 Boite manuelle. Jamais accidentée peu de propriétaires. Configuration &amp; Options (+15000€ d'Options): GPS Bluetooth Commandes au Volant Camera recul Rétroviseurs électriques. Sellerie cuir étendue avec tableau de bord cuir. Feux xenon . Régulateur / Limiteur de vitesse. Siège</t>
        </is>
      </c>
      <c r="AO528" s="10" t="inlineStr">
        <is>
          <t>vehicle_technical_inspection_valid : Non ; Dommages : Excellent état (proche du neuf) ; Sellerie : Tout cuir ; Équipements intérieurs : Aide au stationnement avec Caméra 360, Alarme antivol, Apple CarPlay / Android Auto, Bluetooth, Caméra de recul, Chargeur sans fil pour smartphone, Chargeurs USB, Climatisation, Coffre à ouverture électrique, Jantes en alliage, Ordinateur de bord, Pare-brise chauffant, Phares anti-brouillard, Phares LED / Xenon, Régulateur de vitesse, Rétroviseurs dégivrants, Sièges chauffants, Sièges en cuir, Sièges électriques, Système audio haut de gamme, Système de navigation, Volant réglable en hauteur, Volant réglable en profondeur ; Permis : Avec permis ; Importé : false</t>
        </is>
      </c>
      <c r="AP528" s="19" t="inlineStr">
        <is>
          <t>Voir</t>
        </is>
      </c>
      <c r="AQ528" s="10" t="inlineStr">
        <is>
          <t>3244467786</t>
        </is>
      </c>
    </row>
    <row r="529">
      <c r="A529" s="10" t="inlineStr">
        <is>
          <t>Porsche Boxster 987</t>
        </is>
      </c>
      <c r="B529" s="10" t="inlineStr">
        <is>
          <t>PORSCHE BOXSTER 987-1 3.2 i Cabriolet 280cv</t>
        </is>
      </c>
      <c r="C529" s="10" t="n"/>
      <c r="D529" s="10" t="inlineStr">
        <is>
          <t>S</t>
        </is>
      </c>
      <c r="E529" s="10" t="inlineStr">
        <is>
          <t>En vente</t>
        </is>
      </c>
      <c r="F529" s="18" t="n">
        <v>46254</v>
      </c>
      <c r="G529" s="18" t="n">
        <v>46254</v>
      </c>
      <c r="H529" s="18" t="n">
        <v>46310</v>
      </c>
      <c r="I529" s="18" t="n"/>
      <c r="J529" s="17">
        <f>IF(OR(ISNUMBER(F529),ISNUMBER(G529)),IF(ISNUMBER(I529),I529,H529)-IF(ISNUMBER(F529),F529,G529),"")</f>
        <v/>
      </c>
      <c r="K529" s="12" t="n">
        <v>26000</v>
      </c>
      <c r="L529" s="12" t="n">
        <v>26000</v>
      </c>
      <c r="M529" s="13">
        <f>IF(AND(ISNUMBER(K529),ISNUMBER(L529),K529&gt;0),1-L529/K529,"")</f>
        <v/>
      </c>
      <c r="N529" s="16" t="n">
        <v>0</v>
      </c>
      <c r="O529" s="12" t="n">
        <v>26990</v>
      </c>
      <c r="P529" s="12" t="n"/>
      <c r="Q529" s="12" t="n"/>
      <c r="R529" s="14">
        <f>IF(AND(ISNUMBER(L529),ISNUMBER(P529),ISNUMBER(Q529)),L529/((P529+Q529)/2)-1,"")</f>
        <v/>
      </c>
      <c r="S529" s="10" t="n"/>
      <c r="T529" s="15" t="n">
        <v>157100</v>
      </c>
      <c r="U529" s="16" t="n">
        <v>2006</v>
      </c>
      <c r="V529" s="10" t="inlineStr">
        <is>
          <t>04/2006</t>
        </is>
      </c>
      <c r="W529" s="10" t="inlineStr">
        <is>
          <t>Essence</t>
        </is>
      </c>
      <c r="X529" s="10" t="inlineStr">
        <is>
          <t>Manuelle</t>
        </is>
      </c>
      <c r="Y529" s="16" t="n">
        <v>280</v>
      </c>
      <c r="Z529" s="16" t="n">
        <v>19</v>
      </c>
      <c r="AA529" s="10" t="inlineStr">
        <is>
          <t>Argent</t>
        </is>
      </c>
      <c r="AB529" s="16" t="n">
        <v>2</v>
      </c>
      <c r="AC529" s="10" t="inlineStr">
        <is>
          <t>Cabriolet</t>
        </is>
      </c>
      <c r="AD529" s="10" t="n"/>
      <c r="AE529" s="10" t="n"/>
      <c r="AF529" s="10" t="inlineStr">
        <is>
          <t>Pro</t>
        </is>
      </c>
      <c r="AG529" s="10" t="inlineStr">
        <is>
          <t>Toulouse</t>
        </is>
      </c>
      <c r="AH529" s="10" t="inlineStr">
        <is>
          <t>31000</t>
        </is>
      </c>
      <c r="AI529" s="10" t="inlineStr">
        <is>
          <t>Haute-Garonne</t>
        </is>
      </c>
      <c r="AJ529" s="10" t="inlineStr">
        <is>
          <t>Midi-Pyrénées</t>
        </is>
      </c>
      <c r="AK529" s="16" t="n">
        <v>13</v>
      </c>
      <c r="AL529" s="10" t="inlineStr">
        <is>
          <t>Oui</t>
        </is>
      </c>
      <c r="AM529" s="10" t="inlineStr">
        <is>
          <t>Non</t>
        </is>
      </c>
      <c r="AN529" s="10" t="inlineStr">
        <is>
          <t>PORSCHE BOXSTER 987-1 3.2 i Cabriolet 280cv ** CARNET PORSCHE** ** REVISION FAITE POUR LA VENTE ** ** VEHICULE PARFAIT ETAT** EQUIPEMENT / OPTIONS Extérieur peinture metal Jantes Alu Rétroviseurs électriques dégivrants Intérieur Climatisation Direction assistée Ordinateur de bord Verrouillage centralisé des portes Vitres avant électriques Sellerie Sellerie cuir Sécurité ABS Airbags latéraux avant Airbags rideaux Antipatinage ESP Phares antibrouillard ————————————————————— PRIX : 26990 € PRIX HOR</t>
        </is>
      </c>
      <c r="AO529" s="10" t="inlineStr">
        <is>
          <t>vehicle_technical_inspection_valid : Non ; Dommages : Bon état général ; Sellerie : Tout cuir ; Permis : Avec permis ; Vente en LOA/LLD : Non ; VO récent : false ; vehicle_commercial_warranty : Non ; vehicle_manufacturer_warranty : Non ; custom_ref : HPBOXSTER ; Importé : false ; vehicle_history_report_status : visible ; spare_parts_availability : Non renseignée</t>
        </is>
      </c>
      <c r="AP529" s="19" t="inlineStr">
        <is>
          <t>Voir</t>
        </is>
      </c>
      <c r="AQ529" s="10" t="inlineStr">
        <is>
          <t>3249020837</t>
        </is>
      </c>
    </row>
    <row r="530">
      <c r="A530" s="10" t="inlineStr">
        <is>
          <t>Porsche Boxster 987</t>
        </is>
      </c>
      <c r="B530" s="10" t="inlineStr">
        <is>
          <t>Porsche Boxster II (987) 2.9</t>
        </is>
      </c>
      <c r="C530" s="10" t="inlineStr">
        <is>
          <t>Boxster 2.9</t>
        </is>
      </c>
      <c r="D530" s="10" t="inlineStr">
        <is>
          <t>Base</t>
        </is>
      </c>
      <c r="E530" s="10" t="inlineStr">
        <is>
          <t>En vente</t>
        </is>
      </c>
      <c r="F530" s="18" t="n">
        <v>46262</v>
      </c>
      <c r="G530" s="18" t="n">
        <v>46262</v>
      </c>
      <c r="H530" s="18" t="n">
        <v>46310</v>
      </c>
      <c r="I530" s="18" t="n"/>
      <c r="J530" s="17">
        <f>IF(OR(ISNUMBER(F530),ISNUMBER(G530)),IF(ISNUMBER(I530),I530,H530)-IF(ISNUMBER(F530),F530,G530),"")</f>
        <v/>
      </c>
      <c r="K530" s="12" t="n">
        <v>39990</v>
      </c>
      <c r="L530" s="12" t="n">
        <v>39990</v>
      </c>
      <c r="M530" s="13">
        <f>IF(AND(ISNUMBER(K530),ISNUMBER(L530),K530&gt;0),1-L530/K530,"")</f>
        <v/>
      </c>
      <c r="N530" s="16" t="n">
        <v>0</v>
      </c>
      <c r="O530" s="12" t="n"/>
      <c r="P530" s="12" t="n"/>
      <c r="Q530" s="12" t="n"/>
      <c r="R530" s="14">
        <f>IF(AND(ISNUMBER(L530),ISNUMBER(P530),ISNUMBER(Q530)),L530/((P530+Q530)/2)-1,"")</f>
        <v/>
      </c>
      <c r="S530" s="10" t="n"/>
      <c r="T530" s="15" t="n">
        <v>97000</v>
      </c>
      <c r="U530" s="16" t="n">
        <v>2010</v>
      </c>
      <c r="V530" s="10" t="inlineStr">
        <is>
          <t>04/2010</t>
        </is>
      </c>
      <c r="W530" s="10" t="inlineStr">
        <is>
          <t>Essence</t>
        </is>
      </c>
      <c r="X530" s="10" t="inlineStr">
        <is>
          <t>Manuelle</t>
        </is>
      </c>
      <c r="Y530" s="16" t="n">
        <v>256</v>
      </c>
      <c r="Z530" s="16" t="n">
        <v>17</v>
      </c>
      <c r="AA530" s="10" t="inlineStr">
        <is>
          <t>Rouge</t>
        </is>
      </c>
      <c r="AB530" s="16" t="n">
        <v>2</v>
      </c>
      <c r="AC530" s="10" t="inlineStr">
        <is>
          <t>Cabriolet</t>
        </is>
      </c>
      <c r="AD530" s="10" t="inlineStr">
        <is>
          <t>Carnet d'entretien disponible</t>
        </is>
      </c>
      <c r="AE530" s="10" t="n"/>
      <c r="AF530" s="10" t="inlineStr">
        <is>
          <t>Pro</t>
        </is>
      </c>
      <c r="AG530" s="10" t="inlineStr">
        <is>
          <t>Roquebrune-sur-Argens</t>
        </is>
      </c>
      <c r="AH530" s="10" t="inlineStr">
        <is>
          <t>83520</t>
        </is>
      </c>
      <c r="AI530" s="10" t="inlineStr">
        <is>
          <t>Var</t>
        </is>
      </c>
      <c r="AJ530" s="10" t="inlineStr">
        <is>
          <t>Provence-Alpes-Côte d'Azur</t>
        </is>
      </c>
      <c r="AK530" s="16" t="n">
        <v>29</v>
      </c>
      <c r="AL530" s="10" t="inlineStr">
        <is>
          <t>Oui</t>
        </is>
      </c>
      <c r="AM530" s="10" t="inlineStr">
        <is>
          <t>Non</t>
        </is>
      </c>
      <c r="AN530" s="10" t="inlineStr">
        <is>
          <t>Porsche Boxster II (987) 2.9 cabriolet, rouge, 17 cv, 2 portes, couleur intérieure : noir, première mise en circulation le 21/04/2010, garantie 6 mois. Magnifique Porsche Boxster dans sa sublime teinte Rouge Indien, sublimée par une configuration boîte manuelle, particulièrement recherchée par les passionnés. Son échappement Sport Porsche vient renforcer le caractère et la sonorité du flat-six pour une expérience de conduite encore plus immersive. Un exemplaire à la configuration élégante et spo</t>
        </is>
      </c>
      <c r="AO530" s="10" t="inlineStr">
        <is>
          <t>vehicle_technical_inspection_valid : Oui ; Équipements intérieurs : Aide au stationnement, Climatisation ; Permis : Avec permis ; VO récent : false ; custom_ref : 420 ; Importé : true ; vehicle_history_report_status : visible ; spare_parts_availability : Non renseignée</t>
        </is>
      </c>
      <c r="AP530" s="19" t="inlineStr">
        <is>
          <t>Voir</t>
        </is>
      </c>
      <c r="AQ530" s="10" t="inlineStr">
        <is>
          <t>3258520263</t>
        </is>
      </c>
    </row>
    <row r="531">
      <c r="A531" s="10" t="inlineStr">
        <is>
          <t>Porsche Boxster 987</t>
        </is>
      </c>
      <c r="B531" s="10" t="inlineStr">
        <is>
          <t>Porsche Boxster 987.1 2.7L 240CV</t>
        </is>
      </c>
      <c r="C531" s="10" t="inlineStr">
        <is>
          <t>Boxster 2.7</t>
        </is>
      </c>
      <c r="D531" s="10" t="inlineStr">
        <is>
          <t>Base</t>
        </is>
      </c>
      <c r="E531" s="10" t="inlineStr">
        <is>
          <t>En vente</t>
        </is>
      </c>
      <c r="F531" s="18" t="n">
        <v>46274</v>
      </c>
      <c r="G531" s="18" t="n">
        <v>46274</v>
      </c>
      <c r="H531" s="18" t="n">
        <v>46310</v>
      </c>
      <c r="I531" s="18" t="n"/>
      <c r="J531" s="17">
        <f>IF(OR(ISNUMBER(F531),ISNUMBER(G531)),IF(ISNUMBER(I531),I531,H531)-IF(ISNUMBER(F531),F531,G531),"")</f>
        <v/>
      </c>
      <c r="K531" s="12" t="n">
        <v>28000</v>
      </c>
      <c r="L531" s="12" t="n">
        <v>28000</v>
      </c>
      <c r="M531" s="13">
        <f>IF(AND(ISNUMBER(K531),ISNUMBER(L531),K531&gt;0),1-L531/K531,"")</f>
        <v/>
      </c>
      <c r="N531" s="16" t="n">
        <v>0</v>
      </c>
      <c r="O531" s="12" t="n">
        <v>29990</v>
      </c>
      <c r="P531" s="12" t="n"/>
      <c r="Q531" s="12" t="n"/>
      <c r="R531" s="14">
        <f>IF(AND(ISNUMBER(L531),ISNUMBER(P531),ISNUMBER(Q531)),L531/((P531+Q531)/2)-1,"")</f>
        <v/>
      </c>
      <c r="S531" s="10" t="n"/>
      <c r="T531" s="15" t="n">
        <v>35000</v>
      </c>
      <c r="U531" s="16" t="n">
        <v>2005</v>
      </c>
      <c r="V531" s="10" t="inlineStr">
        <is>
          <t>06/2005</t>
        </is>
      </c>
      <c r="W531" s="10" t="inlineStr">
        <is>
          <t>Essence</t>
        </is>
      </c>
      <c r="X531" s="10" t="inlineStr">
        <is>
          <t>Manuelle</t>
        </is>
      </c>
      <c r="Y531" s="16" t="n">
        <v>240</v>
      </c>
      <c r="Z531" s="16" t="n">
        <v>16</v>
      </c>
      <c r="AA531" s="10" t="inlineStr">
        <is>
          <t>Noir</t>
        </is>
      </c>
      <c r="AB531" s="16" t="n">
        <v>2</v>
      </c>
      <c r="AC531" s="10" t="inlineStr">
        <is>
          <t>Cabriolet</t>
        </is>
      </c>
      <c r="AD531" s="10" t="inlineStr">
        <is>
          <t>Carnet d'entretien disponible, Réparations utiles déjà faites</t>
        </is>
      </c>
      <c r="AE531" s="10" t="inlineStr">
        <is>
          <t>Véhicule importé</t>
        </is>
      </c>
      <c r="AF531" s="10" t="inlineStr">
        <is>
          <t>Particulier</t>
        </is>
      </c>
      <c r="AG531" s="10" t="inlineStr">
        <is>
          <t>Chaumes-en-Retz</t>
        </is>
      </c>
      <c r="AH531" s="10" t="inlineStr">
        <is>
          <t>44320</t>
        </is>
      </c>
      <c r="AI531" s="10" t="inlineStr">
        <is>
          <t>Loire-Atlantique</t>
        </is>
      </c>
      <c r="AJ531" s="10" t="inlineStr">
        <is>
          <t>Pays de la Loire</t>
        </is>
      </c>
      <c r="AK531" s="16" t="n">
        <v>7</v>
      </c>
      <c r="AL531" s="10" t="n"/>
      <c r="AM531" s="10" t="inlineStr">
        <is>
          <t>Non</t>
        </is>
      </c>
      <c r="AN531" s="10" t="inlineStr">
        <is>
          <t>Je vends mon boxster 987.1 - Flat 6 de 2.7L 240cv (16cv Fiscaux) car je n'ai plus le temps de la sortir et je ne souhaite pas la faire dormir trop longtemps, alors autant que ce cabriolet et ce superbe moteur procure du plaisir à l'un d'entre vous. Le véhicule a eu un changement de moteur, la carrosserie totalise actuellement 112 000km, le moteur et la boite de vitesse ont étés remplacés suite aux problèmes d'IMS chez PORSCHE changement réalisé aux 78 000km du véhicule, le moteur totalise actuel</t>
        </is>
      </c>
      <c r="AO531" s="10" t="inlineStr">
        <is>
          <t>Dommages : Bon état général ; Sellerie : Tout cuir ; Équipements intérieurs : Aide au stationnement, Climatisation, Jantes en alliage, Ordinateur de bord, Phares LED / Xenon, Régulateur de vitesse, Rétroviseurs dégivrants, Sièges en cuir, Sièges électriques, Toit ouvrant / Toit panoramique, Volant réglable en hauteur, Volant réglable en profondeur ; vehicle_euro_emissions_standard : Euro 3 ; Permis : Avec permis ; Importé : false</t>
        </is>
      </c>
      <c r="AP531" s="19" t="inlineStr">
        <is>
          <t>Voir</t>
        </is>
      </c>
      <c r="AQ531" s="10" t="inlineStr">
        <is>
          <t>3266721735</t>
        </is>
      </c>
    </row>
    <row r="532">
      <c r="A532" s="10" t="inlineStr">
        <is>
          <t>Porsche Boxster 987</t>
        </is>
      </c>
      <c r="B532" s="10" t="inlineStr">
        <is>
          <t>Porsche Boxster S (987.2) 3.4 310ch PDK - Pack Chrono / Sport Design PCM</t>
        </is>
      </c>
      <c r="C532" s="10" t="inlineStr">
        <is>
          <t>Boxster 3.4 S PDK</t>
        </is>
      </c>
      <c r="D532" s="10" t="inlineStr">
        <is>
          <t>S</t>
        </is>
      </c>
      <c r="E532" s="10" t="inlineStr">
        <is>
          <t>En vente</t>
        </is>
      </c>
      <c r="F532" s="18" t="n">
        <v>46280</v>
      </c>
      <c r="G532" s="18" t="n">
        <v>46280</v>
      </c>
      <c r="H532" s="18" t="n">
        <v>46310</v>
      </c>
      <c r="I532" s="18" t="n"/>
      <c r="J532" s="17">
        <f>IF(OR(ISNUMBER(F532),ISNUMBER(G532)),IF(ISNUMBER(I532),I532,H532)-IF(ISNUMBER(F532),F532,G532),"")</f>
        <v/>
      </c>
      <c r="K532" s="12" t="n">
        <v>36990</v>
      </c>
      <c r="L532" s="12" t="n">
        <v>36990</v>
      </c>
      <c r="M532" s="13">
        <f>IF(AND(ISNUMBER(K532),ISNUMBER(L532),K532&gt;0),1-L532/K532,"")</f>
        <v/>
      </c>
      <c r="N532" s="16" t="n">
        <v>0</v>
      </c>
      <c r="O532" s="12" t="n"/>
      <c r="P532" s="12" t="n"/>
      <c r="Q532" s="12" t="n"/>
      <c r="R532" s="14">
        <f>IF(AND(ISNUMBER(L532),ISNUMBER(P532),ISNUMBER(Q532)),L532/((P532+Q532)/2)-1,"")</f>
        <v/>
      </c>
      <c r="S532" s="10" t="n"/>
      <c r="T532" s="15" t="n">
        <v>74600</v>
      </c>
      <c r="U532" s="16" t="n">
        <v>2011</v>
      </c>
      <c r="V532" s="10" t="inlineStr">
        <is>
          <t>11/2011</t>
        </is>
      </c>
      <c r="W532" s="10" t="inlineStr">
        <is>
          <t>Essence</t>
        </is>
      </c>
      <c r="X532" s="10" t="inlineStr">
        <is>
          <t>Automatique</t>
        </is>
      </c>
      <c r="Y532" s="16" t="n">
        <v>310</v>
      </c>
      <c r="Z532" s="16" t="n">
        <v>21</v>
      </c>
      <c r="AA532" s="10" t="inlineStr">
        <is>
          <t>Noir</t>
        </is>
      </c>
      <c r="AB532" s="16" t="n">
        <v>2</v>
      </c>
      <c r="AC532" s="10" t="inlineStr">
        <is>
          <t>Cabriolet</t>
        </is>
      </c>
      <c r="AD532" s="10" t="inlineStr">
        <is>
          <t>Carnet d'entretien disponible</t>
        </is>
      </c>
      <c r="AE532" s="10" t="n"/>
      <c r="AF532" s="10" t="inlineStr">
        <is>
          <t>Pro</t>
        </is>
      </c>
      <c r="AG532" s="10" t="inlineStr">
        <is>
          <t>Jons</t>
        </is>
      </c>
      <c r="AH532" s="10" t="inlineStr">
        <is>
          <t>69330</t>
        </is>
      </c>
      <c r="AI532" s="10" t="inlineStr">
        <is>
          <t>Rhône</t>
        </is>
      </c>
      <c r="AJ532" s="10" t="inlineStr">
        <is>
          <t>Rhône-Alpes</t>
        </is>
      </c>
      <c r="AK532" s="16" t="n">
        <v>13</v>
      </c>
      <c r="AL532" s="10" t="inlineStr">
        <is>
          <t>Oui</t>
        </is>
      </c>
      <c r="AM532" s="10" t="inlineStr">
        <is>
          <t>Non</t>
        </is>
      </c>
      <c r="AN532" s="10" t="inlineStr">
        <is>
          <t xml:space="preserve">Porsche Boxster S (987.2) 3.4 310ch PDK - Pack Chrono / Sport Design PCM cabriolet, noir, 21 cv, 2 portes, couleur intérieure : beige, première mise en circulation le 01/11/2011, garantie 6 mois. Chez Hexagone Motors, nous sélectionnons, contrôlons et inspectons avec soin tous nos véhicules pour nous assurer de vous proposer des produits de qualité. Nous vous proposons à la commande chez notre fournisseur cette magnifique Porsche Boxster S type 987.2 en boîte PDK, affichant seulement 74 600 km. </t>
        </is>
      </c>
      <c r="AO532" s="10" t="inlineStr">
        <is>
          <t>vehicle_technical_inspection_valid : Oui ; Équipements intérieurs : 4 roues motrices, Aide au stationnement, Climatisation, Jantes en alliage, Ordinateur de bord, Phares anti-brouillard, Système de navigation, Vitres électriques arrières, Volant chauffant ; Permis : Avec permis ; VO récent : false ; custom_ref : 238 ; Importé : true ; spare_parts_availability : Non renseignée</t>
        </is>
      </c>
      <c r="AP532" s="19" t="inlineStr">
        <is>
          <t>Voir</t>
        </is>
      </c>
      <c r="AQ532" s="10" t="inlineStr">
        <is>
          <t>3270378486</t>
        </is>
      </c>
    </row>
    <row r="533">
      <c r="A533" s="10" t="inlineStr">
        <is>
          <t>Porsche Boxster 987</t>
        </is>
      </c>
      <c r="B533" s="10" t="inlineStr">
        <is>
          <t>Porsche boxster 987</t>
        </is>
      </c>
      <c r="C533" s="10" t="n"/>
      <c r="D533" s="10" t="n"/>
      <c r="E533" s="10" t="inlineStr">
        <is>
          <t>En vente</t>
        </is>
      </c>
      <c r="F533" s="18" t="n">
        <v>46286</v>
      </c>
      <c r="G533" s="18" t="n">
        <v>46286</v>
      </c>
      <c r="H533" s="18" t="n">
        <v>46310</v>
      </c>
      <c r="I533" s="18" t="n"/>
      <c r="J533" s="17">
        <f>IF(OR(ISNUMBER(F533),ISNUMBER(G533)),IF(ISNUMBER(I533),I533,H533)-IF(ISNUMBER(F533),F533,G533),"")</f>
        <v/>
      </c>
      <c r="K533" s="12" t="n">
        <v>25900</v>
      </c>
      <c r="L533" s="12" t="n">
        <v>25900</v>
      </c>
      <c r="M533" s="13">
        <f>IF(AND(ISNUMBER(K533),ISNUMBER(L533),K533&gt;0),1-L533/K533,"")</f>
        <v/>
      </c>
      <c r="N533" s="16" t="n">
        <v>0</v>
      </c>
      <c r="O533" s="12" t="n"/>
      <c r="P533" s="12" t="n"/>
      <c r="Q533" s="12" t="n"/>
      <c r="R533" s="14">
        <f>IF(AND(ISNUMBER(L533),ISNUMBER(P533),ISNUMBER(Q533)),L533/((P533+Q533)/2)-1,"")</f>
        <v/>
      </c>
      <c r="S533" s="10" t="n"/>
      <c r="T533" s="15" t="n">
        <v>100900</v>
      </c>
      <c r="U533" s="16" t="n">
        <v>2006</v>
      </c>
      <c r="V533" s="10" t="n"/>
      <c r="W533" s="10" t="inlineStr">
        <is>
          <t>Essence</t>
        </is>
      </c>
      <c r="X533" s="10" t="inlineStr">
        <is>
          <t>Automatique</t>
        </is>
      </c>
      <c r="Y533" s="16" t="n">
        <v>240</v>
      </c>
      <c r="Z533" s="16" t="n">
        <v>16</v>
      </c>
      <c r="AA533" s="10" t="inlineStr">
        <is>
          <t>Autre</t>
        </is>
      </c>
      <c r="AB533" s="16" t="n">
        <v>2</v>
      </c>
      <c r="AC533" s="10" t="inlineStr">
        <is>
          <t>Cabriolet</t>
        </is>
      </c>
      <c r="AD533" s="10" t="inlineStr">
        <is>
          <t>Factures disponibles</t>
        </is>
      </c>
      <c r="AE533" s="10" t="n"/>
      <c r="AF533" s="10" t="inlineStr">
        <is>
          <t>Particulier</t>
        </is>
      </c>
      <c r="AG533" s="10" t="inlineStr">
        <is>
          <t>Bourg-la-Reine</t>
        </is>
      </c>
      <c r="AH533" s="10" t="inlineStr">
        <is>
          <t>92340</t>
        </is>
      </c>
      <c r="AI533" s="10" t="inlineStr">
        <is>
          <t>Hauts-de-Seine</t>
        </is>
      </c>
      <c r="AJ533" s="10" t="inlineStr">
        <is>
          <t>Ile-de-France</t>
        </is>
      </c>
      <c r="AK533" s="16" t="n">
        <v>3</v>
      </c>
      <c r="AL533" s="10" t="n"/>
      <c r="AM533" s="10" t="inlineStr">
        <is>
          <t>Non</t>
        </is>
      </c>
      <c r="AN533" s="10" t="inlineStr">
        <is>
          <t>Porsche Boxster 987 2.7 240 ch Tiptronic S Magnifique Porsche Boxster 987 2.7 240 ch Tiptronic S, mise en circulation en 2005, affichant environ 100 000 km. Très bel exemplaire, particulièrement bien présenté, avec une carrosserie très propre et un intérieur soigneusement conservé. Points forts et équipements * Moteur 2.7 – 240 ch * Boîte automatique Tiptronic S * Pack Sport Chrono * PASM – Porsche Active Suspension Management * Aileron arrière électrique * Jantes 19 pouces noires * 4 Michelin P</t>
        </is>
      </c>
      <c r="AO533" s="10" t="inlineStr">
        <is>
          <t>Sellerie : Cuir partiel, Alcantara ; Équipements intérieurs : Allumage automatique des phares, Apple CarPlay / Android Auto, Bluetooth, Caméra de recul, Climatisation, Essuie-glaces automatiques, Jantes en alliage ; Permis : Avec permis ; Importé : false ; vehicle_history_report_status : hidden</t>
        </is>
      </c>
      <c r="AP533" s="19" t="inlineStr">
        <is>
          <t>Voir</t>
        </is>
      </c>
      <c r="AQ533" s="10" t="inlineStr">
        <is>
          <t>3273797460</t>
        </is>
      </c>
    </row>
    <row r="534">
      <c r="A534" s="10" t="inlineStr">
        <is>
          <t>Porsche Boxster 987</t>
        </is>
      </c>
      <c r="B534" s="10" t="inlineStr">
        <is>
          <t>Porsche Boxster 987 2.7 240CH</t>
        </is>
      </c>
      <c r="C534" s="10" t="inlineStr">
        <is>
          <t>Boxster 2.7</t>
        </is>
      </c>
      <c r="D534" s="10" t="inlineStr">
        <is>
          <t>Base</t>
        </is>
      </c>
      <c r="E534" s="10" t="inlineStr">
        <is>
          <t>En vente</t>
        </is>
      </c>
      <c r="F534" s="18" t="n">
        <v>46289</v>
      </c>
      <c r="G534" s="18" t="n">
        <v>46289</v>
      </c>
      <c r="H534" s="18" t="n">
        <v>46310</v>
      </c>
      <c r="I534" s="18" t="n"/>
      <c r="J534" s="17">
        <f>IF(OR(ISNUMBER(F534),ISNUMBER(G534)),IF(ISNUMBER(I534),I534,H534)-IF(ISNUMBER(F534),F534,G534),"")</f>
        <v/>
      </c>
      <c r="K534" s="12" t="n">
        <v>24990</v>
      </c>
      <c r="L534" s="12" t="n">
        <v>24990</v>
      </c>
      <c r="M534" s="13">
        <f>IF(AND(ISNUMBER(K534),ISNUMBER(L534),K534&gt;0),1-L534/K534,"")</f>
        <v/>
      </c>
      <c r="N534" s="16" t="n">
        <v>0</v>
      </c>
      <c r="O534" s="12" t="n"/>
      <c r="P534" s="12" t="n"/>
      <c r="Q534" s="12" t="n"/>
      <c r="R534" s="14">
        <f>IF(AND(ISNUMBER(L534),ISNUMBER(P534),ISNUMBER(Q534)),L534/((P534+Q534)/2)-1,"")</f>
        <v/>
      </c>
      <c r="S534" s="10" t="n"/>
      <c r="T534" s="15" t="n">
        <v>160459</v>
      </c>
      <c r="U534" s="16" t="n">
        <v>2005</v>
      </c>
      <c r="V534" s="10" t="inlineStr">
        <is>
          <t>10/2005</t>
        </is>
      </c>
      <c r="W534" s="10" t="inlineStr">
        <is>
          <t>Essence</t>
        </is>
      </c>
      <c r="X534" s="10" t="inlineStr">
        <is>
          <t>Manuelle</t>
        </is>
      </c>
      <c r="Y534" s="16" t="n">
        <v>239</v>
      </c>
      <c r="Z534" s="16" t="n">
        <v>16</v>
      </c>
      <c r="AA534" s="10" t="inlineStr">
        <is>
          <t>Bleu</t>
        </is>
      </c>
      <c r="AB534" s="16" t="n">
        <v>2</v>
      </c>
      <c r="AC534" s="10" t="inlineStr">
        <is>
          <t>Cabriolet</t>
        </is>
      </c>
      <c r="AD534" s="10" t="n"/>
      <c r="AE534" s="10" t="n"/>
      <c r="AF534" s="10" t="inlineStr">
        <is>
          <t>Pro</t>
        </is>
      </c>
      <c r="AG534" s="10" t="inlineStr">
        <is>
          <t>Marquise</t>
        </is>
      </c>
      <c r="AH534" s="10" t="inlineStr">
        <is>
          <t>62250</t>
        </is>
      </c>
      <c r="AI534" s="10" t="inlineStr">
        <is>
          <t>Pas-de-Calais</t>
        </is>
      </c>
      <c r="AJ534" s="10" t="inlineStr">
        <is>
          <t>Nord-Pas-de-Calais</t>
        </is>
      </c>
      <c r="AK534" s="16" t="n">
        <v>7</v>
      </c>
      <c r="AL534" s="10" t="n"/>
      <c r="AM534" s="10" t="inlineStr">
        <is>
          <t>Non</t>
        </is>
      </c>
      <c r="AN534" s="10" t="inlineStr">
        <is>
          <t>Porsche Boxster 987 2.7 240CH cabriolet, bleu, 16 cv, 2 portes, première mise en circulation le 24/10/2005. CLS PRESTIGE AUTO vous propose PORSCHE BOXSTER 987 2.7 240CH Année :2005 Mise en circulation :24/10/2005 Kilométrage compteur: 160000 Énergie : Essence Boîte de vitesse : BVM5 Couleur extérieure : BLEU Couleur intérieure : GRIS Nombre de portes :2 Nombre de places :2 Puissance fiscale: 16CV Puissance din : 240ch ÉQUIPEMENTS ET OPTIONS: •EXTÉRIEUR ET CHÂSSIS: -Feux de jours a leds -Jantes t</t>
        </is>
      </c>
      <c r="AO534" s="10" t="inlineStr">
        <is>
          <t>Permis : Avec permis ; VO récent : false ; custom_ref : 458 ; Importé : true ; vehicle_history_report_status : visible ; spare_parts_availability : Non renseignée</t>
        </is>
      </c>
      <c r="AP534" s="19" t="inlineStr">
        <is>
          <t>Voir</t>
        </is>
      </c>
      <c r="AQ534" s="10" t="inlineStr">
        <is>
          <t>3275857883</t>
        </is>
      </c>
    </row>
    <row r="535">
      <c r="A535" s="10" t="inlineStr">
        <is>
          <t>Porsche Boxster 987</t>
        </is>
      </c>
      <c r="B535" s="10" t="inlineStr">
        <is>
          <t>Porsche Boxster 987 72500 kms 2006</t>
        </is>
      </c>
      <c r="C535" s="10" t="n"/>
      <c r="D535" s="10" t="n"/>
      <c r="E535" s="10" t="inlineStr">
        <is>
          <t>En vente</t>
        </is>
      </c>
      <c r="F535" s="18" t="n">
        <v>46290</v>
      </c>
      <c r="G535" s="18" t="n">
        <v>46290</v>
      </c>
      <c r="H535" s="18" t="n">
        <v>46310</v>
      </c>
      <c r="I535" s="18" t="n"/>
      <c r="J535" s="17">
        <f>IF(OR(ISNUMBER(F535),ISNUMBER(G535)),IF(ISNUMBER(I535),I535,H535)-IF(ISNUMBER(F535),F535,G535),"")</f>
        <v/>
      </c>
      <c r="K535" s="12" t="n">
        <v>28500</v>
      </c>
      <c r="L535" s="12" t="n">
        <v>28500</v>
      </c>
      <c r="M535" s="13">
        <f>IF(AND(ISNUMBER(K535),ISNUMBER(L535),K535&gt;0),1-L535/K535,"")</f>
        <v/>
      </c>
      <c r="N535" s="16" t="n">
        <v>0</v>
      </c>
      <c r="O535" s="12" t="n"/>
      <c r="P535" s="12" t="n"/>
      <c r="Q535" s="12" t="n"/>
      <c r="R535" s="14">
        <f>IF(AND(ISNUMBER(L535),ISNUMBER(P535),ISNUMBER(Q535)),L535/((P535+Q535)/2)-1,"")</f>
        <v/>
      </c>
      <c r="S535" s="10" t="n"/>
      <c r="T535" s="15" t="n">
        <v>72500</v>
      </c>
      <c r="U535" s="16" t="n">
        <v>2006</v>
      </c>
      <c r="V535" s="10" t="inlineStr">
        <is>
          <t>06/2006</t>
        </is>
      </c>
      <c r="W535" s="10" t="inlineStr">
        <is>
          <t>Essence</t>
        </is>
      </c>
      <c r="X535" s="10" t="inlineStr">
        <is>
          <t>Automatique</t>
        </is>
      </c>
      <c r="Y535" s="16" t="n">
        <v>240</v>
      </c>
      <c r="Z535" s="16" t="n">
        <v>16</v>
      </c>
      <c r="AA535" s="10" t="inlineStr">
        <is>
          <t>Bleu</t>
        </is>
      </c>
      <c r="AB535" s="16" t="n">
        <v>2</v>
      </c>
      <c r="AC535" s="10" t="inlineStr">
        <is>
          <t>Cabriolet</t>
        </is>
      </c>
      <c r="AD535" s="10" t="inlineStr">
        <is>
          <t>Carnet d'entretien disponible, Factures disponibles, Véhicule non fumeur, Réparations utiles déjà faites</t>
        </is>
      </c>
      <c r="AE535" s="10" t="inlineStr">
        <is>
          <t>Véhicule importé</t>
        </is>
      </c>
      <c r="AF535" s="10" t="inlineStr">
        <is>
          <t>Particulier</t>
        </is>
      </c>
      <c r="AG535" s="10" t="inlineStr">
        <is>
          <t>Castres</t>
        </is>
      </c>
      <c r="AH535" s="10" t="inlineStr">
        <is>
          <t>81100</t>
        </is>
      </c>
      <c r="AI535" s="10" t="inlineStr">
        <is>
          <t>Tarn</t>
        </is>
      </c>
      <c r="AJ535" s="10" t="inlineStr">
        <is>
          <t>Midi-Pyrénées</t>
        </is>
      </c>
      <c r="AK535" s="16" t="n">
        <v>6</v>
      </c>
      <c r="AL535" s="10" t="n"/>
      <c r="AM535" s="10" t="inlineStr">
        <is>
          <t>Non</t>
        </is>
      </c>
      <c r="AN535" s="10" t="inlineStr">
        <is>
          <t xml:space="preserve">Porsche Boxster 987 de 2006, historique complet. Je possède cette Boxster depuis 2022, acheté avec 65000 kms. Véhicule plaisir, avec lequel je roule finalement très peu. Ce pourquoi je m’en sépare. - Année : 2006 - Kilométrage : 72 500 km - Motorisation : 2.7 Essence 240 ch - Boîte de vitesses : Triptonic, révision et vidange faite en 2025. - Combo élégant: bleu nuit et intérieur cuir beige. - Double des clés, housse porsche et tous ses accessoires…. - Entretien rigoureux, préventif, suivi et à </t>
        </is>
      </c>
      <c r="AO535" s="10" t="inlineStr">
        <is>
          <t>Dommages : Excellent état (proche du neuf) ; Sellerie : Tout cuir ; Équipements intérieurs : Aide au stationnement, Alarme antivol ; Permis : Avec permis ; Importé : false</t>
        </is>
      </c>
      <c r="AP535" s="19" t="inlineStr">
        <is>
          <t>Voir</t>
        </is>
      </c>
      <c r="AQ535" s="10" t="inlineStr">
        <is>
          <t>3276480306</t>
        </is>
      </c>
    </row>
    <row r="536">
      <c r="A536" s="10" t="inlineStr">
        <is>
          <t>Porsche Boxster 987</t>
        </is>
      </c>
      <c r="B536" s="10" t="inlineStr">
        <is>
          <t>Porsche Boxster 987-3.4 310ch</t>
        </is>
      </c>
      <c r="C536" s="10" t="inlineStr">
        <is>
          <t>Boxster 3.4 S</t>
        </is>
      </c>
      <c r="D536" s="10" t="inlineStr">
        <is>
          <t>S</t>
        </is>
      </c>
      <c r="E536" s="10" t="inlineStr">
        <is>
          <t>En vente</t>
        </is>
      </c>
      <c r="F536" s="18" t="n">
        <v>46291</v>
      </c>
      <c r="G536" s="18" t="n">
        <v>46291</v>
      </c>
      <c r="H536" s="18" t="n">
        <v>46310</v>
      </c>
      <c r="I536" s="18" t="n"/>
      <c r="J536" s="17">
        <f>IF(OR(ISNUMBER(F536),ISNUMBER(G536)),IF(ISNUMBER(I536),I536,H536)-IF(ISNUMBER(F536),F536,G536),"")</f>
        <v/>
      </c>
      <c r="K536" s="12" t="n">
        <v>35500</v>
      </c>
      <c r="L536" s="12" t="n">
        <v>35500</v>
      </c>
      <c r="M536" s="13">
        <f>IF(AND(ISNUMBER(K536),ISNUMBER(L536),K536&gt;0),1-L536/K536,"")</f>
        <v/>
      </c>
      <c r="N536" s="16" t="n">
        <v>0</v>
      </c>
      <c r="O536" s="12" t="n"/>
      <c r="P536" s="12" t="n"/>
      <c r="Q536" s="12" t="n"/>
      <c r="R536" s="14">
        <f>IF(AND(ISNUMBER(L536),ISNUMBER(P536),ISNUMBER(Q536)),L536/((P536+Q536)/2)-1,"")</f>
        <v/>
      </c>
      <c r="S536" s="10" t="n"/>
      <c r="T536" s="15" t="n">
        <v>94000</v>
      </c>
      <c r="U536" s="16" t="n">
        <v>2009</v>
      </c>
      <c r="V536" s="10" t="inlineStr">
        <is>
          <t>11/2009</t>
        </is>
      </c>
      <c r="W536" s="10" t="inlineStr">
        <is>
          <t>Essence</t>
        </is>
      </c>
      <c r="X536" s="10" t="inlineStr">
        <is>
          <t>Manuelle</t>
        </is>
      </c>
      <c r="Y536" s="16" t="n">
        <v>310</v>
      </c>
      <c r="Z536" s="16" t="n">
        <v>21</v>
      </c>
      <c r="AA536" s="10" t="inlineStr">
        <is>
          <t>Noir</t>
        </is>
      </c>
      <c r="AB536" s="16" t="n">
        <v>2</v>
      </c>
      <c r="AC536" s="10" t="inlineStr">
        <is>
          <t>Cabriolet</t>
        </is>
      </c>
      <c r="AD536" s="10" t="inlineStr">
        <is>
          <t>Carnet d'entretien disponible, Factures disponibles</t>
        </is>
      </c>
      <c r="AE536" s="10" t="n"/>
      <c r="AF536" s="10" t="inlineStr">
        <is>
          <t>Particulier</t>
        </is>
      </c>
      <c r="AG536" s="10" t="inlineStr">
        <is>
          <t>Verny</t>
        </is>
      </c>
      <c r="AH536" s="10" t="inlineStr">
        <is>
          <t>57420</t>
        </is>
      </c>
      <c r="AI536" s="10" t="inlineStr">
        <is>
          <t>Moselle</t>
        </is>
      </c>
      <c r="AJ536" s="10" t="inlineStr">
        <is>
          <t>Lorraine</t>
        </is>
      </c>
      <c r="AK536" s="16" t="n">
        <v>6</v>
      </c>
      <c r="AL536" s="10" t="n"/>
      <c r="AM536" s="10" t="inlineStr">
        <is>
          <t>Non</t>
        </is>
      </c>
      <c r="AN536" s="10" t="inlineStr">
        <is>
          <t>Porsche Boxster S , 3.4l 310ch, noire, intérieur cuir noir, 1ere mise en circulation 02/11/2009 Boîte mécanique 6v Jantes carrera 19 pouces, pneus Michelin Pilot Sport N2 Phare bi-Xénon directionnels, Sièges électriques chauffants, Régulateur de vitesse, Connection bluetooth téléphone mains libres Prise connection auxilliaire (IPhone/Mobile/Source musique), Entretien Concessionnaire Porsche exclusivement (carnet et factures), dernier entretien mai 2026 à 92 500km Véhicule possédé depuis Nov 2019</t>
        </is>
      </c>
      <c r="AO536" s="10" t="inlineStr">
        <is>
          <t>vehicle_technical_inspection_valid : Oui ; Dommages : Excellent état (proche du neuf) ; Sellerie : Tout cuir ; vehicle_euro_emissions_standard : Euro 5 ; Permis : Avec permis ; Importé : false</t>
        </is>
      </c>
      <c r="AP536" s="19" t="inlineStr">
        <is>
          <t>Voir</t>
        </is>
      </c>
      <c r="AQ536" s="10" t="inlineStr">
        <is>
          <t>3277083239</t>
        </is>
      </c>
    </row>
    <row r="537">
      <c r="A537" s="10" t="inlineStr">
        <is>
          <t>Porsche Boxster 987</t>
        </is>
      </c>
      <c r="B537" s="10" t="inlineStr">
        <is>
          <t>PORSCHE BOXSTER 987 2.7i 240 CH boite manuelle - Entretien Porsche - Test Piwi - Immat France</t>
        </is>
      </c>
      <c r="C537" s="10" t="inlineStr">
        <is>
          <t>Boxster 2.7</t>
        </is>
      </c>
      <c r="D537" s="10" t="inlineStr">
        <is>
          <t>Base</t>
        </is>
      </c>
      <c r="E537" s="10" t="inlineStr">
        <is>
          <t>En vente</t>
        </is>
      </c>
      <c r="F537" s="18" t="n">
        <v>46281</v>
      </c>
      <c r="G537" s="18" t="n">
        <v>46281</v>
      </c>
      <c r="H537" s="18" t="n">
        <v>46310</v>
      </c>
      <c r="I537" s="18" t="n"/>
      <c r="J537" s="17">
        <f>IF(OR(ISNUMBER(F537),ISNUMBER(G537)),IF(ISNUMBER(I537),I537,H537)-IF(ISNUMBER(F537),F537,G537),"")</f>
        <v/>
      </c>
      <c r="K537" s="12" t="n">
        <v>23490</v>
      </c>
      <c r="L537" s="12" t="n">
        <v>23490</v>
      </c>
      <c r="M537" s="13">
        <f>IF(AND(ISNUMBER(K537),ISNUMBER(L537),K537&gt;0),1-L537/K537,"")</f>
        <v/>
      </c>
      <c r="N537" s="16" t="n">
        <v>0</v>
      </c>
      <c r="O537" s="12" t="n"/>
      <c r="P537" s="12" t="n"/>
      <c r="Q537" s="12" t="n"/>
      <c r="R537" s="14">
        <f>IF(AND(ISNUMBER(L537),ISNUMBER(P537),ISNUMBER(Q537)),L537/((P537+Q537)/2)-1,"")</f>
        <v/>
      </c>
      <c r="S537" s="10" t="n"/>
      <c r="T537" s="15" t="n">
        <v>97500</v>
      </c>
      <c r="U537" s="16" t="n">
        <v>2005</v>
      </c>
      <c r="V537" s="10" t="inlineStr">
        <is>
          <t>07/2005</t>
        </is>
      </c>
      <c r="W537" s="10" t="inlineStr">
        <is>
          <t>Essence</t>
        </is>
      </c>
      <c r="X537" s="10" t="inlineStr">
        <is>
          <t>Manuelle</t>
        </is>
      </c>
      <c r="Y537" s="16" t="n">
        <v>240</v>
      </c>
      <c r="Z537" s="16" t="n">
        <v>16</v>
      </c>
      <c r="AA537" s="10" t="inlineStr">
        <is>
          <t>Noir</t>
        </is>
      </c>
      <c r="AB537" s="16" t="n">
        <v>2</v>
      </c>
      <c r="AC537" s="10" t="inlineStr">
        <is>
          <t>Cabriolet</t>
        </is>
      </c>
      <c r="AD537" s="10" t="inlineStr">
        <is>
          <t>Carnet d'entretien disponible, Factures disponibles</t>
        </is>
      </c>
      <c r="AE537" s="10" t="n"/>
      <c r="AF537" s="10" t="inlineStr">
        <is>
          <t>Pro</t>
        </is>
      </c>
      <c r="AG537" s="10" t="inlineStr">
        <is>
          <t>Lozanne</t>
        </is>
      </c>
      <c r="AH537" s="10" t="inlineStr">
        <is>
          <t>69380</t>
        </is>
      </c>
      <c r="AI537" s="10" t="inlineStr">
        <is>
          <t>Rhône</t>
        </is>
      </c>
      <c r="AJ537" s="10" t="inlineStr">
        <is>
          <t>Rhône-Alpes</t>
        </is>
      </c>
      <c r="AK537" s="16" t="n">
        <v>20</v>
      </c>
      <c r="AL537" s="10" t="inlineStr">
        <is>
          <t>Oui</t>
        </is>
      </c>
      <c r="AM537" s="10" t="inlineStr">
        <is>
          <t>Non</t>
        </is>
      </c>
      <c r="AN537" s="10" t="inlineStr">
        <is>
          <t>PORSCHE BOXSTER 2.7i 240 CH boite manuelle - Entretien Porsche _________________ Véhicule visible uniquement sur rendez-vous, du lundi au vendredi de 9h30 à 18h00 et le samedi de 10h00 à 16h00 _________________ Ce véhicule bénéficie d'une garantie de 3 mois. Possibilité d’extension jusqu’à 36 mois avec notre partenaire leader de la garantie mécanique Triomphe Garantie. Prix hors frais de formalités de 390 euros et carte grise en fonction du département. Reprise possible de votre ancien véhicule.</t>
        </is>
      </c>
      <c r="AO537" s="10" t="inlineStr">
        <is>
          <t>Dommages : Excellent état (proche du neuf) ; Sellerie : Tout cuir ; Équipements intérieurs : Apple CarPlay / Android Auto, Climatisation, Ordinateur de bord, Régulateur de vitesse, Sièges chauffants, Vitres électriques arrières ; Permis : Avec permis ; VO récent : false ; custom_ref : 1111-0002110 ; Importé : true ; vehicle_history_report_status : visible ; spare_parts_availability : Non renseignée</t>
        </is>
      </c>
      <c r="AP537" s="19" t="inlineStr">
        <is>
          <t>Voir</t>
        </is>
      </c>
      <c r="AQ537" s="10" t="inlineStr">
        <is>
          <t>3278139565</t>
        </is>
      </c>
    </row>
    <row r="538">
      <c r="A538" s="10" t="inlineStr">
        <is>
          <t>Porsche Boxster 987</t>
        </is>
      </c>
      <c r="B538" s="10" t="inlineStr">
        <is>
          <t>PORSCHE BOXSTER 2.7i - 245 TYPE 987 CABRIOLET</t>
        </is>
      </c>
      <c r="C538" s="10" t="inlineStr">
        <is>
          <t>Boxster 2.7 245ch</t>
        </is>
      </c>
      <c r="D538" s="10" t="inlineStr">
        <is>
          <t>Base</t>
        </is>
      </c>
      <c r="E538" s="10" t="inlineStr">
        <is>
          <t>En vente</t>
        </is>
      </c>
      <c r="F538" s="18" t="n">
        <v>46268</v>
      </c>
      <c r="G538" s="18" t="n">
        <v>46268</v>
      </c>
      <c r="H538" s="18" t="n">
        <v>46310</v>
      </c>
      <c r="I538" s="18" t="n"/>
      <c r="J538" s="17">
        <f>IF(OR(ISNUMBER(F538),ISNUMBER(G538)),IF(ISNUMBER(I538),I538,H538)-IF(ISNUMBER(F538),F538,G538),"")</f>
        <v/>
      </c>
      <c r="K538" s="12" t="n">
        <v>26990</v>
      </c>
      <c r="L538" s="12" t="n">
        <v>26990</v>
      </c>
      <c r="M538" s="13">
        <f>IF(AND(ISNUMBER(K538),ISNUMBER(L538),K538&gt;0),1-L538/K538,"")</f>
        <v/>
      </c>
      <c r="N538" s="16" t="n">
        <v>0</v>
      </c>
      <c r="O538" s="12" t="n"/>
      <c r="P538" s="12" t="n"/>
      <c r="Q538" s="12" t="n"/>
      <c r="R538" s="14">
        <f>IF(AND(ISNUMBER(L538),ISNUMBER(P538),ISNUMBER(Q538)),L538/((P538+Q538)/2)-1,"")</f>
        <v/>
      </c>
      <c r="S538" s="10" t="n"/>
      <c r="T538" s="15" t="n">
        <v>88000</v>
      </c>
      <c r="U538" s="16" t="n">
        <v>2007</v>
      </c>
      <c r="V538" s="10" t="inlineStr">
        <is>
          <t>01/2007</t>
        </is>
      </c>
      <c r="W538" s="10" t="inlineStr">
        <is>
          <t>Essence</t>
        </is>
      </c>
      <c r="X538" s="10" t="inlineStr">
        <is>
          <t>Manuelle</t>
        </is>
      </c>
      <c r="Y538" s="16" t="n">
        <v>245</v>
      </c>
      <c r="Z538" s="16" t="n">
        <v>16</v>
      </c>
      <c r="AA538" s="10" t="inlineStr">
        <is>
          <t>Bleu</t>
        </is>
      </c>
      <c r="AB538" s="16" t="n">
        <v>2</v>
      </c>
      <c r="AC538" s="10" t="inlineStr">
        <is>
          <t>Cabriolet</t>
        </is>
      </c>
      <c r="AD538" s="10" t="n"/>
      <c r="AE538" s="10" t="n"/>
      <c r="AF538" s="10" t="inlineStr">
        <is>
          <t>Pro</t>
        </is>
      </c>
      <c r="AG538" s="10" t="inlineStr">
        <is>
          <t>Saint-André-de-Corcy</t>
        </is>
      </c>
      <c r="AH538" s="10" t="inlineStr">
        <is>
          <t>01390</t>
        </is>
      </c>
      <c r="AI538" s="10" t="inlineStr">
        <is>
          <t>Ain</t>
        </is>
      </c>
      <c r="AJ538" s="10" t="inlineStr">
        <is>
          <t>Rhône-Alpes</t>
        </is>
      </c>
      <c r="AK538" s="16" t="n">
        <v>16</v>
      </c>
      <c r="AL538" s="10" t="inlineStr">
        <is>
          <t>Oui</t>
        </is>
      </c>
      <c r="AM538" s="10" t="inlineStr">
        <is>
          <t>Non</t>
        </is>
      </c>
      <c r="AN538" s="10" t="inlineStr">
        <is>
          <t>PORSCHE BOXSTER TYPE 987 2.7 245 CH - 2007 - 88 000 KM EMBRAYAGE REMPLACÉ - SUIVI COMPLET - CAPOTE EN TRÈS BON ÉTAT - FAIBLE KILOMÉTRAGE - AUCUN FRAIS À PRÉVOIR ---------------------------------------- LES POINTS FORTS DE CE BOXSTER Le flat-6 2.7 atmosphérique de 245 ch en position centrale arrière : sonorité envoûtante, équilibre de châssis qui reste une référence absolue, 0 à 100 km/h en environ 6 secondes. La Porsche dans ce qu'elle a de plus pur, de plus en plus recherchée en bel état. Dossi</t>
        </is>
      </c>
      <c r="AO538" s="10" t="inlineStr">
        <is>
          <t>Dommages : Bon état général ; Permis : Avec permis ; VO récent : false ; custom_ref : 1744-0000613 ; Importé : true ; vehicle_history_report_status : visible ; spare_parts_availability : Non renseignée</t>
        </is>
      </c>
      <c r="AP538" s="19" t="inlineStr">
        <is>
          <t>Voir</t>
        </is>
      </c>
      <c r="AQ538" s="10" t="inlineStr">
        <is>
          <t>3278209806</t>
        </is>
      </c>
    </row>
    <row r="539">
      <c r="A539" s="10" t="inlineStr">
        <is>
          <t>Porsche Boxster 987</t>
        </is>
      </c>
      <c r="B539" s="10" t="inlineStr">
        <is>
          <t>Porsche BOXSTER (987) 3.4 S</t>
        </is>
      </c>
      <c r="C539" s="10" t="inlineStr">
        <is>
          <t>Boxster 3.4 S</t>
        </is>
      </c>
      <c r="D539" s="10" t="inlineStr">
        <is>
          <t>S</t>
        </is>
      </c>
      <c r="E539" s="10" t="inlineStr">
        <is>
          <t>En vente</t>
        </is>
      </c>
      <c r="F539" s="18" t="n">
        <v>46294</v>
      </c>
      <c r="G539" s="18" t="n">
        <v>46294</v>
      </c>
      <c r="H539" s="18" t="n">
        <v>46310</v>
      </c>
      <c r="I539" s="18" t="n"/>
      <c r="J539" s="17">
        <f>IF(OR(ISNUMBER(F539),ISNUMBER(G539)),IF(ISNUMBER(I539),I539,H539)-IF(ISNUMBER(F539),F539,G539),"")</f>
        <v/>
      </c>
      <c r="K539" s="12" t="n">
        <v>34490</v>
      </c>
      <c r="L539" s="12" t="n">
        <v>32890</v>
      </c>
      <c r="M539" s="13">
        <f>IF(AND(ISNUMBER(K539),ISNUMBER(L539),K539&gt;0),1-L539/K539,"")</f>
        <v/>
      </c>
      <c r="N539" s="16" t="n">
        <v>1</v>
      </c>
      <c r="O539" s="12" t="n">
        <v>34490</v>
      </c>
      <c r="P539" s="12" t="n"/>
      <c r="Q539" s="12" t="n"/>
      <c r="R539" s="14">
        <f>IF(AND(ISNUMBER(L539),ISNUMBER(P539),ISNUMBER(Q539)),L539/((P539+Q539)/2)-1,"")</f>
        <v/>
      </c>
      <c r="S539" s="10" t="n"/>
      <c r="T539" s="15" t="n">
        <v>110700</v>
      </c>
      <c r="U539" s="16" t="n">
        <v>2007</v>
      </c>
      <c r="V539" s="10" t="inlineStr">
        <is>
          <t>01/2007</t>
        </is>
      </c>
      <c r="W539" s="10" t="inlineStr">
        <is>
          <t>Essence</t>
        </is>
      </c>
      <c r="X539" s="10" t="inlineStr">
        <is>
          <t>Manuelle</t>
        </is>
      </c>
      <c r="Y539" s="16" t="n">
        <v>295</v>
      </c>
      <c r="Z539" s="16" t="n">
        <v>21</v>
      </c>
      <c r="AA539" s="10" t="inlineStr">
        <is>
          <t>Noir</t>
        </is>
      </c>
      <c r="AB539" s="16" t="n"/>
      <c r="AC539" s="10" t="inlineStr">
        <is>
          <t>Cabriolet</t>
        </is>
      </c>
      <c r="AD539" s="10" t="n"/>
      <c r="AE539" s="10" t="n"/>
      <c r="AF539" s="10" t="inlineStr">
        <is>
          <t>Pro</t>
        </is>
      </c>
      <c r="AG539" s="10" t="inlineStr">
        <is>
          <t>Clermont-Ferrand</t>
        </is>
      </c>
      <c r="AH539" s="10" t="inlineStr">
        <is>
          <t>63100</t>
        </is>
      </c>
      <c r="AI539" s="10" t="inlineStr">
        <is>
          <t>Puy-de-Dôme</t>
        </is>
      </c>
      <c r="AJ539" s="10" t="inlineStr">
        <is>
          <t>Auvergne</t>
        </is>
      </c>
      <c r="AK539" s="16" t="n">
        <v>19</v>
      </c>
      <c r="AL539" s="10" t="n"/>
      <c r="AM539" s="10" t="inlineStr">
        <is>
          <t>Non</t>
        </is>
      </c>
      <c r="AN539" s="10" t="inlineStr">
        <is>
          <t xml:space="preserve">Porsche BOXSTER (987) 3.4 S, (Cabriolet), NOIR, 21cv, mise en circulation le 11-01-2007, garantie 12 mois (12 MOIS OU 20 000KM). 2 places, couleur intérieur : COCOA, longueur : 4,33 mètres, boîte de vitesse : manuelle OPTIONS ET EQUIPEMENTS : Audio - Télécommunications - Radio CD Conduite - Régulateur de vitesse Extérieur - Phares bi-xénon - Radar de recul Intérieur - Clim automatique - Ordinateur de bord Sécurité - Antipatinage - ESP - Phares antibrouillard Autres équipements et informations : </t>
        </is>
      </c>
      <c r="AO539" s="10" t="inlineStr">
        <is>
          <t>Permis : Avec permis ; VO récent : false ; custom_ref : 2480 ; Importé : true ; vehicle_history_report_status : visible ; spare_parts_availability : Non renseignée</t>
        </is>
      </c>
      <c r="AP539" s="19" t="inlineStr">
        <is>
          <t>Voir</t>
        </is>
      </c>
      <c r="AQ539" s="10" t="inlineStr">
        <is>
          <t>3278728030</t>
        </is>
      </c>
    </row>
    <row r="540">
      <c r="A540" s="10" t="inlineStr">
        <is>
          <t>Porsche Boxster 987</t>
        </is>
      </c>
      <c r="B540" s="10" t="inlineStr">
        <is>
          <t>PORSCHE BOXSTER 987 2.7 240 ch</t>
        </is>
      </c>
      <c r="C540" s="10" t="inlineStr">
        <is>
          <t>Boxster 2.7</t>
        </is>
      </c>
      <c r="D540" s="10" t="inlineStr">
        <is>
          <t>Base</t>
        </is>
      </c>
      <c r="E540" s="10" t="inlineStr">
        <is>
          <t>En vente</t>
        </is>
      </c>
      <c r="F540" s="18" t="n">
        <v>46239</v>
      </c>
      <c r="G540" s="18" t="n">
        <v>46239</v>
      </c>
      <c r="H540" s="18" t="n">
        <v>46310</v>
      </c>
      <c r="I540" s="18" t="n"/>
      <c r="J540" s="17">
        <f>IF(OR(ISNUMBER(F540),ISNUMBER(G540)),IF(ISNUMBER(I540),I540,H540)-IF(ISNUMBER(F540),F540,G540),"")</f>
        <v/>
      </c>
      <c r="K540" s="12" t="n">
        <v>25990</v>
      </c>
      <c r="L540" s="12" t="n">
        <v>25990</v>
      </c>
      <c r="M540" s="13">
        <f>IF(AND(ISNUMBER(K540),ISNUMBER(L540),K540&gt;0),1-L540/K540,"")</f>
        <v/>
      </c>
      <c r="N540" s="16" t="n">
        <v>0</v>
      </c>
      <c r="O540" s="12" t="n"/>
      <c r="P540" s="12" t="n"/>
      <c r="Q540" s="12" t="n"/>
      <c r="R540" s="14">
        <f>IF(AND(ISNUMBER(L540),ISNUMBER(P540),ISNUMBER(Q540)),L540/((P540+Q540)/2)-1,"")</f>
        <v/>
      </c>
      <c r="S540" s="10" t="n"/>
      <c r="T540" s="15" t="n">
        <v>133000</v>
      </c>
      <c r="U540" s="16" t="n">
        <v>2006</v>
      </c>
      <c r="V540" s="10" t="inlineStr">
        <is>
          <t>01/2006</t>
        </is>
      </c>
      <c r="W540" s="10" t="inlineStr">
        <is>
          <t>Essence</t>
        </is>
      </c>
      <c r="X540" s="10" t="inlineStr">
        <is>
          <t>Manuelle</t>
        </is>
      </c>
      <c r="Y540" s="16" t="n">
        <v>240</v>
      </c>
      <c r="Z540" s="16" t="n">
        <v>16</v>
      </c>
      <c r="AA540" s="10" t="inlineStr">
        <is>
          <t>Gris</t>
        </is>
      </c>
      <c r="AB540" s="16" t="n">
        <v>2</v>
      </c>
      <c r="AC540" s="10" t="inlineStr">
        <is>
          <t>Cabriolet</t>
        </is>
      </c>
      <c r="AD540" s="10" t="n"/>
      <c r="AE540" s="10" t="n"/>
      <c r="AF540" s="10" t="inlineStr">
        <is>
          <t>Pro</t>
        </is>
      </c>
      <c r="AG540" s="10" t="inlineStr">
        <is>
          <t>Neuville-sur-Saône</t>
        </is>
      </c>
      <c r="AH540" s="10" t="inlineStr">
        <is>
          <t>69250</t>
        </is>
      </c>
      <c r="AI540" s="10" t="inlineStr">
        <is>
          <t>Rhône</t>
        </is>
      </c>
      <c r="AJ540" s="10" t="inlineStr">
        <is>
          <t>Rhône-Alpes</t>
        </is>
      </c>
      <c r="AK540" s="16" t="n">
        <v>18</v>
      </c>
      <c r="AL540" s="10" t="n"/>
      <c r="AM540" s="10" t="inlineStr">
        <is>
          <t>Non</t>
        </is>
      </c>
      <c r="AN540" s="10" t="inlineStr">
        <is>
          <t>PORSCHE BOXSTER 987 2.7 240 ch - GARANTIE 6 MOIS _________________ Véhicule visible uniquement sur rendez-vous, du mardi au vendredi de 9h00 à 18h00 et le samedi de 9h00 à 17h00 _________________ Ce véhicule bénéficie d'une garantie de 6 mois. Possibilité d'extension jusqu'à 48 mois avec notre partenaire leader de la garantie mécanique OPTEVEN (à partir de 33 euros / mois). Prix hors frais de mise à la route de 350 euros et carte grise en fonction du département. _________________ Contactez Théo</t>
        </is>
      </c>
      <c r="AO540" s="10" t="inlineStr">
        <is>
          <t>Dommages : Bon état général ; Équipements intérieurs : Climatisation, Sièges chauffants, Sièges sport ; Permis : Avec permis ; VO récent : false ; custom_ref : 1727-0000624 ; Importé : true ; vehicle_history_report_status : visible ; spare_parts_availability : Non renseignée</t>
        </is>
      </c>
      <c r="AP540" s="19" t="inlineStr">
        <is>
          <t>Voir</t>
        </is>
      </c>
      <c r="AQ540" s="10" t="inlineStr">
        <is>
          <t>3278966054</t>
        </is>
      </c>
    </row>
    <row r="541">
      <c r="A541" s="10" t="inlineStr">
        <is>
          <t>Porsche Boxster 987</t>
        </is>
      </c>
      <c r="B541" s="10" t="inlineStr">
        <is>
          <t>Porsche Boxster 987</t>
        </is>
      </c>
      <c r="C541" s="10" t="n"/>
      <c r="D541" s="10" t="n"/>
      <c r="E541" s="10" t="inlineStr">
        <is>
          <t>En vente</t>
        </is>
      </c>
      <c r="F541" s="18" t="n">
        <v>46294</v>
      </c>
      <c r="G541" s="18" t="n">
        <v>46294</v>
      </c>
      <c r="H541" s="18" t="n">
        <v>46310</v>
      </c>
      <c r="I541" s="18" t="n"/>
      <c r="J541" s="17">
        <f>IF(OR(ISNUMBER(F541),ISNUMBER(G541)),IF(ISNUMBER(I541),I541,H541)-IF(ISNUMBER(F541),F541,G541),"")</f>
        <v/>
      </c>
      <c r="K541" s="12" t="n">
        <v>27500</v>
      </c>
      <c r="L541" s="12" t="n">
        <v>27500</v>
      </c>
      <c r="M541" s="13">
        <f>IF(AND(ISNUMBER(K541),ISNUMBER(L541),K541&gt;0),1-L541/K541,"")</f>
        <v/>
      </c>
      <c r="N541" s="16" t="n">
        <v>0</v>
      </c>
      <c r="O541" s="12" t="n"/>
      <c r="P541" s="12" t="n"/>
      <c r="Q541" s="12" t="n"/>
      <c r="R541" s="14">
        <f>IF(AND(ISNUMBER(L541),ISNUMBER(P541),ISNUMBER(Q541)),L541/((P541+Q541)/2)-1,"")</f>
        <v/>
      </c>
      <c r="S541" s="10" t="n"/>
      <c r="T541" s="15" t="n">
        <v>114000</v>
      </c>
      <c r="U541" s="16" t="n">
        <v>2006</v>
      </c>
      <c r="V541" s="10" t="inlineStr">
        <is>
          <t>04/2006</t>
        </is>
      </c>
      <c r="W541" s="10" t="inlineStr">
        <is>
          <t>Essence</t>
        </is>
      </c>
      <c r="X541" s="10" t="inlineStr">
        <is>
          <t>Manuelle</t>
        </is>
      </c>
      <c r="Y541" s="16" t="n">
        <v>240</v>
      </c>
      <c r="Z541" s="16" t="n">
        <v>16</v>
      </c>
      <c r="AA541" s="10" t="inlineStr">
        <is>
          <t>Noir</t>
        </is>
      </c>
      <c r="AB541" s="16" t="n">
        <v>2</v>
      </c>
      <c r="AC541" s="10" t="inlineStr">
        <is>
          <t>Cabriolet</t>
        </is>
      </c>
      <c r="AD541" s="10" t="n"/>
      <c r="AE541" s="10" t="n"/>
      <c r="AF541" s="10" t="inlineStr">
        <is>
          <t>Particulier</t>
        </is>
      </c>
      <c r="AG541" s="10" t="inlineStr">
        <is>
          <t>Nantes</t>
        </is>
      </c>
      <c r="AH541" s="10" t="inlineStr">
        <is>
          <t>44000</t>
        </is>
      </c>
      <c r="AI541" s="10" t="inlineStr">
        <is>
          <t>Loire-Atlantique</t>
        </is>
      </c>
      <c r="AJ541" s="10" t="inlineStr">
        <is>
          <t>Pays de la Loire</t>
        </is>
      </c>
      <c r="AK541" s="16" t="n">
        <v>3</v>
      </c>
      <c r="AL541" s="10" t="n"/>
      <c r="AM541" s="10" t="inlineStr">
        <is>
          <t>Non</t>
        </is>
      </c>
      <c r="AN541" s="10" t="inlineStr">
        <is>
          <t>Porsche Boxster 987.1 - 2.7L – 240 ch – Boîte manuelle Le véhicule bénéficie d’un suivi et d’un entretien réalisés au Centre Porsche Nantes-Rennes depuis que je suis en sa possession. Les précédents propriétaires ont également effectué l’entretien auprès du réseau et de spécialistes Porsche. État général - Carrosserie en très bon état, avec peinture d’origine. - Aucun défaut notable, rayure ou marque particulière à signaler. - Intérieur cuir couleur crème en très bon état. - Véhicule très bien c</t>
        </is>
      </c>
      <c r="AO541" s="10" t="inlineStr">
        <is>
          <t>Sellerie : Tout cuir ; Permis : Avec permis ; Importé : false ; vehicle_history_report_status : visible</t>
        </is>
      </c>
      <c r="AP541" s="19" t="inlineStr">
        <is>
          <t>Voir</t>
        </is>
      </c>
      <c r="AQ541" s="10" t="inlineStr">
        <is>
          <t>3279041618</t>
        </is>
      </c>
    </row>
    <row r="542">
      <c r="A542" s="10" t="inlineStr">
        <is>
          <t>Porsche Boxster 987</t>
        </is>
      </c>
      <c r="B542" s="10" t="inlineStr">
        <is>
          <t>PORSCHE BOXSTER Porsche 987 *Black Edition</t>
        </is>
      </c>
      <c r="C542" s="10" t="inlineStr">
        <is>
          <t>Boxster 3.4 S Black Edition</t>
        </is>
      </c>
      <c r="D542" s="10" t="inlineStr">
        <is>
          <t>S Black Edition</t>
        </is>
      </c>
      <c r="E542" s="10" t="inlineStr">
        <is>
          <t>En vente</t>
        </is>
      </c>
      <c r="F542" s="18" t="n">
        <v>46295</v>
      </c>
      <c r="G542" s="18" t="n">
        <v>46295</v>
      </c>
      <c r="H542" s="18" t="n">
        <v>46310</v>
      </c>
      <c r="I542" s="18" t="n"/>
      <c r="J542" s="17">
        <f>IF(OR(ISNUMBER(F542),ISNUMBER(G542)),IF(ISNUMBER(I542),I542,H542)-IF(ISNUMBER(F542),F542,G542),"")</f>
        <v/>
      </c>
      <c r="K542" s="12" t="n">
        <v>49900</v>
      </c>
      <c r="L542" s="12" t="n">
        <v>49900</v>
      </c>
      <c r="M542" s="13">
        <f>IF(AND(ISNUMBER(K542),ISNUMBER(L542),K542&gt;0),1-L542/K542,"")</f>
        <v/>
      </c>
      <c r="N542" s="16" t="n">
        <v>0</v>
      </c>
      <c r="O542" s="12" t="n"/>
      <c r="P542" s="12" t="n"/>
      <c r="Q542" s="12" t="n"/>
      <c r="R542" s="14">
        <f>IF(AND(ISNUMBER(L542),ISNUMBER(P542),ISNUMBER(Q542)),L542/((P542+Q542)/2)-1,"")</f>
        <v/>
      </c>
      <c r="S542" s="10" t="n"/>
      <c r="T542" s="15" t="n">
        <v>61900</v>
      </c>
      <c r="U542" s="16" t="n">
        <v>2011</v>
      </c>
      <c r="V542" s="10" t="inlineStr">
        <is>
          <t>06/2011</t>
        </is>
      </c>
      <c r="W542" s="10" t="inlineStr">
        <is>
          <t>Essence</t>
        </is>
      </c>
      <c r="X542" s="10" t="inlineStr">
        <is>
          <t>Manuelle</t>
        </is>
      </c>
      <c r="Y542" s="16" t="n">
        <v>320</v>
      </c>
      <c r="Z542" s="16" t="n">
        <v>22</v>
      </c>
      <c r="AA542" s="10" t="inlineStr">
        <is>
          <t>Noir</t>
        </is>
      </c>
      <c r="AB542" s="16" t="n">
        <v>2</v>
      </c>
      <c r="AC542" s="10" t="inlineStr">
        <is>
          <t>Cabriolet</t>
        </is>
      </c>
      <c r="AD542" s="10" t="n"/>
      <c r="AE542" s="10" t="n"/>
      <c r="AF542" s="10" t="inlineStr">
        <is>
          <t>Pro</t>
        </is>
      </c>
      <c r="AG542" s="10" t="inlineStr">
        <is>
          <t>Paris</t>
        </is>
      </c>
      <c r="AH542" s="10" t="inlineStr">
        <is>
          <t>75014</t>
        </is>
      </c>
      <c r="AI542" s="10" t="inlineStr">
        <is>
          <t>Paris</t>
        </is>
      </c>
      <c r="AJ542" s="10" t="inlineStr">
        <is>
          <t>Ile-de-France</t>
        </is>
      </c>
      <c r="AK542" s="16" t="n">
        <v>50</v>
      </c>
      <c r="AL542" s="10" t="inlineStr">
        <is>
          <t>Oui</t>
        </is>
      </c>
      <c r="AM542" s="10" t="inlineStr">
        <is>
          <t>Non</t>
        </is>
      </c>
      <c r="AN542" s="10" t="inlineStr">
        <is>
          <t>The Porsche 987 Boxster Black Edition that we are offering for sale was delivered new on June 17, 2011, by the Porsche Centre in Oftringen, Switzerland. This Black Edition version, limited to 987 units, was very well configured and features a specific black paint exclusive to this model, paired with a black leather interior. This combination brings a touch of sportiness to the interior. Our example is the 647th to roll off the production line in 2011. As a reminder, the Black Edition version add</t>
        </is>
      </c>
      <c r="AO542" s="10" t="inlineStr">
        <is>
          <t>Dommages : Bon état général ; Permis : Avec permis ; VO récent : false ; custom_ref : 1847-0000206 ; Importé : true ; vehicle_history_report_status : visible ; spare_parts_availability : Non renseignée</t>
        </is>
      </c>
      <c r="AP542" s="19" t="inlineStr">
        <is>
          <t>Voir</t>
        </is>
      </c>
      <c r="AQ542" s="10" t="inlineStr">
        <is>
          <t>3279739780</t>
        </is>
      </c>
    </row>
    <row r="543">
      <c r="A543" s="10" t="inlineStr">
        <is>
          <t>Porsche Boxster 987</t>
        </is>
      </c>
      <c r="B543" s="10" t="inlineStr">
        <is>
          <t>PORSCHE Boxster 987 2.7 245 CH</t>
        </is>
      </c>
      <c r="C543" s="10" t="inlineStr">
        <is>
          <t>Boxster 2.7 245ch</t>
        </is>
      </c>
      <c r="D543" s="10" t="inlineStr">
        <is>
          <t>Base</t>
        </is>
      </c>
      <c r="E543" s="10" t="inlineStr">
        <is>
          <t>En vente</t>
        </is>
      </c>
      <c r="F543" s="18" t="n">
        <v>46296</v>
      </c>
      <c r="G543" s="18" t="n">
        <v>46296</v>
      </c>
      <c r="H543" s="18" t="n">
        <v>46310</v>
      </c>
      <c r="I543" s="18" t="n"/>
      <c r="J543" s="17">
        <f>IF(OR(ISNUMBER(F543),ISNUMBER(G543)),IF(ISNUMBER(I543),I543,H543)-IF(ISNUMBER(F543),F543,G543),"")</f>
        <v/>
      </c>
      <c r="K543" s="12" t="n">
        <v>31990</v>
      </c>
      <c r="L543" s="12" t="n">
        <v>31990</v>
      </c>
      <c r="M543" s="13">
        <f>IF(AND(ISNUMBER(K543),ISNUMBER(L543),K543&gt;0),1-L543/K543,"")</f>
        <v/>
      </c>
      <c r="N543" s="16" t="n">
        <v>0</v>
      </c>
      <c r="O543" s="12" t="n"/>
      <c r="P543" s="12" t="n"/>
      <c r="Q543" s="12" t="n"/>
      <c r="R543" s="14">
        <f>IF(AND(ISNUMBER(L543),ISNUMBER(P543),ISNUMBER(Q543)),L543/((P543+Q543)/2)-1,"")</f>
        <v/>
      </c>
      <c r="S543" s="10" t="n"/>
      <c r="T543" s="15" t="n">
        <v>68000</v>
      </c>
      <c r="U543" s="16" t="n">
        <v>2008</v>
      </c>
      <c r="V543" s="10" t="inlineStr">
        <is>
          <t>05/2008</t>
        </is>
      </c>
      <c r="W543" s="10" t="inlineStr">
        <is>
          <t>Essence</t>
        </is>
      </c>
      <c r="X543" s="10" t="inlineStr">
        <is>
          <t>Manuelle</t>
        </is>
      </c>
      <c r="Y543" s="16" t="n">
        <v>245</v>
      </c>
      <c r="Z543" s="16" t="n">
        <v>16</v>
      </c>
      <c r="AA543" s="10" t="inlineStr">
        <is>
          <t>Bleu</t>
        </is>
      </c>
      <c r="AB543" s="16" t="n">
        <v>3</v>
      </c>
      <c r="AC543" s="10" t="inlineStr">
        <is>
          <t>Cabriolet</t>
        </is>
      </c>
      <c r="AD543" s="10" t="n"/>
      <c r="AE543" s="10" t="n"/>
      <c r="AF543" s="10" t="inlineStr">
        <is>
          <t>Pro</t>
        </is>
      </c>
      <c r="AG543" s="10" t="inlineStr">
        <is>
          <t>Seclin</t>
        </is>
      </c>
      <c r="AH543" s="10" t="inlineStr">
        <is>
          <t>59113</t>
        </is>
      </c>
      <c r="AI543" s="10" t="inlineStr">
        <is>
          <t>Nord</t>
        </is>
      </c>
      <c r="AJ543" s="10" t="inlineStr">
        <is>
          <t>Nord-Pas-de-Calais</t>
        </is>
      </c>
      <c r="AK543" s="16" t="n">
        <v>40</v>
      </c>
      <c r="AL543" s="10" t="n"/>
      <c r="AM543" s="10" t="inlineStr">
        <is>
          <t>Non</t>
        </is>
      </c>
      <c r="AN543" s="10" t="inlineStr">
        <is>
          <t>ROADSTER TRES SOIGNE INTERIEUR / EXTERIEUR, FRAIS DE MISE A LA ROUTE (voir conditions en agence), VEHICULE EQUIVALENT A AUDI TTS / TTRS, BMW Z4, MERCEDES SLK / SLC... TAGS : 2.7 / 2 . 7 / 2,7 / 2 , 7 / 2 L 7 / 2 L 7 / 245CV / 245 CV / 245CH / 245 CH / BOITE MANUELLE 6 RAPPORTS / Pour vous garantir un accueil personnalisé et un accompagnement de qualité, tous nos véhicules sont visibles uniquement sur rendez-vous. L’AGENCE AUTOMOBILIÈRE accompagne chaque vente dans un esprit de confiance, d’honnê</t>
        </is>
      </c>
      <c r="AO543" s="10" t="inlineStr">
        <is>
          <t>Équipements intérieurs : Aide au stationnement, Apple CarPlay / Android Auto, Bluetooth, Caméra de recul, Climatisation, Phares LED / Xenon, Régulateur de vitesse, Vitres électriques arrières ; VO récent : false ; custom_ref : 509546 ; Importé : true ; vehicle_history_report_status : visible ; spare_parts_availability : Non renseignée</t>
        </is>
      </c>
      <c r="AP543" s="19" t="inlineStr">
        <is>
          <t>Voir</t>
        </is>
      </c>
      <c r="AQ543" s="10" t="inlineStr">
        <is>
          <t>3280329204</t>
        </is>
      </c>
    </row>
    <row r="544">
      <c r="A544" s="10" t="inlineStr">
        <is>
          <t>Porsche Boxster 987</t>
        </is>
      </c>
      <c r="B544" s="10" t="inlineStr">
        <is>
          <t>Porsche boxster 987</t>
        </is>
      </c>
      <c r="C544" s="10" t="inlineStr">
        <is>
          <t>Boxster 2.7 245ch</t>
        </is>
      </c>
      <c r="D544" s="10" t="inlineStr">
        <is>
          <t>Base</t>
        </is>
      </c>
      <c r="E544" s="10" t="inlineStr">
        <is>
          <t>En vente</t>
        </is>
      </c>
      <c r="F544" s="18" t="n">
        <v>46297</v>
      </c>
      <c r="G544" s="18" t="n">
        <v>46297</v>
      </c>
      <c r="H544" s="18" t="n">
        <v>46310</v>
      </c>
      <c r="I544" s="18" t="n"/>
      <c r="J544" s="17">
        <f>IF(OR(ISNUMBER(F544),ISNUMBER(G544)),IF(ISNUMBER(I544),I544,H544)-IF(ISNUMBER(F544),F544,G544),"")</f>
        <v/>
      </c>
      <c r="K544" s="12" t="n">
        <v>29000</v>
      </c>
      <c r="L544" s="12" t="n">
        <v>29000</v>
      </c>
      <c r="M544" s="13">
        <f>IF(AND(ISNUMBER(K544),ISNUMBER(L544),K544&gt;0),1-L544/K544,"")</f>
        <v/>
      </c>
      <c r="N544" s="16" t="n">
        <v>0</v>
      </c>
      <c r="O544" s="12" t="n"/>
      <c r="P544" s="12" t="n"/>
      <c r="Q544" s="12" t="n"/>
      <c r="R544" s="14">
        <f>IF(AND(ISNUMBER(L544),ISNUMBER(P544),ISNUMBER(Q544)),L544/((P544+Q544)/2)-1,"")</f>
        <v/>
      </c>
      <c r="S544" s="10" t="n"/>
      <c r="T544" s="15" t="n">
        <v>74700</v>
      </c>
      <c r="U544" s="16" t="n">
        <v>2008</v>
      </c>
      <c r="V544" s="10" t="inlineStr">
        <is>
          <t>07/2008</t>
        </is>
      </c>
      <c r="W544" s="10" t="inlineStr">
        <is>
          <t>Essence</t>
        </is>
      </c>
      <c r="X544" s="10" t="inlineStr">
        <is>
          <t>Manuelle</t>
        </is>
      </c>
      <c r="Y544" s="16" t="n">
        <v>245</v>
      </c>
      <c r="Z544" s="16" t="n">
        <v>16</v>
      </c>
      <c r="AA544" s="10" t="inlineStr">
        <is>
          <t>Blanc</t>
        </is>
      </c>
      <c r="AB544" s="16" t="n">
        <v>2</v>
      </c>
      <c r="AC544" s="10" t="inlineStr">
        <is>
          <t>Cabriolet</t>
        </is>
      </c>
      <c r="AD544" s="10" t="inlineStr">
        <is>
          <t>Carnet d'entretien disponible, Factures disponibles, Véhicule non fumeur, Réparations utiles déjà faites</t>
        </is>
      </c>
      <c r="AE544" s="10" t="inlineStr">
        <is>
          <t>Véhicule importé</t>
        </is>
      </c>
      <c r="AF544" s="10" t="inlineStr">
        <is>
          <t>Particulier</t>
        </is>
      </c>
      <c r="AG544" s="10" t="inlineStr">
        <is>
          <t>Metz</t>
        </is>
      </c>
      <c r="AH544" s="10" t="inlineStr">
        <is>
          <t>57000</t>
        </is>
      </c>
      <c r="AI544" s="10" t="inlineStr">
        <is>
          <t>Moselle</t>
        </is>
      </c>
      <c r="AJ544" s="10" t="inlineStr">
        <is>
          <t>Lorraine</t>
        </is>
      </c>
      <c r="AK544" s="16" t="n">
        <v>3</v>
      </c>
      <c r="AL544" s="10" t="n"/>
      <c r="AM544" s="10" t="inlineStr">
        <is>
          <t>Non</t>
        </is>
      </c>
      <c r="AN544" s="10" t="inlineStr">
        <is>
          <t>Je mets en vente à contre-cœur ma Porsche Boxster 987 2.7, mise en circulation en juillet 2008, affichant seulement 74 700 km. Importée d’Allemagne en octobre 2023, elle dispose de son suivi d’entretien et a toujours été soigneusement entretenue. Le véhicule est toujours stationné dans un garage et son kilométrage est aujourd’hui très peu évolutif. Elle est en très bel état général, avec une configuration particulièrement élégante : Blanc Carrara, intérieur cuir noir et capote noire, avec de mag</t>
        </is>
      </c>
      <c r="AO544" s="10" t="inlineStr">
        <is>
          <t>vehicle_technical_inspection_valid : Oui ; Contrôle technique : 2028 ; Dommages : Excellent état (proche du neuf) ; Sellerie : Tout cuir ; Équipements intérieurs : Climatisation, Ordinateur de bord, Phares LED / Xenon, Siège réglable en hauteur, Sièges chauffants, Sièges en cuir, Sièges sport, Sièges électriques, Suspension sport / adaptative, Système audio haut de gamme ; Permis : Avec permis ; ad_warranty_type : essential ; Importé : false</t>
        </is>
      </c>
      <c r="AP544" s="19" t="inlineStr">
        <is>
          <t>Voir</t>
        </is>
      </c>
      <c r="AQ544" s="10" t="inlineStr">
        <is>
          <t>3280508090</t>
        </is>
      </c>
    </row>
    <row r="545">
      <c r="A545" s="10" t="inlineStr">
        <is>
          <t>Porsche Boxster 987</t>
        </is>
      </c>
      <c r="B545" s="10" t="inlineStr">
        <is>
          <t>PORSCHE BOXSTER 987 II 2.9i 255 CH PDK - IMMAT FRANCE</t>
        </is>
      </c>
      <c r="C545" s="10" t="n"/>
      <c r="D545" s="10" t="n"/>
      <c r="E545" s="10" t="inlineStr">
        <is>
          <t>En vente</t>
        </is>
      </c>
      <c r="F545" s="18" t="n">
        <v>46297</v>
      </c>
      <c r="G545" s="18" t="n">
        <v>46297</v>
      </c>
      <c r="H545" s="18" t="n">
        <v>46310</v>
      </c>
      <c r="I545" s="18" t="n"/>
      <c r="J545" s="17">
        <f>IF(OR(ISNUMBER(F545),ISNUMBER(G545)),IF(ISNUMBER(I545),I545,H545)-IF(ISNUMBER(F545),F545,G545),"")</f>
        <v/>
      </c>
      <c r="K545" s="12" t="n">
        <v>34490</v>
      </c>
      <c r="L545" s="12" t="n">
        <v>34490</v>
      </c>
      <c r="M545" s="13">
        <f>IF(AND(ISNUMBER(K545),ISNUMBER(L545),K545&gt;0),1-L545/K545,"")</f>
        <v/>
      </c>
      <c r="N545" s="16" t="n">
        <v>0</v>
      </c>
      <c r="O545" s="12" t="n"/>
      <c r="P545" s="12" t="n"/>
      <c r="Q545" s="12" t="n"/>
      <c r="R545" s="14">
        <f>IF(AND(ISNUMBER(L545),ISNUMBER(P545),ISNUMBER(Q545)),L545/((P545+Q545)/2)-1,"")</f>
        <v/>
      </c>
      <c r="S545" s="10" t="n"/>
      <c r="T545" s="15" t="n">
        <v>102000</v>
      </c>
      <c r="U545" s="16" t="n">
        <v>2010</v>
      </c>
      <c r="V545" s="10" t="inlineStr">
        <is>
          <t>04/2010</t>
        </is>
      </c>
      <c r="W545" s="10" t="inlineStr">
        <is>
          <t>Essence</t>
        </is>
      </c>
      <c r="X545" s="10" t="inlineStr">
        <is>
          <t>Automatique</t>
        </is>
      </c>
      <c r="Y545" s="16" t="n">
        <v>255</v>
      </c>
      <c r="Z545" s="16" t="n">
        <v>17</v>
      </c>
      <c r="AA545" s="10" t="inlineStr">
        <is>
          <t>Noir</t>
        </is>
      </c>
      <c r="AB545" s="16" t="n">
        <v>2</v>
      </c>
      <c r="AC545" s="10" t="inlineStr">
        <is>
          <t>Cabriolet</t>
        </is>
      </c>
      <c r="AD545" s="10" t="n"/>
      <c r="AE545" s="10" t="inlineStr">
        <is>
          <t>Véhicule importé</t>
        </is>
      </c>
      <c r="AF545" s="10" t="inlineStr">
        <is>
          <t>Pro</t>
        </is>
      </c>
      <c r="AG545" s="10" t="inlineStr">
        <is>
          <t>Lozanne</t>
        </is>
      </c>
      <c r="AH545" s="10" t="inlineStr">
        <is>
          <t>69380</t>
        </is>
      </c>
      <c r="AI545" s="10" t="inlineStr">
        <is>
          <t>Rhône</t>
        </is>
      </c>
      <c r="AJ545" s="10" t="inlineStr">
        <is>
          <t>Rhône-Alpes</t>
        </is>
      </c>
      <c r="AK545" s="16" t="n">
        <v>23</v>
      </c>
      <c r="AL545" s="10" t="inlineStr">
        <is>
          <t>Oui</t>
        </is>
      </c>
      <c r="AM545" s="10" t="inlineStr">
        <is>
          <t>Non</t>
        </is>
      </c>
      <c r="AN545" s="10" t="inlineStr">
        <is>
          <t>PORSCHE BOXSTER 987 2.9i 255 CH PDK - IMMAT FRANCE _________________ Véhicule visible uniquement sur rendez-vous, du lundi au vendredi de 9h30 à 18h00 et le samedi de 10h00 à 16h00 _________________ Ce véhicule bénéficie d'une garantie de 6 mois. Possibilité d'extension jusqu'à 48 mois avec notre partenaire leader de la garantie mécanique OPTEVEN (à partir de 35 euros / mois). Prix hors frais de formalités de 390 euros et carte grise en fonction du département. Reprise possible de votre ancien v</t>
        </is>
      </c>
      <c r="AO545" s="10" t="inlineStr">
        <is>
          <t>vehicle_technical_inspection_valid : Oui ; Contrôle technique : 2027 ; Dommages : Bon état général ; Sellerie : Tout cuir ; Équipements intérieurs : Climatisation, Sièges chauffants ; Permis : Avec permis ; VO récent : false ; custom_ref : 1111-0002134 ; Importé : true ; vehicle_history_report_status : visible ; spare_parts_availability : Non renseignée</t>
        </is>
      </c>
      <c r="AP545" s="19" t="inlineStr">
        <is>
          <t>Voir</t>
        </is>
      </c>
      <c r="AQ545" s="10" t="inlineStr">
        <is>
          <t>3280631564</t>
        </is>
      </c>
    </row>
    <row r="546">
      <c r="A546" s="10" t="inlineStr">
        <is>
          <t>Porsche Boxster 987</t>
        </is>
      </c>
      <c r="B546" s="10" t="inlineStr">
        <is>
          <t>Porsche boxster 987</t>
        </is>
      </c>
      <c r="C546" s="10" t="inlineStr">
        <is>
          <t>Base_Boxster 2.7</t>
        </is>
      </c>
      <c r="D546" s="10" t="inlineStr">
        <is>
          <t>Base</t>
        </is>
      </c>
      <c r="E546" s="10" t="inlineStr">
        <is>
          <t>En vente</t>
        </is>
      </c>
      <c r="F546" s="18" t="n">
        <v>46299</v>
      </c>
      <c r="G546" s="18" t="n">
        <v>46299</v>
      </c>
      <c r="H546" s="18" t="n">
        <v>46310</v>
      </c>
      <c r="I546" s="18" t="n"/>
      <c r="J546" s="17">
        <f>IF(OR(ISNUMBER(F546),ISNUMBER(G546)),IF(ISNUMBER(I546),I546,H546)-IF(ISNUMBER(F546),F546,G546),"")</f>
        <v/>
      </c>
      <c r="K546" s="12" t="n">
        <v>20000</v>
      </c>
      <c r="L546" s="12" t="n">
        <v>20000</v>
      </c>
      <c r="M546" s="13">
        <f>IF(AND(ISNUMBER(K546),ISNUMBER(L546),K546&gt;0),1-L546/K546,"")</f>
        <v/>
      </c>
      <c r="N546" s="16" t="n">
        <v>0</v>
      </c>
      <c r="O546" s="12" t="n"/>
      <c r="P546" s="12" t="n"/>
      <c r="Q546" s="12" t="n"/>
      <c r="R546" s="14">
        <f>IF(AND(ISNUMBER(L546),ISNUMBER(P546),ISNUMBER(Q546)),L546/((P546+Q546)/2)-1,"")</f>
        <v/>
      </c>
      <c r="S546" s="10" t="n"/>
      <c r="T546" s="15" t="n">
        <v>116000</v>
      </c>
      <c r="U546" s="16" t="n">
        <v>2005</v>
      </c>
      <c r="V546" s="10" t="inlineStr">
        <is>
          <t>01/2005</t>
        </is>
      </c>
      <c r="W546" s="10" t="inlineStr">
        <is>
          <t>Essence</t>
        </is>
      </c>
      <c r="X546" s="10" t="inlineStr">
        <is>
          <t>Manuelle</t>
        </is>
      </c>
      <c r="Y546" s="16" t="n">
        <v>240</v>
      </c>
      <c r="Z546" s="16" t="n">
        <v>16</v>
      </c>
      <c r="AA546" s="10" t="inlineStr">
        <is>
          <t>Noir</t>
        </is>
      </c>
      <c r="AB546" s="16" t="n">
        <v>2</v>
      </c>
      <c r="AC546" s="10" t="inlineStr">
        <is>
          <t>Cabriolet</t>
        </is>
      </c>
      <c r="AD546" s="10" t="n"/>
      <c r="AE546" s="10" t="n"/>
      <c r="AF546" s="10" t="inlineStr">
        <is>
          <t>Particulier</t>
        </is>
      </c>
      <c r="AG546" s="10" t="inlineStr">
        <is>
          <t>Sèvremoine</t>
        </is>
      </c>
      <c r="AH546" s="10" t="inlineStr">
        <is>
          <t>49230</t>
        </is>
      </c>
      <c r="AI546" s="10" t="inlineStr">
        <is>
          <t>Maine-et-Loire</t>
        </is>
      </c>
      <c r="AJ546" s="10" t="inlineStr">
        <is>
          <t>Pays de la Loire</t>
        </is>
      </c>
      <c r="AK546" s="16" t="n">
        <v>3</v>
      </c>
      <c r="AL546" s="10" t="n"/>
      <c r="AM546" s="10" t="inlineStr">
        <is>
          <t>Non</t>
        </is>
      </c>
      <c r="AN546" s="10" t="inlineStr">
        <is>
          <t>Porsche boxster 987, 116 000 kms. Entretien vidange à jour. Contrôle technique effectué à la vente,le dernier à été effectué il y a 1 an à 114 000 kms, il était vierges. 20000 euros.</t>
        </is>
      </c>
      <c r="AO546" s="10" t="inlineStr">
        <is>
          <t>Sellerie : Tout cuir ; Équipements intérieurs : Alarme antivol ; Permis : Avec permis ; Importé : false</t>
        </is>
      </c>
      <c r="AP546" s="19" t="inlineStr">
        <is>
          <t>Voir</t>
        </is>
      </c>
      <c r="AQ546" s="10" t="inlineStr">
        <is>
          <t>3281973414</t>
        </is>
      </c>
    </row>
    <row r="547">
      <c r="A547" s="10" t="inlineStr">
        <is>
          <t>Porsche Boxster 987</t>
        </is>
      </c>
      <c r="B547" s="10" t="inlineStr">
        <is>
          <t>Porsche Boxster 987 2.7L 245cv</t>
        </is>
      </c>
      <c r="C547" s="10" t="n"/>
      <c r="D547" s="10" t="n"/>
      <c r="E547" s="10" t="inlineStr">
        <is>
          <t>En vente</t>
        </is>
      </c>
      <c r="F547" s="18" t="n">
        <v>46301</v>
      </c>
      <c r="G547" s="18" t="n">
        <v>46301</v>
      </c>
      <c r="H547" s="18" t="n">
        <v>46310</v>
      </c>
      <c r="I547" s="18" t="n"/>
      <c r="J547" s="17">
        <f>IF(OR(ISNUMBER(F547),ISNUMBER(G547)),IF(ISNUMBER(I547),I547,H547)-IF(ISNUMBER(F547),F547,G547),"")</f>
        <v/>
      </c>
      <c r="K547" s="12" t="n">
        <v>29000</v>
      </c>
      <c r="L547" s="12" t="n">
        <v>29000</v>
      </c>
      <c r="M547" s="13">
        <f>IF(AND(ISNUMBER(K547),ISNUMBER(L547),K547&gt;0),1-L547/K547,"")</f>
        <v/>
      </c>
      <c r="N547" s="16" t="n">
        <v>0</v>
      </c>
      <c r="O547" s="12" t="n"/>
      <c r="P547" s="12" t="n"/>
      <c r="Q547" s="12" t="n"/>
      <c r="R547" s="14">
        <f>IF(AND(ISNUMBER(L547),ISNUMBER(P547),ISNUMBER(Q547)),L547/((P547+Q547)/2)-1,"")</f>
        <v/>
      </c>
      <c r="S547" s="10" t="n"/>
      <c r="T547" s="15" t="n">
        <v>61000</v>
      </c>
      <c r="U547" s="16" t="n">
        <v>2007</v>
      </c>
      <c r="V547" s="10" t="inlineStr">
        <is>
          <t>04/2007</t>
        </is>
      </c>
      <c r="W547" s="10" t="inlineStr">
        <is>
          <t>Essence</t>
        </is>
      </c>
      <c r="X547" s="10" t="inlineStr">
        <is>
          <t>Manuelle</t>
        </is>
      </c>
      <c r="Y547" s="16" t="n">
        <v>245</v>
      </c>
      <c r="Z547" s="16" t="n">
        <v>16</v>
      </c>
      <c r="AA547" s="10" t="inlineStr">
        <is>
          <t>Gris</t>
        </is>
      </c>
      <c r="AB547" s="16" t="n">
        <v>2</v>
      </c>
      <c r="AC547" s="10" t="inlineStr">
        <is>
          <t>Cabriolet</t>
        </is>
      </c>
      <c r="AD547" s="10" t="inlineStr">
        <is>
          <t>Carnet d'entretien disponible, Factures disponibles, Véhicule non fumeur, Réparations utiles déjà faites</t>
        </is>
      </c>
      <c r="AE547" s="10" t="inlineStr">
        <is>
          <t>Véhicule importé</t>
        </is>
      </c>
      <c r="AF547" s="10" t="inlineStr">
        <is>
          <t>Particulier</t>
        </is>
      </c>
      <c r="AG547" s="10" t="inlineStr">
        <is>
          <t>Reims</t>
        </is>
      </c>
      <c r="AH547" s="10" t="inlineStr">
        <is>
          <t>51100</t>
        </is>
      </c>
      <c r="AI547" s="10" t="inlineStr">
        <is>
          <t>Marne</t>
        </is>
      </c>
      <c r="AJ547" s="10" t="inlineStr">
        <is>
          <t>Champagne-Ardenne</t>
        </is>
      </c>
      <c r="AK547" s="16" t="n">
        <v>3</v>
      </c>
      <c r="AL547" s="10" t="n"/>
      <c r="AM547" s="10" t="inlineStr">
        <is>
          <t>Non</t>
        </is>
      </c>
      <c r="AN547" s="10" t="inlineStr">
        <is>
          <t>Je vends ma Porsche Boxster 987 de 2007, un cabriolet sportif et élégant avec 61 000 km au compteur. - Marque : Porsche - Modèle : Boxster 987 - Année : 2007 - Kilométrage : 61 000 km - Motorisation : 2.7L 245 ch - Carburant : Essence - Boîte de vitesses : Manuelle - Couleur : Gris - Type de véhicule : Cabriolet - Nombre de sièges : 2 - Nombre de portes : 2 - Puissance fiscale : 16 Cv - Crit'air : 2 - Contrôle technique : Valide N'hésitez pas à me contacter pour plus d'informations ou pour organ</t>
        </is>
      </c>
      <c r="AO547" s="10" t="inlineStr">
        <is>
          <t>vehicle_technical_inspection_valid : Oui ; Dommages : Excellent état (proche du neuf) ; Sellerie : Tout cuir ; Équipements intérieurs : Aide au stationnement, Apple CarPlay / Android Auto, Bluetooth, Chargeurs USB, Climatisation, Phares anti-brouillard, Phares LED / Xenon, Siège réglable en hauteur, Sièges chauffants, Sièges en cuir, Système de navigation, Toit ouvrant / Toit panoramique, Volant réglable en hauteur, Volant réglable en profondeur ; Permis : Avec permis ; ad_warranty_type : essential ; Importé : false ; vehicle_history_report_status : visible</t>
        </is>
      </c>
      <c r="AP547" s="19" t="inlineStr">
        <is>
          <t>Voir</t>
        </is>
      </c>
      <c r="AQ547" s="10" t="inlineStr">
        <is>
          <t>3283262378</t>
        </is>
      </c>
    </row>
    <row r="548">
      <c r="A548" s="10" t="inlineStr">
        <is>
          <t>Porsche Boxster 987</t>
        </is>
      </c>
      <c r="B548" s="10" t="inlineStr">
        <is>
          <t>Porsche boxster 987</t>
        </is>
      </c>
      <c r="C548" s="10" t="inlineStr">
        <is>
          <t>Boxster 2.7</t>
        </is>
      </c>
      <c r="D548" s="10" t="inlineStr">
        <is>
          <t>Base</t>
        </is>
      </c>
      <c r="E548" s="10" t="inlineStr">
        <is>
          <t>En vente</t>
        </is>
      </c>
      <c r="F548" s="18" t="n">
        <v>46302</v>
      </c>
      <c r="G548" s="18" t="n">
        <v>46302</v>
      </c>
      <c r="H548" s="18" t="n">
        <v>46310</v>
      </c>
      <c r="I548" s="18" t="n"/>
      <c r="J548" s="17">
        <f>IF(OR(ISNUMBER(F548),ISNUMBER(G548)),IF(ISNUMBER(I548),I548,H548)-IF(ISNUMBER(F548),F548,G548),"")</f>
        <v/>
      </c>
      <c r="K548" s="12" t="n">
        <v>23990</v>
      </c>
      <c r="L548" s="12" t="n">
        <v>23990</v>
      </c>
      <c r="M548" s="13">
        <f>IF(AND(ISNUMBER(K548),ISNUMBER(L548),K548&gt;0),1-L548/K548,"")</f>
        <v/>
      </c>
      <c r="N548" s="16" t="n">
        <v>0</v>
      </c>
      <c r="O548" s="12" t="n"/>
      <c r="P548" s="12" t="n"/>
      <c r="Q548" s="12" t="n"/>
      <c r="R548" s="14">
        <f>IF(AND(ISNUMBER(L548),ISNUMBER(P548),ISNUMBER(Q548)),L548/((P548+Q548)/2)-1,"")</f>
        <v/>
      </c>
      <c r="S548" s="10" t="n"/>
      <c r="T548" s="15" t="n">
        <v>125000</v>
      </c>
      <c r="U548" s="16" t="n">
        <v>2005</v>
      </c>
      <c r="V548" s="10" t="inlineStr">
        <is>
          <t>04/2005</t>
        </is>
      </c>
      <c r="W548" s="10" t="inlineStr">
        <is>
          <t>Essence</t>
        </is>
      </c>
      <c r="X548" s="10" t="inlineStr">
        <is>
          <t>Manuelle</t>
        </is>
      </c>
      <c r="Y548" s="16" t="n">
        <v>240</v>
      </c>
      <c r="Z548" s="16" t="n">
        <v>16</v>
      </c>
      <c r="AA548" s="10" t="inlineStr">
        <is>
          <t>Noir</t>
        </is>
      </c>
      <c r="AB548" s="16" t="n">
        <v>2</v>
      </c>
      <c r="AC548" s="10" t="inlineStr">
        <is>
          <t>Cabriolet</t>
        </is>
      </c>
      <c r="AD548" s="10" t="inlineStr">
        <is>
          <t>Factures disponibles, Véhicule non fumeur, Réparations utiles déjà faites, Carnet d'entretien disponible</t>
        </is>
      </c>
      <c r="AE548" s="10" t="inlineStr">
        <is>
          <t>Première main</t>
        </is>
      </c>
      <c r="AF548" s="10" t="inlineStr">
        <is>
          <t>Particulier</t>
        </is>
      </c>
      <c r="AG548" s="10" t="inlineStr">
        <is>
          <t>Le Teich</t>
        </is>
      </c>
      <c r="AH548" s="10" t="inlineStr">
        <is>
          <t>33470</t>
        </is>
      </c>
      <c r="AI548" s="10" t="inlineStr">
        <is>
          <t>Gironde</t>
        </is>
      </c>
      <c r="AJ548" s="10" t="inlineStr">
        <is>
          <t>Aquitaine</t>
        </is>
      </c>
      <c r="AK548" s="16" t="n">
        <v>2</v>
      </c>
      <c r="AL548" s="10" t="n"/>
      <c r="AM548" s="10" t="inlineStr">
        <is>
          <t>Non</t>
        </is>
      </c>
      <c r="AN548" s="10" t="inlineStr">
        <is>
          <t>cede Porsche boxster 987 de 2005 125000 km bon état, nombreux travaux effectue, bien entretenu , batterie neuve , module electrique neuf joint de porte changé, ct ok sera refait pour la vente et la révision disponible a partir de début novembre temps de chauffe respecté n hésitez pas de me contacter pour plus de renseignement</t>
        </is>
      </c>
      <c r="AO548" s="10" t="inlineStr">
        <is>
          <t>vehicle_technical_inspection_valid : Non ; Dommages : Bon état général ; Sellerie : Tout cuir ; Équipements intérieurs : Allumage automatique des phares, Climatisation, Coffre à ouverture électrique, Essuie-glaces automatiques, Jantes en alliage, Phares LED / Xenon, Régulateur de vitesse ; Permis : Avec permis ; Importé : false ; vehicle_history_teaser_critair : 2 ; vehicle_history_teaser_owners : 5 ; vehicle_history_teaser_expertises : true ; vehicle_history_teaser_special_uses : false ; vehicle_history_teaser_atypical_operations : false ; vehicle_history_teaser_importations : false</t>
        </is>
      </c>
      <c r="AP548" s="19" t="inlineStr">
        <is>
          <t>Voir</t>
        </is>
      </c>
      <c r="AQ548" s="10" t="inlineStr">
        <is>
          <t>3283833054</t>
        </is>
      </c>
    </row>
    <row r="549">
      <c r="A549" s="10" t="inlineStr">
        <is>
          <t>Porsche Boxster 987</t>
        </is>
      </c>
      <c r="B549" s="10" t="inlineStr">
        <is>
          <t>PORSCHE BOXSTER 2.7i - 245 TYPE 987 CABRIOLET</t>
        </is>
      </c>
      <c r="C549" s="10" t="inlineStr">
        <is>
          <t>Boxster 2.7 245ch</t>
        </is>
      </c>
      <c r="D549" s="10" t="inlineStr">
        <is>
          <t>Base</t>
        </is>
      </c>
      <c r="E549" s="10" t="inlineStr">
        <is>
          <t>En vente</t>
        </is>
      </c>
      <c r="F549" s="18" t="n">
        <v>46302</v>
      </c>
      <c r="G549" s="18" t="n">
        <v>46302</v>
      </c>
      <c r="H549" s="18" t="n">
        <v>46310</v>
      </c>
      <c r="I549" s="18" t="n"/>
      <c r="J549" s="17">
        <f>IF(OR(ISNUMBER(F549),ISNUMBER(G549)),IF(ISNUMBER(I549),I549,H549)-IF(ISNUMBER(F549),F549,G549),"")</f>
        <v/>
      </c>
      <c r="K549" s="12" t="n">
        <v>29499</v>
      </c>
      <c r="L549" s="12" t="n">
        <v>29499</v>
      </c>
      <c r="M549" s="13">
        <f>IF(AND(ISNUMBER(K549),ISNUMBER(L549),K549&gt;0),1-L549/K549,"")</f>
        <v/>
      </c>
      <c r="N549" s="16" t="n">
        <v>0</v>
      </c>
      <c r="O549" s="12" t="n">
        <v>29999</v>
      </c>
      <c r="P549" s="12" t="n"/>
      <c r="Q549" s="12" t="n"/>
      <c r="R549" s="14">
        <f>IF(AND(ISNUMBER(L549),ISNUMBER(P549),ISNUMBER(Q549)),L549/((P549+Q549)/2)-1,"")</f>
        <v/>
      </c>
      <c r="S549" s="10" t="n"/>
      <c r="T549" s="15" t="n">
        <v>83000</v>
      </c>
      <c r="U549" s="16" t="n">
        <v>2008</v>
      </c>
      <c r="V549" s="10" t="inlineStr">
        <is>
          <t>03/2008</t>
        </is>
      </c>
      <c r="W549" s="10" t="inlineStr">
        <is>
          <t>Essence</t>
        </is>
      </c>
      <c r="X549" s="10" t="inlineStr">
        <is>
          <t>Manuelle</t>
        </is>
      </c>
      <c r="Y549" s="16" t="n">
        <v>245</v>
      </c>
      <c r="Z549" s="16" t="n">
        <v>16</v>
      </c>
      <c r="AA549" s="10" t="inlineStr">
        <is>
          <t>Autre</t>
        </is>
      </c>
      <c r="AB549" s="16" t="n">
        <v>2</v>
      </c>
      <c r="AC549" s="10" t="inlineStr">
        <is>
          <t>Cabriolet</t>
        </is>
      </c>
      <c r="AD549" s="10" t="n"/>
      <c r="AE549" s="10" t="n"/>
      <c r="AF549" s="10" t="inlineStr">
        <is>
          <t>Pro</t>
        </is>
      </c>
      <c r="AG549" s="10" t="inlineStr">
        <is>
          <t>Élancourt</t>
        </is>
      </c>
      <c r="AH549" s="10" t="inlineStr">
        <is>
          <t>78990</t>
        </is>
      </c>
      <c r="AI549" s="10" t="inlineStr">
        <is>
          <t>Yvelines</t>
        </is>
      </c>
      <c r="AJ549" s="10" t="inlineStr">
        <is>
          <t>Ile-de-France</t>
        </is>
      </c>
      <c r="AK549" s="16" t="n">
        <v>24</v>
      </c>
      <c r="AL549" s="10" t="inlineStr">
        <is>
          <t>Oui</t>
        </is>
      </c>
      <c r="AM549" s="10" t="inlineStr">
        <is>
          <t>Non</t>
        </is>
      </c>
      <c r="AN549" s="10" t="inlineStr">
        <is>
          <t>AGENCY CAR Showroom automobile à Plaisir Depuis 2014, AGENCY CAR vous accompagne dans vos projets d’achat de véhicules d’occasion avec sérieux et transparence. Notre agence de Plaisir vous propose ce véhicule : PORSCHE Boxter, INCONNU, 16 cv, 2 portes, première mise en circulation le 31-03-2008, garantie . Véhicule visible UNIQUEMENT SUR RDV à l'agence de Plaisir (78). Du mardi au vendredi 10h - 18h30 et le samedi de 9h30 à 17h. - Financement possible de 12 à 72 mois. - Possibilité d'extension d</t>
        </is>
      </c>
      <c r="AO549" s="10" t="inlineStr">
        <is>
          <t>Dommages : Bon état général ; Équipements intérieurs : Régulateur de vitesse ; Permis : Avec permis ; VO récent : false ; custom_ref : 1680-0000351 ; Importé : true ; vehicle_history_report_status : visible ; spare_parts_availability : Non renseignée</t>
        </is>
      </c>
      <c r="AP549" s="19" t="inlineStr">
        <is>
          <t>Voir</t>
        </is>
      </c>
      <c r="AQ549" s="10" t="inlineStr">
        <is>
          <t>3284158987</t>
        </is>
      </c>
    </row>
    <row r="550">
      <c r="A550" s="10" t="inlineStr">
        <is>
          <t>Porsche Boxster 987</t>
        </is>
      </c>
      <c r="B550" s="10" t="inlineStr">
        <is>
          <t>Porsche Boxster 987 3.4S</t>
        </is>
      </c>
      <c r="C550" s="10" t="n"/>
      <c r="D550" s="10" t="n"/>
      <c r="E550" s="10" t="inlineStr">
        <is>
          <t>En vente</t>
        </is>
      </c>
      <c r="F550" s="18" t="n">
        <v>46303</v>
      </c>
      <c r="G550" s="18" t="n">
        <v>46303</v>
      </c>
      <c r="H550" s="18" t="n">
        <v>46310</v>
      </c>
      <c r="I550" s="18" t="n"/>
      <c r="J550" s="17">
        <f>IF(OR(ISNUMBER(F550),ISNUMBER(G550)),IF(ISNUMBER(I550),I550,H550)-IF(ISNUMBER(F550),F550,G550),"")</f>
        <v/>
      </c>
      <c r="K550" s="12" t="n">
        <v>38900</v>
      </c>
      <c r="L550" s="12" t="n">
        <v>38900</v>
      </c>
      <c r="M550" s="13">
        <f>IF(AND(ISNUMBER(K550),ISNUMBER(L550),K550&gt;0),1-L550/K550,"")</f>
        <v/>
      </c>
      <c r="N550" s="16" t="n">
        <v>0</v>
      </c>
      <c r="O550" s="12" t="n"/>
      <c r="P550" s="12" t="n"/>
      <c r="Q550" s="12" t="n"/>
      <c r="R550" s="14">
        <f>IF(AND(ISNUMBER(L550),ISNUMBER(P550),ISNUMBER(Q550)),L550/((P550+Q550)/2)-1,"")</f>
        <v/>
      </c>
      <c r="S550" s="10" t="n"/>
      <c r="T550" s="15" t="n">
        <v>67000</v>
      </c>
      <c r="U550" s="16" t="n">
        <v>2006</v>
      </c>
      <c r="V550" s="10" t="inlineStr">
        <is>
          <t>11/2006</t>
        </is>
      </c>
      <c r="W550" s="10" t="inlineStr">
        <is>
          <t>Essence</t>
        </is>
      </c>
      <c r="X550" s="10" t="inlineStr">
        <is>
          <t>Manuelle</t>
        </is>
      </c>
      <c r="Y550" s="16" t="n">
        <v>295</v>
      </c>
      <c r="Z550" s="16" t="n">
        <v>21</v>
      </c>
      <c r="AA550" s="10" t="inlineStr">
        <is>
          <t>Autre</t>
        </is>
      </c>
      <c r="AB550" s="16" t="n">
        <v>2</v>
      </c>
      <c r="AC550" s="10" t="inlineStr">
        <is>
          <t>Cabriolet</t>
        </is>
      </c>
      <c r="AD550" s="10" t="n"/>
      <c r="AE550" s="10" t="n"/>
      <c r="AF550" s="10" t="inlineStr">
        <is>
          <t>Particulier</t>
        </is>
      </c>
      <c r="AG550" s="10" t="inlineStr">
        <is>
          <t>Melleroy</t>
        </is>
      </c>
      <c r="AH550" s="10" t="inlineStr">
        <is>
          <t>45220</t>
        </is>
      </c>
      <c r="AI550" s="10" t="inlineStr">
        <is>
          <t>Loiret</t>
        </is>
      </c>
      <c r="AJ550" s="10" t="inlineStr">
        <is>
          <t>Centre</t>
        </is>
      </c>
      <c r="AK550" s="16" t="n">
        <v>3</v>
      </c>
      <c r="AL550" s="10" t="n"/>
      <c r="AM550" s="10" t="inlineStr">
        <is>
          <t>Non</t>
        </is>
      </c>
      <c r="AN550" s="10" t="inlineStr">
        <is>
          <t>Je vends ma Porsche Boxster S 987 de 2006, un cabriolet sportif d'exception avec 67000 km évolutif au compteur. - Marque : Porsche - Modèle : Boxster - Finition : S - Année : 2006 - Date de mise en circulation : 11/2006 - Kilométrage : 66 000 km - Motorisation : 3.4 l 295 Ch - Carburant : Essence - Boîte de vitesses : Manuelle - Type de véhicule : Cabriolet - Nombre de sièges : 2 - Nombre de portes : 2 - Couleur : Gris - Puissance fiscale : 21 Cv Elle est équipée du pack chrono, du pack Bose, cu</t>
        </is>
      </c>
      <c r="AO550" s="10" t="inlineStr">
        <is>
          <t>Permis : Avec permis ; Importé : false ; vehicle_history_teaser_critair : 2 ; vehicle_history_teaser_owners : 6 ; vehicle_history_teaser_expertises : false ; vehicle_history_teaser_special_uses : false ; vehicle_history_teaser_atypical_operations : true ; vehicle_history_teaser_importations : true</t>
        </is>
      </c>
      <c r="AP550" s="19" t="inlineStr">
        <is>
          <t>Voir</t>
        </is>
      </c>
      <c r="AQ550" s="10" t="inlineStr">
        <is>
          <t>3284607283</t>
        </is>
      </c>
    </row>
    <row r="551">
      <c r="A551" s="10" t="inlineStr">
        <is>
          <t>Porsche Boxster 987</t>
        </is>
      </c>
      <c r="B551" s="10" t="inlineStr">
        <is>
          <t>Porsche BOXSTER (987) 2.9 PDK</t>
        </is>
      </c>
      <c r="C551" s="10" t="inlineStr">
        <is>
          <t>Boxster 2.9 PDK</t>
        </is>
      </c>
      <c r="D551" s="10" t="inlineStr">
        <is>
          <t>Base</t>
        </is>
      </c>
      <c r="E551" s="10" t="inlineStr">
        <is>
          <t>En vente</t>
        </is>
      </c>
      <c r="F551" s="18" t="n">
        <v>46304</v>
      </c>
      <c r="G551" s="18" t="n">
        <v>46304</v>
      </c>
      <c r="H551" s="18" t="n">
        <v>46310</v>
      </c>
      <c r="I551" s="18" t="n"/>
      <c r="J551" s="17">
        <f>IF(OR(ISNUMBER(F551),ISNUMBER(G551)),IF(ISNUMBER(I551),I551,H551)-IF(ISNUMBER(F551),F551,G551),"")</f>
        <v/>
      </c>
      <c r="K551" s="12" t="n">
        <v>31990</v>
      </c>
      <c r="L551" s="12" t="n">
        <v>31990</v>
      </c>
      <c r="M551" s="13">
        <f>IF(AND(ISNUMBER(K551),ISNUMBER(L551),K551&gt;0),1-L551/K551,"")</f>
        <v/>
      </c>
      <c r="N551" s="16" t="n">
        <v>0</v>
      </c>
      <c r="O551" s="12" t="n"/>
      <c r="P551" s="12" t="n"/>
      <c r="Q551" s="12" t="n"/>
      <c r="R551" s="14">
        <f>IF(AND(ISNUMBER(L551),ISNUMBER(P551),ISNUMBER(Q551)),L551/((P551+Q551)/2)-1,"")</f>
        <v/>
      </c>
      <c r="S551" s="10" t="n"/>
      <c r="T551" s="15" t="n">
        <v>126578</v>
      </c>
      <c r="U551" s="16" t="n">
        <v>2010</v>
      </c>
      <c r="V551" s="10" t="inlineStr">
        <is>
          <t>07/2010</t>
        </is>
      </c>
      <c r="W551" s="10" t="inlineStr">
        <is>
          <t>Essence</t>
        </is>
      </c>
      <c r="X551" s="10" t="inlineStr">
        <is>
          <t>Automatique</t>
        </is>
      </c>
      <c r="Y551" s="16" t="n"/>
      <c r="Z551" s="16" t="n">
        <v>17</v>
      </c>
      <c r="AA551" s="10" t="n"/>
      <c r="AB551" s="16" t="n">
        <v>2</v>
      </c>
      <c r="AC551" s="10" t="inlineStr">
        <is>
          <t>Cabriolet</t>
        </is>
      </c>
      <c r="AD551" s="10" t="n"/>
      <c r="AE551" s="10" t="n"/>
      <c r="AF551" s="10" t="inlineStr">
        <is>
          <t>Pro</t>
        </is>
      </c>
      <c r="AG551" s="10" t="inlineStr">
        <is>
          <t>Pamiers</t>
        </is>
      </c>
      <c r="AH551" s="10" t="inlineStr">
        <is>
          <t>09100</t>
        </is>
      </c>
      <c r="AI551" s="10" t="inlineStr">
        <is>
          <t>Ariège</t>
        </is>
      </c>
      <c r="AJ551" s="10" t="inlineStr">
        <is>
          <t>Midi-Pyrénées</t>
        </is>
      </c>
      <c r="AK551" s="16" t="n">
        <v>17</v>
      </c>
      <c r="AL551" s="10" t="n"/>
      <c r="AM551" s="10" t="inlineStr">
        <is>
          <t>Non</t>
        </is>
      </c>
      <c r="AN551" s="10" t="inlineStr">
        <is>
          <t>Porsche BOXSTER (987) 2.9 PDK, (Cabriolet), INCONN, 17cv, 2 portes, mise en circulation le 22-07-2010. 2 places, longueur : 4,34 mètres, boîte de vitesse : automatique OPTIONS ET EQUIPEMENTS : Conduite - Régulateur de vitesse Extérieur - Jantes Alu - Peinture métal Intérieur - Clim automatique - Sièges avant chauffants - Verrouillage centralisé des portes - Vitres avant électriques Kilométrage non garanti. Référence annonce : 6437</t>
        </is>
      </c>
      <c r="AO551" s="10" t="inlineStr">
        <is>
          <t>Permis : Avec permis ; VO récent : false ; custom_ref : 6437 ; Importé : true ; vehicle_history_report_status : visible ; spare_parts_availability : Non renseignée</t>
        </is>
      </c>
      <c r="AP551" s="19" t="inlineStr">
        <is>
          <t>Voir</t>
        </is>
      </c>
      <c r="AQ551" s="10" t="inlineStr">
        <is>
          <t>3284841554</t>
        </is>
      </c>
    </row>
    <row r="552">
      <c r="A552" s="10" t="inlineStr">
        <is>
          <t>Porsche Boxster 987</t>
        </is>
      </c>
      <c r="B552" s="10" t="inlineStr">
        <is>
          <t>Porsche Boxster 987 Pack Sport Chrono</t>
        </is>
      </c>
      <c r="C552" s="10" t="n"/>
      <c r="D552" s="10" t="n"/>
      <c r="E552" s="10" t="inlineStr">
        <is>
          <t>En vente</t>
        </is>
      </c>
      <c r="F552" s="18" t="n">
        <v>46304</v>
      </c>
      <c r="G552" s="18" t="n">
        <v>46304</v>
      </c>
      <c r="H552" s="18" t="n">
        <v>46310</v>
      </c>
      <c r="I552" s="18" t="n"/>
      <c r="J552" s="17">
        <f>IF(OR(ISNUMBER(F552),ISNUMBER(G552)),IF(ISNUMBER(I552),I552,H552)-IF(ISNUMBER(F552),F552,G552),"")</f>
        <v/>
      </c>
      <c r="K552" s="12" t="n">
        <v>29500</v>
      </c>
      <c r="L552" s="12" t="n">
        <v>29500</v>
      </c>
      <c r="M552" s="13">
        <f>IF(AND(ISNUMBER(K552),ISNUMBER(L552),K552&gt;0),1-L552/K552,"")</f>
        <v/>
      </c>
      <c r="N552" s="16" t="n">
        <v>0</v>
      </c>
      <c r="O552" s="12" t="n"/>
      <c r="P552" s="12" t="n"/>
      <c r="Q552" s="12" t="n"/>
      <c r="R552" s="14">
        <f>IF(AND(ISNUMBER(L552),ISNUMBER(P552),ISNUMBER(Q552)),L552/((P552+Q552)/2)-1,"")</f>
        <v/>
      </c>
      <c r="S552" s="10" t="n"/>
      <c r="T552" s="15" t="n">
        <v>67500</v>
      </c>
      <c r="U552" s="16" t="n">
        <v>2005</v>
      </c>
      <c r="V552" s="10" t="inlineStr">
        <is>
          <t>07/2005</t>
        </is>
      </c>
      <c r="W552" s="10" t="inlineStr">
        <is>
          <t>Essence</t>
        </is>
      </c>
      <c r="X552" s="10" t="inlineStr">
        <is>
          <t>Manuelle</t>
        </is>
      </c>
      <c r="Y552" s="16" t="n">
        <v>240</v>
      </c>
      <c r="Z552" s="16" t="n">
        <v>16</v>
      </c>
      <c r="AA552" s="10" t="inlineStr">
        <is>
          <t>Argent</t>
        </is>
      </c>
      <c r="AB552" s="16" t="n">
        <v>2</v>
      </c>
      <c r="AC552" s="10" t="inlineStr">
        <is>
          <t>Cabriolet</t>
        </is>
      </c>
      <c r="AD552" s="10" t="inlineStr">
        <is>
          <t>Carnet d'entretien disponible, Factures disponibles, Véhicule non fumeur, Réparations utiles déjà faites</t>
        </is>
      </c>
      <c r="AE552" s="10" t="n"/>
      <c r="AF552" s="10" t="inlineStr">
        <is>
          <t>Particulier</t>
        </is>
      </c>
      <c r="AG552" s="10" t="inlineStr">
        <is>
          <t>Saint-Symphorien-d'Ozon</t>
        </is>
      </c>
      <c r="AH552" s="10" t="inlineStr">
        <is>
          <t>69360</t>
        </is>
      </c>
      <c r="AI552" s="10" t="inlineStr">
        <is>
          <t>Rhône</t>
        </is>
      </c>
      <c r="AJ552" s="10" t="inlineStr">
        <is>
          <t>Rhône-Alpes</t>
        </is>
      </c>
      <c r="AK552" s="16" t="n">
        <v>3</v>
      </c>
      <c r="AL552" s="10" t="n"/>
      <c r="AM552" s="10" t="inlineStr">
        <is>
          <t>Non</t>
        </is>
      </c>
      <c r="AN552" s="10" t="inlineStr">
        <is>
          <t>Je mets en vente mon Porsche Boxster 987 2.7 Pack Sport Chrono Dans une superbe configuration GT Silver métallisé. Toujours entretenu avec le plus grand soin. - Entièrement d'origine - 07/2005 - 67500 Kms Carnet d'entretien à jour et tamponné depuis la mise en circulation. La voiture est dans un excellent état, intérieur comme extérieur, dort en garage chauffé et n'est jamais laissée à l'extérieur. L'entretien a toujours été réalisé selon les préconisations Porsche chez les spécialistes : - OFZK</t>
        </is>
      </c>
      <c r="AO552" s="10" t="inlineStr">
        <is>
          <t>Dommages : Excellent état (proche du neuf) ; Sellerie : Tout cuir ; Permis : Avec permis ; Importé : false ; vehicle_history_teaser_critair : 2 ; vehicle_history_teaser_owners : 6 ; vehicle_history_teaser_expertises : false ; vehicle_history_teaser_special_uses : false ; vehicle_history_teaser_atypical_operations : false ; vehicle_history_teaser_importations : false</t>
        </is>
      </c>
      <c r="AP552" s="19" t="inlineStr">
        <is>
          <t>Voir</t>
        </is>
      </c>
      <c r="AQ552" s="10" t="inlineStr">
        <is>
          <t>3284882444</t>
        </is>
      </c>
    </row>
    <row r="553">
      <c r="A553" s="10" t="inlineStr">
        <is>
          <t>Porsche Boxster 987</t>
        </is>
      </c>
      <c r="B553" s="10" t="inlineStr">
        <is>
          <t>Porsche boxster 987</t>
        </is>
      </c>
      <c r="C553" s="10" t="inlineStr">
        <is>
          <t>Boxster 2.9</t>
        </is>
      </c>
      <c r="D553" s="10" t="inlineStr">
        <is>
          <t>Base</t>
        </is>
      </c>
      <c r="E553" s="10" t="inlineStr">
        <is>
          <t>En vente</t>
        </is>
      </c>
      <c r="F553" s="18" t="n">
        <v>46306</v>
      </c>
      <c r="G553" s="18" t="n">
        <v>46306</v>
      </c>
      <c r="H553" s="18" t="n">
        <v>46310</v>
      </c>
      <c r="I553" s="18" t="n"/>
      <c r="J553" s="17">
        <f>IF(OR(ISNUMBER(F553),ISNUMBER(G553)),IF(ISNUMBER(I553),I553,H553)-IF(ISNUMBER(F553),F553,G553),"")</f>
        <v/>
      </c>
      <c r="K553" s="12" t="n">
        <v>29990</v>
      </c>
      <c r="L553" s="12" t="n">
        <v>29990</v>
      </c>
      <c r="M553" s="13">
        <f>IF(AND(ISNUMBER(K553),ISNUMBER(L553),K553&gt;0),1-L553/K553,"")</f>
        <v/>
      </c>
      <c r="N553" s="16" t="n">
        <v>0</v>
      </c>
      <c r="O553" s="12" t="n"/>
      <c r="P553" s="12" t="n"/>
      <c r="Q553" s="12" t="n"/>
      <c r="R553" s="14">
        <f>IF(AND(ISNUMBER(L553),ISNUMBER(P553),ISNUMBER(Q553)),L553/((P553+Q553)/2)-1,"")</f>
        <v/>
      </c>
      <c r="S553" s="10" t="n"/>
      <c r="T553" s="15" t="n">
        <v>125000</v>
      </c>
      <c r="U553" s="16" t="n">
        <v>2009</v>
      </c>
      <c r="V553" s="10" t="inlineStr">
        <is>
          <t>07/2009</t>
        </is>
      </c>
      <c r="W553" s="10" t="inlineStr">
        <is>
          <t>Essence</t>
        </is>
      </c>
      <c r="X553" s="10" t="inlineStr">
        <is>
          <t>Manuelle</t>
        </is>
      </c>
      <c r="Y553" s="16" t="n">
        <v>255</v>
      </c>
      <c r="Z553" s="16" t="n">
        <v>17</v>
      </c>
      <c r="AA553" s="10" t="inlineStr">
        <is>
          <t>Gris</t>
        </is>
      </c>
      <c r="AB553" s="16" t="n">
        <v>2</v>
      </c>
      <c r="AC553" s="10" t="inlineStr">
        <is>
          <t>Cabriolet</t>
        </is>
      </c>
      <c r="AD553" s="10" t="inlineStr">
        <is>
          <t>Carnet d'entretien disponible, Factures disponibles, Véhicule non fumeur, Réparations utiles déjà faites</t>
        </is>
      </c>
      <c r="AE553" s="10" t="n"/>
      <c r="AF553" s="10" t="inlineStr">
        <is>
          <t>Particulier</t>
        </is>
      </c>
      <c r="AG553" s="10" t="inlineStr">
        <is>
          <t>Annecy</t>
        </is>
      </c>
      <c r="AH553" s="10" t="inlineStr">
        <is>
          <t>74000</t>
        </is>
      </c>
      <c r="AI553" s="10" t="inlineStr">
        <is>
          <t>Haute-Savoie</t>
        </is>
      </c>
      <c r="AJ553" s="10" t="inlineStr">
        <is>
          <t>Rhône-Alpes</t>
        </is>
      </c>
      <c r="AK553" s="16" t="n">
        <v>3</v>
      </c>
      <c r="AL553" s="10" t="n"/>
      <c r="AM553" s="10" t="inlineStr">
        <is>
          <t>Non</t>
        </is>
      </c>
      <c r="AN553" s="10" t="inlineStr">
        <is>
          <t>Je vends ma Porsche Boxster 2.9 de 2009, .ORIGINE FRANCE Avec dossier complet. 987 phase 2 Model fiable - Marque : Porsche - Modèle : Boxster - Version : Boxster 2.9 - Année : 2009 - Kilométrage : 125 000 km - Motorisation : 255 Ch - Puissance fiscale : 17 Cv - Carburant : Essence - Boîte de vitesses : Manuelle - Couleur : Gris - Type de véhicule : Cabriolet - Nombre de sièges : 2 - Nombre de portes : 2 - Finition : Base N'hésitez pas à me contacter pour plus d'informations ou pour convenir d'un</t>
        </is>
      </c>
      <c r="AO553" s="10" t="inlineStr">
        <is>
          <t>vehicle_technical_inspection_valid : Oui ; Contrôle technique : 2028 ; Dommages : Traces d’usure normales ; Équipements intérieurs : Aide au stationnement, Bluetooth, Chargeurs USB, Climatisation, Jantes en alliage, Ordinateur de bord, Phares anti-brouillard, Régulateur de vitesse, Sièges chauffants, Sièges en cuir, Sièges ventilés, Système de navigation, Volant réglable en hauteur, Volant réglable en profondeur ; Permis : Avec permis ; ad_warranty_type : essential ; Importé : false ; vehicle_history_teaser_critair : 1 ; vehicle_history_teaser_owners : 7 ; vehicle_history_teaser_expertises : false ; vehicle_history_teaser_special_uses : true ; vehicle_history_teaser_atypical_operations : false ; vehicle_history_teaser_importations : false</t>
        </is>
      </c>
      <c r="AP553" s="19" t="inlineStr">
        <is>
          <t>Voir</t>
        </is>
      </c>
      <c r="AQ553" s="10" t="inlineStr">
        <is>
          <t>3286583539</t>
        </is>
      </c>
    </row>
    <row r="554">
      <c r="A554" s="10" t="inlineStr">
        <is>
          <t>Porsche Boxster 987</t>
        </is>
      </c>
      <c r="B554" s="10" t="inlineStr">
        <is>
          <t>Porsche boxster 987 phase 1</t>
        </is>
      </c>
      <c r="C554" s="10" t="n"/>
      <c r="D554" s="10" t="n"/>
      <c r="E554" s="10" t="inlineStr">
        <is>
          <t>En vente</t>
        </is>
      </c>
      <c r="F554" s="18" t="n">
        <v>46309</v>
      </c>
      <c r="G554" s="18" t="n">
        <v>46309</v>
      </c>
      <c r="H554" s="18" t="n">
        <v>46310</v>
      </c>
      <c r="I554" s="18" t="n"/>
      <c r="J554" s="17">
        <f>IF(OR(ISNUMBER(F554),ISNUMBER(G554)),IF(ISNUMBER(I554),I554,H554)-IF(ISNUMBER(F554),F554,G554),"")</f>
        <v/>
      </c>
      <c r="K554" s="12" t="n">
        <v>21000</v>
      </c>
      <c r="L554" s="12" t="n">
        <v>21000</v>
      </c>
      <c r="M554" s="13">
        <f>IF(AND(ISNUMBER(K554),ISNUMBER(L554),K554&gt;0),1-L554/K554,"")</f>
        <v/>
      </c>
      <c r="N554" s="16" t="n">
        <v>0</v>
      </c>
      <c r="O554" s="12" t="n"/>
      <c r="P554" s="12" t="n"/>
      <c r="Q554" s="12" t="n"/>
      <c r="R554" s="14">
        <f>IF(AND(ISNUMBER(L554),ISNUMBER(P554),ISNUMBER(Q554)),L554/((P554+Q554)/2)-1,"")</f>
        <v/>
      </c>
      <c r="S554" s="10" t="n"/>
      <c r="T554" s="15" t="n">
        <v>185000</v>
      </c>
      <c r="U554" s="16" t="n">
        <v>2005</v>
      </c>
      <c r="V554" s="10" t="inlineStr">
        <is>
          <t>05/2005</t>
        </is>
      </c>
      <c r="W554" s="10" t="inlineStr">
        <is>
          <t>Essence</t>
        </is>
      </c>
      <c r="X554" s="10" t="inlineStr">
        <is>
          <t>Manuelle</t>
        </is>
      </c>
      <c r="Y554" s="16" t="n">
        <v>240</v>
      </c>
      <c r="Z554" s="16" t="n">
        <v>16</v>
      </c>
      <c r="AA554" s="10" t="inlineStr">
        <is>
          <t>Bleu</t>
        </is>
      </c>
      <c r="AB554" s="16" t="n">
        <v>2</v>
      </c>
      <c r="AC554" s="10" t="inlineStr">
        <is>
          <t>Cabriolet</t>
        </is>
      </c>
      <c r="AD554" s="10" t="inlineStr">
        <is>
          <t>Carnet d'entretien disponible, Factures disponibles, Véhicule non fumeur, Réparations utiles déjà faites</t>
        </is>
      </c>
      <c r="AE554" s="10" t="n"/>
      <c r="AF554" s="10" t="inlineStr">
        <is>
          <t>Particulier</t>
        </is>
      </c>
      <c r="AG554" s="10" t="inlineStr">
        <is>
          <t>Mouazé</t>
        </is>
      </c>
      <c r="AH554" s="10" t="inlineStr">
        <is>
          <t>35250</t>
        </is>
      </c>
      <c r="AI554" s="10" t="inlineStr">
        <is>
          <t>Ille-et-Vilaine</t>
        </is>
      </c>
      <c r="AJ554" s="10" t="inlineStr">
        <is>
          <t>Bretagne</t>
        </is>
      </c>
      <c r="AK554" s="16" t="n">
        <v>3</v>
      </c>
      <c r="AL554" s="10" t="n"/>
      <c r="AM554" s="10" t="inlineStr">
        <is>
          <t>Non</t>
        </is>
      </c>
      <c r="AN554" s="10" t="inlineStr">
        <is>
          <t># Porsche Boxster 2.7 240 ch – 2005 – Bleu / Intérieur beige sable Je mets en vente ma **Porsche Boxster de 2005**, un roadster au look intemporel, doté du moteur 2.7 essence de 240 ch, offrant un excellent plaisir de conduite grâce à son moteur flat-six et à sa configuration à moteur central. 🔹 Caractéristiques : * Année : 2005 * Motorisation : 2.7 essence – 240 ch * Kilométrage : 185 000 km * Couleur extérieure : bleu * Intérieur : beige sable * Boîte de vitesses : 5 rapports ✨ Une configurat</t>
        </is>
      </c>
      <c r="AO554" s="10" t="inlineStr">
        <is>
          <t>Dommages : Bon état général ; Sellerie : Tout cuir ; Équipements intérieurs : Alarme antivol, Climatisation, Coffre à ouverture électrique, Jantes en alliage, Ordinateur de bord, Pare-brise chauffant, Phares anti-brouillard, Phares LED / Xenon, Planificateur intelligent de trajet, Radio numérique DAB, Régulateur de vitesse, Siège réglable en hauteur, Sièges chauffants, Sièges en cuir, Sièges électriques, Système audio haut de gamme, Système de navigation, Système de surveillance pression pneus (TPMS), Toit ouvrant / Toit panoramique, Volant réglable en hauteur, Volant réglable en profondeur ; Permis : Avec permis ; Importé : false ; vehicle_history_report_status : visible</t>
        </is>
      </c>
      <c r="AP554" s="19" t="inlineStr">
        <is>
          <t>Voir</t>
        </is>
      </c>
      <c r="AQ554" s="10" t="inlineStr">
        <is>
          <t>3288187003</t>
        </is>
      </c>
    </row>
    <row r="555">
      <c r="A555" s="10" t="inlineStr">
        <is>
          <t>Porsche Boxster 987</t>
        </is>
      </c>
      <c r="B555" s="10" t="inlineStr">
        <is>
          <t>Porsche boxster 987 s</t>
        </is>
      </c>
      <c r="C555" s="10" t="inlineStr">
        <is>
          <t>Boxster 3.2 S</t>
        </is>
      </c>
      <c r="D555" s="10" t="inlineStr">
        <is>
          <t>S</t>
        </is>
      </c>
      <c r="E555" s="10" t="inlineStr">
        <is>
          <t>En vente</t>
        </is>
      </c>
      <c r="F555" s="18" t="n">
        <v>46310</v>
      </c>
      <c r="G555" s="18" t="n">
        <v>46310</v>
      </c>
      <c r="H555" s="18" t="n">
        <v>46310</v>
      </c>
      <c r="I555" s="18" t="n"/>
      <c r="J555" s="17">
        <f>IF(OR(ISNUMBER(F555),ISNUMBER(G555)),IF(ISNUMBER(I555),I555,H555)-IF(ISNUMBER(F555),F555,G555),"")</f>
        <v/>
      </c>
      <c r="K555" s="12" t="n">
        <v>29900</v>
      </c>
      <c r="L555" s="12" t="n">
        <v>29900</v>
      </c>
      <c r="M555" s="13">
        <f>IF(AND(ISNUMBER(K555),ISNUMBER(L555),K555&gt;0),1-L555/K555,"")</f>
        <v/>
      </c>
      <c r="N555" s="16" t="n">
        <v>0</v>
      </c>
      <c r="O555" s="12" t="n"/>
      <c r="P555" s="12" t="n"/>
      <c r="Q555" s="12" t="n"/>
      <c r="R555" s="14">
        <f>IF(AND(ISNUMBER(L555),ISNUMBER(P555),ISNUMBER(Q555)),L555/((P555+Q555)/2)-1,"")</f>
        <v/>
      </c>
      <c r="S555" s="10" t="n"/>
      <c r="T555" s="15" t="n">
        <v>1000</v>
      </c>
      <c r="U555" s="16" t="n">
        <v>2005</v>
      </c>
      <c r="V555" s="10" t="inlineStr">
        <is>
          <t>05/2005</t>
        </is>
      </c>
      <c r="W555" s="10" t="inlineStr">
        <is>
          <t>Essence</t>
        </is>
      </c>
      <c r="X555" s="10" t="inlineStr">
        <is>
          <t>Manuelle</t>
        </is>
      </c>
      <c r="Y555" s="16" t="n">
        <v>280</v>
      </c>
      <c r="Z555" s="16" t="n">
        <v>19</v>
      </c>
      <c r="AA555" s="10" t="inlineStr">
        <is>
          <t>Rouge</t>
        </is>
      </c>
      <c r="AB555" s="16" t="n">
        <v>2</v>
      </c>
      <c r="AC555" s="10" t="inlineStr">
        <is>
          <t>Cabriolet</t>
        </is>
      </c>
      <c r="AD555" s="10" t="inlineStr">
        <is>
          <t>Carnet d'entretien disponible, Factures disponibles, Véhicule non fumeur, Réparations utiles déjà faites</t>
        </is>
      </c>
      <c r="AE555" s="10" t="n"/>
      <c r="AF555" s="10" t="inlineStr">
        <is>
          <t>Particulier</t>
        </is>
      </c>
      <c r="AG555" s="10" t="inlineStr">
        <is>
          <t>Soucieu-en-Jarrest</t>
        </is>
      </c>
      <c r="AH555" s="10" t="inlineStr">
        <is>
          <t>69510</t>
        </is>
      </c>
      <c r="AI555" s="10" t="inlineStr">
        <is>
          <t>Rhône</t>
        </is>
      </c>
      <c r="AJ555" s="10" t="inlineStr">
        <is>
          <t>Rhône-Alpes</t>
        </is>
      </c>
      <c r="AK555" s="16" t="n">
        <v>3</v>
      </c>
      <c r="AL555" s="10" t="n"/>
      <c r="AM555" s="10" t="inlineStr">
        <is>
          <t>Non</t>
        </is>
      </c>
      <c r="AN555" s="10" t="inlineStr">
        <is>
          <t>PORSCHE BOXSTER S 987 – 3.2 – 2005 – MOTEUR REFAIT – Je propose à la vente cette Porsche Boxster S 987 de 2005, totalisant 147 000 km, dans une configuration élégante et peu commune, associant une carrosserie Carmonarot Metallic à un intérieur en cuir noir avec finitions bois Makassar. Ce véhicule se distingue par son excellent état de conservation, sa peinture entièrement d'origine, son historique d'entretien suivi et ses nombreuses options. CARACTÉRISTIQUES - Porsche Boxster S 987 – Flat 6, 3.</t>
        </is>
      </c>
      <c r="AO555" s="10" t="inlineStr">
        <is>
          <t>vehicle_technical_inspection_valid : Non ; Dommages : Excellent état (proche du neuf) ; Sellerie : Tout cuir ; Équipements intérieurs : Aide au stationnement, Alarme antivol, Climatisation, Jantes en alliage, Ordinateur de bord, Phares anti-brouillard, Phares LED / Xenon, Régulateur de vitesse, Siège réglable en hauteur, Sièges chauffants, Sièges en cuir, Sièges sport, Sièges électriques, Système de navigation, Volant réglable en hauteur, Volant réglable en profondeur ; Permis : Avec permis ; Importé : false</t>
        </is>
      </c>
      <c r="AP555" s="19" t="inlineStr">
        <is>
          <t>Voir</t>
        </is>
      </c>
      <c r="AQ555" s="10" t="inlineStr">
        <is>
          <t>3288653677</t>
        </is>
      </c>
    </row>
    <row r="556">
      <c r="A556" s="10" t="inlineStr">
        <is>
          <t>Porsche Boxster 987</t>
        </is>
      </c>
      <c r="B556" s="10" t="inlineStr">
        <is>
          <t>PORSCHE BOXSTER 987-1 2.7 i Cabriolet 240cv</t>
        </is>
      </c>
      <c r="C556" s="10" t="n"/>
      <c r="D556" s="10" t="n"/>
      <c r="E556" s="10" t="inlineStr">
        <is>
          <t>En vente</t>
        </is>
      </c>
      <c r="F556" s="18" t="n">
        <v>46280</v>
      </c>
      <c r="G556" s="18" t="n">
        <v>46280</v>
      </c>
      <c r="H556" s="18" t="n">
        <v>46296</v>
      </c>
      <c r="I556" s="18" t="n"/>
      <c r="J556" s="17">
        <f>IF(OR(ISNUMBER(F556),ISNUMBER(G556)),IF(ISNUMBER(I556),I556,H556)-IF(ISNUMBER(F556),F556,G556),"")</f>
        <v/>
      </c>
      <c r="K556" s="12" t="n">
        <v>24490</v>
      </c>
      <c r="L556" s="12" t="n">
        <v>24490</v>
      </c>
      <c r="M556" s="13">
        <f>IF(AND(ISNUMBER(K556),ISNUMBER(L556),K556&gt;0),1-L556/K556,"")</f>
        <v/>
      </c>
      <c r="N556" s="16" t="n">
        <v>0</v>
      </c>
      <c r="O556" s="12" t="n"/>
      <c r="P556" s="12" t="n"/>
      <c r="Q556" s="12" t="n"/>
      <c r="R556" s="14">
        <f>IF(AND(ISNUMBER(L556),ISNUMBER(P556),ISNUMBER(Q556)),L556/((P556+Q556)/2)-1,"")</f>
        <v/>
      </c>
      <c r="S556" s="10" t="n"/>
      <c r="T556" s="15" t="n">
        <v>151000</v>
      </c>
      <c r="U556" s="16" t="n">
        <v>2005</v>
      </c>
      <c r="V556" s="10" t="n"/>
      <c r="W556" s="10" t="inlineStr">
        <is>
          <t>Essence</t>
        </is>
      </c>
      <c r="X556" s="10" t="inlineStr">
        <is>
          <t>Manuelle</t>
        </is>
      </c>
      <c r="Y556" s="16" t="n">
        <v>240</v>
      </c>
      <c r="Z556" s="16" t="n">
        <v>16</v>
      </c>
      <c r="AA556" s="10" t="inlineStr">
        <is>
          <t>Noir</t>
        </is>
      </c>
      <c r="AB556" s="16" t="n">
        <v>2</v>
      </c>
      <c r="AC556" s="10" t="inlineStr">
        <is>
          <t>Cabriolet</t>
        </is>
      </c>
      <c r="AD556" s="10" t="n"/>
      <c r="AE556" s="10" t="n"/>
      <c r="AF556" s="10" t="inlineStr">
        <is>
          <t>Pro</t>
        </is>
      </c>
      <c r="AG556" s="10" t="inlineStr">
        <is>
          <t>Rennes</t>
        </is>
      </c>
      <c r="AH556" s="10" t="inlineStr">
        <is>
          <t>35000</t>
        </is>
      </c>
      <c r="AI556" s="10" t="inlineStr">
        <is>
          <t>Ille-et-Vilaine</t>
        </is>
      </c>
      <c r="AJ556" s="10" t="inlineStr">
        <is>
          <t>Bretagne</t>
        </is>
      </c>
      <c r="AK556" s="16" t="n"/>
      <c r="AL556" s="10" t="inlineStr">
        <is>
          <t>Oui</t>
        </is>
      </c>
      <c r="AM556" s="10" t="n"/>
      <c r="AN556" s="10" t="n"/>
      <c r="AO556" s="10" t="n"/>
      <c r="AP556" s="19" t="inlineStr">
        <is>
          <t>Voir</t>
        </is>
      </c>
      <c r="AQ556" s="10" t="inlineStr">
        <is>
          <t>3128001937</t>
        </is>
      </c>
    </row>
    <row r="557">
      <c r="A557" s="10" t="inlineStr">
        <is>
          <t>Porsche Boxster 987</t>
        </is>
      </c>
      <c r="B557" s="10" t="inlineStr">
        <is>
          <t>Porsche Boxster S (987) 3.4 320 Black Edition</t>
        </is>
      </c>
      <c r="C557" s="10" t="n"/>
      <c r="D557" s="10" t="n"/>
      <c r="E557" s="10" t="inlineStr">
        <is>
          <t>En vente</t>
        </is>
      </c>
      <c r="F557" s="18" t="n">
        <v>46268</v>
      </c>
      <c r="G557" s="18" t="n">
        <v>46268</v>
      </c>
      <c r="H557" s="18" t="n">
        <v>46296</v>
      </c>
      <c r="I557" s="18" t="n"/>
      <c r="J557" s="17">
        <f>IF(OR(ISNUMBER(F557),ISNUMBER(G557)),IF(ISNUMBER(I557),I557,H557)-IF(ISNUMBER(F557),F557,G557),"")</f>
        <v/>
      </c>
      <c r="K557" s="12" t="n">
        <v>45990</v>
      </c>
      <c r="L557" s="12" t="n">
        <v>45990</v>
      </c>
      <c r="M557" s="13">
        <f>IF(AND(ISNUMBER(K557),ISNUMBER(L557),K557&gt;0),1-L557/K557,"")</f>
        <v/>
      </c>
      <c r="N557" s="16" t="n">
        <v>0</v>
      </c>
      <c r="O557" s="12" t="n"/>
      <c r="P557" s="12" t="n"/>
      <c r="Q557" s="12" t="n"/>
      <c r="R557" s="14">
        <f>IF(AND(ISNUMBER(L557),ISNUMBER(P557),ISNUMBER(Q557)),L557/((P557+Q557)/2)-1,"")</f>
        <v/>
      </c>
      <c r="S557" s="10" t="n"/>
      <c r="T557" s="15" t="n">
        <v>89317</v>
      </c>
      <c r="U557" s="16" t="n">
        <v>2011</v>
      </c>
      <c r="V557" s="10" t="n"/>
      <c r="W557" s="10" t="inlineStr">
        <is>
          <t>Essence</t>
        </is>
      </c>
      <c r="X557" s="10" t="inlineStr">
        <is>
          <t>Manuelle</t>
        </is>
      </c>
      <c r="Y557" s="16" t="n">
        <v>320</v>
      </c>
      <c r="Z557" s="16" t="n">
        <v>22</v>
      </c>
      <c r="AA557" s="10" t="inlineStr">
        <is>
          <t>Noir</t>
        </is>
      </c>
      <c r="AB557" s="16" t="n">
        <v>3</v>
      </c>
      <c r="AC557" s="10" t="inlineStr">
        <is>
          <t>Cabriolet</t>
        </is>
      </c>
      <c r="AD557" s="10" t="n"/>
      <c r="AE557" s="10" t="inlineStr"/>
      <c r="AF557" s="10" t="inlineStr">
        <is>
          <t>Pro</t>
        </is>
      </c>
      <c r="AG557" s="10" t="inlineStr">
        <is>
          <t>Grenoble</t>
        </is>
      </c>
      <c r="AH557" s="10" t="inlineStr">
        <is>
          <t>38000</t>
        </is>
      </c>
      <c r="AI557" s="10" t="inlineStr">
        <is>
          <t>Isère</t>
        </is>
      </c>
      <c r="AJ557" s="10" t="inlineStr">
        <is>
          <t>Rhône-Alpes</t>
        </is>
      </c>
      <c r="AK557" s="16" t="n"/>
      <c r="AL557" s="10" t="inlineStr">
        <is>
          <t>Oui</t>
        </is>
      </c>
      <c r="AM557" s="10" t="n"/>
      <c r="AN557" s="10" t="n"/>
      <c r="AO557" s="10" t="n"/>
      <c r="AP557" s="19" t="inlineStr">
        <is>
          <t>Voir</t>
        </is>
      </c>
      <c r="AQ557" s="10" t="inlineStr">
        <is>
          <t>3196043714</t>
        </is>
      </c>
    </row>
    <row r="558">
      <c r="A558" s="10" t="inlineStr">
        <is>
          <t>Porsche Boxster 987</t>
        </is>
      </c>
      <c r="B558" s="10" t="inlineStr">
        <is>
          <t>Porsche BOXSTER S 987 PDK BLACK EDITION</t>
        </is>
      </c>
      <c r="C558" s="10" t="n"/>
      <c r="D558" s="10" t="n"/>
      <c r="E558" s="10" t="inlineStr">
        <is>
          <t>En vente</t>
        </is>
      </c>
      <c r="F558" s="18" t="n">
        <v>46261</v>
      </c>
      <c r="G558" s="18" t="n">
        <v>46261</v>
      </c>
      <c r="H558" s="18" t="n">
        <v>46296</v>
      </c>
      <c r="I558" s="18" t="n"/>
      <c r="J558" s="17">
        <f>IF(OR(ISNUMBER(F558),ISNUMBER(G558)),IF(ISNUMBER(I558),I558,H558)-IF(ISNUMBER(F558),F558,G558),"")</f>
        <v/>
      </c>
      <c r="K558" s="12" t="n">
        <v>44990</v>
      </c>
      <c r="L558" s="12" t="n">
        <v>44990</v>
      </c>
      <c r="M558" s="13">
        <f>IF(AND(ISNUMBER(K558),ISNUMBER(L558),K558&gt;0),1-L558/K558,"")</f>
        <v/>
      </c>
      <c r="N558" s="16" t="n">
        <v>0</v>
      </c>
      <c r="O558" s="12" t="n"/>
      <c r="P558" s="12" t="n"/>
      <c r="Q558" s="12" t="n"/>
      <c r="R558" s="14">
        <f>IF(AND(ISNUMBER(L558),ISNUMBER(P558),ISNUMBER(Q558)),L558/((P558+Q558)/2)-1,"")</f>
        <v/>
      </c>
      <c r="S558" s="10" t="n"/>
      <c r="T558" s="15" t="n">
        <v>94600</v>
      </c>
      <c r="U558" s="16" t="n">
        <v>2011</v>
      </c>
      <c r="V558" s="10" t="n"/>
      <c r="W558" s="10" t="inlineStr">
        <is>
          <t>Essence</t>
        </is>
      </c>
      <c r="X558" s="10" t="inlineStr">
        <is>
          <t>Automatique</t>
        </is>
      </c>
      <c r="Y558" s="16" t="n">
        <v>320</v>
      </c>
      <c r="Z558" s="16" t="n">
        <v>22</v>
      </c>
      <c r="AA558" s="10" t="inlineStr">
        <is>
          <t>Noir</t>
        </is>
      </c>
      <c r="AB558" s="16" t="n">
        <v>2</v>
      </c>
      <c r="AC558" s="10" t="inlineStr">
        <is>
          <t>Cabriolet</t>
        </is>
      </c>
      <c r="AD558" s="10" t="n"/>
      <c r="AE558" s="10" t="n"/>
      <c r="AF558" s="10" t="inlineStr">
        <is>
          <t>Pro</t>
        </is>
      </c>
      <c r="AG558" s="10" t="inlineStr">
        <is>
          <t>Haguenau</t>
        </is>
      </c>
      <c r="AH558" s="10" t="inlineStr">
        <is>
          <t>67500</t>
        </is>
      </c>
      <c r="AI558" s="10" t="inlineStr">
        <is>
          <t>Bas-Rhin</t>
        </is>
      </c>
      <c r="AJ558" s="10" t="inlineStr">
        <is>
          <t>Alsace</t>
        </is>
      </c>
      <c r="AK558" s="16" t="n"/>
      <c r="AL558" s="10" t="inlineStr">
        <is>
          <t>Oui</t>
        </is>
      </c>
      <c r="AM558" s="10" t="n"/>
      <c r="AN558" s="10" t="n"/>
      <c r="AO558" s="10" t="n"/>
      <c r="AP558" s="19" t="inlineStr">
        <is>
          <t>Voir</t>
        </is>
      </c>
      <c r="AQ558" s="10" t="inlineStr">
        <is>
          <t>3213424345</t>
        </is>
      </c>
    </row>
    <row r="559">
      <c r="A559" s="10" t="inlineStr">
        <is>
          <t>Porsche Boxster 987</t>
        </is>
      </c>
      <c r="B559" s="10" t="inlineStr">
        <is>
          <t>Porsche Boxster 987</t>
        </is>
      </c>
      <c r="C559" s="10" t="n"/>
      <c r="D559" s="10" t="n"/>
      <c r="E559" s="10" t="inlineStr">
        <is>
          <t>En vente</t>
        </is>
      </c>
      <c r="F559" s="18" t="n">
        <v>46262</v>
      </c>
      <c r="G559" s="18" t="n">
        <v>46262</v>
      </c>
      <c r="H559" s="18" t="n">
        <v>46296</v>
      </c>
      <c r="I559" s="18" t="n"/>
      <c r="J559" s="17">
        <f>IF(OR(ISNUMBER(F559),ISNUMBER(G559)),IF(ISNUMBER(I559),I559,H559)-IF(ISNUMBER(F559),F559,G559),"")</f>
        <v/>
      </c>
      <c r="K559" s="12" t="n">
        <v>27600</v>
      </c>
      <c r="L559" s="12" t="n">
        <v>27600</v>
      </c>
      <c r="M559" s="13">
        <f>IF(AND(ISNUMBER(K559),ISNUMBER(L559),K559&gt;0),1-L559/K559,"")</f>
        <v/>
      </c>
      <c r="N559" s="16" t="n">
        <v>0</v>
      </c>
      <c r="O559" s="12" t="n"/>
      <c r="P559" s="12" t="n"/>
      <c r="Q559" s="12" t="n"/>
      <c r="R559" s="14">
        <f>IF(AND(ISNUMBER(L559),ISNUMBER(P559),ISNUMBER(Q559)),L559/((P559+Q559)/2)-1,"")</f>
        <v/>
      </c>
      <c r="S559" s="10" t="n"/>
      <c r="T559" s="15" t="n">
        <v>87500</v>
      </c>
      <c r="U559" s="16" t="n">
        <v>2007</v>
      </c>
      <c r="V559" s="10" t="n"/>
      <c r="W559" s="10" t="inlineStr">
        <is>
          <t>Essence</t>
        </is>
      </c>
      <c r="X559" s="10" t="inlineStr">
        <is>
          <t>Manuelle</t>
        </is>
      </c>
      <c r="Y559" s="16" t="n">
        <v>245</v>
      </c>
      <c r="Z559" s="16" t="n">
        <v>16</v>
      </c>
      <c r="AA559" s="10" t="inlineStr">
        <is>
          <t>Gris</t>
        </is>
      </c>
      <c r="AB559" s="16" t="n">
        <v>2</v>
      </c>
      <c r="AC559" s="10" t="inlineStr">
        <is>
          <t>Cabriolet</t>
        </is>
      </c>
      <c r="AD559" s="10" t="n"/>
      <c r="AE559" s="10" t="n"/>
      <c r="AF559" s="10" t="inlineStr">
        <is>
          <t>Particulier</t>
        </is>
      </c>
      <c r="AG559" s="10" t="inlineStr">
        <is>
          <t>Draché</t>
        </is>
      </c>
      <c r="AH559" s="10" t="inlineStr">
        <is>
          <t>37800</t>
        </is>
      </c>
      <c r="AI559" s="10" t="inlineStr">
        <is>
          <t>Indre-et-Loire</t>
        </is>
      </c>
      <c r="AJ559" s="10" t="inlineStr">
        <is>
          <t>Centre</t>
        </is>
      </c>
      <c r="AK559" s="16" t="n"/>
      <c r="AL559" s="10" t="n"/>
      <c r="AM559" s="10" t="n"/>
      <c r="AN559" s="10" t="n"/>
      <c r="AO559" s="10" t="n"/>
      <c r="AP559" s="19" t="inlineStr">
        <is>
          <t>Voir</t>
        </is>
      </c>
      <c r="AQ559" s="10" t="inlineStr">
        <is>
          <t>3214587287</t>
        </is>
      </c>
    </row>
    <row r="560">
      <c r="A560" s="10" t="inlineStr">
        <is>
          <t>Porsche Boxster 987</t>
        </is>
      </c>
      <c r="B560" s="10" t="inlineStr">
        <is>
          <t>Porsche Boxster 987 S</t>
        </is>
      </c>
      <c r="C560" s="10" t="n"/>
      <c r="D560" s="10" t="n"/>
      <c r="E560" s="10" t="inlineStr">
        <is>
          <t>En vente</t>
        </is>
      </c>
      <c r="F560" s="18" t="n">
        <v>46268</v>
      </c>
      <c r="G560" s="18" t="n">
        <v>46268</v>
      </c>
      <c r="H560" s="18" t="n">
        <v>46296</v>
      </c>
      <c r="I560" s="18" t="n"/>
      <c r="J560" s="17">
        <f>IF(OR(ISNUMBER(F560),ISNUMBER(G560)),IF(ISNUMBER(I560),I560,H560)-IF(ISNUMBER(F560),F560,G560),"")</f>
        <v/>
      </c>
      <c r="K560" s="12" t="n">
        <v>29500</v>
      </c>
      <c r="L560" s="12" t="n">
        <v>29500</v>
      </c>
      <c r="M560" s="13">
        <f>IF(AND(ISNUMBER(K560),ISNUMBER(L560),K560&gt;0),1-L560/K560,"")</f>
        <v/>
      </c>
      <c r="N560" s="16" t="n">
        <v>0</v>
      </c>
      <c r="O560" s="12" t="n"/>
      <c r="P560" s="12" t="n"/>
      <c r="Q560" s="12" t="n"/>
      <c r="R560" s="14">
        <f>IF(AND(ISNUMBER(L560),ISNUMBER(P560),ISNUMBER(Q560)),L560/((P560+Q560)/2)-1,"")</f>
        <v/>
      </c>
      <c r="S560" s="10" t="n"/>
      <c r="T560" s="15" t="n">
        <v>120200</v>
      </c>
      <c r="U560" s="16" t="n">
        <v>2005</v>
      </c>
      <c r="V560" s="10" t="n"/>
      <c r="W560" s="10" t="inlineStr">
        <is>
          <t>Essence</t>
        </is>
      </c>
      <c r="X560" s="10" t="inlineStr">
        <is>
          <t>Manuelle</t>
        </is>
      </c>
      <c r="Y560" s="16" t="n">
        <v>280</v>
      </c>
      <c r="Z560" s="16" t="n">
        <v>19</v>
      </c>
      <c r="AA560" s="10" t="inlineStr">
        <is>
          <t>Bleu</t>
        </is>
      </c>
      <c r="AB560" s="16" t="n">
        <v>2</v>
      </c>
      <c r="AC560" s="10" t="inlineStr">
        <is>
          <t>Cabriolet</t>
        </is>
      </c>
      <c r="AD560" s="10" t="n"/>
      <c r="AE560" s="10" t="n"/>
      <c r="AF560" s="10" t="inlineStr">
        <is>
          <t>Particulier</t>
        </is>
      </c>
      <c r="AG560" s="10" t="inlineStr">
        <is>
          <t>L'Isle-d'Abeau</t>
        </is>
      </c>
      <c r="AH560" s="10" t="inlineStr">
        <is>
          <t>38080</t>
        </is>
      </c>
      <c r="AI560" s="10" t="inlineStr">
        <is>
          <t>Isère</t>
        </is>
      </c>
      <c r="AJ560" s="10" t="inlineStr">
        <is>
          <t>Rhône-Alpes</t>
        </is>
      </c>
      <c r="AK560" s="16" t="n"/>
      <c r="AL560" s="10" t="n"/>
      <c r="AM560" s="10" t="n"/>
      <c r="AN560" s="10" t="n"/>
      <c r="AO560" s="10" t="n"/>
      <c r="AP560" s="19" t="inlineStr">
        <is>
          <t>Voir</t>
        </is>
      </c>
      <c r="AQ560" s="10" t="inlineStr">
        <is>
          <t>3228156690</t>
        </is>
      </c>
    </row>
    <row r="561">
      <c r="A561" s="10" t="inlineStr">
        <is>
          <t>Porsche Boxster 987</t>
        </is>
      </c>
      <c r="B561" s="10" t="inlineStr">
        <is>
          <t>Porsche Boxster 987 Phase 2 - 2.9 L 256 Ch -BVM - 60000 Km -Full Black / Financement &amp; Reprise</t>
        </is>
      </c>
      <c r="C561" s="10" t="n"/>
      <c r="D561" s="10" t="n"/>
      <c r="E561" s="10" t="inlineStr">
        <is>
          <t>En vente</t>
        </is>
      </c>
      <c r="F561" s="18" t="n">
        <v>46229</v>
      </c>
      <c r="G561" s="18" t="n">
        <v>46229</v>
      </c>
      <c r="H561" s="18" t="n">
        <v>46296</v>
      </c>
      <c r="I561" s="18" t="n"/>
      <c r="J561" s="17">
        <f>IF(OR(ISNUMBER(F561),ISNUMBER(G561)),IF(ISNUMBER(I561),I561,H561)-IF(ISNUMBER(F561),F561,G561),"")</f>
        <v/>
      </c>
      <c r="K561" s="12" t="n">
        <v>35900</v>
      </c>
      <c r="L561" s="12" t="n">
        <v>35900</v>
      </c>
      <c r="M561" s="13">
        <f>IF(AND(ISNUMBER(K561),ISNUMBER(L561),K561&gt;0),1-L561/K561,"")</f>
        <v/>
      </c>
      <c r="N561" s="16" t="n">
        <v>0</v>
      </c>
      <c r="O561" s="12" t="n"/>
      <c r="P561" s="12" t="n"/>
      <c r="Q561" s="12" t="n"/>
      <c r="R561" s="14">
        <f>IF(AND(ISNUMBER(L561),ISNUMBER(P561),ISNUMBER(Q561)),L561/((P561+Q561)/2)-1,"")</f>
        <v/>
      </c>
      <c r="S561" s="10" t="n"/>
      <c r="T561" s="15" t="n">
        <v>59500</v>
      </c>
      <c r="U561" s="16" t="n">
        <v>2010</v>
      </c>
      <c r="V561" s="10" t="n"/>
      <c r="W561" s="10" t="inlineStr">
        <is>
          <t>Essence</t>
        </is>
      </c>
      <c r="X561" s="10" t="inlineStr">
        <is>
          <t>Manuelle</t>
        </is>
      </c>
      <c r="Y561" s="16" t="n">
        <v>256</v>
      </c>
      <c r="Z561" s="16" t="n">
        <v>17</v>
      </c>
      <c r="AA561" s="10" t="inlineStr">
        <is>
          <t>Noir</t>
        </is>
      </c>
      <c r="AB561" s="16" t="n">
        <v>2</v>
      </c>
      <c r="AC561" s="10" t="inlineStr">
        <is>
          <t>Cabriolet</t>
        </is>
      </c>
      <c r="AD561" s="10" t="n"/>
      <c r="AE561" s="10" t="n"/>
      <c r="AF561" s="10" t="inlineStr">
        <is>
          <t>Pro</t>
        </is>
      </c>
      <c r="AG561" s="10" t="inlineStr">
        <is>
          <t>Saint-Amand-les-Eaux</t>
        </is>
      </c>
      <c r="AH561" s="10" t="inlineStr">
        <is>
          <t>59230</t>
        </is>
      </c>
      <c r="AI561" s="10" t="inlineStr">
        <is>
          <t>Nord</t>
        </is>
      </c>
      <c r="AJ561" s="10" t="inlineStr">
        <is>
          <t>Nord-Pas-de-Calais</t>
        </is>
      </c>
      <c r="AK561" s="16" t="n"/>
      <c r="AL561" s="10" t="inlineStr">
        <is>
          <t>Oui</t>
        </is>
      </c>
      <c r="AM561" s="10" t="n"/>
      <c r="AN561" s="10" t="n"/>
      <c r="AO561" s="10" t="n"/>
      <c r="AP561" s="19" t="inlineStr">
        <is>
          <t>Voir</t>
        </is>
      </c>
      <c r="AQ561" s="10" t="inlineStr">
        <is>
          <t>3239890949</t>
        </is>
      </c>
    </row>
    <row r="562">
      <c r="A562" s="10" t="inlineStr">
        <is>
          <t>Porsche Boxster 987</t>
        </is>
      </c>
      <c r="B562" s="10" t="inlineStr">
        <is>
          <t>Porsche Boxster 987 S 3.4 310 jaune vitesse CARPLAY boite manuelle</t>
        </is>
      </c>
      <c r="C562" s="10" t="n"/>
      <c r="D562" s="10" t="n"/>
      <c r="E562" s="10" t="inlineStr">
        <is>
          <t>En vente</t>
        </is>
      </c>
      <c r="F562" s="18" t="n">
        <v>46244</v>
      </c>
      <c r="G562" s="18" t="n">
        <v>46244</v>
      </c>
      <c r="H562" s="18" t="n">
        <v>46296</v>
      </c>
      <c r="I562" s="18" t="n"/>
      <c r="J562" s="17">
        <f>IF(OR(ISNUMBER(F562),ISNUMBER(G562)),IF(ISNUMBER(I562),I562,H562)-IF(ISNUMBER(F562),F562,G562),"")</f>
        <v/>
      </c>
      <c r="K562" s="12" t="n">
        <v>46990</v>
      </c>
      <c r="L562" s="12" t="n">
        <v>46990</v>
      </c>
      <c r="M562" s="13">
        <f>IF(AND(ISNUMBER(K562),ISNUMBER(L562),K562&gt;0),1-L562/K562,"")</f>
        <v/>
      </c>
      <c r="N562" s="16" t="n">
        <v>0</v>
      </c>
      <c r="O562" s="12" t="n"/>
      <c r="P562" s="12" t="n"/>
      <c r="Q562" s="12" t="n"/>
      <c r="R562" s="14">
        <f>IF(AND(ISNUMBER(L562),ISNUMBER(P562),ISNUMBER(Q562)),L562/((P562+Q562)/2)-1,"")</f>
        <v/>
      </c>
      <c r="S562" s="10" t="n"/>
      <c r="T562" s="15" t="n">
        <v>52150</v>
      </c>
      <c r="U562" s="16" t="n">
        <v>2011</v>
      </c>
      <c r="V562" s="10" t="n"/>
      <c r="W562" s="10" t="inlineStr">
        <is>
          <t>Essence</t>
        </is>
      </c>
      <c r="X562" s="10" t="inlineStr">
        <is>
          <t>Manuelle</t>
        </is>
      </c>
      <c r="Y562" s="16" t="n">
        <v>310</v>
      </c>
      <c r="Z562" s="16" t="n">
        <v>21</v>
      </c>
      <c r="AA562" s="10" t="inlineStr">
        <is>
          <t>Jaune</t>
        </is>
      </c>
      <c r="AB562" s="16" t="n">
        <v>2</v>
      </c>
      <c r="AC562" s="10" t="inlineStr">
        <is>
          <t>Cabriolet</t>
        </is>
      </c>
      <c r="AD562" s="10" t="n"/>
      <c r="AE562" s="10" t="n"/>
      <c r="AF562" s="10" t="inlineStr">
        <is>
          <t>Pro</t>
        </is>
      </c>
      <c r="AG562" s="10" t="inlineStr">
        <is>
          <t>Éguilles</t>
        </is>
      </c>
      <c r="AH562" s="10" t="inlineStr">
        <is>
          <t>13510</t>
        </is>
      </c>
      <c r="AI562" s="10" t="inlineStr">
        <is>
          <t>Bouches-du-Rhône</t>
        </is>
      </c>
      <c r="AJ562" s="10" t="inlineStr">
        <is>
          <t>Provence-Alpes-Côte d'Azur</t>
        </is>
      </c>
      <c r="AK562" s="16" t="n"/>
      <c r="AL562" s="10" t="inlineStr">
        <is>
          <t>Oui</t>
        </is>
      </c>
      <c r="AM562" s="10" t="n"/>
      <c r="AN562" s="10" t="n"/>
      <c r="AO562" s="10" t="n"/>
      <c r="AP562" s="19" t="inlineStr">
        <is>
          <t>Voir</t>
        </is>
      </c>
      <c r="AQ562" s="10" t="inlineStr">
        <is>
          <t>3247666341</t>
        </is>
      </c>
    </row>
    <row r="563">
      <c r="A563" s="10" t="inlineStr">
        <is>
          <t>Porsche Boxster 987</t>
        </is>
      </c>
      <c r="B563" s="10" t="inlineStr">
        <is>
          <t>Porsche Boxster S 987.2 3.4 310CH PDK – SPORT CHRONO PLUS | CUIR ÉTENDU | PCM | XÉNON | 19”</t>
        </is>
      </c>
      <c r="C563" s="10" t="n"/>
      <c r="D563" s="10" t="n"/>
      <c r="E563" s="10" t="inlineStr">
        <is>
          <t>En vente</t>
        </is>
      </c>
      <c r="F563" s="18" t="n">
        <v>46254</v>
      </c>
      <c r="G563" s="18" t="n">
        <v>46254</v>
      </c>
      <c r="H563" s="18" t="n">
        <v>46296</v>
      </c>
      <c r="I563" s="18" t="n"/>
      <c r="J563" s="17">
        <f>IF(OR(ISNUMBER(F563),ISNUMBER(G563)),IF(ISNUMBER(I563),I563,H563)-IF(ISNUMBER(F563),F563,G563),"")</f>
        <v/>
      </c>
      <c r="K563" s="12" t="n">
        <v>34990</v>
      </c>
      <c r="L563" s="12" t="n">
        <v>34990</v>
      </c>
      <c r="M563" s="13">
        <f>IF(AND(ISNUMBER(K563),ISNUMBER(L563),K563&gt;0),1-L563/K563,"")</f>
        <v/>
      </c>
      <c r="N563" s="16" t="n">
        <v>0</v>
      </c>
      <c r="O563" s="12" t="n"/>
      <c r="P563" s="12" t="n"/>
      <c r="Q563" s="12" t="n"/>
      <c r="R563" s="14">
        <f>IF(AND(ISNUMBER(L563),ISNUMBER(P563),ISNUMBER(Q563)),L563/((P563+Q563)/2)-1,"")</f>
        <v/>
      </c>
      <c r="S563" s="10" t="n"/>
      <c r="T563" s="15" t="n">
        <v>159900</v>
      </c>
      <c r="U563" s="16" t="n">
        <v>2010</v>
      </c>
      <c r="V563" s="10" t="n"/>
      <c r="W563" s="10" t="inlineStr">
        <is>
          <t>Essence</t>
        </is>
      </c>
      <c r="X563" s="10" t="inlineStr">
        <is>
          <t>Automatique</t>
        </is>
      </c>
      <c r="Y563" s="16" t="n">
        <v>310</v>
      </c>
      <c r="Z563" s="16" t="n">
        <v>21</v>
      </c>
      <c r="AA563" s="10" t="inlineStr">
        <is>
          <t>Argent</t>
        </is>
      </c>
      <c r="AB563" s="16" t="n">
        <v>2</v>
      </c>
      <c r="AC563" s="10" t="inlineStr">
        <is>
          <t>Cabriolet</t>
        </is>
      </c>
      <c r="AD563" s="10" t="n"/>
      <c r="AE563" s="10" t="n"/>
      <c r="AF563" s="10" t="inlineStr">
        <is>
          <t>Pro</t>
        </is>
      </c>
      <c r="AG563" s="10" t="inlineStr">
        <is>
          <t>Trappes</t>
        </is>
      </c>
      <c r="AH563" s="10" t="inlineStr">
        <is>
          <t>78190</t>
        </is>
      </c>
      <c r="AI563" s="10" t="inlineStr">
        <is>
          <t>Yvelines</t>
        </is>
      </c>
      <c r="AJ563" s="10" t="inlineStr">
        <is>
          <t>Ile-de-France</t>
        </is>
      </c>
      <c r="AK563" s="16" t="n"/>
      <c r="AL563" s="10" t="n"/>
      <c r="AM563" s="10" t="n"/>
      <c r="AN563" s="10" t="n"/>
      <c r="AO563" s="10" t="n"/>
      <c r="AP563" s="19" t="inlineStr">
        <is>
          <t>Voir</t>
        </is>
      </c>
      <c r="AQ563" s="10" t="inlineStr">
        <is>
          <t>3253304934</t>
        </is>
      </c>
    </row>
    <row r="564">
      <c r="A564" s="10" t="inlineStr">
        <is>
          <t>Porsche Boxster 987</t>
        </is>
      </c>
      <c r="B564" s="10" t="inlineStr">
        <is>
          <t>Porsche boxster 987</t>
        </is>
      </c>
      <c r="C564" s="10" t="n"/>
      <c r="D564" s="10" t="n"/>
      <c r="E564" s="10" t="inlineStr">
        <is>
          <t>En vente</t>
        </is>
      </c>
      <c r="F564" s="18" t="n">
        <v>46262</v>
      </c>
      <c r="G564" s="18" t="n">
        <v>46262</v>
      </c>
      <c r="H564" s="18" t="n">
        <v>46296</v>
      </c>
      <c r="I564" s="18" t="n"/>
      <c r="J564" s="17">
        <f>IF(OR(ISNUMBER(F564),ISNUMBER(G564)),IF(ISNUMBER(I564),I564,H564)-IF(ISNUMBER(F564),F564,G564),"")</f>
        <v/>
      </c>
      <c r="K564" s="12" t="n">
        <v>20000</v>
      </c>
      <c r="L564" s="12" t="n">
        <v>20000</v>
      </c>
      <c r="M564" s="13">
        <f>IF(AND(ISNUMBER(K564),ISNUMBER(L564),K564&gt;0),1-L564/K564,"")</f>
        <v/>
      </c>
      <c r="N564" s="16" t="n">
        <v>0</v>
      </c>
      <c r="O564" s="12" t="n"/>
      <c r="P564" s="12" t="n"/>
      <c r="Q564" s="12" t="n"/>
      <c r="R564" s="14">
        <f>IF(AND(ISNUMBER(L564),ISNUMBER(P564),ISNUMBER(Q564)),L564/((P564+Q564)/2)-1,"")</f>
        <v/>
      </c>
      <c r="S564" s="10" t="n"/>
      <c r="T564" s="15" t="n">
        <v>116000</v>
      </c>
      <c r="U564" s="16" t="n">
        <v>2005</v>
      </c>
      <c r="V564" s="10" t="n"/>
      <c r="W564" s="10" t="inlineStr">
        <is>
          <t>Essence</t>
        </is>
      </c>
      <c r="X564" s="10" t="inlineStr">
        <is>
          <t>Manuelle</t>
        </is>
      </c>
      <c r="Y564" s="16" t="n">
        <v>240</v>
      </c>
      <c r="Z564" s="16" t="n">
        <v>16</v>
      </c>
      <c r="AA564" s="10" t="inlineStr">
        <is>
          <t>Noir</t>
        </is>
      </c>
      <c r="AB564" s="16" t="n">
        <v>2</v>
      </c>
      <c r="AC564" s="10" t="inlineStr">
        <is>
          <t>Cabriolet</t>
        </is>
      </c>
      <c r="AD564" s="10" t="n"/>
      <c r="AE564" s="10" t="n"/>
      <c r="AF564" s="10" t="inlineStr">
        <is>
          <t>Particulier</t>
        </is>
      </c>
      <c r="AG564" s="10" t="inlineStr">
        <is>
          <t>Sèvremoine</t>
        </is>
      </c>
      <c r="AH564" s="10" t="inlineStr">
        <is>
          <t>49230</t>
        </is>
      </c>
      <c r="AI564" s="10" t="inlineStr">
        <is>
          <t>Maine-et-Loire</t>
        </is>
      </c>
      <c r="AJ564" s="10" t="inlineStr">
        <is>
          <t>Pays de la Loire</t>
        </is>
      </c>
      <c r="AK564" s="16" t="n"/>
      <c r="AL564" s="10" t="n"/>
      <c r="AM564" s="10" t="n"/>
      <c r="AN564" s="10" t="n"/>
      <c r="AO564" s="10" t="n"/>
      <c r="AP564" s="19" t="inlineStr">
        <is>
          <t>Voir</t>
        </is>
      </c>
      <c r="AQ564" s="10" t="inlineStr">
        <is>
          <t>3258419971</t>
        </is>
      </c>
    </row>
    <row r="565">
      <c r="A565" s="10" t="inlineStr">
        <is>
          <t>Porsche Boxster 987</t>
        </is>
      </c>
      <c r="B565" s="10" t="inlineStr">
        <is>
          <t>Porsche Boxster 987 S</t>
        </is>
      </c>
      <c r="C565" s="10" t="n"/>
      <c r="D565" s="10" t="n"/>
      <c r="E565" s="10" t="inlineStr">
        <is>
          <t>En vente</t>
        </is>
      </c>
      <c r="F565" s="18" t="n">
        <v>46269</v>
      </c>
      <c r="G565" s="18" t="n">
        <v>46269</v>
      </c>
      <c r="H565" s="18" t="n">
        <v>46296</v>
      </c>
      <c r="I565" s="18" t="n"/>
      <c r="J565" s="17">
        <f>IF(OR(ISNUMBER(F565),ISNUMBER(G565)),IF(ISNUMBER(I565),I565,H565)-IF(ISNUMBER(F565),F565,G565),"")</f>
        <v/>
      </c>
      <c r="K565" s="12" t="n">
        <v>18950</v>
      </c>
      <c r="L565" s="12" t="n">
        <v>18950</v>
      </c>
      <c r="M565" s="13">
        <f>IF(AND(ISNUMBER(K565),ISNUMBER(L565),K565&gt;0),1-L565/K565,"")</f>
        <v/>
      </c>
      <c r="N565" s="16" t="n">
        <v>0</v>
      </c>
      <c r="O565" s="12" t="n"/>
      <c r="P565" s="12" t="n"/>
      <c r="Q565" s="12" t="n"/>
      <c r="R565" s="14">
        <f>IF(AND(ISNUMBER(L565),ISNUMBER(P565),ISNUMBER(Q565)),L565/((P565+Q565)/2)-1,"")</f>
        <v/>
      </c>
      <c r="S565" s="10" t="n"/>
      <c r="T565" s="15" t="n">
        <v>240145</v>
      </c>
      <c r="U565" s="16" t="n">
        <v>2005</v>
      </c>
      <c r="V565" s="10" t="n"/>
      <c r="W565" s="10" t="inlineStr">
        <is>
          <t>Essence</t>
        </is>
      </c>
      <c r="X565" s="10" t="inlineStr">
        <is>
          <t>Manuelle</t>
        </is>
      </c>
      <c r="Y565" s="16" t="n"/>
      <c r="Z565" s="16" t="n">
        <v>19</v>
      </c>
      <c r="AA565" s="10" t="inlineStr">
        <is>
          <t>Gris</t>
        </is>
      </c>
      <c r="AB565" s="16" t="n"/>
      <c r="AC565" s="10" t="inlineStr">
        <is>
          <t>Cabriolet</t>
        </is>
      </c>
      <c r="AD565" s="10" t="n"/>
      <c r="AE565" s="10" t="n"/>
      <c r="AF565" s="10" t="inlineStr">
        <is>
          <t>Pro</t>
        </is>
      </c>
      <c r="AG565" s="10" t="inlineStr">
        <is>
          <t>Monlezun</t>
        </is>
      </c>
      <c r="AH565" s="10" t="inlineStr">
        <is>
          <t>32230</t>
        </is>
      </c>
      <c r="AI565" s="10" t="inlineStr">
        <is>
          <t>Gers</t>
        </is>
      </c>
      <c r="AJ565" s="10" t="inlineStr">
        <is>
          <t>Midi-Pyrénées</t>
        </is>
      </c>
      <c r="AK565" s="16" t="n"/>
      <c r="AL565" s="10" t="n"/>
      <c r="AM565" s="10" t="n"/>
      <c r="AN565" s="10" t="n"/>
      <c r="AO565" s="10" t="n"/>
      <c r="AP565" s="19" t="inlineStr">
        <is>
          <t>Voir</t>
        </is>
      </c>
      <c r="AQ565" s="10" t="inlineStr">
        <is>
          <t>3263120554</t>
        </is>
      </c>
    </row>
    <row r="566">
      <c r="A566" s="10" t="inlineStr">
        <is>
          <t>Porsche Boxster 987</t>
        </is>
      </c>
      <c r="B566" s="10" t="inlineStr">
        <is>
          <t>Porsche Boxster 987 2.9 6 cyl. 256 ch PDK / 48 973 km Bi-Xénon Alcantara-Cuir Sièges chauffants</t>
        </is>
      </c>
      <c r="C566" s="10" t="n"/>
      <c r="D566" s="10" t="n"/>
      <c r="E566" s="10" t="inlineStr">
        <is>
          <t>En vente</t>
        </is>
      </c>
      <c r="F566" s="18" t="n">
        <v>46275</v>
      </c>
      <c r="G566" s="18" t="n">
        <v>46275</v>
      </c>
      <c r="H566" s="18" t="n">
        <v>46296</v>
      </c>
      <c r="I566" s="18" t="n"/>
      <c r="J566" s="17">
        <f>IF(OR(ISNUMBER(F566),ISNUMBER(G566)),IF(ISNUMBER(I566),I566,H566)-IF(ISNUMBER(F566),F566,G566),"")</f>
        <v/>
      </c>
      <c r="K566" s="12" t="n">
        <v>34350</v>
      </c>
      <c r="L566" s="12" t="n">
        <v>34350</v>
      </c>
      <c r="M566" s="13">
        <f>IF(AND(ISNUMBER(K566),ISNUMBER(L566),K566&gt;0),1-L566/K566,"")</f>
        <v/>
      </c>
      <c r="N566" s="16" t="n">
        <v>0</v>
      </c>
      <c r="O566" s="12" t="n"/>
      <c r="P566" s="12" t="n"/>
      <c r="Q566" s="12" t="n"/>
      <c r="R566" s="14">
        <f>IF(AND(ISNUMBER(L566),ISNUMBER(P566),ISNUMBER(Q566)),L566/((P566+Q566)/2)-1,"")</f>
        <v/>
      </c>
      <c r="S566" s="10" t="n"/>
      <c r="T566" s="15" t="n">
        <v>48973</v>
      </c>
      <c r="U566" s="16" t="n">
        <v>2009</v>
      </c>
      <c r="V566" s="10" t="n"/>
      <c r="W566" s="10" t="inlineStr">
        <is>
          <t>Essence</t>
        </is>
      </c>
      <c r="X566" s="10" t="inlineStr">
        <is>
          <t>Automatique</t>
        </is>
      </c>
      <c r="Y566" s="16" t="n">
        <v>256</v>
      </c>
      <c r="Z566" s="16" t="n"/>
      <c r="AA566" s="10" t="inlineStr">
        <is>
          <t>Rouge</t>
        </is>
      </c>
      <c r="AB566" s="16" t="n"/>
      <c r="AC566" s="10" t="inlineStr">
        <is>
          <t>Cabriolet</t>
        </is>
      </c>
      <c r="AD566" s="10" t="n"/>
      <c r="AE566" s="10" t="n"/>
      <c r="AF566" s="10" t="inlineStr">
        <is>
          <t>Pro</t>
        </is>
      </c>
      <c r="AG566" s="10" t="inlineStr">
        <is>
          <t>Vieux-Charmont</t>
        </is>
      </c>
      <c r="AH566" s="10" t="inlineStr">
        <is>
          <t>25600</t>
        </is>
      </c>
      <c r="AI566" s="10" t="inlineStr">
        <is>
          <t>Doubs</t>
        </is>
      </c>
      <c r="AJ566" s="10" t="inlineStr">
        <is>
          <t>Franche-Comté</t>
        </is>
      </c>
      <c r="AK566" s="16" t="n"/>
      <c r="AL566" s="10" t="inlineStr">
        <is>
          <t>Oui</t>
        </is>
      </c>
      <c r="AM566" s="10" t="n"/>
      <c r="AN566" s="10" t="n"/>
      <c r="AO566" s="10" t="n"/>
      <c r="AP566" s="19" t="inlineStr">
        <is>
          <t>Voir</t>
        </is>
      </c>
      <c r="AQ566" s="10" t="inlineStr">
        <is>
          <t>3267035560</t>
        </is>
      </c>
    </row>
    <row r="567">
      <c r="A567" s="10" t="inlineStr">
        <is>
          <t>Porsche Boxster 987</t>
        </is>
      </c>
      <c r="B567" s="10" t="inlineStr">
        <is>
          <t>Porsche boxster 987</t>
        </is>
      </c>
      <c r="C567" s="10" t="n"/>
      <c r="D567" s="10" t="n"/>
      <c r="E567" s="10" t="inlineStr">
        <is>
          <t>En vente</t>
        </is>
      </c>
      <c r="F567" s="18" t="n">
        <v>46281</v>
      </c>
      <c r="G567" s="18" t="n">
        <v>46281</v>
      </c>
      <c r="H567" s="18" t="n">
        <v>46296</v>
      </c>
      <c r="I567" s="18" t="n"/>
      <c r="J567" s="17">
        <f>IF(OR(ISNUMBER(F567),ISNUMBER(G567)),IF(ISNUMBER(I567),I567,H567)-IF(ISNUMBER(F567),F567,G567),"")</f>
        <v/>
      </c>
      <c r="K567" s="12" t="n">
        <v>25000</v>
      </c>
      <c r="L567" s="12" t="n">
        <v>25000</v>
      </c>
      <c r="M567" s="13">
        <f>IF(AND(ISNUMBER(K567),ISNUMBER(L567),K567&gt;0),1-L567/K567,"")</f>
        <v/>
      </c>
      <c r="N567" s="16" t="n">
        <v>0</v>
      </c>
      <c r="O567" s="12" t="n"/>
      <c r="P567" s="12" t="n"/>
      <c r="Q567" s="12" t="n"/>
      <c r="R567" s="14">
        <f>IF(AND(ISNUMBER(L567),ISNUMBER(P567),ISNUMBER(Q567)),L567/((P567+Q567)/2)-1,"")</f>
        <v/>
      </c>
      <c r="S567" s="10" t="n"/>
      <c r="T567" s="15" t="n">
        <v>118000</v>
      </c>
      <c r="U567" s="16" t="n">
        <v>2006</v>
      </c>
      <c r="V567" s="10" t="n"/>
      <c r="W567" s="10" t="inlineStr">
        <is>
          <t>Essence</t>
        </is>
      </c>
      <c r="X567" s="10" t="inlineStr">
        <is>
          <t>Automatique</t>
        </is>
      </c>
      <c r="Y567" s="16" t="n">
        <v>240</v>
      </c>
      <c r="Z567" s="16" t="n">
        <v>16</v>
      </c>
      <c r="AA567" s="10" t="inlineStr">
        <is>
          <t>Bleu</t>
        </is>
      </c>
      <c r="AB567" s="16" t="n">
        <v>2</v>
      </c>
      <c r="AC567" s="10" t="inlineStr">
        <is>
          <t>Cabriolet</t>
        </is>
      </c>
      <c r="AD567" s="10" t="n"/>
      <c r="AE567" s="10" t="n"/>
      <c r="AF567" s="10" t="inlineStr">
        <is>
          <t>Particulier</t>
        </is>
      </c>
      <c r="AG567" s="10" t="inlineStr">
        <is>
          <t>Banteux</t>
        </is>
      </c>
      <c r="AH567" s="10" t="inlineStr">
        <is>
          <t>59266</t>
        </is>
      </c>
      <c r="AI567" s="10" t="inlineStr">
        <is>
          <t>Nord</t>
        </is>
      </c>
      <c r="AJ567" s="10" t="inlineStr">
        <is>
          <t>Nord-Pas-de-Calais</t>
        </is>
      </c>
      <c r="AK567" s="16" t="n"/>
      <c r="AL567" s="10" t="n"/>
      <c r="AM567" s="10" t="n"/>
      <c r="AN567" s="10" t="n"/>
      <c r="AO567" s="10" t="n"/>
      <c r="AP567" s="19" t="inlineStr">
        <is>
          <t>Voir</t>
        </is>
      </c>
      <c r="AQ567" s="10" t="inlineStr">
        <is>
          <t>3270568277</t>
        </is>
      </c>
    </row>
    <row r="568">
      <c r="A568" s="10" t="inlineStr">
        <is>
          <t>Porsche Boxster 987</t>
        </is>
      </c>
      <c r="B568" s="10" t="inlineStr">
        <is>
          <t>Porsche Boxster 987 Phase 2</t>
        </is>
      </c>
      <c r="C568" s="10" t="n"/>
      <c r="D568" s="10" t="n"/>
      <c r="E568" s="10" t="inlineStr">
        <is>
          <t>En vente</t>
        </is>
      </c>
      <c r="F568" s="18" t="n">
        <v>46281</v>
      </c>
      <c r="G568" s="18" t="n">
        <v>46281</v>
      </c>
      <c r="H568" s="18" t="n">
        <v>46296</v>
      </c>
      <c r="I568" s="18" t="n"/>
      <c r="J568" s="17">
        <f>IF(OR(ISNUMBER(F568),ISNUMBER(G568)),IF(ISNUMBER(I568),I568,H568)-IF(ISNUMBER(F568),F568,G568),"")</f>
        <v/>
      </c>
      <c r="K568" s="12" t="n">
        <v>38900</v>
      </c>
      <c r="L568" s="12" t="n">
        <v>38900</v>
      </c>
      <c r="M568" s="13">
        <f>IF(AND(ISNUMBER(K568),ISNUMBER(L568),K568&gt;0),1-L568/K568,"")</f>
        <v/>
      </c>
      <c r="N568" s="16" t="n">
        <v>0</v>
      </c>
      <c r="O568" s="12" t="n"/>
      <c r="P568" s="12" t="n"/>
      <c r="Q568" s="12" t="n"/>
      <c r="R568" s="14">
        <f>IF(AND(ISNUMBER(L568),ISNUMBER(P568),ISNUMBER(Q568)),L568/((P568+Q568)/2)-1,"")</f>
        <v/>
      </c>
      <c r="S568" s="10" t="n"/>
      <c r="T568" s="15" t="n">
        <v>37900</v>
      </c>
      <c r="U568" s="16" t="n">
        <v>2012</v>
      </c>
      <c r="V568" s="10" t="n"/>
      <c r="W568" s="10" t="inlineStr">
        <is>
          <t>Essence</t>
        </is>
      </c>
      <c r="X568" s="10" t="inlineStr">
        <is>
          <t>Manuelle</t>
        </is>
      </c>
      <c r="Y568" s="16" t="n">
        <v>255</v>
      </c>
      <c r="Z568" s="16" t="n">
        <v>17</v>
      </c>
      <c r="AA568" s="10" t="inlineStr">
        <is>
          <t>Blanc</t>
        </is>
      </c>
      <c r="AB568" s="16" t="n">
        <v>2</v>
      </c>
      <c r="AC568" s="10" t="inlineStr">
        <is>
          <t>Cabriolet</t>
        </is>
      </c>
      <c r="AD568" s="10" t="n"/>
      <c r="AE568" s="10" t="n"/>
      <c r="AF568" s="10" t="inlineStr">
        <is>
          <t>Pro</t>
        </is>
      </c>
      <c r="AG568" s="10" t="inlineStr">
        <is>
          <t>Pont-l'Évêque</t>
        </is>
      </c>
      <c r="AH568" s="10" t="inlineStr">
        <is>
          <t>14130</t>
        </is>
      </c>
      <c r="AI568" s="10" t="inlineStr">
        <is>
          <t>Calvados</t>
        </is>
      </c>
      <c r="AJ568" s="10" t="inlineStr">
        <is>
          <t>Basse-Normandie</t>
        </is>
      </c>
      <c r="AK568" s="16" t="n"/>
      <c r="AL568" s="10" t="n"/>
      <c r="AM568" s="10" t="n"/>
      <c r="AN568" s="10" t="n"/>
      <c r="AO568" s="10" t="n"/>
      <c r="AP568" s="19" t="inlineStr">
        <is>
          <t>Voir</t>
        </is>
      </c>
      <c r="AQ568" s="10" t="inlineStr">
        <is>
          <t>3270821976</t>
        </is>
      </c>
    </row>
    <row r="569">
      <c r="A569" s="10" t="inlineStr">
        <is>
          <t>Porsche Boxster 987</t>
        </is>
      </c>
      <c r="B569" s="10" t="inlineStr">
        <is>
          <t>Porsche Boxster 987 2.7L BVA</t>
        </is>
      </c>
      <c r="C569" s="10" t="n"/>
      <c r="D569" s="10" t="n"/>
      <c r="E569" s="10" t="inlineStr">
        <is>
          <t>En vente</t>
        </is>
      </c>
      <c r="F569" s="18" t="n">
        <v>46282</v>
      </c>
      <c r="G569" s="18" t="n">
        <v>46282</v>
      </c>
      <c r="H569" s="18" t="n">
        <v>46296</v>
      </c>
      <c r="I569" s="18" t="n"/>
      <c r="J569" s="17">
        <f>IF(OR(ISNUMBER(F569),ISNUMBER(G569)),IF(ISNUMBER(I569),I569,H569)-IF(ISNUMBER(F569),F569,G569),"")</f>
        <v/>
      </c>
      <c r="K569" s="12" t="n">
        <v>23500</v>
      </c>
      <c r="L569" s="12" t="n">
        <v>23500</v>
      </c>
      <c r="M569" s="13">
        <f>IF(AND(ISNUMBER(K569),ISNUMBER(L569),K569&gt;0),1-L569/K569,"")</f>
        <v/>
      </c>
      <c r="N569" s="16" t="n">
        <v>0</v>
      </c>
      <c r="O569" s="12" t="n"/>
      <c r="P569" s="12" t="n"/>
      <c r="Q569" s="12" t="n"/>
      <c r="R569" s="14">
        <f>IF(AND(ISNUMBER(L569),ISNUMBER(P569),ISNUMBER(Q569)),L569/((P569+Q569)/2)-1,"")</f>
        <v/>
      </c>
      <c r="S569" s="10" t="n"/>
      <c r="T569" s="15" t="n">
        <v>69900</v>
      </c>
      <c r="U569" s="16" t="n">
        <v>2006</v>
      </c>
      <c r="V569" s="10" t="n"/>
      <c r="W569" s="10" t="inlineStr">
        <is>
          <t>Essence</t>
        </is>
      </c>
      <c r="X569" s="10" t="inlineStr">
        <is>
          <t>Automatique</t>
        </is>
      </c>
      <c r="Y569" s="16" t="n">
        <v>245</v>
      </c>
      <c r="Z569" s="16" t="n">
        <v>16</v>
      </c>
      <c r="AA569" s="10" t="inlineStr">
        <is>
          <t>Noir</t>
        </is>
      </c>
      <c r="AB569" s="16" t="n">
        <v>2</v>
      </c>
      <c r="AC569" s="10" t="inlineStr">
        <is>
          <t>Cabriolet</t>
        </is>
      </c>
      <c r="AD569" s="10" t="n"/>
      <c r="AE569" s="10" t="n"/>
      <c r="AF569" s="10" t="inlineStr">
        <is>
          <t>Particulier</t>
        </is>
      </c>
      <c r="AG569" s="10" t="inlineStr">
        <is>
          <t>Vigneux-de-Bretagne</t>
        </is>
      </c>
      <c r="AH569" s="10" t="inlineStr">
        <is>
          <t>44360</t>
        </is>
      </c>
      <c r="AI569" s="10" t="inlineStr">
        <is>
          <t>Loire-Atlantique</t>
        </is>
      </c>
      <c r="AJ569" s="10" t="inlineStr">
        <is>
          <t>Pays de la Loire</t>
        </is>
      </c>
      <c r="AK569" s="16" t="n"/>
      <c r="AL569" s="10" t="n"/>
      <c r="AM569" s="10" t="n"/>
      <c r="AN569" s="10" t="n"/>
      <c r="AO569" s="10" t="n"/>
      <c r="AP569" s="19" t="inlineStr">
        <is>
          <t>Voir</t>
        </is>
      </c>
      <c r="AQ569" s="10" t="inlineStr">
        <is>
          <t>3271574505</t>
        </is>
      </c>
    </row>
    <row r="570">
      <c r="A570" s="10" t="inlineStr">
        <is>
          <t>Porsche Boxster 987</t>
        </is>
      </c>
      <c r="B570" s="10" t="inlineStr">
        <is>
          <t>Boxster 987.2</t>
        </is>
      </c>
      <c r="C570" s="10" t="n"/>
      <c r="D570" s="10" t="n"/>
      <c r="E570" s="10" t="inlineStr">
        <is>
          <t>En vente</t>
        </is>
      </c>
      <c r="F570" s="18" t="n">
        <v>46283</v>
      </c>
      <c r="G570" s="18" t="n">
        <v>46283</v>
      </c>
      <c r="H570" s="18" t="n">
        <v>46296</v>
      </c>
      <c r="I570" s="18" t="n"/>
      <c r="J570" s="17">
        <f>IF(OR(ISNUMBER(F570),ISNUMBER(G570)),IF(ISNUMBER(I570),I570,H570)-IF(ISNUMBER(F570),F570,G570),"")</f>
        <v/>
      </c>
      <c r="K570" s="12" t="n">
        <v>32000</v>
      </c>
      <c r="L570" s="12" t="n">
        <v>32000</v>
      </c>
      <c r="M570" s="13">
        <f>IF(AND(ISNUMBER(K570),ISNUMBER(L570),K570&gt;0),1-L570/K570,"")</f>
        <v/>
      </c>
      <c r="N570" s="16" t="n">
        <v>0</v>
      </c>
      <c r="O570" s="12" t="n"/>
      <c r="P570" s="12" t="n"/>
      <c r="Q570" s="12" t="n"/>
      <c r="R570" s="14">
        <f>IF(AND(ISNUMBER(L570),ISNUMBER(P570),ISNUMBER(Q570)),L570/((P570+Q570)/2)-1,"")</f>
        <v/>
      </c>
      <c r="S570" s="10" t="n"/>
      <c r="T570" s="15" t="n">
        <v>126000</v>
      </c>
      <c r="U570" s="16" t="n">
        <v>2010</v>
      </c>
      <c r="V570" s="10" t="n"/>
      <c r="W570" s="10" t="inlineStr">
        <is>
          <t>Essence</t>
        </is>
      </c>
      <c r="X570" s="10" t="inlineStr">
        <is>
          <t>Automatique</t>
        </is>
      </c>
      <c r="Y570" s="16" t="n">
        <v>255</v>
      </c>
      <c r="Z570" s="16" t="n">
        <v>17</v>
      </c>
      <c r="AA570" s="10" t="inlineStr">
        <is>
          <t>Bleu</t>
        </is>
      </c>
      <c r="AB570" s="16" t="n">
        <v>2</v>
      </c>
      <c r="AC570" s="10" t="inlineStr">
        <is>
          <t>Cabriolet</t>
        </is>
      </c>
      <c r="AD570" s="10" t="n"/>
      <c r="AE570" s="10" t="inlineStr"/>
      <c r="AF570" s="10" t="inlineStr">
        <is>
          <t>Particulier</t>
        </is>
      </c>
      <c r="AG570" s="10" t="inlineStr">
        <is>
          <t>Bézac</t>
        </is>
      </c>
      <c r="AH570" s="10" t="inlineStr">
        <is>
          <t>09100</t>
        </is>
      </c>
      <c r="AI570" s="10" t="inlineStr">
        <is>
          <t>Ariège</t>
        </is>
      </c>
      <c r="AJ570" s="10" t="inlineStr">
        <is>
          <t>Midi-Pyrénées</t>
        </is>
      </c>
      <c r="AK570" s="16" t="n"/>
      <c r="AL570" s="10" t="n"/>
      <c r="AM570" s="10" t="n"/>
      <c r="AN570" s="10" t="n"/>
      <c r="AO570" s="10" t="n"/>
      <c r="AP570" s="19" t="inlineStr">
        <is>
          <t>Voir</t>
        </is>
      </c>
      <c r="AQ570" s="10" t="inlineStr">
        <is>
          <t>3271944032</t>
        </is>
      </c>
    </row>
    <row r="571">
      <c r="A571" s="10" t="inlineStr">
        <is>
          <t>Porsche Boxster 987</t>
        </is>
      </c>
      <c r="B571" s="10" t="inlineStr">
        <is>
          <t>PORSCHE BOXSTER Type 987 3.4 295 S Entretien Porsche</t>
        </is>
      </c>
      <c r="C571" s="10" t="n"/>
      <c r="D571" s="10" t="n"/>
      <c r="E571" s="10" t="inlineStr">
        <is>
          <t>En vente</t>
        </is>
      </c>
      <c r="F571" s="18" t="n">
        <v>46283</v>
      </c>
      <c r="G571" s="18" t="n">
        <v>46283</v>
      </c>
      <c r="H571" s="18" t="n">
        <v>46296</v>
      </c>
      <c r="I571" s="18" t="n"/>
      <c r="J571" s="17">
        <f>IF(OR(ISNUMBER(F571),ISNUMBER(G571)),IF(ISNUMBER(I571),I571,H571)-IF(ISNUMBER(F571),F571,G571),"")</f>
        <v/>
      </c>
      <c r="K571" s="12" t="n">
        <v>23990</v>
      </c>
      <c r="L571" s="12" t="n">
        <v>23990</v>
      </c>
      <c r="M571" s="13">
        <f>IF(AND(ISNUMBER(K571),ISNUMBER(L571),K571&gt;0),1-L571/K571,"")</f>
        <v/>
      </c>
      <c r="N571" s="16" t="n">
        <v>0</v>
      </c>
      <c r="O571" s="12" t="n"/>
      <c r="P571" s="12" t="n"/>
      <c r="Q571" s="12" t="n"/>
      <c r="R571" s="14">
        <f>IF(AND(ISNUMBER(L571),ISNUMBER(P571),ISNUMBER(Q571)),L571/((P571+Q571)/2)-1,"")</f>
        <v/>
      </c>
      <c r="S571" s="10" t="n"/>
      <c r="T571" s="15" t="n">
        <v>181145</v>
      </c>
      <c r="U571" s="16" t="n">
        <v>2007</v>
      </c>
      <c r="V571" s="10" t="n"/>
      <c r="W571" s="10" t="inlineStr">
        <is>
          <t>Essence</t>
        </is>
      </c>
      <c r="X571" s="10" t="inlineStr">
        <is>
          <t>Manuelle</t>
        </is>
      </c>
      <c r="Y571" s="16" t="n">
        <v>295</v>
      </c>
      <c r="Z571" s="16" t="n">
        <v>21</v>
      </c>
      <c r="AA571" s="10" t="inlineStr">
        <is>
          <t>Noir</t>
        </is>
      </c>
      <c r="AB571" s="16" t="n">
        <v>2</v>
      </c>
      <c r="AC571" s="10" t="inlineStr">
        <is>
          <t>Coupe</t>
        </is>
      </c>
      <c r="AD571" s="10" t="n"/>
      <c r="AE571" s="10" t="n"/>
      <c r="AF571" s="10" t="inlineStr">
        <is>
          <t>Pro</t>
        </is>
      </c>
      <c r="AG571" s="10" t="inlineStr">
        <is>
          <t>Colombelles</t>
        </is>
      </c>
      <c r="AH571" s="10" t="inlineStr">
        <is>
          <t>14460</t>
        </is>
      </c>
      <c r="AI571" s="10" t="inlineStr">
        <is>
          <t>Calvados</t>
        </is>
      </c>
      <c r="AJ571" s="10" t="inlineStr">
        <is>
          <t>Basse-Normandie</t>
        </is>
      </c>
      <c r="AK571" s="16" t="n"/>
      <c r="AL571" s="10" t="inlineStr">
        <is>
          <t>Oui</t>
        </is>
      </c>
      <c r="AM571" s="10" t="n"/>
      <c r="AN571" s="10" t="n"/>
      <c r="AO571" s="10" t="n"/>
      <c r="AP571" s="19" t="inlineStr">
        <is>
          <t>Voir</t>
        </is>
      </c>
      <c r="AQ571" s="10" t="inlineStr">
        <is>
          <t>3272175602</t>
        </is>
      </c>
    </row>
    <row r="572">
      <c r="A572" s="10" t="inlineStr">
        <is>
          <t>Porsche Boxster 987</t>
        </is>
      </c>
      <c r="B572" s="10" t="inlineStr">
        <is>
          <t>Porsche Boxster Type 987.1 (2.7) *BVM / Intérieur Cuir / Sièges chauffants / Jantes Boxster S 18"</t>
        </is>
      </c>
      <c r="C572" s="10" t="n"/>
      <c r="D572" s="10" t="n"/>
      <c r="E572" s="10" t="inlineStr">
        <is>
          <t>En vente</t>
        </is>
      </c>
      <c r="F572" s="18" t="n">
        <v>46284</v>
      </c>
      <c r="G572" s="18" t="n">
        <v>46284</v>
      </c>
      <c r="H572" s="18" t="n">
        <v>46296</v>
      </c>
      <c r="I572" s="18" t="n"/>
      <c r="J572" s="17">
        <f>IF(OR(ISNUMBER(F572),ISNUMBER(G572)),IF(ISNUMBER(I572),I572,H572)-IF(ISNUMBER(F572),F572,G572),"")</f>
        <v/>
      </c>
      <c r="K572" s="12" t="n">
        <v>27490</v>
      </c>
      <c r="L572" s="12" t="n">
        <v>27490</v>
      </c>
      <c r="M572" s="13">
        <f>IF(AND(ISNUMBER(K572),ISNUMBER(L572),K572&gt;0),1-L572/K572,"")</f>
        <v/>
      </c>
      <c r="N572" s="16" t="n">
        <v>0</v>
      </c>
      <c r="O572" s="12" t="n"/>
      <c r="P572" s="12" t="n"/>
      <c r="Q572" s="12" t="n"/>
      <c r="R572" s="14">
        <f>IF(AND(ISNUMBER(L572),ISNUMBER(P572),ISNUMBER(Q572)),L572/((P572+Q572)/2)-1,"")</f>
        <v/>
      </c>
      <c r="S572" s="10" t="n"/>
      <c r="T572" s="15" t="n">
        <v>95000</v>
      </c>
      <c r="U572" s="16" t="n">
        <v>2005</v>
      </c>
      <c r="V572" s="10" t="n"/>
      <c r="W572" s="10" t="inlineStr">
        <is>
          <t>Essence</t>
        </is>
      </c>
      <c r="X572" s="10" t="inlineStr">
        <is>
          <t>Manuelle</t>
        </is>
      </c>
      <c r="Y572" s="16" t="n">
        <v>240</v>
      </c>
      <c r="Z572" s="16" t="n">
        <v>16</v>
      </c>
      <c r="AA572" s="10" t="inlineStr">
        <is>
          <t>Noir</t>
        </is>
      </c>
      <c r="AB572" s="16" t="n">
        <v>2</v>
      </c>
      <c r="AC572" s="10" t="inlineStr">
        <is>
          <t>Cabriolet</t>
        </is>
      </c>
      <c r="AD572" s="10" t="n"/>
      <c r="AE572" s="10" t="n"/>
      <c r="AF572" s="10" t="inlineStr">
        <is>
          <t>Pro</t>
        </is>
      </c>
      <c r="AG572" s="10" t="inlineStr">
        <is>
          <t>Oyonnax</t>
        </is>
      </c>
      <c r="AH572" s="10" t="inlineStr">
        <is>
          <t>01100</t>
        </is>
      </c>
      <c r="AI572" s="10" t="inlineStr">
        <is>
          <t>Ain</t>
        </is>
      </c>
      <c r="AJ572" s="10" t="inlineStr">
        <is>
          <t>Rhône-Alpes</t>
        </is>
      </c>
      <c r="AK572" s="16" t="n"/>
      <c r="AL572" s="10" t="inlineStr">
        <is>
          <t>Oui</t>
        </is>
      </c>
      <c r="AM572" s="10" t="n"/>
      <c r="AN572" s="10" t="n"/>
      <c r="AO572" s="10" t="n"/>
      <c r="AP572" s="19" t="inlineStr">
        <is>
          <t>Voir</t>
        </is>
      </c>
      <c r="AQ572" s="10" t="inlineStr">
        <is>
          <t>3272603300</t>
        </is>
      </c>
    </row>
    <row r="573">
      <c r="A573" s="10" t="inlineStr">
        <is>
          <t>Porsche Boxster 987</t>
        </is>
      </c>
      <c r="B573" s="10" t="inlineStr">
        <is>
          <t>PORSCHE BOXSTER 987 2.7 245ch Boite Mécanique Origine France</t>
        </is>
      </c>
      <c r="C573" s="10" t="n"/>
      <c r="D573" s="10" t="n"/>
      <c r="E573" s="10" t="inlineStr">
        <is>
          <t>En vente</t>
        </is>
      </c>
      <c r="F573" s="18" t="n">
        <v>46287</v>
      </c>
      <c r="G573" s="18" t="n">
        <v>46287</v>
      </c>
      <c r="H573" s="18" t="n">
        <v>46296</v>
      </c>
      <c r="I573" s="18" t="n"/>
      <c r="J573" s="17">
        <f>IF(OR(ISNUMBER(F573),ISNUMBER(G573)),IF(ISNUMBER(I573),I573,H573)-IF(ISNUMBER(F573),F573,G573),"")</f>
        <v/>
      </c>
      <c r="K573" s="12" t="n">
        <v>29900</v>
      </c>
      <c r="L573" s="12" t="n">
        <v>29900</v>
      </c>
      <c r="M573" s="13">
        <f>IF(AND(ISNUMBER(K573),ISNUMBER(L573),K573&gt;0),1-L573/K573,"")</f>
        <v/>
      </c>
      <c r="N573" s="16" t="n">
        <v>0</v>
      </c>
      <c r="O573" s="12" t="n"/>
      <c r="P573" s="12" t="n"/>
      <c r="Q573" s="12" t="n"/>
      <c r="R573" s="14">
        <f>IF(AND(ISNUMBER(L573),ISNUMBER(P573),ISNUMBER(Q573)),L573/((P573+Q573)/2)-1,"")</f>
        <v/>
      </c>
      <c r="S573" s="10" t="n"/>
      <c r="T573" s="15" t="n">
        <v>94264</v>
      </c>
      <c r="U573" s="16" t="n">
        <v>2009</v>
      </c>
      <c r="V573" s="10" t="n"/>
      <c r="W573" s="10" t="inlineStr">
        <is>
          <t>Essence</t>
        </is>
      </c>
      <c r="X573" s="10" t="inlineStr">
        <is>
          <t>Manuelle</t>
        </is>
      </c>
      <c r="Y573" s="16" t="n">
        <v>245</v>
      </c>
      <c r="Z573" s="16" t="n">
        <v>16</v>
      </c>
      <c r="AA573" s="10" t="inlineStr">
        <is>
          <t>Gris</t>
        </is>
      </c>
      <c r="AB573" s="16" t="n">
        <v>2</v>
      </c>
      <c r="AC573" s="10" t="inlineStr">
        <is>
          <t>Cabriolet</t>
        </is>
      </c>
      <c r="AD573" s="10" t="n"/>
      <c r="AE573" s="10" t="n"/>
      <c r="AF573" s="10" t="inlineStr">
        <is>
          <t>Pro</t>
        </is>
      </c>
      <c r="AG573" s="10" t="inlineStr">
        <is>
          <t>Perpignan</t>
        </is>
      </c>
      <c r="AH573" s="10" t="inlineStr">
        <is>
          <t>66100</t>
        </is>
      </c>
      <c r="AI573" s="10" t="inlineStr">
        <is>
          <t>Pyrénées-Orientales</t>
        </is>
      </c>
      <c r="AJ573" s="10" t="inlineStr">
        <is>
          <t>Languedoc-Roussillon</t>
        </is>
      </c>
      <c r="AK573" s="16" t="n"/>
      <c r="AL573" s="10" t="inlineStr">
        <is>
          <t>Oui</t>
        </is>
      </c>
      <c r="AM573" s="10" t="n"/>
      <c r="AN573" s="10" t="n"/>
      <c r="AO573" s="10" t="n"/>
      <c r="AP573" s="19" t="inlineStr">
        <is>
          <t>Voir</t>
        </is>
      </c>
      <c r="AQ573" s="10" t="inlineStr">
        <is>
          <t>3274728979</t>
        </is>
      </c>
    </row>
    <row r="574">
      <c r="A574" s="10" t="inlineStr">
        <is>
          <t>Porsche Boxster 987</t>
        </is>
      </c>
      <c r="B574" s="10" t="inlineStr">
        <is>
          <t>Porsche Boxster 987.2</t>
        </is>
      </c>
      <c r="C574" s="10" t="n"/>
      <c r="D574" s="10" t="n"/>
      <c r="E574" s="10" t="inlineStr">
        <is>
          <t>En vente</t>
        </is>
      </c>
      <c r="F574" s="18" t="n">
        <v>46291</v>
      </c>
      <c r="G574" s="18" t="n">
        <v>46291</v>
      </c>
      <c r="H574" s="18" t="n">
        <v>46296</v>
      </c>
      <c r="I574" s="18" t="n"/>
      <c r="J574" s="17">
        <f>IF(OR(ISNUMBER(F574),ISNUMBER(G574)),IF(ISNUMBER(I574),I574,H574)-IF(ISNUMBER(F574),F574,G574),"")</f>
        <v/>
      </c>
      <c r="K574" s="12" t="n">
        <v>33500</v>
      </c>
      <c r="L574" s="12" t="n">
        <v>33500</v>
      </c>
      <c r="M574" s="13">
        <f>IF(AND(ISNUMBER(K574),ISNUMBER(L574),K574&gt;0),1-L574/K574,"")</f>
        <v/>
      </c>
      <c r="N574" s="16" t="n">
        <v>0</v>
      </c>
      <c r="O574" s="12" t="n"/>
      <c r="P574" s="12" t="n"/>
      <c r="Q574" s="12" t="n"/>
      <c r="R574" s="14">
        <f>IF(AND(ISNUMBER(L574),ISNUMBER(P574),ISNUMBER(Q574)),L574/((P574+Q574)/2)-1,"")</f>
        <v/>
      </c>
      <c r="S574" s="10" t="n"/>
      <c r="T574" s="15" t="n">
        <v>86300</v>
      </c>
      <c r="U574" s="16" t="n">
        <v>2011</v>
      </c>
      <c r="V574" s="10" t="n"/>
      <c r="W574" s="10" t="inlineStr">
        <is>
          <t>Essence</t>
        </is>
      </c>
      <c r="X574" s="10" t="inlineStr">
        <is>
          <t>Manuelle</t>
        </is>
      </c>
      <c r="Y574" s="16" t="n">
        <v>256</v>
      </c>
      <c r="Z574" s="16" t="n">
        <v>17</v>
      </c>
      <c r="AA574" s="10" t="inlineStr">
        <is>
          <t>Marron</t>
        </is>
      </c>
      <c r="AB574" s="16" t="n">
        <v>2</v>
      </c>
      <c r="AC574" s="10" t="inlineStr">
        <is>
          <t>Cabriolet</t>
        </is>
      </c>
      <c r="AD574" s="10" t="n"/>
      <c r="AE574" s="10" t="n"/>
      <c r="AF574" s="10" t="inlineStr">
        <is>
          <t>Particulier</t>
        </is>
      </c>
      <c r="AG574" s="10" t="inlineStr">
        <is>
          <t>Verrières-le-Buisson</t>
        </is>
      </c>
      <c r="AH574" s="10" t="inlineStr">
        <is>
          <t>91370</t>
        </is>
      </c>
      <c r="AI574" s="10" t="inlineStr">
        <is>
          <t>Essonne</t>
        </is>
      </c>
      <c r="AJ574" s="10" t="inlineStr">
        <is>
          <t>Ile-de-France</t>
        </is>
      </c>
      <c r="AK574" s="16" t="n"/>
      <c r="AL574" s="10" t="n"/>
      <c r="AM574" s="10" t="n"/>
      <c r="AN574" s="10" t="n"/>
      <c r="AO574" s="10" t="n"/>
      <c r="AP574" s="19" t="inlineStr">
        <is>
          <t>Voir</t>
        </is>
      </c>
      <c r="AQ574" s="10" t="inlineStr">
        <is>
          <t>3277011288</t>
        </is>
      </c>
    </row>
    <row r="575">
      <c r="A575" s="10" t="inlineStr">
        <is>
          <t>Porsche Boxster 987</t>
        </is>
      </c>
      <c r="B575" s="10" t="inlineStr">
        <is>
          <t>PORSCHE BOXSTER 987.1 2,7 L 245ch</t>
        </is>
      </c>
      <c r="C575" s="10" t="n"/>
      <c r="D575" s="10" t="n"/>
      <c r="E575" s="10" t="inlineStr">
        <is>
          <t>En vente</t>
        </is>
      </c>
      <c r="F575" s="18" t="n">
        <v>46293</v>
      </c>
      <c r="G575" s="18" t="n">
        <v>46293</v>
      </c>
      <c r="H575" s="18" t="n">
        <v>46296</v>
      </c>
      <c r="I575" s="18" t="n"/>
      <c r="J575" s="17">
        <f>IF(OR(ISNUMBER(F575),ISNUMBER(G575)),IF(ISNUMBER(I575),I575,H575)-IF(ISNUMBER(F575),F575,G575),"")</f>
        <v/>
      </c>
      <c r="K575" s="12" t="n">
        <v>27499</v>
      </c>
      <c r="L575" s="12" t="n">
        <v>27499</v>
      </c>
      <c r="M575" s="13">
        <f>IF(AND(ISNUMBER(K575),ISNUMBER(L575),K575&gt;0),1-L575/K575,"")</f>
        <v/>
      </c>
      <c r="N575" s="16" t="n">
        <v>0</v>
      </c>
      <c r="O575" s="12" t="n"/>
      <c r="P575" s="12" t="n"/>
      <c r="Q575" s="12" t="n"/>
      <c r="R575" s="14">
        <f>IF(AND(ISNUMBER(L575),ISNUMBER(P575),ISNUMBER(Q575)),L575/((P575+Q575)/2)-1,"")</f>
        <v/>
      </c>
      <c r="S575" s="10" t="n"/>
      <c r="T575" s="15" t="n">
        <v>87500</v>
      </c>
      <c r="U575" s="16" t="n">
        <v>2008</v>
      </c>
      <c r="V575" s="10" t="n"/>
      <c r="W575" s="10" t="inlineStr">
        <is>
          <t>Essence</t>
        </is>
      </c>
      <c r="X575" s="10" t="inlineStr">
        <is>
          <t>Manuelle</t>
        </is>
      </c>
      <c r="Y575" s="16" t="n">
        <v>245</v>
      </c>
      <c r="Z575" s="16" t="n">
        <v>16</v>
      </c>
      <c r="AA575" s="10" t="inlineStr">
        <is>
          <t>Gris</t>
        </is>
      </c>
      <c r="AB575" s="16" t="n">
        <v>2</v>
      </c>
      <c r="AC575" s="10" t="inlineStr">
        <is>
          <t>Cabriolet</t>
        </is>
      </c>
      <c r="AD575" s="10" t="n"/>
      <c r="AE575" s="10" t="n"/>
      <c r="AF575" s="10" t="inlineStr">
        <is>
          <t>Particulier</t>
        </is>
      </c>
      <c r="AG575" s="10" t="inlineStr">
        <is>
          <t>Charleville-Mézières</t>
        </is>
      </c>
      <c r="AH575" s="10" t="inlineStr">
        <is>
          <t>08000</t>
        </is>
      </c>
      <c r="AI575" s="10" t="inlineStr">
        <is>
          <t>Ardennes</t>
        </is>
      </c>
      <c r="AJ575" s="10" t="inlineStr">
        <is>
          <t>Champagne-Ardenne</t>
        </is>
      </c>
      <c r="AK575" s="16" t="n"/>
      <c r="AL575" s="10" t="n"/>
      <c r="AM575" s="10" t="n"/>
      <c r="AN575" s="10" t="n"/>
      <c r="AO575" s="10" t="n"/>
      <c r="AP575" s="19" t="inlineStr">
        <is>
          <t>Voir</t>
        </is>
      </c>
      <c r="AQ575" s="10" t="inlineStr">
        <is>
          <t>3278151888</t>
        </is>
      </c>
    </row>
    <row r="576">
      <c r="A576" s="10" t="inlineStr">
        <is>
          <t>Porsche Boxster 987</t>
        </is>
      </c>
      <c r="B576" s="10" t="inlineStr">
        <is>
          <t>Porsche boxster s 3.4 310 pdk type 987</t>
        </is>
      </c>
      <c r="C576" s="10" t="n"/>
      <c r="D576" s="10" t="n"/>
      <c r="E576" s="10" t="inlineStr">
        <is>
          <t>En vente</t>
        </is>
      </c>
      <c r="F576" s="18" t="n">
        <v>46266</v>
      </c>
      <c r="G576" s="18" t="n">
        <v>46266</v>
      </c>
      <c r="H576" s="18" t="n">
        <v>46296</v>
      </c>
      <c r="I576" s="18" t="n"/>
      <c r="J576" s="17">
        <f>IF(OR(ISNUMBER(F576),ISNUMBER(G576)),IF(ISNUMBER(I576),I576,H576)-IF(ISNUMBER(F576),F576,G576),"")</f>
        <v/>
      </c>
      <c r="K576" s="12" t="n">
        <v>45990</v>
      </c>
      <c r="L576" s="12" t="n">
        <v>45990</v>
      </c>
      <c r="M576" s="13">
        <f>IF(AND(ISNUMBER(K576),ISNUMBER(L576),K576&gt;0),1-L576/K576,"")</f>
        <v/>
      </c>
      <c r="N576" s="16" t="n">
        <v>0</v>
      </c>
      <c r="O576" s="12" t="n"/>
      <c r="P576" s="12" t="n"/>
      <c r="Q576" s="12" t="n"/>
      <c r="R576" s="14">
        <f>IF(AND(ISNUMBER(L576),ISNUMBER(P576),ISNUMBER(Q576)),L576/((P576+Q576)/2)-1,"")</f>
        <v/>
      </c>
      <c r="S576" s="10" t="n"/>
      <c r="T576" s="15" t="n">
        <v>74900</v>
      </c>
      <c r="U576" s="16" t="n">
        <v>2011</v>
      </c>
      <c r="V576" s="10" t="n"/>
      <c r="W576" s="10" t="inlineStr">
        <is>
          <t>Essence</t>
        </is>
      </c>
      <c r="X576" s="10" t="inlineStr">
        <is>
          <t>Automatique</t>
        </is>
      </c>
      <c r="Y576" s="16" t="n">
        <v>310</v>
      </c>
      <c r="Z576" s="16" t="n">
        <v>21</v>
      </c>
      <c r="AA576" s="10" t="inlineStr">
        <is>
          <t>Vert</t>
        </is>
      </c>
      <c r="AB576" s="16" t="n">
        <v>2</v>
      </c>
      <c r="AC576" s="10" t="inlineStr">
        <is>
          <t>Cabriolet</t>
        </is>
      </c>
      <c r="AD576" s="10" t="n"/>
      <c r="AE576" s="10" t="n"/>
      <c r="AF576" s="10" t="inlineStr">
        <is>
          <t>Pro</t>
        </is>
      </c>
      <c r="AG576" s="10" t="inlineStr">
        <is>
          <t>Ocquerre</t>
        </is>
      </c>
      <c r="AH576" s="10" t="inlineStr">
        <is>
          <t>77440</t>
        </is>
      </c>
      <c r="AI576" s="10" t="inlineStr">
        <is>
          <t>Seine-et-Marne</t>
        </is>
      </c>
      <c r="AJ576" s="10" t="inlineStr">
        <is>
          <t>Ile-de-France</t>
        </is>
      </c>
      <c r="AK576" s="16" t="n"/>
      <c r="AL576" s="10" t="n"/>
      <c r="AM576" s="10" t="n"/>
      <c r="AN576" s="10" t="n"/>
      <c r="AO576" s="10" t="n"/>
      <c r="AP576" s="19" t="inlineStr">
        <is>
          <t>Voir</t>
        </is>
      </c>
      <c r="AQ576" s="10" t="inlineStr">
        <is>
          <t>3278205054</t>
        </is>
      </c>
    </row>
    <row r="577">
      <c r="A577" s="10" t="inlineStr">
        <is>
          <t>Porsche Boxster 987</t>
        </is>
      </c>
      <c r="B577" s="10" t="inlineStr">
        <is>
          <t>PORSCHE BOXSTER 2.7i 240 TYPE 987 CABRIOLET</t>
        </is>
      </c>
      <c r="C577" s="10" t="n"/>
      <c r="D577" s="10" t="n"/>
      <c r="E577" s="10" t="inlineStr">
        <is>
          <t>En vente</t>
        </is>
      </c>
      <c r="F577" s="18" t="n">
        <v>46293</v>
      </c>
      <c r="G577" s="18" t="n">
        <v>46293</v>
      </c>
      <c r="H577" s="18" t="n">
        <v>46296</v>
      </c>
      <c r="I577" s="18" t="n"/>
      <c r="J577" s="17">
        <f>IF(OR(ISNUMBER(F577),ISNUMBER(G577)),IF(ISNUMBER(I577),I577,H577)-IF(ISNUMBER(F577),F577,G577),"")</f>
        <v/>
      </c>
      <c r="K577" s="12" t="n">
        <v>27990</v>
      </c>
      <c r="L577" s="12" t="n">
        <v>27990</v>
      </c>
      <c r="M577" s="13">
        <f>IF(AND(ISNUMBER(K577),ISNUMBER(L577),K577&gt;0),1-L577/K577,"")</f>
        <v/>
      </c>
      <c r="N577" s="16" t="n">
        <v>0</v>
      </c>
      <c r="O577" s="12" t="n"/>
      <c r="P577" s="12" t="n"/>
      <c r="Q577" s="12" t="n"/>
      <c r="R577" s="14">
        <f>IF(AND(ISNUMBER(L577),ISNUMBER(P577),ISNUMBER(Q577)),L577/((P577+Q577)/2)-1,"")</f>
        <v/>
      </c>
      <c r="S577" s="10" t="n"/>
      <c r="T577" s="15" t="n">
        <v>109682</v>
      </c>
      <c r="U577" s="16" t="n">
        <v>2005</v>
      </c>
      <c r="V577" s="10" t="n"/>
      <c r="W577" s="10" t="inlineStr">
        <is>
          <t>Essence</t>
        </is>
      </c>
      <c r="X577" s="10" t="inlineStr">
        <is>
          <t>Manuelle</t>
        </is>
      </c>
      <c r="Y577" s="16" t="n">
        <v>240</v>
      </c>
      <c r="Z577" s="16" t="n">
        <v>16</v>
      </c>
      <c r="AA577" s="10" t="inlineStr">
        <is>
          <t>Bleu</t>
        </is>
      </c>
      <c r="AB577" s="16" t="n">
        <v>2</v>
      </c>
      <c r="AC577" s="10" t="inlineStr">
        <is>
          <t>Cabriolet</t>
        </is>
      </c>
      <c r="AD577" s="10" t="n"/>
      <c r="AE577" s="10" t="n"/>
      <c r="AF577" s="10" t="inlineStr">
        <is>
          <t>Pro</t>
        </is>
      </c>
      <c r="AG577" s="10" t="inlineStr">
        <is>
          <t>Bischwihr</t>
        </is>
      </c>
      <c r="AH577" s="10" t="inlineStr">
        <is>
          <t>68320</t>
        </is>
      </c>
      <c r="AI577" s="10" t="inlineStr">
        <is>
          <t>Haut-Rhin</t>
        </is>
      </c>
      <c r="AJ577" s="10" t="inlineStr">
        <is>
          <t>Alsace</t>
        </is>
      </c>
      <c r="AK577" s="16" t="n"/>
      <c r="AL577" s="10" t="inlineStr">
        <is>
          <t>Oui</t>
        </is>
      </c>
      <c r="AM577" s="10" t="n"/>
      <c r="AN577" s="10" t="n"/>
      <c r="AO577" s="10" t="n"/>
      <c r="AP577" s="19" t="inlineStr">
        <is>
          <t>Voir</t>
        </is>
      </c>
      <c r="AQ577" s="10" t="inlineStr">
        <is>
          <t>3278260839</t>
        </is>
      </c>
    </row>
    <row r="578">
      <c r="A578" s="10" t="inlineStr">
        <is>
          <t>Renault Clio II RS (172/182 ch)</t>
        </is>
      </c>
      <c r="B578" s="10" t="inlineStr">
        <is>
          <t>Renault clio rs 1er main</t>
        </is>
      </c>
      <c r="C578" s="10" t="n"/>
      <c r="D578" s="10" t="n"/>
      <c r="E578" s="10" t="inlineStr">
        <is>
          <t>En vente</t>
        </is>
      </c>
      <c r="F578" s="18" t="n">
        <v>46264</v>
      </c>
      <c r="G578" s="18" t="n">
        <v>46264</v>
      </c>
      <c r="H578" s="18" t="n">
        <v>46310</v>
      </c>
      <c r="I578" s="18" t="n"/>
      <c r="J578" s="17">
        <f>IF(OR(ISNUMBER(F578),ISNUMBER(G578)),IF(ISNUMBER(I578),I578,H578)-IF(ISNUMBER(F578),F578,G578),"")</f>
        <v/>
      </c>
      <c r="K578" s="12" t="n">
        <v>19500</v>
      </c>
      <c r="L578" s="12" t="n">
        <v>19500</v>
      </c>
      <c r="M578" s="13">
        <f>IF(AND(ISNUMBER(K578),ISNUMBER(L578),K578&gt;0),1-L578/K578,"")</f>
        <v/>
      </c>
      <c r="N578" s="16" t="n">
        <v>0</v>
      </c>
      <c r="O578" s="12" t="n"/>
      <c r="P578" s="12" t="n"/>
      <c r="Q578" s="12" t="n"/>
      <c r="R578" s="14">
        <f>IF(AND(ISNUMBER(L578),ISNUMBER(P578),ISNUMBER(Q578)),L578/((P578+Q578)/2)-1,"")</f>
        <v/>
      </c>
      <c r="S578" s="10" t="n"/>
      <c r="T578" s="15" t="n">
        <v>83100</v>
      </c>
      <c r="U578" s="16" t="n">
        <v>2002</v>
      </c>
      <c r="V578" s="10" t="inlineStr">
        <is>
          <t>03/2002</t>
        </is>
      </c>
      <c r="W578" s="10" t="inlineStr">
        <is>
          <t>Essence</t>
        </is>
      </c>
      <c r="X578" s="10" t="inlineStr">
        <is>
          <t>Manuelle</t>
        </is>
      </c>
      <c r="Y578" s="16" t="n">
        <v>172</v>
      </c>
      <c r="Z578" s="16" t="n">
        <v>10</v>
      </c>
      <c r="AA578" s="10" t="inlineStr">
        <is>
          <t>Autre</t>
        </is>
      </c>
      <c r="AB578" s="16" t="n">
        <v>3</v>
      </c>
      <c r="AC578" s="10" t="inlineStr">
        <is>
          <t>Berline</t>
        </is>
      </c>
      <c r="AD578" s="10" t="n"/>
      <c r="AE578" s="10" t="n"/>
      <c r="AF578" s="10" t="inlineStr">
        <is>
          <t>Particulier</t>
        </is>
      </c>
      <c r="AG578" s="10" t="inlineStr">
        <is>
          <t>Narbonne</t>
        </is>
      </c>
      <c r="AH578" s="10" t="inlineStr">
        <is>
          <t>11100</t>
        </is>
      </c>
      <c r="AI578" s="10" t="inlineStr">
        <is>
          <t>Aude</t>
        </is>
      </c>
      <c r="AJ578" s="10" t="inlineStr">
        <is>
          <t>Languedoc-Roussillon</t>
        </is>
      </c>
      <c r="AK578" s="16" t="n">
        <v>3</v>
      </c>
      <c r="AL578" s="10" t="n"/>
      <c r="AM578" s="10" t="inlineStr">
        <is>
          <t>Non</t>
        </is>
      </c>
      <c r="AN578" s="10" t="inlineStr">
        <is>
          <t>Vends clio rs 83000 km d origine 1er main etrierement d origine Pneus ,distribution pompe a eau entretien cmplet Non fumeur proche du neuf Pa d echange ni reprise Contact par telephone uniquement. Vehicule pour passioné ou collectionneur. Prix ferme.</t>
        </is>
      </c>
      <c r="AO578" s="10" t="inlineStr">
        <is>
          <t>Dommages : Excellent état (proche du neuf) ; Sellerie : Cuir partiel ; Permis : Avec permis ; Importé : false</t>
        </is>
      </c>
      <c r="AP578" s="19" t="inlineStr">
        <is>
          <t>Voir</t>
        </is>
      </c>
      <c r="AQ578" s="10" t="inlineStr">
        <is>
          <t>3148980518</t>
        </is>
      </c>
    </row>
    <row r="579">
      <c r="A579" s="10" t="inlineStr">
        <is>
          <t>Renault Clio II RS (172/182 ch)</t>
        </is>
      </c>
      <c r="B579" s="10" t="inlineStr">
        <is>
          <t>Clio rs ps2</t>
        </is>
      </c>
      <c r="C579" s="10" t="n"/>
      <c r="D579" s="10" t="n"/>
      <c r="E579" s="10" t="inlineStr">
        <is>
          <t>En vente</t>
        </is>
      </c>
      <c r="F579" s="18" t="n">
        <v>46270</v>
      </c>
      <c r="G579" s="18" t="n">
        <v>46270</v>
      </c>
      <c r="H579" s="18" t="n">
        <v>46310</v>
      </c>
      <c r="I579" s="18" t="n"/>
      <c r="J579" s="17">
        <f>IF(OR(ISNUMBER(F579),ISNUMBER(G579)),IF(ISNUMBER(I579),I579,H579)-IF(ISNUMBER(F579),F579,G579),"")</f>
        <v/>
      </c>
      <c r="K579" s="12" t="n">
        <v>10900</v>
      </c>
      <c r="L579" s="12" t="n">
        <v>10900</v>
      </c>
      <c r="M579" s="13">
        <f>IF(AND(ISNUMBER(K579),ISNUMBER(L579),K579&gt;0),1-L579/K579,"")</f>
        <v/>
      </c>
      <c r="N579" s="16" t="n">
        <v>0</v>
      </c>
      <c r="O579" s="12" t="n"/>
      <c r="P579" s="12" t="n"/>
      <c r="Q579" s="12" t="n"/>
      <c r="R579" s="14">
        <f>IF(AND(ISNUMBER(L579),ISNUMBER(P579),ISNUMBER(Q579)),L579/((P579+Q579)/2)-1,"")</f>
        <v/>
      </c>
      <c r="S579" s="10" t="n"/>
      <c r="T579" s="15" t="n">
        <v>195000</v>
      </c>
      <c r="U579" s="16" t="n">
        <v>2003</v>
      </c>
      <c r="V579" s="10" t="inlineStr">
        <is>
          <t>09/2003</t>
        </is>
      </c>
      <c r="W579" s="10" t="inlineStr">
        <is>
          <t>Essence</t>
        </is>
      </c>
      <c r="X579" s="10" t="inlineStr">
        <is>
          <t>Manuelle</t>
        </is>
      </c>
      <c r="Y579" s="16" t="n">
        <v>172</v>
      </c>
      <c r="Z579" s="16" t="n">
        <v>10</v>
      </c>
      <c r="AA579" s="10" t="inlineStr">
        <is>
          <t>Autre</t>
        </is>
      </c>
      <c r="AB579" s="16" t="n">
        <v>3</v>
      </c>
      <c r="AC579" s="10" t="inlineStr">
        <is>
          <t>Berline</t>
        </is>
      </c>
      <c r="AD579" s="10" t="n"/>
      <c r="AE579" s="10" t="n"/>
      <c r="AF579" s="10" t="inlineStr">
        <is>
          <t>Particulier</t>
        </is>
      </c>
      <c r="AG579" s="10" t="inlineStr">
        <is>
          <t>Metz</t>
        </is>
      </c>
      <c r="AH579" s="10" t="inlineStr">
        <is>
          <t>57000</t>
        </is>
      </c>
      <c r="AI579" s="10" t="inlineStr">
        <is>
          <t>Moselle</t>
        </is>
      </c>
      <c r="AJ579" s="10" t="inlineStr">
        <is>
          <t>Lorraine</t>
        </is>
      </c>
      <c r="AK579" s="16" t="n">
        <v>3</v>
      </c>
      <c r="AL579" s="10" t="n"/>
      <c r="AM579" s="10" t="inlineStr">
        <is>
          <t>Non</t>
        </is>
      </c>
      <c r="AN579" s="10" t="inlineStr">
        <is>
          <t>Clio rs ps2 Édition limitée a 200 exemplaires Entretenu et en très bon état Annonce en ligne = disponible</t>
        </is>
      </c>
      <c r="AO579" s="10" t="inlineStr">
        <is>
          <t>Permis : Avec permis ; Importé : false</t>
        </is>
      </c>
      <c r="AP579" s="19" t="inlineStr">
        <is>
          <t>Voir</t>
        </is>
      </c>
      <c r="AQ579" s="10" t="inlineStr">
        <is>
          <t>3155317939</t>
        </is>
      </c>
    </row>
    <row r="580">
      <c r="A580" s="10" t="inlineStr">
        <is>
          <t>Renault Clio II RS (172/182 ch)</t>
        </is>
      </c>
      <c r="B580" s="10" t="inlineStr">
        <is>
          <t>Clio rs piste</t>
        </is>
      </c>
      <c r="C580" s="10" t="n"/>
      <c r="D580" s="10" t="n"/>
      <c r="E580" s="10" t="inlineStr">
        <is>
          <t>En vente</t>
        </is>
      </c>
      <c r="F580" s="18" t="n">
        <v>46280</v>
      </c>
      <c r="G580" s="18" t="n">
        <v>46280</v>
      </c>
      <c r="H580" s="18" t="n">
        <v>46310</v>
      </c>
      <c r="I580" s="18" t="n"/>
      <c r="J580" s="17">
        <f>IF(OR(ISNUMBER(F580),ISNUMBER(G580)),IF(ISNUMBER(I580),I580,H580)-IF(ISNUMBER(F580),F580,G580),"")</f>
        <v/>
      </c>
      <c r="K580" s="12" t="n">
        <v>8500</v>
      </c>
      <c r="L580" s="12" t="n">
        <v>8500</v>
      </c>
      <c r="M580" s="13">
        <f>IF(AND(ISNUMBER(K580),ISNUMBER(L580),K580&gt;0),1-L580/K580,"")</f>
        <v/>
      </c>
      <c r="N580" s="16" t="n">
        <v>0</v>
      </c>
      <c r="O580" s="12" t="n">
        <v>9200</v>
      </c>
      <c r="P580" s="12" t="n"/>
      <c r="Q580" s="12" t="n"/>
      <c r="R580" s="14">
        <f>IF(AND(ISNUMBER(L580),ISNUMBER(P580),ISNUMBER(Q580)),L580/((P580+Q580)/2)-1,"")</f>
        <v/>
      </c>
      <c r="S580" s="10" t="n"/>
      <c r="T580" s="15" t="n">
        <v>200000</v>
      </c>
      <c r="U580" s="16" t="n">
        <v>2001</v>
      </c>
      <c r="V580" s="10" t="inlineStr">
        <is>
          <t>10/2001</t>
        </is>
      </c>
      <c r="W580" s="10" t="inlineStr">
        <is>
          <t>Essence</t>
        </is>
      </c>
      <c r="X580" s="10" t="inlineStr">
        <is>
          <t>Automatique</t>
        </is>
      </c>
      <c r="Y580" s="16" t="n">
        <v>170</v>
      </c>
      <c r="Z580" s="16" t="n">
        <v>10</v>
      </c>
      <c r="AA580" s="10" t="inlineStr">
        <is>
          <t>Gris</t>
        </is>
      </c>
      <c r="AB580" s="16" t="n">
        <v>3</v>
      </c>
      <c r="AC580" s="10" t="inlineStr">
        <is>
          <t>Citadine</t>
        </is>
      </c>
      <c r="AD580" s="10" t="n"/>
      <c r="AE580" s="10" t="n"/>
      <c r="AF580" s="10" t="inlineStr">
        <is>
          <t>Particulier</t>
        </is>
      </c>
      <c r="AG580" s="10" t="inlineStr">
        <is>
          <t>Abrest</t>
        </is>
      </c>
      <c r="AH580" s="10" t="inlineStr">
        <is>
          <t>03200</t>
        </is>
      </c>
      <c r="AI580" s="10" t="inlineStr">
        <is>
          <t>Allier</t>
        </is>
      </c>
      <c r="AJ580" s="10" t="inlineStr">
        <is>
          <t>Auvergne</t>
        </is>
      </c>
      <c r="AK580" s="16" t="n">
        <v>3</v>
      </c>
      <c r="AL580" s="10" t="n"/>
      <c r="AM580" s="10" t="inlineStr">
        <is>
          <t>Non</t>
        </is>
      </c>
      <c r="AN580" s="10" t="inlineStr">
        <is>
          <t>Vends Clio RS montée pour usage circuit uniquement. Je me sépare de ma voiture par manque de temps et surtout passage à une autre discipline. La voiture est d'origine sur le moteur sauf admission type Clio cup et line d'échappement achetée en mars 2025 chez GT Performance (+ décatalysée). L'arceau est fait maison donc non homologué pour la compétition. 2 sièges baquet OMP + harnais Belt boucles aviations. Le siège pilote est montée sur glissière. Il y a un compteur digital branché sur la prise O</t>
        </is>
      </c>
      <c r="AO580" s="10" t="inlineStr">
        <is>
          <t>Permis : Avec permis ; Importé : false</t>
        </is>
      </c>
      <c r="AP580" s="19" t="inlineStr">
        <is>
          <t>Voir</t>
        </is>
      </c>
      <c r="AQ580" s="10" t="inlineStr">
        <is>
          <t>3162482298</t>
        </is>
      </c>
    </row>
    <row r="581">
      <c r="A581" s="10" t="inlineStr">
        <is>
          <t>Renault Clio II RS (172/182 ch)</t>
        </is>
      </c>
      <c r="B581" s="10" t="inlineStr">
        <is>
          <t>Clio rs 182</t>
        </is>
      </c>
      <c r="C581" s="10" t="n"/>
      <c r="D581" s="10" t="n"/>
      <c r="E581" s="10" t="inlineStr">
        <is>
          <t>En vente</t>
        </is>
      </c>
      <c r="F581" s="18" t="n">
        <v>46260</v>
      </c>
      <c r="G581" s="18" t="n">
        <v>46260</v>
      </c>
      <c r="H581" s="18" t="n">
        <v>46310</v>
      </c>
      <c r="I581" s="18" t="n"/>
      <c r="J581" s="17">
        <f>IF(OR(ISNUMBER(F581),ISNUMBER(G581)),IF(ISNUMBER(I581),I581,H581)-IF(ISNUMBER(F581),F581,G581),"")</f>
        <v/>
      </c>
      <c r="K581" s="12" t="n">
        <v>8000</v>
      </c>
      <c r="L581" s="12" t="n">
        <v>8000</v>
      </c>
      <c r="M581" s="13">
        <f>IF(AND(ISNUMBER(K581),ISNUMBER(L581),K581&gt;0),1-L581/K581,"")</f>
        <v/>
      </c>
      <c r="N581" s="16" t="n">
        <v>0</v>
      </c>
      <c r="O581" s="12" t="n">
        <v>11000</v>
      </c>
      <c r="P581" s="12" t="n"/>
      <c r="Q581" s="12" t="n"/>
      <c r="R581" s="14">
        <f>IF(AND(ISNUMBER(L581),ISNUMBER(P581),ISNUMBER(Q581)),L581/((P581+Q581)/2)-1,"")</f>
        <v/>
      </c>
      <c r="S581" s="10" t="n"/>
      <c r="T581" s="15" t="n">
        <v>206000</v>
      </c>
      <c r="U581" s="16" t="n">
        <v>2004</v>
      </c>
      <c r="V581" s="10" t="inlineStr">
        <is>
          <t>04/2004</t>
        </is>
      </c>
      <c r="W581" s="10" t="inlineStr">
        <is>
          <t>Essence</t>
        </is>
      </c>
      <c r="X581" s="10" t="inlineStr">
        <is>
          <t>Manuelle</t>
        </is>
      </c>
      <c r="Y581" s="16" t="n">
        <v>182</v>
      </c>
      <c r="Z581" s="16" t="n">
        <v>10</v>
      </c>
      <c r="AA581" s="10" t="inlineStr">
        <is>
          <t>Gris</t>
        </is>
      </c>
      <c r="AB581" s="16" t="n">
        <v>3</v>
      </c>
      <c r="AC581" s="10" t="inlineStr">
        <is>
          <t>Berline</t>
        </is>
      </c>
      <c r="AD581" s="10" t="inlineStr">
        <is>
          <t>Carnet d'entretien disponible</t>
        </is>
      </c>
      <c r="AE581" s="10" t="n"/>
      <c r="AF581" s="10" t="inlineStr">
        <is>
          <t>Particulier</t>
        </is>
      </c>
      <c r="AG581" s="10" t="inlineStr">
        <is>
          <t>Arcey</t>
        </is>
      </c>
      <c r="AH581" s="10" t="inlineStr">
        <is>
          <t>25750</t>
        </is>
      </c>
      <c r="AI581" s="10" t="inlineStr">
        <is>
          <t>Doubs</t>
        </is>
      </c>
      <c r="AJ581" s="10" t="inlineStr">
        <is>
          <t>Franche-Comté</t>
        </is>
      </c>
      <c r="AK581" s="16" t="n">
        <v>3</v>
      </c>
      <c r="AL581" s="10" t="n"/>
      <c r="AM581" s="10" t="inlineStr">
        <is>
          <t>Non</t>
        </is>
      </c>
      <c r="AN581" s="10" t="inlineStr">
        <is>
          <t>Clio rs 182..bon état général..ct ok du 20/06/2026…2 pneus avant à remplacer…</t>
        </is>
      </c>
      <c r="AO581" s="10" t="inlineStr">
        <is>
          <t>Dommages : Bon état général ; Permis : Avec permis ; Importé : false ; vehicle_history_report_status : visible</t>
        </is>
      </c>
      <c r="AP581" s="19" t="inlineStr">
        <is>
          <t>Voir</t>
        </is>
      </c>
      <c r="AQ581" s="10" t="inlineStr">
        <is>
          <t>3220887451</t>
        </is>
      </c>
    </row>
    <row r="582">
      <c r="A582" s="10" t="inlineStr">
        <is>
          <t>Renault Clio II RS (172/182 ch)</t>
        </is>
      </c>
      <c r="B582" s="10" t="inlineStr">
        <is>
          <t>Clio rs</t>
        </is>
      </c>
      <c r="C582" s="10" t="inlineStr">
        <is>
          <t>Clio 2.0 16v 172ch RS 3p</t>
        </is>
      </c>
      <c r="D582" s="10" t="inlineStr">
        <is>
          <t>RS</t>
        </is>
      </c>
      <c r="E582" s="10" t="inlineStr">
        <is>
          <t>En vente</t>
        </is>
      </c>
      <c r="F582" s="18" t="n">
        <v>46276</v>
      </c>
      <c r="G582" s="18" t="n">
        <v>46276</v>
      </c>
      <c r="H582" s="18" t="n">
        <v>46310</v>
      </c>
      <c r="I582" s="18" t="n"/>
      <c r="J582" s="17">
        <f>IF(OR(ISNUMBER(F582),ISNUMBER(G582)),IF(ISNUMBER(I582),I582,H582)-IF(ISNUMBER(F582),F582,G582),"")</f>
        <v/>
      </c>
      <c r="K582" s="12" t="n">
        <v>12000</v>
      </c>
      <c r="L582" s="12" t="n">
        <v>12000</v>
      </c>
      <c r="M582" s="13">
        <f>IF(AND(ISNUMBER(K582),ISNUMBER(L582),K582&gt;0),1-L582/K582,"")</f>
        <v/>
      </c>
      <c r="N582" s="16" t="n">
        <v>0</v>
      </c>
      <c r="O582" s="12" t="n"/>
      <c r="P582" s="12" t="n"/>
      <c r="Q582" s="12" t="n"/>
      <c r="R582" s="14">
        <f>IF(AND(ISNUMBER(L582),ISNUMBER(P582),ISNUMBER(Q582)),L582/((P582+Q582)/2)-1,"")</f>
        <v/>
      </c>
      <c r="S582" s="10" t="n"/>
      <c r="T582" s="15" t="n">
        <v>159000</v>
      </c>
      <c r="U582" s="16" t="n">
        <v>2001</v>
      </c>
      <c r="V582" s="10" t="inlineStr">
        <is>
          <t>09/2001</t>
        </is>
      </c>
      <c r="W582" s="10" t="inlineStr">
        <is>
          <t>Essence</t>
        </is>
      </c>
      <c r="X582" s="10" t="inlineStr">
        <is>
          <t>Manuelle</t>
        </is>
      </c>
      <c r="Y582" s="16" t="n">
        <v>172</v>
      </c>
      <c r="Z582" s="16" t="n">
        <v>10</v>
      </c>
      <c r="AA582" s="10" t="inlineStr">
        <is>
          <t>Bleu</t>
        </is>
      </c>
      <c r="AB582" s="16" t="n">
        <v>3</v>
      </c>
      <c r="AC582" s="10" t="inlineStr">
        <is>
          <t>Berline</t>
        </is>
      </c>
      <c r="AD582" s="10" t="n"/>
      <c r="AE582" s="10" t="n"/>
      <c r="AF582" s="10" t="inlineStr">
        <is>
          <t>Particulier</t>
        </is>
      </c>
      <c r="AG582" s="10" t="inlineStr">
        <is>
          <t>Frotey-lès-Vesoul</t>
        </is>
      </c>
      <c r="AH582" s="10" t="inlineStr">
        <is>
          <t>70000</t>
        </is>
      </c>
      <c r="AI582" s="10" t="inlineStr">
        <is>
          <t>Haute-Saône</t>
        </is>
      </c>
      <c r="AJ582" s="10" t="inlineStr">
        <is>
          <t>Franche-Comté</t>
        </is>
      </c>
      <c r="AK582" s="16" t="n">
        <v>3</v>
      </c>
      <c r="AL582" s="10" t="n"/>
      <c r="AM582" s="10" t="inlineStr">
        <is>
          <t>Non</t>
        </is>
      </c>
      <c r="AN582" s="10" t="inlineStr">
        <is>
          <t>Clio rd de 2001, bon état général, quelques petites traces sur le côté droit en carrosserie, distribution, batterie, vidange très récente</t>
        </is>
      </c>
      <c r="AO582" s="10" t="inlineStr">
        <is>
          <t>Dommages : Bon état général ; Sellerie : Cuir partiel ; vehicle_euro_emissions_standard : Euro 4 ; Permis : Avec permis ; Importé : false</t>
        </is>
      </c>
      <c r="AP582" s="19" t="inlineStr">
        <is>
          <t>Voir</t>
        </is>
      </c>
      <c r="AQ582" s="10" t="inlineStr">
        <is>
          <t>3229733456</t>
        </is>
      </c>
    </row>
    <row r="583">
      <c r="A583" s="10" t="inlineStr">
        <is>
          <t>Renault Clio II RS (172/182 ch)</t>
        </is>
      </c>
      <c r="B583" s="10" t="inlineStr">
        <is>
          <t>Renault Clio 2.0 200 RS / Garantie 12 mois</t>
        </is>
      </c>
      <c r="C583" s="10" t="inlineStr">
        <is>
          <t>Clio 2.0 16v 172ch RS 3p</t>
        </is>
      </c>
      <c r="D583" s="10" t="inlineStr">
        <is>
          <t>RS</t>
        </is>
      </c>
      <c r="E583" s="10" t="inlineStr">
        <is>
          <t>En vente</t>
        </is>
      </c>
      <c r="F583" s="18" t="n">
        <v>46235</v>
      </c>
      <c r="G583" s="18" t="n">
        <v>46235</v>
      </c>
      <c r="H583" s="18" t="n">
        <v>46310</v>
      </c>
      <c r="I583" s="18" t="n"/>
      <c r="J583" s="17">
        <f>IF(OR(ISNUMBER(F583),ISNUMBER(G583)),IF(ISNUMBER(I583),I583,H583)-IF(ISNUMBER(F583),F583,G583),"")</f>
        <v/>
      </c>
      <c r="K583" s="12" t="n">
        <v>17990</v>
      </c>
      <c r="L583" s="12" t="n">
        <v>17990</v>
      </c>
      <c r="M583" s="13">
        <f>IF(AND(ISNUMBER(K583),ISNUMBER(L583),K583&gt;0),1-L583/K583,"")</f>
        <v/>
      </c>
      <c r="N583" s="16" t="n">
        <v>0</v>
      </c>
      <c r="O583" s="12" t="n"/>
      <c r="P583" s="12" t="n"/>
      <c r="Q583" s="12" t="n"/>
      <c r="R583" s="14">
        <f>IF(AND(ISNUMBER(L583),ISNUMBER(P583),ISNUMBER(Q583)),L583/((P583+Q583)/2)-1,"")</f>
        <v/>
      </c>
      <c r="S583" s="10" t="n"/>
      <c r="T583" s="15" t="n">
        <v>60000</v>
      </c>
      <c r="U583" s="16" t="n">
        <v>2006</v>
      </c>
      <c r="V583" s="10" t="inlineStr">
        <is>
          <t>09/2006</t>
        </is>
      </c>
      <c r="W583" s="10" t="inlineStr">
        <is>
          <t>Essence</t>
        </is>
      </c>
      <c r="X583" s="10" t="inlineStr">
        <is>
          <t>Manuelle</t>
        </is>
      </c>
      <c r="Y583" s="16" t="n">
        <v>201</v>
      </c>
      <c r="Z583" s="16" t="n">
        <v>12</v>
      </c>
      <c r="AA583" s="10" t="inlineStr">
        <is>
          <t>Noir</t>
        </is>
      </c>
      <c r="AB583" s="16" t="n">
        <v>3</v>
      </c>
      <c r="AC583" s="10" t="inlineStr">
        <is>
          <t>Berline</t>
        </is>
      </c>
      <c r="AD583" s="10" t="n"/>
      <c r="AE583" s="10" t="n"/>
      <c r="AF583" s="10" t="inlineStr">
        <is>
          <t>Pro</t>
        </is>
      </c>
      <c r="AG583" s="10" t="inlineStr">
        <is>
          <t>Montaigu-Vendée</t>
        </is>
      </c>
      <c r="AH583" s="10" t="inlineStr">
        <is>
          <t>85600</t>
        </is>
      </c>
      <c r="AI583" s="10" t="inlineStr">
        <is>
          <t>Vendée</t>
        </is>
      </c>
      <c r="AJ583" s="10" t="inlineStr">
        <is>
          <t>Pays de la Loire</t>
        </is>
      </c>
      <c r="AK583" s="16" t="n">
        <v>25</v>
      </c>
      <c r="AL583" s="10" t="inlineStr">
        <is>
          <t>Oui</t>
        </is>
      </c>
      <c r="AM583" s="10" t="inlineStr">
        <is>
          <t>Non</t>
        </is>
      </c>
      <c r="AN583" s="10" t="inlineStr">
        <is>
          <t>Renault Clio 2.0 200 RS / Garantie 12 mois, berline, noir, 12 cv, 3 portes, première mise en circulation le 08/09/2006. 5 places 🔥 RENAULT CLIO III RS - 58000 KMS 🔥 Garantie 12 mois Disponible chez ID AUTO – L'automobile et vous Nous proposons à la vente cette magnifique Clio RS dans un état impeccable. Stockée chez un collectionneur pendant un moment, elle dispose d'un suivi RENAULT complet. Équipements : • Climatisation automatique • Régulateur / limiteur de vitesse • Feux antibrouillard • A</t>
        </is>
      </c>
      <c r="AO583" s="10" t="inlineStr">
        <is>
          <t>Permis : Avec permis ; VO récent : false ; custom_ref : IDA_2C7C6C ; Importé : true ; vehicle_history_report_status : visible ; spare_parts_availability : Non renseignée</t>
        </is>
      </c>
      <c r="AP583" s="19" t="inlineStr">
        <is>
          <t>Voir</t>
        </is>
      </c>
      <c r="AQ583" s="10" t="inlineStr">
        <is>
          <t>3243861904</t>
        </is>
      </c>
    </row>
    <row r="584">
      <c r="A584" s="10" t="inlineStr">
        <is>
          <t>Renault Clio II RS (172/182 ch)</t>
        </is>
      </c>
      <c r="B584" s="10" t="inlineStr">
        <is>
          <t>Renault Clio 2.0 16v 172ch RS 3p</t>
        </is>
      </c>
      <c r="C584" s="10" t="inlineStr">
        <is>
          <t>Clio 2.0 16v 172ch RS 3p</t>
        </is>
      </c>
      <c r="D584" s="10" t="inlineStr">
        <is>
          <t>RS</t>
        </is>
      </c>
      <c r="E584" s="10" t="inlineStr">
        <is>
          <t>En vente</t>
        </is>
      </c>
      <c r="F584" s="18" t="n">
        <v>46266</v>
      </c>
      <c r="G584" s="18" t="n">
        <v>46266</v>
      </c>
      <c r="H584" s="18" t="n">
        <v>46310</v>
      </c>
      <c r="I584" s="18" t="n"/>
      <c r="J584" s="17">
        <f>IF(OR(ISNUMBER(F584),ISNUMBER(G584)),IF(ISNUMBER(I584),I584,H584)-IF(ISNUMBER(F584),F584,G584),"")</f>
        <v/>
      </c>
      <c r="K584" s="12" t="n">
        <v>12490</v>
      </c>
      <c r="L584" s="12" t="n">
        <v>10390</v>
      </c>
      <c r="M584" s="13">
        <f>IF(AND(ISNUMBER(K584),ISNUMBER(L584),K584&gt;0),1-L584/K584,"")</f>
        <v/>
      </c>
      <c r="N584" s="16" t="n">
        <v>1</v>
      </c>
      <c r="O584" s="12" t="n">
        <v>13990</v>
      </c>
      <c r="P584" s="12" t="n"/>
      <c r="Q584" s="12" t="n"/>
      <c r="R584" s="14">
        <f>IF(AND(ISNUMBER(L584),ISNUMBER(P584),ISNUMBER(Q584)),L584/((P584+Q584)/2)-1,"")</f>
        <v/>
      </c>
      <c r="S584" s="10" t="n"/>
      <c r="T584" s="15" t="n">
        <v>160000</v>
      </c>
      <c r="U584" s="16" t="n">
        <v>2002</v>
      </c>
      <c r="V584" s="10" t="inlineStr">
        <is>
          <t>07/2002</t>
        </is>
      </c>
      <c r="W584" s="10" t="inlineStr">
        <is>
          <t>Essence</t>
        </is>
      </c>
      <c r="X584" s="10" t="inlineStr">
        <is>
          <t>Manuelle</t>
        </is>
      </c>
      <c r="Y584" s="16" t="n">
        <v>169</v>
      </c>
      <c r="Z584" s="16" t="n">
        <v>10</v>
      </c>
      <c r="AA584" s="10" t="inlineStr">
        <is>
          <t>Bleu</t>
        </is>
      </c>
      <c r="AB584" s="16" t="n">
        <v>3</v>
      </c>
      <c r="AC584" s="10" t="inlineStr">
        <is>
          <t>Berline</t>
        </is>
      </c>
      <c r="AD584" s="10" t="inlineStr">
        <is>
          <t>Carnet d'entretien disponible</t>
        </is>
      </c>
      <c r="AE584" s="10" t="n"/>
      <c r="AF584" s="10" t="inlineStr">
        <is>
          <t>Pro</t>
        </is>
      </c>
      <c r="AG584" s="10" t="inlineStr">
        <is>
          <t>Saint-André</t>
        </is>
      </c>
      <c r="AH584" s="10" t="inlineStr">
        <is>
          <t>66690</t>
        </is>
      </c>
      <c r="AI584" s="10" t="inlineStr">
        <is>
          <t>Pyrénées-Orientales</t>
        </is>
      </c>
      <c r="AJ584" s="10" t="inlineStr">
        <is>
          <t>Languedoc-Roussillon</t>
        </is>
      </c>
      <c r="AK584" s="16" t="n">
        <v>14</v>
      </c>
      <c r="AL584" s="10" t="inlineStr">
        <is>
          <t>Oui</t>
        </is>
      </c>
      <c r="AM584" s="10" t="inlineStr">
        <is>
          <t>Non</t>
        </is>
      </c>
      <c r="AN584" s="10" t="inlineStr">
        <is>
          <t>Renault Clio 2.0 16v 172ch RS 3p berline, bleu, 10 cv, 3 portes, première mise en circulation le 29/07/2002. Nos engagements chez Estrella Cars ✔ Véhicule soigneusement contrôlé, inspecté et préparé avant la livraison. ✔ Diagnostic électronique réalisé lors de la préparation du véhicule. ✔ Contrôle technique effectué pour la vente lorsque la réglementation l'exige. ✔ Mise en main personnalisée du véhicule avec présentation des principaux équipements et de leur fonctionnement. ✔ Garantie possible</t>
        </is>
      </c>
      <c r="AO584" s="10" t="inlineStr">
        <is>
          <t>vehicle_technical_inspection_valid : Oui ; Équipements intérieurs : Climatisation, Régulateur de vitesse ; Permis : Avec permis ; VO récent : false ; custom_ref : 1847 ; Importé : true ; vehicle_history_report_status : visible ; spare_parts_availability : Non renseignée</t>
        </is>
      </c>
      <c r="AP584" s="19" t="inlineStr">
        <is>
          <t>Voir</t>
        </is>
      </c>
      <c r="AQ584" s="10" t="inlineStr">
        <is>
          <t>3260826413</t>
        </is>
      </c>
    </row>
    <row r="585">
      <c r="A585" s="10" t="inlineStr">
        <is>
          <t>Renault Clio II RS (172/182 ch)</t>
        </is>
      </c>
      <c r="B585" s="10" t="inlineStr">
        <is>
          <t>Renault Clio RS Ph1</t>
        </is>
      </c>
      <c r="C585" s="10" t="n"/>
      <c r="D585" s="10" t="n"/>
      <c r="E585" s="10" t="inlineStr">
        <is>
          <t>En vente</t>
        </is>
      </c>
      <c r="F585" s="18" t="n">
        <v>46267</v>
      </c>
      <c r="G585" s="18" t="n">
        <v>46267</v>
      </c>
      <c r="H585" s="18" t="n">
        <v>46310</v>
      </c>
      <c r="I585" s="18" t="n"/>
      <c r="J585" s="17">
        <f>IF(OR(ISNUMBER(F585),ISNUMBER(G585)),IF(ISNUMBER(I585),I585,H585)-IF(ISNUMBER(F585),F585,G585),"")</f>
        <v/>
      </c>
      <c r="K585" s="12" t="n">
        <v>10000</v>
      </c>
      <c r="L585" s="12" t="n">
        <v>10000</v>
      </c>
      <c r="M585" s="13">
        <f>IF(AND(ISNUMBER(K585),ISNUMBER(L585),K585&gt;0),1-L585/K585,"")</f>
        <v/>
      </c>
      <c r="N585" s="16" t="n">
        <v>0</v>
      </c>
      <c r="O585" s="12" t="n"/>
      <c r="P585" s="12" t="n"/>
      <c r="Q585" s="12" t="n"/>
      <c r="R585" s="14">
        <f>IF(AND(ISNUMBER(L585),ISNUMBER(P585),ISNUMBER(Q585)),L585/((P585+Q585)/2)-1,"")</f>
        <v/>
      </c>
      <c r="S585" s="10" t="n"/>
      <c r="T585" s="15" t="n">
        <v>247780</v>
      </c>
      <c r="U585" s="16" t="n">
        <v>2001</v>
      </c>
      <c r="V585" s="10" t="inlineStr">
        <is>
          <t>01/2001</t>
        </is>
      </c>
      <c r="W585" s="10" t="inlineStr">
        <is>
          <t>Essence</t>
        </is>
      </c>
      <c r="X585" s="10" t="inlineStr">
        <is>
          <t>Manuelle</t>
        </is>
      </c>
      <c r="Y585" s="16" t="n">
        <v>172</v>
      </c>
      <c r="Z585" s="16" t="n">
        <v>10</v>
      </c>
      <c r="AA585" s="10" t="inlineStr">
        <is>
          <t>Noir</t>
        </is>
      </c>
      <c r="AB585" s="16" t="n">
        <v>3</v>
      </c>
      <c r="AC585" s="10" t="inlineStr">
        <is>
          <t>Berline</t>
        </is>
      </c>
      <c r="AD585" s="10" t="n"/>
      <c r="AE585" s="10" t="n"/>
      <c r="AF585" s="10" t="inlineStr">
        <is>
          <t>Particulier</t>
        </is>
      </c>
      <c r="AG585" s="10" t="inlineStr">
        <is>
          <t>Pertuis</t>
        </is>
      </c>
      <c r="AH585" s="10" t="inlineStr">
        <is>
          <t>84120</t>
        </is>
      </c>
      <c r="AI585" s="10" t="inlineStr">
        <is>
          <t>Vaucluse</t>
        </is>
      </c>
      <c r="AJ585" s="10" t="inlineStr">
        <is>
          <t>Provence-Alpes-Côte d'Azur</t>
        </is>
      </c>
      <c r="AK585" s="16" t="n">
        <v>3</v>
      </c>
      <c r="AL585" s="10" t="n"/>
      <c r="AM585" s="10" t="inlineStr">
        <is>
          <t>Non</t>
        </is>
      </c>
      <c r="AN585" s="10" t="inlineStr">
        <is>
          <t>Cause santé(j’ai été amputé de la jambe droite et je ne peux plus la conduire), je vends à contrecœur ma Clio RS Ph1 noire. Le moteur a été refait entièrement et a environ 15000 kms La boîte(celle de la ragnotti a etait monté dessus) et l’embrayage ont 15000 kms aussi. La distribution, pompe a eau, courroie accessoire et la vidange ont etait faites a 247780 kms Elle est équipé d’un poste avec écran CarPlay. Prix à débattre, pas de paiement par chèque de banque ou autre, uniquement par virement d</t>
        </is>
      </c>
      <c r="AO585" s="10" t="inlineStr">
        <is>
          <t>vehicle_technical_inspection_valid : Oui ; Contrôle technique : 2028 ; Dommages : Bon état général ; Sellerie : Cuir partiel, Alcantara ; Permis : Avec permis ; Importé : false</t>
        </is>
      </c>
      <c r="AP585" s="19" t="inlineStr">
        <is>
          <t>Voir</t>
        </is>
      </c>
      <c r="AQ585" s="10" t="inlineStr">
        <is>
          <t>3261622205</t>
        </is>
      </c>
    </row>
    <row r="586">
      <c r="A586" s="10" t="inlineStr">
        <is>
          <t>Renault Clio II RS (172/182 ch)</t>
        </is>
      </c>
      <c r="B586" s="10" t="inlineStr">
        <is>
          <t>RENAULT Clio RS 2.0L 200ch Renault Sport - 2006 - 141 500 km</t>
        </is>
      </c>
      <c r="C586" s="10" t="inlineStr">
        <is>
          <t>Clio 2.0 16v 200ch Renault Sport 3p</t>
        </is>
      </c>
      <c r="D586" s="10" t="inlineStr">
        <is>
          <t>Renault Sport</t>
        </is>
      </c>
      <c r="E586" s="10" t="inlineStr">
        <is>
          <t>En vente</t>
        </is>
      </c>
      <c r="F586" s="18" t="n">
        <v>46267</v>
      </c>
      <c r="G586" s="18" t="n">
        <v>46267</v>
      </c>
      <c r="H586" s="18" t="n">
        <v>46310</v>
      </c>
      <c r="I586" s="18" t="n"/>
      <c r="J586" s="17">
        <f>IF(OR(ISNUMBER(F586),ISNUMBER(G586)),IF(ISNUMBER(I586),I586,H586)-IF(ISNUMBER(F586),F586,G586),"")</f>
        <v/>
      </c>
      <c r="K586" s="12" t="n">
        <v>12990</v>
      </c>
      <c r="L586" s="12" t="n">
        <v>10990</v>
      </c>
      <c r="M586" s="13">
        <f>IF(AND(ISNUMBER(K586),ISNUMBER(L586),K586&gt;0),1-L586/K586,"")</f>
        <v/>
      </c>
      <c r="N586" s="16" t="n">
        <v>1</v>
      </c>
      <c r="O586" s="12" t="n">
        <v>12990</v>
      </c>
      <c r="P586" s="12" t="n"/>
      <c r="Q586" s="12" t="n"/>
      <c r="R586" s="14">
        <f>IF(AND(ISNUMBER(L586),ISNUMBER(P586),ISNUMBER(Q586)),L586/((P586+Q586)/2)-1,"")</f>
        <v/>
      </c>
      <c r="S586" s="10" t="n"/>
      <c r="T586" s="15" t="n">
        <v>141500</v>
      </c>
      <c r="U586" s="16" t="n">
        <v>2006</v>
      </c>
      <c r="V586" s="10" t="inlineStr">
        <is>
          <t>09/2006</t>
        </is>
      </c>
      <c r="W586" s="10" t="inlineStr">
        <is>
          <t>Essence</t>
        </is>
      </c>
      <c r="X586" s="10" t="inlineStr">
        <is>
          <t>Manuelle</t>
        </is>
      </c>
      <c r="Y586" s="16" t="n">
        <v>200</v>
      </c>
      <c r="Z586" s="16" t="n">
        <v>12</v>
      </c>
      <c r="AA586" s="10" t="inlineStr">
        <is>
          <t>Noir</t>
        </is>
      </c>
      <c r="AB586" s="16" t="n">
        <v>3</v>
      </c>
      <c r="AC586" s="10" t="inlineStr">
        <is>
          <t>Berline</t>
        </is>
      </c>
      <c r="AD586" s="10" t="n"/>
      <c r="AE586" s="10" t="n"/>
      <c r="AF586" s="10" t="inlineStr">
        <is>
          <t>Pro</t>
        </is>
      </c>
      <c r="AG586" s="10" t="inlineStr">
        <is>
          <t>Aytré</t>
        </is>
      </c>
      <c r="AH586" s="10" t="inlineStr">
        <is>
          <t>17440</t>
        </is>
      </c>
      <c r="AI586" s="10" t="inlineStr">
        <is>
          <t>Charente-Maritime</t>
        </is>
      </c>
      <c r="AJ586" s="10" t="inlineStr">
        <is>
          <t>Poitou-Charentes</t>
        </is>
      </c>
      <c r="AK586" s="16" t="n">
        <v>23</v>
      </c>
      <c r="AL586" s="10" t="n"/>
      <c r="AM586" s="10" t="inlineStr">
        <is>
          <t>Non</t>
        </is>
      </c>
      <c r="AN586" s="10" t="inlineStr">
        <is>
          <t>Vroom Market La Rochelle vous propose : RENAULT Clio Renault Sport 200ch 2006 • 141 500 km • Essence • Boîte Manuelle 📁 État &amp; Historique Kilométrage : 141 500 km Mise en circulation : 2006 Carrosserie : 3 portes • 5 places Finition : Renault Sport Contrôle technique : Moins de 6 mois État : Excellent état ⚙️ Motorisation &amp; Performances Motorisation : Essence 200 ch Cylindrée : 1998 cm³ Boîte : Manuelle Transmission : Traction avant Crit'Air : 3 📸 Photos professionnelles disponibles sur simple</t>
        </is>
      </c>
      <c r="AO586" s="10" t="inlineStr">
        <is>
          <t>Équipements intérieurs : Allumage automatique des phares, Essuie-glaces automatiques, Jantes en alliage, Ordinateur de bord, Phares anti-brouillard, Régulateur de vitesse ; VO récent : false ; Importé : true ; vehicle_history_report_status : visible ; spare_parts_availability : Non renseignée</t>
        </is>
      </c>
      <c r="AP586" s="19" t="inlineStr">
        <is>
          <t>Voir</t>
        </is>
      </c>
      <c r="AQ586" s="10" t="inlineStr">
        <is>
          <t>3261693737</t>
        </is>
      </c>
    </row>
    <row r="587">
      <c r="A587" s="10" t="inlineStr">
        <is>
          <t>Renault Clio II RS (172/182 ch)</t>
        </is>
      </c>
      <c r="B587" s="10" t="inlineStr">
        <is>
          <t>Clio rs</t>
        </is>
      </c>
      <c r="C587" s="10" t="inlineStr">
        <is>
          <t>Clio 2.0 16v 200ch Renault Sport Luxe 3p</t>
        </is>
      </c>
      <c r="D587" s="10" t="inlineStr">
        <is>
          <t>Renault Sport Luxe</t>
        </is>
      </c>
      <c r="E587" s="10" t="inlineStr">
        <is>
          <t>En vente</t>
        </is>
      </c>
      <c r="F587" s="18" t="n">
        <v>46268</v>
      </c>
      <c r="G587" s="18" t="n">
        <v>46268</v>
      </c>
      <c r="H587" s="18" t="n">
        <v>46310</v>
      </c>
      <c r="I587" s="18" t="n"/>
      <c r="J587" s="17">
        <f>IF(OR(ISNUMBER(F587),ISNUMBER(G587)),IF(ISNUMBER(I587),I587,H587)-IF(ISNUMBER(F587),F587,G587),"")</f>
        <v/>
      </c>
      <c r="K587" s="12" t="n">
        <v>8900</v>
      </c>
      <c r="L587" s="12" t="n">
        <v>8900</v>
      </c>
      <c r="M587" s="13">
        <f>IF(AND(ISNUMBER(K587),ISNUMBER(L587),K587&gt;0),1-L587/K587,"")</f>
        <v/>
      </c>
      <c r="N587" s="16" t="n">
        <v>0</v>
      </c>
      <c r="O587" s="12" t="n"/>
      <c r="P587" s="12" t="n"/>
      <c r="Q587" s="12" t="n"/>
      <c r="R587" s="14">
        <f>IF(AND(ISNUMBER(L587),ISNUMBER(P587),ISNUMBER(Q587)),L587/((P587+Q587)/2)-1,"")</f>
        <v/>
      </c>
      <c r="S587" s="10" t="n"/>
      <c r="T587" s="15" t="n">
        <v>133000</v>
      </c>
      <c r="U587" s="16" t="n">
        <v>2006</v>
      </c>
      <c r="V587" s="10" t="inlineStr">
        <is>
          <t>12/2006</t>
        </is>
      </c>
      <c r="W587" s="10" t="inlineStr">
        <is>
          <t>Essence</t>
        </is>
      </c>
      <c r="X587" s="10" t="inlineStr">
        <is>
          <t>Manuelle</t>
        </is>
      </c>
      <c r="Y587" s="16" t="n">
        <v>200</v>
      </c>
      <c r="Z587" s="16" t="n">
        <v>12</v>
      </c>
      <c r="AA587" s="10" t="inlineStr">
        <is>
          <t>Gris</t>
        </is>
      </c>
      <c r="AB587" s="16" t="n">
        <v>3</v>
      </c>
      <c r="AC587" s="10" t="inlineStr">
        <is>
          <t>Berline</t>
        </is>
      </c>
      <c r="AD587" s="10" t="n"/>
      <c r="AE587" s="10" t="n"/>
      <c r="AF587" s="10" t="inlineStr">
        <is>
          <t>Particulier</t>
        </is>
      </c>
      <c r="AG587" s="10" t="inlineStr">
        <is>
          <t>Villages du Lac de Paladru</t>
        </is>
      </c>
      <c r="AH587" s="10" t="inlineStr">
        <is>
          <t>38730</t>
        </is>
      </c>
      <c r="AI587" s="10" t="inlineStr">
        <is>
          <t>Isère</t>
        </is>
      </c>
      <c r="AJ587" s="10" t="inlineStr">
        <is>
          <t>Rhône-Alpes</t>
        </is>
      </c>
      <c r="AK587" s="16" t="n">
        <v>3</v>
      </c>
      <c r="AL587" s="10" t="n"/>
      <c r="AM587" s="10" t="inlineStr">
        <is>
          <t>Non</t>
        </is>
      </c>
      <c r="AN587" s="10" t="inlineStr">
        <is>
          <t>Bonjour Vend clio 3rs phase 1 par manque de temp et projet professionnel. 133000kms non évolutif Ligne inox inoxline Combine fileté bilstein 5000kms Filtre à air Green Embrayage+ vidange bv 10000kms Plaquette ar 100kms Pneus av et ar ok Kit Distribution pompe à eau 2022 Vidange filtre à huile sera faite pour la vente Quelque défaut esthétiques intérieur et extérieur photos sur demande Synchro de 3 à prévoir craque à haut régime. Premier contact par mail Prix négociable dans la limite du raisonna</t>
        </is>
      </c>
      <c r="AO587" s="10" t="inlineStr">
        <is>
          <t>vehicle_technical_inspection_valid : Non ; Dommages : Réparations mineures à prévoir ; Sellerie : Tissu ; Permis : Avec permis ; ad_warranty_type : essential ; Importé : false</t>
        </is>
      </c>
      <c r="AP587" s="19" t="inlineStr">
        <is>
          <t>Voir</t>
        </is>
      </c>
      <c r="AQ587" s="10" t="inlineStr">
        <is>
          <t>3262040554</t>
        </is>
      </c>
    </row>
    <row r="588">
      <c r="A588" s="10" t="inlineStr">
        <is>
          <t>Renault Clio II RS (172/182 ch)</t>
        </is>
      </c>
      <c r="B588" s="10" t="inlineStr">
        <is>
          <t>Clio RS</t>
        </is>
      </c>
      <c r="C588" s="10" t="n"/>
      <c r="D588" s="10" t="n"/>
      <c r="E588" s="10" t="inlineStr">
        <is>
          <t>En vente</t>
        </is>
      </c>
      <c r="F588" s="18" t="n">
        <v>46268</v>
      </c>
      <c r="G588" s="18" t="n">
        <v>46268</v>
      </c>
      <c r="H588" s="18" t="n">
        <v>46310</v>
      </c>
      <c r="I588" s="18" t="n"/>
      <c r="J588" s="17">
        <f>IF(OR(ISNUMBER(F588),ISNUMBER(G588)),IF(ISNUMBER(I588),I588,H588)-IF(ISNUMBER(F588),F588,G588),"")</f>
        <v/>
      </c>
      <c r="K588" s="12" t="n">
        <v>6500</v>
      </c>
      <c r="L588" s="12" t="n">
        <v>5990</v>
      </c>
      <c r="M588" s="13">
        <f>IF(AND(ISNUMBER(K588),ISNUMBER(L588),K588&gt;0),1-L588/K588,"")</f>
        <v/>
      </c>
      <c r="N588" s="16" t="n">
        <v>1</v>
      </c>
      <c r="O588" s="12" t="n">
        <v>6500</v>
      </c>
      <c r="P588" s="12" t="n"/>
      <c r="Q588" s="12" t="n"/>
      <c r="R588" s="14">
        <f>IF(AND(ISNUMBER(L588),ISNUMBER(P588),ISNUMBER(Q588)),L588/((P588+Q588)/2)-1,"")</f>
        <v/>
      </c>
      <c r="S588" s="10" t="n"/>
      <c r="T588" s="15" t="n">
        <v>260000</v>
      </c>
      <c r="U588" s="16" t="n">
        <v>2000</v>
      </c>
      <c r="V588" s="10" t="inlineStr">
        <is>
          <t>10/2000</t>
        </is>
      </c>
      <c r="W588" s="10" t="inlineStr">
        <is>
          <t>Essence</t>
        </is>
      </c>
      <c r="X588" s="10" t="inlineStr">
        <is>
          <t>Manuelle</t>
        </is>
      </c>
      <c r="Y588" s="16" t="n">
        <v>172</v>
      </c>
      <c r="Z588" s="16" t="n">
        <v>10</v>
      </c>
      <c r="AA588" s="10" t="inlineStr">
        <is>
          <t>Gris</t>
        </is>
      </c>
      <c r="AB588" s="16" t="n">
        <v>3</v>
      </c>
      <c r="AC588" s="10" t="inlineStr">
        <is>
          <t>Berline</t>
        </is>
      </c>
      <c r="AD588" s="10" t="n"/>
      <c r="AE588" s="10" t="n"/>
      <c r="AF588" s="10" t="inlineStr">
        <is>
          <t>Particulier</t>
        </is>
      </c>
      <c r="AG588" s="10" t="inlineStr">
        <is>
          <t>Montauban</t>
        </is>
      </c>
      <c r="AH588" s="10" t="inlineStr">
        <is>
          <t>82000</t>
        </is>
      </c>
      <c r="AI588" s="10" t="inlineStr">
        <is>
          <t>Tarn-et-Garonne</t>
        </is>
      </c>
      <c r="AJ588" s="10" t="inlineStr">
        <is>
          <t>Midi-Pyrénées</t>
        </is>
      </c>
      <c r="AK588" s="16" t="n">
        <v>2</v>
      </c>
      <c r="AL588" s="10" t="n"/>
      <c r="AM588" s="10" t="inlineStr">
        <is>
          <t>Non</t>
        </is>
      </c>
      <c r="AN588" s="10" t="inlineStr">
        <is>
          <t>Vends Clio RS 172cv Année 2000 Capot alu Coffre alu Véhicules propre Toujours bien entretenu N’hésite pas à me contacter pour plus de renseignements</t>
        </is>
      </c>
      <c r="AO588" s="10" t="inlineStr">
        <is>
          <t>Dommages : Bon état général ; Sellerie : Alcantara, Cuir partiel ; Permis : Avec permis ; Importé : false ; vehicle_history_report_status : visible</t>
        </is>
      </c>
      <c r="AP588" s="19" t="inlineStr">
        <is>
          <t>Voir</t>
        </is>
      </c>
      <c r="AQ588" s="10" t="inlineStr">
        <is>
          <t>3262391547</t>
        </is>
      </c>
    </row>
    <row r="589">
      <c r="A589" s="10" t="inlineStr">
        <is>
          <t>Renault Clio II RS (172/182 ch)</t>
        </is>
      </c>
      <c r="B589" s="10" t="inlineStr">
        <is>
          <t>Clio RS exceptionnel</t>
        </is>
      </c>
      <c r="C589" s="10" t="inlineStr">
        <is>
          <t>Clio 2.0 16v 200ch Renault Sport Luxe 3p</t>
        </is>
      </c>
      <c r="D589" s="10" t="inlineStr">
        <is>
          <t>Renault Sport Luxe</t>
        </is>
      </c>
      <c r="E589" s="10" t="inlineStr">
        <is>
          <t>En vente</t>
        </is>
      </c>
      <c r="F589" s="18" t="n">
        <v>46269</v>
      </c>
      <c r="G589" s="18" t="n">
        <v>46269</v>
      </c>
      <c r="H589" s="18" t="n">
        <v>46310</v>
      </c>
      <c r="I589" s="18" t="n"/>
      <c r="J589" s="17">
        <f>IF(OR(ISNUMBER(F589),ISNUMBER(G589)),IF(ISNUMBER(I589),I589,H589)-IF(ISNUMBER(F589),F589,G589),"")</f>
        <v/>
      </c>
      <c r="K589" s="12" t="n">
        <v>18800</v>
      </c>
      <c r="L589" s="12" t="n">
        <v>18800</v>
      </c>
      <c r="M589" s="13">
        <f>IF(AND(ISNUMBER(K589),ISNUMBER(L589),K589&gt;0),1-L589/K589,"")</f>
        <v/>
      </c>
      <c r="N589" s="16" t="n">
        <v>0</v>
      </c>
      <c r="O589" s="12" t="n"/>
      <c r="P589" s="12" t="n">
        <v>11770</v>
      </c>
      <c r="Q589" s="12" t="n">
        <v>13010</v>
      </c>
      <c r="R589" s="14">
        <f>IF(AND(ISNUMBER(L589),ISNUMBER(P589),ISNUMBER(Q589)),L589/((P589+Q589)/2)-1,"")</f>
        <v/>
      </c>
      <c r="S589" s="10" t="inlineStr">
        <is>
          <t>Estimation indisponible</t>
        </is>
      </c>
      <c r="T589" s="15" t="n">
        <v>29500</v>
      </c>
      <c r="U589" s="16" t="n">
        <v>2006</v>
      </c>
      <c r="V589" s="10" t="inlineStr">
        <is>
          <t>09/2006</t>
        </is>
      </c>
      <c r="W589" s="10" t="inlineStr">
        <is>
          <t>Essence</t>
        </is>
      </c>
      <c r="X589" s="10" t="inlineStr">
        <is>
          <t>Manuelle</t>
        </is>
      </c>
      <c r="Y589" s="16" t="n">
        <v>200</v>
      </c>
      <c r="Z589" s="16" t="n">
        <v>12</v>
      </c>
      <c r="AA589" s="10" t="inlineStr">
        <is>
          <t>Gris</t>
        </is>
      </c>
      <c r="AB589" s="16" t="n">
        <v>3</v>
      </c>
      <c r="AC589" s="10" t="inlineStr">
        <is>
          <t>Berline</t>
        </is>
      </c>
      <c r="AD589" s="10" t="n"/>
      <c r="AE589" s="10" t="n"/>
      <c r="AF589" s="10" t="inlineStr">
        <is>
          <t>Particulier</t>
        </is>
      </c>
      <c r="AG589" s="10" t="inlineStr">
        <is>
          <t>Irigny</t>
        </is>
      </c>
      <c r="AH589" s="10" t="inlineStr">
        <is>
          <t>69540</t>
        </is>
      </c>
      <c r="AI589" s="10" t="inlineStr">
        <is>
          <t>Rhône</t>
        </is>
      </c>
      <c r="AJ589" s="10" t="inlineStr">
        <is>
          <t>Rhône-Alpes</t>
        </is>
      </c>
      <c r="AK589" s="16" t="n">
        <v>7</v>
      </c>
      <c r="AL589" s="10" t="n"/>
      <c r="AM589" s="10" t="inlineStr">
        <is>
          <t>Non</t>
        </is>
      </c>
      <c r="AN589" s="10" t="inlineStr">
        <is>
          <t>Clio RS 3 phase 1 exceptionnel par rapport l'année kilométrage et son état. Entretien complet en décembre 2025: courroie distribution, filtres, vidange rien à prévoir Intérieur et carrosserie impeccable Curieux et professionnel s'abstenir</t>
        </is>
      </c>
      <c r="AO589" s="10" t="inlineStr">
        <is>
          <t>vehicle_technical_inspection_valid : Non ; Sellerie : Tissu ; Équipements intérieurs : Essuie-glaces automatiques, Jantes en alliage, Ordinateur de bord, Phares adaptatifs, Régulateur de vitesse, Régulateur de vitesse adaptatif, Rétroviseurs rabattables électriquement ; vehicle_euro_emissions_standard : Euro 2 ; Permis : Avec permis ; Importé : false ; vehicle_history_teaser_critair : 2 ; vehicle_history_teaser_owners : 2 ; vehicle_history_teaser_expertises : false ; vehicle_history_teaser_special_uses : false ; vehicle_history_teaser_atypical_operations : false ; vehicle_history_teaser_importations : false</t>
        </is>
      </c>
      <c r="AP589" s="19" t="inlineStr">
        <is>
          <t>Voir</t>
        </is>
      </c>
      <c r="AQ589" s="10" t="inlineStr">
        <is>
          <t>3262638000</t>
        </is>
      </c>
    </row>
    <row r="590">
      <c r="A590" s="10" t="inlineStr">
        <is>
          <t>Renault Clio II RS (172/182 ch)</t>
        </is>
      </c>
      <c r="B590" s="10" t="inlineStr">
        <is>
          <t>Clio rs</t>
        </is>
      </c>
      <c r="C590" s="10" t="inlineStr">
        <is>
          <t>RS_Clio 2.0 16v 172ch RS 3p</t>
        </is>
      </c>
      <c r="D590" s="10" t="inlineStr">
        <is>
          <t>RS</t>
        </is>
      </c>
      <c r="E590" s="10" t="inlineStr">
        <is>
          <t>En vente</t>
        </is>
      </c>
      <c r="F590" s="18" t="n">
        <v>46271</v>
      </c>
      <c r="G590" s="18" t="n">
        <v>46271</v>
      </c>
      <c r="H590" s="18" t="n">
        <v>46310</v>
      </c>
      <c r="I590" s="18" t="n"/>
      <c r="J590" s="17">
        <f>IF(OR(ISNUMBER(F590),ISNUMBER(G590)),IF(ISNUMBER(I590),I590,H590)-IF(ISNUMBER(F590),F590,G590),"")</f>
        <v/>
      </c>
      <c r="K590" s="12" t="n">
        <v>7300</v>
      </c>
      <c r="L590" s="12" t="n">
        <v>7300</v>
      </c>
      <c r="M590" s="13">
        <f>IF(AND(ISNUMBER(K590),ISNUMBER(L590),K590&gt;0),1-L590/K590,"")</f>
        <v/>
      </c>
      <c r="N590" s="16" t="n">
        <v>0</v>
      </c>
      <c r="O590" s="12" t="n"/>
      <c r="P590" s="12" t="n"/>
      <c r="Q590" s="12" t="n"/>
      <c r="R590" s="14">
        <f>IF(AND(ISNUMBER(L590),ISNUMBER(P590),ISNUMBER(Q590)),L590/((P590+Q590)/2)-1,"")</f>
        <v/>
      </c>
      <c r="S590" s="10" t="n"/>
      <c r="T590" s="15" t="n">
        <v>136000</v>
      </c>
      <c r="U590" s="16" t="n">
        <v>2001</v>
      </c>
      <c r="V590" s="10" t="inlineStr">
        <is>
          <t>07/2001</t>
        </is>
      </c>
      <c r="W590" s="10" t="inlineStr">
        <is>
          <t>Essence</t>
        </is>
      </c>
      <c r="X590" s="10" t="inlineStr">
        <is>
          <t>Manuelle</t>
        </is>
      </c>
      <c r="Y590" s="16" t="n">
        <v>172</v>
      </c>
      <c r="Z590" s="16" t="n">
        <v>10</v>
      </c>
      <c r="AA590" s="10" t="inlineStr">
        <is>
          <t>Gris</t>
        </is>
      </c>
      <c r="AB590" s="16" t="n">
        <v>3</v>
      </c>
      <c r="AC590" s="10" t="inlineStr">
        <is>
          <t>Berline</t>
        </is>
      </c>
      <c r="AD590" s="10" t="n"/>
      <c r="AE590" s="10" t="n"/>
      <c r="AF590" s="10" t="inlineStr">
        <is>
          <t>Particulier</t>
        </is>
      </c>
      <c r="AG590" s="10" t="inlineStr">
        <is>
          <t>Saint-Laurent-du-Var</t>
        </is>
      </c>
      <c r="AH590" s="10" t="inlineStr">
        <is>
          <t>06700</t>
        </is>
      </c>
      <c r="AI590" s="10" t="inlineStr">
        <is>
          <t>Alpes-Maritimes</t>
        </is>
      </c>
      <c r="AJ590" s="10" t="inlineStr">
        <is>
          <t>Provence-Alpes-Côte d'Azur</t>
        </is>
      </c>
      <c r="AK590" s="16" t="n">
        <v>3</v>
      </c>
      <c r="AL590" s="10" t="n"/>
      <c r="AM590" s="10" t="inlineStr">
        <is>
          <t>Non</t>
        </is>
      </c>
      <c r="AN590" s="10" t="inlineStr">
        <is>
          <t>Je vends a regret ma Renault Clio RS de 2001, 3 ème main, ct ok. 136 000 km au compteur. Vu son âge elle n'est pas neuve, siège décousu, volant abîmé, vernis parti sur quelques endroits La distribution a été faite à 100 000 km mais il y a environ 6 ans donc à refaire. L'embrayage est d'origine. Le prix est fixé en conséquence. - Marque : Renault - Modèle : Clio RS - Année : 2001 - Kilométrage : 136 000 km - Motorisation : 172 Ch - Carburant : Essence - Boîte de vitesses : Manuelle - Type de véhi</t>
        </is>
      </c>
      <c r="AO590" s="10" t="inlineStr">
        <is>
          <t>Dommages : Traces d’usure normales ; Permis : Avec permis ; Importé : false</t>
        </is>
      </c>
      <c r="AP590" s="19" t="inlineStr">
        <is>
          <t>Voir</t>
        </is>
      </c>
      <c r="AQ590" s="10" t="inlineStr">
        <is>
          <t>3264837795</t>
        </is>
      </c>
    </row>
    <row r="591">
      <c r="A591" s="10" t="inlineStr">
        <is>
          <t>Renault Clio II RS (172/182 ch)</t>
        </is>
      </c>
      <c r="B591" s="10" t="inlineStr">
        <is>
          <t>Clio RS 2.0i Phase 3 182 cv</t>
        </is>
      </c>
      <c r="C591" s="10" t="inlineStr">
        <is>
          <t>Clio 2.0 16v 182ch Renault Sport 3p</t>
        </is>
      </c>
      <c r="D591" s="10" t="inlineStr">
        <is>
          <t>Renault Sport</t>
        </is>
      </c>
      <c r="E591" s="10" t="inlineStr">
        <is>
          <t>En vente</t>
        </is>
      </c>
      <c r="F591" s="18" t="n">
        <v>46275</v>
      </c>
      <c r="G591" s="18" t="n">
        <v>46275</v>
      </c>
      <c r="H591" s="18" t="n">
        <v>46310</v>
      </c>
      <c r="I591" s="18" t="n"/>
      <c r="J591" s="17">
        <f>IF(OR(ISNUMBER(F591),ISNUMBER(G591)),IF(ISNUMBER(I591),I591,H591)-IF(ISNUMBER(F591),F591,G591),"")</f>
        <v/>
      </c>
      <c r="K591" s="12" t="n">
        <v>14500</v>
      </c>
      <c r="L591" s="12" t="n">
        <v>14500</v>
      </c>
      <c r="M591" s="13">
        <f>IF(AND(ISNUMBER(K591),ISNUMBER(L591),K591&gt;0),1-L591/K591,"")</f>
        <v/>
      </c>
      <c r="N591" s="16" t="n">
        <v>0</v>
      </c>
      <c r="O591" s="12" t="n"/>
      <c r="P591" s="12" t="n"/>
      <c r="Q591" s="12" t="n"/>
      <c r="R591" s="14">
        <f>IF(AND(ISNUMBER(L591),ISNUMBER(P591),ISNUMBER(Q591)),L591/((P591+Q591)/2)-1,"")</f>
        <v/>
      </c>
      <c r="S591" s="10" t="n"/>
      <c r="T591" s="15" t="n">
        <v>152800</v>
      </c>
      <c r="U591" s="16" t="n">
        <v>2004</v>
      </c>
      <c r="V591" s="10" t="inlineStr">
        <is>
          <t>05/2004</t>
        </is>
      </c>
      <c r="W591" s="10" t="inlineStr">
        <is>
          <t>Essence</t>
        </is>
      </c>
      <c r="X591" s="10" t="inlineStr">
        <is>
          <t>Manuelle</t>
        </is>
      </c>
      <c r="Y591" s="16" t="n">
        <v>182</v>
      </c>
      <c r="Z591" s="16" t="n">
        <v>10</v>
      </c>
      <c r="AA591" s="10" t="inlineStr">
        <is>
          <t>Gris</t>
        </is>
      </c>
      <c r="AB591" s="16" t="n">
        <v>3</v>
      </c>
      <c r="AC591" s="10" t="inlineStr">
        <is>
          <t>Berline</t>
        </is>
      </c>
      <c r="AD591" s="10" t="inlineStr">
        <is>
          <t>Factures disponibles, Véhicule non fumeur</t>
        </is>
      </c>
      <c r="AE591" s="10" t="n"/>
      <c r="AF591" s="10" t="inlineStr">
        <is>
          <t>Particulier</t>
        </is>
      </c>
      <c r="AG591" s="10" t="inlineStr">
        <is>
          <t>Toulouse</t>
        </is>
      </c>
      <c r="AH591" s="10" t="inlineStr">
        <is>
          <t>31000</t>
        </is>
      </c>
      <c r="AI591" s="10" t="inlineStr">
        <is>
          <t>Haute-Garonne</t>
        </is>
      </c>
      <c r="AJ591" s="10" t="inlineStr">
        <is>
          <t>Midi-Pyrénées</t>
        </is>
      </c>
      <c r="AK591" s="16" t="n">
        <v>3</v>
      </c>
      <c r="AL591" s="10" t="n"/>
      <c r="AM591" s="10" t="inlineStr">
        <is>
          <t>Non</t>
        </is>
      </c>
      <c r="AN591" s="10" t="inlineStr">
        <is>
          <t>Vends Clio 2 RS 2.0i Phase 3 182 cv D'origine. Excellent état Distribution 2025 Pneus OK CT en cours, dernier CT RAS. Rapport historique Autoviza disponible</t>
        </is>
      </c>
      <c r="AO591" s="10" t="inlineStr">
        <is>
          <t>vehicle_technical_inspection_valid : Oui ; Contrôle technique : 2028 ; Dommages : Excellent état (proche du neuf) ; Sellerie : Cuir partiel ; Équipements intérieurs : Climatisation, Jantes en alliage, Phares LED / Xenon, Régulateur de vitesse, Rétroviseurs dégivrants, Sièges sport ; Permis : Avec permis ; Importé : false ; vehicle_history_report_status : visible</t>
        </is>
      </c>
      <c r="AP591" s="19" t="inlineStr">
        <is>
          <t>Voir</t>
        </is>
      </c>
      <c r="AQ591" s="10" t="inlineStr">
        <is>
          <t>3266864057</t>
        </is>
      </c>
    </row>
    <row r="592">
      <c r="A592" s="10" t="inlineStr">
        <is>
          <t>Renault Clio II RS (172/182 ch)</t>
        </is>
      </c>
      <c r="B592" s="10" t="inlineStr">
        <is>
          <t>RENAULT CLIO RS 2.0l 172Ch Renault Sport</t>
        </is>
      </c>
      <c r="C592" s="10" t="inlineStr">
        <is>
          <t>Clio 2.0 16v 172ch RS 3p</t>
        </is>
      </c>
      <c r="D592" s="10" t="inlineStr">
        <is>
          <t>RS</t>
        </is>
      </c>
      <c r="E592" s="10" t="inlineStr">
        <is>
          <t>En vente</t>
        </is>
      </c>
      <c r="F592" s="18" t="n">
        <v>46280</v>
      </c>
      <c r="G592" s="18" t="n">
        <v>46280</v>
      </c>
      <c r="H592" s="18" t="n">
        <v>46310</v>
      </c>
      <c r="I592" s="18" t="n"/>
      <c r="J592" s="17">
        <f>IF(OR(ISNUMBER(F592),ISNUMBER(G592)),IF(ISNUMBER(I592),I592,H592)-IF(ISNUMBER(F592),F592,G592),"")</f>
        <v/>
      </c>
      <c r="K592" s="12" t="n">
        <v>8990</v>
      </c>
      <c r="L592" s="12" t="n">
        <v>8990</v>
      </c>
      <c r="M592" s="13">
        <f>IF(AND(ISNUMBER(K592),ISNUMBER(L592),K592&gt;0),1-L592/K592,"")</f>
        <v/>
      </c>
      <c r="N592" s="16" t="n">
        <v>0</v>
      </c>
      <c r="O592" s="12" t="n"/>
      <c r="P592" s="12" t="n"/>
      <c r="Q592" s="12" t="n"/>
      <c r="R592" s="14">
        <f>IF(AND(ISNUMBER(L592),ISNUMBER(P592),ISNUMBER(Q592)),L592/((P592+Q592)/2)-1,"")</f>
        <v/>
      </c>
      <c r="S592" s="10" t="n"/>
      <c r="T592" s="15" t="n">
        <v>231915</v>
      </c>
      <c r="U592" s="16" t="n">
        <v>2002</v>
      </c>
      <c r="V592" s="10" t="inlineStr">
        <is>
          <t>09/2002</t>
        </is>
      </c>
      <c r="W592" s="10" t="inlineStr">
        <is>
          <t>Essence</t>
        </is>
      </c>
      <c r="X592" s="10" t="inlineStr">
        <is>
          <t>Manuelle</t>
        </is>
      </c>
      <c r="Y592" s="16" t="n">
        <v>169</v>
      </c>
      <c r="Z592" s="16" t="n">
        <v>10</v>
      </c>
      <c r="AA592" s="10" t="inlineStr">
        <is>
          <t>Gris</t>
        </is>
      </c>
      <c r="AB592" s="16" t="n">
        <v>3</v>
      </c>
      <c r="AC592" s="10" t="inlineStr">
        <is>
          <t>Berline</t>
        </is>
      </c>
      <c r="AD592" s="10" t="inlineStr">
        <is>
          <t>Carnet d'entretien disponible, Factures disponibles, Véhicule non fumeur</t>
        </is>
      </c>
      <c r="AE592" s="10" t="n"/>
      <c r="AF592" s="10" t="inlineStr">
        <is>
          <t>Pro</t>
        </is>
      </c>
      <c r="AG592" s="10" t="inlineStr">
        <is>
          <t>Bergerac</t>
        </is>
      </c>
      <c r="AH592" s="10" t="inlineStr">
        <is>
          <t>24100</t>
        </is>
      </c>
      <c r="AI592" s="10" t="inlineStr">
        <is>
          <t>Dordogne</t>
        </is>
      </c>
      <c r="AJ592" s="10" t="inlineStr">
        <is>
          <t>Aquitaine</t>
        </is>
      </c>
      <c r="AK592" s="16" t="n">
        <v>28</v>
      </c>
      <c r="AL592" s="10" t="n"/>
      <c r="AM592" s="10" t="inlineStr">
        <is>
          <t>Non</t>
        </is>
      </c>
      <c r="AN592" s="10" t="inlineStr">
        <is>
          <t>---------- NOS SERVICES ET PRESTATIONS COMPLÉMENTAIRES -------------------------------------------- - Visite virtuelle : avant de vous déplacer, visualisez votre futur véhicule sous toutes ses coutures . Contactez-nous pour en voir plus ! - Extension de garantie jusqu'à 60 mois. - Solutions de Financement de 12 à 84 mois. - Livraison dans toute la France métropolitaine (sur devis). - Reprise possible de votre ancien véhicule. - Les informations délivrées par cette annonce sont non contractuelles</t>
        </is>
      </c>
      <c r="AO592" s="10" t="inlineStr">
        <is>
          <t>Dommages : Bon état général ; Équipements intérieurs : Climatisation, Essuie-glaces automatiques, Jantes en alliage, Phares anti-brouillard, Phares LED / Xenon, Roue de secours, Sièges sport, Volant réglable en hauteur ; Permis : Avec permis ; VO récent : false ; custom_ref : D195652 ; Importé : true ; vehicle_history_report_status : visible ; spare_parts_availability : Non renseignée</t>
        </is>
      </c>
      <c r="AP592" s="19" t="inlineStr">
        <is>
          <t>Voir</t>
        </is>
      </c>
      <c r="AQ592" s="10" t="inlineStr">
        <is>
          <t>3270112718</t>
        </is>
      </c>
    </row>
    <row r="593">
      <c r="A593" s="10" t="inlineStr">
        <is>
          <t>Renault Clio II RS (172/182 ch)</t>
        </is>
      </c>
      <c r="B593" s="10" t="inlineStr">
        <is>
          <t>Clio RS 172</t>
        </is>
      </c>
      <c r="C593" s="10" t="n"/>
      <c r="D593" s="10" t="n"/>
      <c r="E593" s="10" t="inlineStr">
        <is>
          <t>En vente</t>
        </is>
      </c>
      <c r="F593" s="18" t="n">
        <v>46280</v>
      </c>
      <c r="G593" s="18" t="n">
        <v>46280</v>
      </c>
      <c r="H593" s="18" t="n">
        <v>46310</v>
      </c>
      <c r="I593" s="18" t="n"/>
      <c r="J593" s="17">
        <f>IF(OR(ISNUMBER(F593),ISNUMBER(G593)),IF(ISNUMBER(I593),I593,H593)-IF(ISNUMBER(F593),F593,G593),"")</f>
        <v/>
      </c>
      <c r="K593" s="12" t="n">
        <v>7500</v>
      </c>
      <c r="L593" s="12" t="n">
        <v>7500</v>
      </c>
      <c r="M593" s="13">
        <f>IF(AND(ISNUMBER(K593),ISNUMBER(L593),K593&gt;0),1-L593/K593,"")</f>
        <v/>
      </c>
      <c r="N593" s="16" t="n">
        <v>0</v>
      </c>
      <c r="O593" s="12" t="n"/>
      <c r="P593" s="12" t="n"/>
      <c r="Q593" s="12" t="n"/>
      <c r="R593" s="14">
        <f>IF(AND(ISNUMBER(L593),ISNUMBER(P593),ISNUMBER(Q593)),L593/((P593+Q593)/2)-1,"")</f>
        <v/>
      </c>
      <c r="S593" s="10" t="n"/>
      <c r="T593" s="15" t="n">
        <v>218000</v>
      </c>
      <c r="U593" s="16" t="n">
        <v>2003</v>
      </c>
      <c r="V593" s="10" t="inlineStr">
        <is>
          <t>10/2003</t>
        </is>
      </c>
      <c r="W593" s="10" t="inlineStr">
        <is>
          <t>Essence</t>
        </is>
      </c>
      <c r="X593" s="10" t="inlineStr">
        <is>
          <t>Manuelle</t>
        </is>
      </c>
      <c r="Y593" s="16" t="n">
        <v>172</v>
      </c>
      <c r="Z593" s="16" t="n">
        <v>10</v>
      </c>
      <c r="AA593" s="10" t="inlineStr">
        <is>
          <t>Rouge</t>
        </is>
      </c>
      <c r="AB593" s="16" t="n">
        <v>3</v>
      </c>
      <c r="AC593" s="10" t="inlineStr">
        <is>
          <t>Berline</t>
        </is>
      </c>
      <c r="AD593" s="10" t="n"/>
      <c r="AE593" s="10" t="n"/>
      <c r="AF593" s="10" t="inlineStr">
        <is>
          <t>Particulier</t>
        </is>
      </c>
      <c r="AG593" s="10" t="inlineStr">
        <is>
          <t>Toulouse</t>
        </is>
      </c>
      <c r="AH593" s="10" t="inlineStr">
        <is>
          <t>31000</t>
        </is>
      </c>
      <c r="AI593" s="10" t="inlineStr">
        <is>
          <t>Haute-Garonne</t>
        </is>
      </c>
      <c r="AJ593" s="10" t="inlineStr">
        <is>
          <t>Midi-Pyrénées</t>
        </is>
      </c>
      <c r="AK593" s="16" t="n">
        <v>3</v>
      </c>
      <c r="AL593" s="10" t="n"/>
      <c r="AM593" s="10" t="inlineStr">
        <is>
          <t>Non</t>
        </is>
      </c>
      <c r="AN593" s="10" t="inlineStr">
        <is>
          <t>Bonjour. Je mets en vente ma clio RS 172 de 2003. Carrosserie très propre ainsi que l intérieur. 4 pneus neufs. Distribution et poulie dephaseur faitent à 217000 km Embrayage fait en même temps. Vidange avec tous les filtres. Vidange de boîte et sonde lambda remplacées. Reportage photo dispo. Je suis à votre disposition pour tout autre renseignement. 8500 à débattre légèrement devant le véhicule. Merci</t>
        </is>
      </c>
      <c r="AO593" s="10" t="inlineStr">
        <is>
          <t>Permis : Avec permis ; Importé : false</t>
        </is>
      </c>
      <c r="AP593" s="19" t="inlineStr">
        <is>
          <t>Voir</t>
        </is>
      </c>
      <c r="AQ593" s="10" t="inlineStr">
        <is>
          <t>3270289698</t>
        </is>
      </c>
    </row>
    <row r="594">
      <c r="A594" s="10" t="inlineStr">
        <is>
          <t>Renault Clio II RS (172/182 ch)</t>
        </is>
      </c>
      <c r="B594" s="10" t="inlineStr">
        <is>
          <t>Clio RS 2002</t>
        </is>
      </c>
      <c r="C594" s="10" t="inlineStr">
        <is>
          <t>Clio 2.0 16v 172ch RS 3p</t>
        </is>
      </c>
      <c r="D594" s="10" t="inlineStr">
        <is>
          <t>RS</t>
        </is>
      </c>
      <c r="E594" s="10" t="inlineStr">
        <is>
          <t>En vente</t>
        </is>
      </c>
      <c r="F594" s="18" t="n">
        <v>46284</v>
      </c>
      <c r="G594" s="18" t="n">
        <v>46284</v>
      </c>
      <c r="H594" s="18" t="n">
        <v>46310</v>
      </c>
      <c r="I594" s="18" t="n"/>
      <c r="J594" s="17">
        <f>IF(OR(ISNUMBER(F594),ISNUMBER(G594)),IF(ISNUMBER(I594),I594,H594)-IF(ISNUMBER(F594),F594,G594),"")</f>
        <v/>
      </c>
      <c r="K594" s="12" t="n">
        <v>16500</v>
      </c>
      <c r="L594" s="12" t="n">
        <v>16500</v>
      </c>
      <c r="M594" s="13">
        <f>IF(AND(ISNUMBER(K594),ISNUMBER(L594),K594&gt;0),1-L594/K594,"")</f>
        <v/>
      </c>
      <c r="N594" s="16" t="n">
        <v>0</v>
      </c>
      <c r="O594" s="12" t="n"/>
      <c r="P594" s="12" t="n"/>
      <c r="Q594" s="12" t="n"/>
      <c r="R594" s="14">
        <f>IF(AND(ISNUMBER(L594),ISNUMBER(P594),ISNUMBER(Q594)),L594/((P594+Q594)/2)-1,"")</f>
        <v/>
      </c>
      <c r="S594" s="10" t="n"/>
      <c r="T594" s="15" t="n">
        <v>78200</v>
      </c>
      <c r="U594" s="16" t="n">
        <v>2002</v>
      </c>
      <c r="V594" s="10" t="inlineStr">
        <is>
          <t>09/2002</t>
        </is>
      </c>
      <c r="W594" s="10" t="inlineStr">
        <is>
          <t>Essence</t>
        </is>
      </c>
      <c r="X594" s="10" t="inlineStr">
        <is>
          <t>Manuelle</t>
        </is>
      </c>
      <c r="Y594" s="16" t="n">
        <v>172</v>
      </c>
      <c r="Z594" s="16" t="n">
        <v>10</v>
      </c>
      <c r="AA594" s="10" t="inlineStr">
        <is>
          <t>Gris</t>
        </is>
      </c>
      <c r="AB594" s="16" t="n">
        <v>3</v>
      </c>
      <c r="AC594" s="10" t="inlineStr">
        <is>
          <t>Berline</t>
        </is>
      </c>
      <c r="AD594" s="10" t="inlineStr">
        <is>
          <t>Carnet d'entretien disponible, Factures disponibles, Véhicule non fumeur, Réparations utiles déjà faites</t>
        </is>
      </c>
      <c r="AE594" s="10" t="inlineStr">
        <is>
          <t>Véhicule importé</t>
        </is>
      </c>
      <c r="AF594" s="10" t="inlineStr">
        <is>
          <t>Particulier</t>
        </is>
      </c>
      <c r="AG594" s="10" t="inlineStr">
        <is>
          <t>Hérimoncourt</t>
        </is>
      </c>
      <c r="AH594" s="10" t="inlineStr">
        <is>
          <t>25310</t>
        </is>
      </c>
      <c r="AI594" s="10" t="inlineStr">
        <is>
          <t>Doubs</t>
        </is>
      </c>
      <c r="AJ594" s="10" t="inlineStr">
        <is>
          <t>Franche-Comté</t>
        </is>
      </c>
      <c r="AK594" s="16" t="n">
        <v>3</v>
      </c>
      <c r="AL594" s="10" t="n"/>
      <c r="AM594" s="10" t="inlineStr">
        <is>
          <t>Non</t>
        </is>
      </c>
      <c r="AN594" s="10" t="inlineStr">
        <is>
          <t>Je vends ma Renault Clio RS 2.0 16v 172ch de 2002, une berline sportive emblématique et performante. - Marque : Renault - Modèle : Clio - Finition : RS - Année : 2002 - Kilométrage : 78 200 km - Motorisation : 2.0 16v 172 ch - Carburant : Essence - Boîte de vitesses : Manuelle - Couleur : Gris - Type de véhicule : Berline - Nombre de portes : 3 - Puissance fiscale : 10 Cv N'hésitez pas à me contacter pour plus d'informations. Cette voiture n’est pas neuve donc quelques petit défauts mais elle da</t>
        </is>
      </c>
      <c r="AO594" s="10" t="inlineStr">
        <is>
          <t>Dommages : Excellent état (proche du neuf) ; Sellerie : Cuir partiel, Alcantara ; Équipements intérieurs : Allumage automatique des phares, Climatisation, Essuie-glaces automatiques, Jantes en alliage, Ordinateur de bord, Phares anti-brouillard, Phares LED / Xenon, Roue de secours, Sièges en cuir, Sièges sport, Suspension sport / adaptative, Toit ouvrant / Toit panoramique, Vitres surteintées à l'arrière, Vitres électriques arrières, Volant réglable en hauteur, Volant réglable en profondeur ; Permis : Avec permis ; Importé : false</t>
        </is>
      </c>
      <c r="AP594" s="19" t="inlineStr">
        <is>
          <t>Voir</t>
        </is>
      </c>
      <c r="AQ594" s="10" t="inlineStr">
        <is>
          <t>3272615687</t>
        </is>
      </c>
    </row>
    <row r="595">
      <c r="A595" s="10" t="inlineStr">
        <is>
          <t>Renault Clio II RS (172/182 ch)</t>
        </is>
      </c>
      <c r="B595" s="10" t="inlineStr">
        <is>
          <t>Clio rs</t>
        </is>
      </c>
      <c r="C595" s="10" t="inlineStr">
        <is>
          <t>Clio 2.0 16v 172ch RS 3p</t>
        </is>
      </c>
      <c r="D595" s="10" t="inlineStr">
        <is>
          <t>RS</t>
        </is>
      </c>
      <c r="E595" s="10" t="inlineStr">
        <is>
          <t>En vente</t>
        </is>
      </c>
      <c r="F595" s="18" t="n">
        <v>46285</v>
      </c>
      <c r="G595" s="18" t="n">
        <v>46285</v>
      </c>
      <c r="H595" s="18" t="n">
        <v>46310</v>
      </c>
      <c r="I595" s="18" t="n"/>
      <c r="J595" s="17">
        <f>IF(OR(ISNUMBER(F595),ISNUMBER(G595)),IF(ISNUMBER(I595),I595,H595)-IF(ISNUMBER(F595),F595,G595),"")</f>
        <v/>
      </c>
      <c r="K595" s="12" t="n">
        <v>14000</v>
      </c>
      <c r="L595" s="12" t="n">
        <v>14000</v>
      </c>
      <c r="M595" s="13">
        <f>IF(AND(ISNUMBER(K595),ISNUMBER(L595),K595&gt;0),1-L595/K595,"")</f>
        <v/>
      </c>
      <c r="N595" s="16" t="n">
        <v>0</v>
      </c>
      <c r="O595" s="12" t="n"/>
      <c r="P595" s="12" t="n"/>
      <c r="Q595" s="12" t="n"/>
      <c r="R595" s="14">
        <f>IF(AND(ISNUMBER(L595),ISNUMBER(P595),ISNUMBER(Q595)),L595/((P595+Q595)/2)-1,"")</f>
        <v/>
      </c>
      <c r="S595" s="10" t="n"/>
      <c r="T595" s="15" t="n">
        <v>93000</v>
      </c>
      <c r="U595" s="16" t="n">
        <v>2001</v>
      </c>
      <c r="V595" s="10" t="inlineStr">
        <is>
          <t>06/2001</t>
        </is>
      </c>
      <c r="W595" s="10" t="inlineStr">
        <is>
          <t>Essence</t>
        </is>
      </c>
      <c r="X595" s="10" t="inlineStr">
        <is>
          <t>Manuelle</t>
        </is>
      </c>
      <c r="Y595" s="16" t="n">
        <v>172</v>
      </c>
      <c r="Z595" s="16" t="n">
        <v>10</v>
      </c>
      <c r="AA595" s="10" t="inlineStr">
        <is>
          <t>Bleu</t>
        </is>
      </c>
      <c r="AB595" s="16" t="n">
        <v>3</v>
      </c>
      <c r="AC595" s="10" t="inlineStr">
        <is>
          <t>Berline</t>
        </is>
      </c>
      <c r="AD595" s="10" t="n"/>
      <c r="AE595" s="10" t="inlineStr">
        <is>
          <t>Première main</t>
        </is>
      </c>
      <c r="AF595" s="10" t="inlineStr">
        <is>
          <t>Particulier</t>
        </is>
      </c>
      <c r="AG595" s="10" t="inlineStr">
        <is>
          <t>Chouilly</t>
        </is>
      </c>
      <c r="AH595" s="10" t="inlineStr">
        <is>
          <t>51530</t>
        </is>
      </c>
      <c r="AI595" s="10" t="inlineStr">
        <is>
          <t>Marne</t>
        </is>
      </c>
      <c r="AJ595" s="10" t="inlineStr">
        <is>
          <t>Champagne-Ardenne</t>
        </is>
      </c>
      <c r="AK595" s="16" t="n">
        <v>3</v>
      </c>
      <c r="AL595" s="10" t="n"/>
      <c r="AM595" s="10" t="inlineStr">
        <is>
          <t>Non</t>
        </is>
      </c>
      <c r="AN595" s="10" t="inlineStr">
        <is>
          <t>clio rs1 en très bon état origine sauf decata ( cata origine fourni) option jante en 16 93000 kms 2eme main Entretien à jour Etat impeccable</t>
        </is>
      </c>
      <c r="AO595" s="10" t="inlineStr">
        <is>
          <t>vehicle_technical_inspection_valid : Non ; Permis : Avec permis ; Importé : false</t>
        </is>
      </c>
      <c r="AP595" s="19" t="inlineStr">
        <is>
          <t>Voir</t>
        </is>
      </c>
      <c r="AQ595" s="10" t="inlineStr">
        <is>
          <t>3273076212</t>
        </is>
      </c>
    </row>
    <row r="596">
      <c r="A596" s="10" t="inlineStr">
        <is>
          <t>Renault Clio II RS (172/182 ch)</t>
        </is>
      </c>
      <c r="B596" s="10" t="inlineStr">
        <is>
          <t>Renault Clio RS</t>
        </is>
      </c>
      <c r="C596" s="10" t="n"/>
      <c r="D596" s="10" t="n"/>
      <c r="E596" s="10" t="inlineStr">
        <is>
          <t>En vente</t>
        </is>
      </c>
      <c r="F596" s="18" t="n">
        <v>46288</v>
      </c>
      <c r="G596" s="18" t="n">
        <v>46288</v>
      </c>
      <c r="H596" s="18" t="n">
        <v>46310</v>
      </c>
      <c r="I596" s="18" t="n"/>
      <c r="J596" s="17">
        <f>IF(OR(ISNUMBER(F596),ISNUMBER(G596)),IF(ISNUMBER(I596),I596,H596)-IF(ISNUMBER(F596),F596,G596),"")</f>
        <v/>
      </c>
      <c r="K596" s="12" t="n">
        <v>10500</v>
      </c>
      <c r="L596" s="12" t="n">
        <v>10500</v>
      </c>
      <c r="M596" s="13">
        <f>IF(AND(ISNUMBER(K596),ISNUMBER(L596),K596&gt;0),1-L596/K596,"")</f>
        <v/>
      </c>
      <c r="N596" s="16" t="n">
        <v>0</v>
      </c>
      <c r="O596" s="12" t="n"/>
      <c r="P596" s="12" t="n"/>
      <c r="Q596" s="12" t="n"/>
      <c r="R596" s="14">
        <f>IF(AND(ISNUMBER(L596),ISNUMBER(P596),ISNUMBER(Q596)),L596/((P596+Q596)/2)-1,"")</f>
        <v/>
      </c>
      <c r="S596" s="10" t="n"/>
      <c r="T596" s="15" t="n">
        <v>168500</v>
      </c>
      <c r="U596" s="16" t="n">
        <v>2000</v>
      </c>
      <c r="V596" s="10" t="inlineStr">
        <is>
          <t>11/2000</t>
        </is>
      </c>
      <c r="W596" s="10" t="inlineStr">
        <is>
          <t>Essence</t>
        </is>
      </c>
      <c r="X596" s="10" t="inlineStr">
        <is>
          <t>Manuelle</t>
        </is>
      </c>
      <c r="Y596" s="16" t="n">
        <v>172</v>
      </c>
      <c r="Z596" s="16" t="n">
        <v>10</v>
      </c>
      <c r="AA596" s="10" t="inlineStr">
        <is>
          <t>Autre</t>
        </is>
      </c>
      <c r="AB596" s="16" t="n">
        <v>3</v>
      </c>
      <c r="AC596" s="10" t="inlineStr">
        <is>
          <t>Berline</t>
        </is>
      </c>
      <c r="AD596" s="10" t="n"/>
      <c r="AE596" s="10" t="n"/>
      <c r="AF596" s="10" t="inlineStr">
        <is>
          <t>Particulier</t>
        </is>
      </c>
      <c r="AG596" s="10" t="inlineStr">
        <is>
          <t>Giberville</t>
        </is>
      </c>
      <c r="AH596" s="10" t="inlineStr">
        <is>
          <t>14730</t>
        </is>
      </c>
      <c r="AI596" s="10" t="inlineStr">
        <is>
          <t>Calvados</t>
        </is>
      </c>
      <c r="AJ596" s="10" t="inlineStr">
        <is>
          <t>Basse-Normandie</t>
        </is>
      </c>
      <c r="AK596" s="16" t="n">
        <v>3</v>
      </c>
      <c r="AL596" s="10" t="inlineStr">
        <is>
          <t>Oui</t>
        </is>
      </c>
      <c r="AM596" s="10" t="inlineStr">
        <is>
          <t>Non</t>
        </is>
      </c>
      <c r="AN596" s="10" t="inlineStr">
        <is>
          <t>Renault Clio RS, peinture récente, distribution neuve avec les joints remplacés, courroie d'accessoire avec tendeur dynamique neuf, catalyseur neuf, factures présentes ,silencieux inox, freins disques perforés rainurés plaquettes racing et durites aviation, barre anti rapprochement avant et arrière, jantes spidline, volant RS j'ai le volant d'origine, optiques de phare neufs,intérieur en bon état malgré ses 26 ans , fonctionne parfaitement moteur sans fumée ni bruits anormal, boîte sans accroche</t>
        </is>
      </c>
      <c r="AO596" s="10" t="inlineStr">
        <is>
          <t>Permis : Avec permis ; Importé : false</t>
        </is>
      </c>
      <c r="AP596" s="19" t="inlineStr">
        <is>
          <t>Voir</t>
        </is>
      </c>
      <c r="AQ596" s="10" t="inlineStr">
        <is>
          <t>3275029879</t>
        </is>
      </c>
    </row>
    <row r="597">
      <c r="A597" s="10" t="inlineStr">
        <is>
          <t>Renault Clio II RS (172/182 ch)</t>
        </is>
      </c>
      <c r="B597" s="10" t="inlineStr">
        <is>
          <t>Clio RS 2 phase 1</t>
        </is>
      </c>
      <c r="C597" s="10" t="n"/>
      <c r="D597" s="10" t="n"/>
      <c r="E597" s="10" t="inlineStr">
        <is>
          <t>En vente</t>
        </is>
      </c>
      <c r="F597" s="18" t="n">
        <v>46288</v>
      </c>
      <c r="G597" s="18" t="n">
        <v>46288</v>
      </c>
      <c r="H597" s="18" t="n">
        <v>46310</v>
      </c>
      <c r="I597" s="18" t="n"/>
      <c r="J597" s="17">
        <f>IF(OR(ISNUMBER(F597),ISNUMBER(G597)),IF(ISNUMBER(I597),I597,H597)-IF(ISNUMBER(F597),F597,G597),"")</f>
        <v/>
      </c>
      <c r="K597" s="12" t="n">
        <v>8000</v>
      </c>
      <c r="L597" s="12" t="n">
        <v>8000</v>
      </c>
      <c r="M597" s="13">
        <f>IF(AND(ISNUMBER(K597),ISNUMBER(L597),K597&gt;0),1-L597/K597,"")</f>
        <v/>
      </c>
      <c r="N597" s="16" t="n">
        <v>0</v>
      </c>
      <c r="O597" s="12" t="n"/>
      <c r="P597" s="12" t="n"/>
      <c r="Q597" s="12" t="n"/>
      <c r="R597" s="14">
        <f>IF(AND(ISNUMBER(L597),ISNUMBER(P597),ISNUMBER(Q597)),L597/((P597+Q597)/2)-1,"")</f>
        <v/>
      </c>
      <c r="S597" s="10" t="n"/>
      <c r="T597" s="15" t="n">
        <v>199537</v>
      </c>
      <c r="U597" s="16" t="n">
        <v>2001</v>
      </c>
      <c r="V597" s="10" t="inlineStr">
        <is>
          <t>07/2001</t>
        </is>
      </c>
      <c r="W597" s="10" t="inlineStr">
        <is>
          <t>Essence</t>
        </is>
      </c>
      <c r="X597" s="10" t="inlineStr">
        <is>
          <t>Manuelle</t>
        </is>
      </c>
      <c r="Y597" s="16" t="n">
        <v>172</v>
      </c>
      <c r="Z597" s="16" t="n">
        <v>10</v>
      </c>
      <c r="AA597" s="10" t="inlineStr">
        <is>
          <t>Gris</t>
        </is>
      </c>
      <c r="AB597" s="16" t="n">
        <v>3</v>
      </c>
      <c r="AC597" s="10" t="inlineStr">
        <is>
          <t>Citadine</t>
        </is>
      </c>
      <c r="AD597" s="10" t="n"/>
      <c r="AE597" s="10" t="inlineStr">
        <is>
          <t>Première main</t>
        </is>
      </c>
      <c r="AF597" s="10" t="inlineStr">
        <is>
          <t>Particulier</t>
        </is>
      </c>
      <c r="AG597" s="10" t="inlineStr">
        <is>
          <t>Wittersdorf</t>
        </is>
      </c>
      <c r="AH597" s="10" t="inlineStr">
        <is>
          <t>68130</t>
        </is>
      </c>
      <c r="AI597" s="10" t="inlineStr">
        <is>
          <t>Haut-Rhin</t>
        </is>
      </c>
      <c r="AJ597" s="10" t="inlineStr">
        <is>
          <t>Alsace</t>
        </is>
      </c>
      <c r="AK597" s="16" t="n">
        <v>5</v>
      </c>
      <c r="AL597" s="10" t="n"/>
      <c r="AM597" s="10" t="inlineStr">
        <is>
          <t>Non</t>
        </is>
      </c>
      <c r="AN597" s="10" t="inlineStr">
        <is>
          <t>Vends clio RS 2 phase 1 Pour plus de renseignements vous pouvez me contacter durant toute la journée et la soirée</t>
        </is>
      </c>
      <c r="AO597" s="10" t="inlineStr">
        <is>
          <t>Dommages : Bon état général ; Sellerie : Cuir partiel ; Permis : Avec permis ; Importé : false</t>
        </is>
      </c>
      <c r="AP597" s="19" t="inlineStr">
        <is>
          <t>Voir</t>
        </is>
      </c>
      <c r="AQ597" s="10" t="inlineStr">
        <is>
          <t>3275151981</t>
        </is>
      </c>
    </row>
    <row r="598">
      <c r="A598" s="10" t="inlineStr">
        <is>
          <t>Renault Clio II RS (172/182 ch)</t>
        </is>
      </c>
      <c r="B598" s="10" t="inlineStr">
        <is>
          <t>Clio Rs</t>
        </is>
      </c>
      <c r="C598" s="10" t="n"/>
      <c r="D598" s="10" t="n"/>
      <c r="E598" s="10" t="inlineStr">
        <is>
          <t>En vente</t>
        </is>
      </c>
      <c r="F598" s="18" t="n">
        <v>46292</v>
      </c>
      <c r="G598" s="18" t="n">
        <v>46292</v>
      </c>
      <c r="H598" s="18" t="n">
        <v>46310</v>
      </c>
      <c r="I598" s="18" t="n"/>
      <c r="J598" s="17">
        <f>IF(OR(ISNUMBER(F598),ISNUMBER(G598)),IF(ISNUMBER(I598),I598,H598)-IF(ISNUMBER(F598),F598,G598),"")</f>
        <v/>
      </c>
      <c r="K598" s="12" t="n">
        <v>13000</v>
      </c>
      <c r="L598" s="12" t="n">
        <v>13000</v>
      </c>
      <c r="M598" s="13">
        <f>IF(AND(ISNUMBER(K598),ISNUMBER(L598),K598&gt;0),1-L598/K598,"")</f>
        <v/>
      </c>
      <c r="N598" s="16" t="n">
        <v>0</v>
      </c>
      <c r="O598" s="12" t="n"/>
      <c r="P598" s="12" t="n"/>
      <c r="Q598" s="12" t="n"/>
      <c r="R598" s="14">
        <f>IF(AND(ISNUMBER(L598),ISNUMBER(P598),ISNUMBER(Q598)),L598/((P598+Q598)/2)-1,"")</f>
        <v/>
      </c>
      <c r="S598" s="10" t="n"/>
      <c r="T598" s="15" t="n">
        <v>105500</v>
      </c>
      <c r="U598" s="16" t="n">
        <v>2001</v>
      </c>
      <c r="V598" s="10" t="inlineStr">
        <is>
          <t>10/2001</t>
        </is>
      </c>
      <c r="W598" s="10" t="inlineStr">
        <is>
          <t>Essence</t>
        </is>
      </c>
      <c r="X598" s="10" t="inlineStr">
        <is>
          <t>Manuelle</t>
        </is>
      </c>
      <c r="Y598" s="16" t="n">
        <v>172</v>
      </c>
      <c r="Z598" s="16" t="n">
        <v>10</v>
      </c>
      <c r="AA598" s="10" t="inlineStr">
        <is>
          <t>Bordeaux</t>
        </is>
      </c>
      <c r="AB598" s="16" t="n">
        <v>3</v>
      </c>
      <c r="AC598" s="10" t="inlineStr">
        <is>
          <t>Berline</t>
        </is>
      </c>
      <c r="AD598" s="10" t="n"/>
      <c r="AE598" s="10" t="n"/>
      <c r="AF598" s="10" t="inlineStr">
        <is>
          <t>Particulier</t>
        </is>
      </c>
      <c r="AG598" s="10" t="inlineStr">
        <is>
          <t>Pont-du-Château</t>
        </is>
      </c>
      <c r="AH598" s="10" t="inlineStr">
        <is>
          <t>63430</t>
        </is>
      </c>
      <c r="AI598" s="10" t="inlineStr">
        <is>
          <t>Puy-de-Dôme</t>
        </is>
      </c>
      <c r="AJ598" s="10" t="inlineStr">
        <is>
          <t>Auvergne</t>
        </is>
      </c>
      <c r="AK598" s="16" t="n">
        <v>3</v>
      </c>
      <c r="AL598" s="10" t="n"/>
      <c r="AM598" s="10" t="inlineStr">
        <is>
          <t>Non</t>
        </is>
      </c>
      <c r="AN598" s="10" t="inlineStr">
        <is>
          <t>Très belle clio Rs, très bon état. Courroie de distribution ok , pneus neufs.ancien véhicule agent Renault</t>
        </is>
      </c>
      <c r="AO598" s="10" t="inlineStr">
        <is>
          <t>Dommages : Excellent état (proche du neuf) ; Sellerie : Alcantara ; vehicle_euro_emissions_standard : Euro 3 ; Permis : Avec permis ; Importé : false</t>
        </is>
      </c>
      <c r="AP598" s="19" t="inlineStr">
        <is>
          <t>Voir</t>
        </is>
      </c>
      <c r="AQ598" s="10" t="inlineStr">
        <is>
          <t>3277619840</t>
        </is>
      </c>
    </row>
    <row r="599">
      <c r="A599" s="10" t="inlineStr">
        <is>
          <t>Renault Clio II RS (172/182 ch)</t>
        </is>
      </c>
      <c r="B599" s="10" t="inlineStr">
        <is>
          <t>RENAULT CLIO 2.0 170 RS / Garantie 3 mois</t>
        </is>
      </c>
      <c r="C599" s="10" t="inlineStr">
        <is>
          <t>Clio 2.0 16v 182ch Renault Sport 3p</t>
        </is>
      </c>
      <c r="D599" s="10" t="inlineStr">
        <is>
          <t>Renault Sport</t>
        </is>
      </c>
      <c r="E599" s="10" t="inlineStr">
        <is>
          <t>En vente</t>
        </is>
      </c>
      <c r="F599" s="18" t="n">
        <v>46226</v>
      </c>
      <c r="G599" s="18" t="n">
        <v>46226</v>
      </c>
      <c r="H599" s="18" t="n">
        <v>46310</v>
      </c>
      <c r="I599" s="18" t="n"/>
      <c r="J599" s="17">
        <f>IF(OR(ISNUMBER(F599),ISNUMBER(G599)),IF(ISNUMBER(I599),I599,H599)-IF(ISNUMBER(F599),F599,G599),"")</f>
        <v/>
      </c>
      <c r="K599" s="12" t="n">
        <v>12990</v>
      </c>
      <c r="L599" s="12" t="n">
        <v>12990</v>
      </c>
      <c r="M599" s="13">
        <f>IF(AND(ISNUMBER(K599),ISNUMBER(L599),K599&gt;0),1-L599/K599,"")</f>
        <v/>
      </c>
      <c r="N599" s="16" t="n">
        <v>0</v>
      </c>
      <c r="O599" s="12" t="n">
        <v>14990</v>
      </c>
      <c r="P599" s="12" t="n"/>
      <c r="Q599" s="12" t="n"/>
      <c r="R599" s="14">
        <f>IF(AND(ISNUMBER(L599),ISNUMBER(P599),ISNUMBER(Q599)),L599/((P599+Q599)/2)-1,"")</f>
        <v/>
      </c>
      <c r="S599" s="10" t="n"/>
      <c r="T599" s="15" t="n">
        <v>70980</v>
      </c>
      <c r="U599" s="16" t="n">
        <v>2004</v>
      </c>
      <c r="V599" s="10" t="inlineStr">
        <is>
          <t>01/2004</t>
        </is>
      </c>
      <c r="W599" s="10" t="inlineStr">
        <is>
          <t>Essence</t>
        </is>
      </c>
      <c r="X599" s="10" t="inlineStr">
        <is>
          <t>Manuelle</t>
        </is>
      </c>
      <c r="Y599" s="16" t="n">
        <v>172</v>
      </c>
      <c r="Z599" s="16" t="n">
        <v>10</v>
      </c>
      <c r="AA599" s="10" t="inlineStr">
        <is>
          <t>Gris</t>
        </is>
      </c>
      <c r="AB599" s="16" t="n">
        <v>3</v>
      </c>
      <c r="AC599" s="10" t="inlineStr">
        <is>
          <t>Berline</t>
        </is>
      </c>
      <c r="AD599" s="10" t="n"/>
      <c r="AE599" s="10" t="n"/>
      <c r="AF599" s="10" t="inlineStr">
        <is>
          <t>Pro</t>
        </is>
      </c>
      <c r="AG599" s="10" t="inlineStr">
        <is>
          <t>Marck</t>
        </is>
      </c>
      <c r="AH599" s="10" t="inlineStr">
        <is>
          <t>62730</t>
        </is>
      </c>
      <c r="AI599" s="10" t="inlineStr">
        <is>
          <t>Pas-de-Calais</t>
        </is>
      </c>
      <c r="AJ599" s="10" t="inlineStr">
        <is>
          <t>Nord-Pas-de-Calais</t>
        </is>
      </c>
      <c r="AK599" s="16" t="n">
        <v>23</v>
      </c>
      <c r="AL599" s="10" t="inlineStr">
        <is>
          <t>Oui</t>
        </is>
      </c>
      <c r="AM599" s="10" t="inlineStr">
        <is>
          <t>Non</t>
        </is>
      </c>
      <c r="AN599" s="10" t="inlineStr">
        <is>
          <t>-&gt; CONTACT PAR TELEPHONE UNIQUEMENT. WeeCars Calais noté 4,9/5 en avis GOOGLE - Véhicule visible sur rendez-vous uniquement ! - Livraison possible partout en France avec suivi et contrat sécurisé - Reprise de votre ancien véhicule sous conditions - Contrôle complet : 80 points vérifiés + essai routier validé - Achat à distance 100% sécurisé - Dossier complet envoyé avant paiement (photos HD, vidéos, historique d’entretien) - Signature électronique du bon de commande - Accompagnement téléphonique</t>
        </is>
      </c>
      <c r="AO599" s="10" t="inlineStr">
        <is>
          <t>Dommages : Bon état général ; Équipements intérieurs : Climatisation, Jantes en alliage, Ordinateur de bord, Phares directionnels, Phares LED / Xenon, Régulateur de vitesse, Sièges chauffants, Volant réglable en hauteur ; Permis : Avec permis ; VO récent : false ; custom_ref : 1457-0001004 ; Importé : true ; vehicle_history_report_status : visible ; spare_parts_availability : Non renseignée</t>
        </is>
      </c>
      <c r="AP599" s="19" t="inlineStr">
        <is>
          <t>Voir</t>
        </is>
      </c>
      <c r="AQ599" s="10" t="inlineStr">
        <is>
          <t>3278178962</t>
        </is>
      </c>
    </row>
    <row r="600">
      <c r="A600" s="10" t="inlineStr">
        <is>
          <t>Renault Clio II RS (172/182 ch)</t>
        </is>
      </c>
      <c r="B600" s="10" t="inlineStr">
        <is>
          <t>Clio rs</t>
        </is>
      </c>
      <c r="C600" s="10" t="n"/>
      <c r="D600" s="10" t="n"/>
      <c r="E600" s="10" t="inlineStr">
        <is>
          <t>En vente</t>
        </is>
      </c>
      <c r="F600" s="18" t="n">
        <v>46295</v>
      </c>
      <c r="G600" s="18" t="n">
        <v>46295</v>
      </c>
      <c r="H600" s="18" t="n">
        <v>46310</v>
      </c>
      <c r="I600" s="18" t="n"/>
      <c r="J600" s="17">
        <f>IF(OR(ISNUMBER(F600),ISNUMBER(G600)),IF(ISNUMBER(I600),I600,H600)-IF(ISNUMBER(F600),F600,G600),"")</f>
        <v/>
      </c>
      <c r="K600" s="12" t="n">
        <v>10999</v>
      </c>
      <c r="L600" s="12" t="n">
        <v>10999</v>
      </c>
      <c r="M600" s="13">
        <f>IF(AND(ISNUMBER(K600),ISNUMBER(L600),K600&gt;0),1-L600/K600,"")</f>
        <v/>
      </c>
      <c r="N600" s="16" t="n">
        <v>0</v>
      </c>
      <c r="O600" s="12" t="n"/>
      <c r="P600" s="12" t="n"/>
      <c r="Q600" s="12" t="n"/>
      <c r="R600" s="14">
        <f>IF(AND(ISNUMBER(L600),ISNUMBER(P600),ISNUMBER(Q600)),L600/((P600+Q600)/2)-1,"")</f>
        <v/>
      </c>
      <c r="S600" s="10" t="n"/>
      <c r="T600" s="15" t="n">
        <v>200000</v>
      </c>
      <c r="U600" s="16" t="n">
        <v>2004</v>
      </c>
      <c r="V600" s="10" t="inlineStr">
        <is>
          <t>08/2004</t>
        </is>
      </c>
      <c r="W600" s="10" t="inlineStr">
        <is>
          <t>Essence</t>
        </is>
      </c>
      <c r="X600" s="10" t="inlineStr">
        <is>
          <t>Manuelle</t>
        </is>
      </c>
      <c r="Y600" s="16" t="n">
        <v>182</v>
      </c>
      <c r="Z600" s="16" t="n">
        <v>11</v>
      </c>
      <c r="AA600" s="10" t="inlineStr">
        <is>
          <t>Gris</t>
        </is>
      </c>
      <c r="AB600" s="16" t="n">
        <v>3</v>
      </c>
      <c r="AC600" s="10" t="inlineStr">
        <is>
          <t>Berline</t>
        </is>
      </c>
      <c r="AD600" s="10" t="inlineStr">
        <is>
          <t>Carnet d'entretien disponible, Factures disponibles, Véhicule non fumeur, Réparations utiles déjà faites</t>
        </is>
      </c>
      <c r="AE600" s="10" t="n"/>
      <c r="AF600" s="10" t="inlineStr">
        <is>
          <t>Particulier</t>
        </is>
      </c>
      <c r="AG600" s="10" t="inlineStr">
        <is>
          <t>Cassis</t>
        </is>
      </c>
      <c r="AH600" s="10" t="inlineStr">
        <is>
          <t>13260</t>
        </is>
      </c>
      <c r="AI600" s="10" t="inlineStr">
        <is>
          <t>Bouches-du-Rhône</t>
        </is>
      </c>
      <c r="AJ600" s="10" t="inlineStr">
        <is>
          <t>Provence-Alpes-Côte d'Azur</t>
        </is>
      </c>
      <c r="AK600" s="16" t="n">
        <v>3</v>
      </c>
      <c r="AL600" s="10" t="n"/>
      <c r="AM600" s="10" t="inlineStr">
        <is>
          <t>Non</t>
        </is>
      </c>
      <c r="AN600" s="10" t="inlineStr">
        <is>
          <t>Je vends ma Renault Clio RS de 2004, une berline sportive avec 200 000 km au compteur. - Marque : Renault - Modèle : Clio RS - Année : 2004 - Kilométrage : 200 000 km - Motorisation : 182 Ch - Puissance fiscale : 11 Cv - Carburant : Essence - Boîte de vitesses : Manuelle - Couleur : Gris - Type de véhicule : Berline - Nombre de portes : 3 - Nombre de sièges : 5 Rien a prévoir N'hésitez pas à me contacter pour plus d'informations ou pour organiser un essai</t>
        </is>
      </c>
      <c r="AO600" s="10" t="inlineStr">
        <is>
          <t>Dommages : Excellent état (proche du neuf) ; Sellerie : Cuir partiel ; Équipements intérieurs : Climatisation, Essuie-glaces automatiques, Jantes en alliage, Ordinateur de bord, Phares anti-brouillard, Phares LED / Xenon, Régulateur de vitesse, Rétroviseurs dégivrants, Siège arrière rabattable, Siège réglable en hauteur, Sièges arrières coulissants, Sièges en cuir, Sièges sport, Suspension sport / adaptative, Système audio haut de gamme, Volant réglable en hauteur, Volant réglable en profondeur ; Permis : Avec permis ; Importé : false</t>
        </is>
      </c>
      <c r="AP600" s="19" t="inlineStr">
        <is>
          <t>Voir</t>
        </is>
      </c>
      <c r="AQ600" s="10" t="inlineStr">
        <is>
          <t>3279867090</t>
        </is>
      </c>
    </row>
    <row r="601">
      <c r="A601" s="10" t="inlineStr">
        <is>
          <t>Renault Clio II RS (172/182 ch)</t>
        </is>
      </c>
      <c r="B601" s="10" t="inlineStr">
        <is>
          <t>Clio rs 3</t>
        </is>
      </c>
      <c r="C601" s="10" t="n"/>
      <c r="D601" s="10" t="n"/>
      <c r="E601" s="10" t="inlineStr">
        <is>
          <t>En vente</t>
        </is>
      </c>
      <c r="F601" s="18" t="n">
        <v>46299</v>
      </c>
      <c r="G601" s="18" t="n">
        <v>46299</v>
      </c>
      <c r="H601" s="18" t="n">
        <v>46310</v>
      </c>
      <c r="I601" s="18" t="n"/>
      <c r="J601" s="17">
        <f>IF(OR(ISNUMBER(F601),ISNUMBER(G601)),IF(ISNUMBER(I601),I601,H601)-IF(ISNUMBER(F601),F601,G601),"")</f>
        <v/>
      </c>
      <c r="K601" s="12" t="n">
        <v>8000</v>
      </c>
      <c r="L601" s="12" t="n">
        <v>8000</v>
      </c>
      <c r="M601" s="13">
        <f>IF(AND(ISNUMBER(K601),ISNUMBER(L601),K601&gt;0),1-L601/K601,"")</f>
        <v/>
      </c>
      <c r="N601" s="16" t="n">
        <v>0</v>
      </c>
      <c r="O601" s="12" t="n"/>
      <c r="P601" s="12" t="n"/>
      <c r="Q601" s="12" t="n"/>
      <c r="R601" s="14">
        <f>IF(AND(ISNUMBER(L601),ISNUMBER(P601),ISNUMBER(Q601)),L601/((P601+Q601)/2)-1,"")</f>
        <v/>
      </c>
      <c r="S601" s="10" t="n"/>
      <c r="T601" s="15" t="n">
        <v>200000</v>
      </c>
      <c r="U601" s="16" t="n">
        <v>2006</v>
      </c>
      <c r="V601" s="10" t="inlineStr">
        <is>
          <t>06/2006</t>
        </is>
      </c>
      <c r="W601" s="10" t="inlineStr">
        <is>
          <t>Essence</t>
        </is>
      </c>
      <c r="X601" s="10" t="inlineStr">
        <is>
          <t>Manuelle</t>
        </is>
      </c>
      <c r="Y601" s="16" t="n">
        <v>200</v>
      </c>
      <c r="Z601" s="16" t="n"/>
      <c r="AA601" s="10" t="inlineStr">
        <is>
          <t>Autre</t>
        </is>
      </c>
      <c r="AB601" s="16" t="n">
        <v>3</v>
      </c>
      <c r="AC601" s="10" t="inlineStr">
        <is>
          <t>Berline</t>
        </is>
      </c>
      <c r="AD601" s="10" t="n"/>
      <c r="AE601" s="10" t="n"/>
      <c r="AF601" s="10" t="inlineStr">
        <is>
          <t>Particulier</t>
        </is>
      </c>
      <c r="AG601" s="10" t="inlineStr">
        <is>
          <t>La Côte-Saint-André</t>
        </is>
      </c>
      <c r="AH601" s="10" t="inlineStr">
        <is>
          <t>38260</t>
        </is>
      </c>
      <c r="AI601" s="10" t="inlineStr">
        <is>
          <t>Isère</t>
        </is>
      </c>
      <c r="AJ601" s="10" t="inlineStr">
        <is>
          <t>Rhône-Alpes</t>
        </is>
      </c>
      <c r="AK601" s="16" t="n">
        <v>3</v>
      </c>
      <c r="AL601" s="10" t="n"/>
      <c r="AM601" s="10" t="inlineStr">
        <is>
          <t>Non</t>
        </is>
      </c>
      <c r="AN601" s="10" t="inlineStr">
        <is>
          <t>À vendre Renault Clio 3 RS de 2006. Moteur : 2.0 16v (197ch) Boîte de vitesses : Manuelle 6 rapports État : Très bon état général, véhicule bien entretenu. Entretien : Distribution faite. Inclus : 4 pneus neige fournis avec le véhicule. Extérieur / Intérieur : Propre, aucun frais majeur à prévoir. Le contrôle technique sera repassé et validé pour la vente. Pour plus d'informations ou pour convenir d'un rendez-vous, contactez-moi par message</t>
        </is>
      </c>
      <c r="AO601" s="10" t="inlineStr">
        <is>
          <t>Permis : Avec permis ; Importé : false</t>
        </is>
      </c>
      <c r="AP601" s="19" t="inlineStr">
        <is>
          <t>Voir</t>
        </is>
      </c>
      <c r="AQ601" s="10" t="inlineStr">
        <is>
          <t>3281829027</t>
        </is>
      </c>
    </row>
    <row r="602">
      <c r="A602" s="10" t="inlineStr">
        <is>
          <t>Renault Clio II RS (172/182 ch)</t>
        </is>
      </c>
      <c r="B602" s="10" t="inlineStr">
        <is>
          <t>Clio RS</t>
        </is>
      </c>
      <c r="C602" s="10" t="n"/>
      <c r="D602" s="10" t="n"/>
      <c r="E602" s="10" t="inlineStr">
        <is>
          <t>En vente</t>
        </is>
      </c>
      <c r="F602" s="18" t="n">
        <v>46299</v>
      </c>
      <c r="G602" s="18" t="n">
        <v>46299</v>
      </c>
      <c r="H602" s="18" t="n">
        <v>46310</v>
      </c>
      <c r="I602" s="18" t="n"/>
      <c r="J602" s="17">
        <f>IF(OR(ISNUMBER(F602),ISNUMBER(G602)),IF(ISNUMBER(I602),I602,H602)-IF(ISNUMBER(F602),F602,G602),"")</f>
        <v/>
      </c>
      <c r="K602" s="12" t="n">
        <v>11000</v>
      </c>
      <c r="L602" s="12" t="n">
        <v>11000</v>
      </c>
      <c r="M602" s="13">
        <f>IF(AND(ISNUMBER(K602),ISNUMBER(L602),K602&gt;0),1-L602/K602,"")</f>
        <v/>
      </c>
      <c r="N602" s="16" t="n">
        <v>0</v>
      </c>
      <c r="O602" s="12" t="n"/>
      <c r="P602" s="12" t="n"/>
      <c r="Q602" s="12" t="n"/>
      <c r="R602" s="14">
        <f>IF(AND(ISNUMBER(L602),ISNUMBER(P602),ISNUMBER(Q602)),L602/((P602+Q602)/2)-1,"")</f>
        <v/>
      </c>
      <c r="S602" s="10" t="n"/>
      <c r="T602" s="15" t="n">
        <v>143000</v>
      </c>
      <c r="U602" s="16" t="n">
        <v>2000</v>
      </c>
      <c r="V602" s="10" t="inlineStr">
        <is>
          <t>05/2000</t>
        </is>
      </c>
      <c r="W602" s="10" t="inlineStr">
        <is>
          <t>Essence</t>
        </is>
      </c>
      <c r="X602" s="10" t="inlineStr">
        <is>
          <t>Manuelle</t>
        </is>
      </c>
      <c r="Y602" s="16" t="n">
        <v>172</v>
      </c>
      <c r="Z602" s="16" t="n">
        <v>10</v>
      </c>
      <c r="AA602" s="10" t="inlineStr">
        <is>
          <t>Gris</t>
        </is>
      </c>
      <c r="AB602" s="16" t="n">
        <v>3</v>
      </c>
      <c r="AC602" s="10" t="inlineStr">
        <is>
          <t>Berline</t>
        </is>
      </c>
      <c r="AD602" s="10" t="n"/>
      <c r="AE602" s="10" t="n"/>
      <c r="AF602" s="10" t="inlineStr">
        <is>
          <t>Particulier</t>
        </is>
      </c>
      <c r="AG602" s="10" t="inlineStr">
        <is>
          <t>Lille</t>
        </is>
      </c>
      <c r="AH602" s="10" t="inlineStr">
        <is>
          <t>59000</t>
        </is>
      </c>
      <c r="AI602" s="10" t="inlineStr">
        <is>
          <t>Nord</t>
        </is>
      </c>
      <c r="AJ602" s="10" t="inlineStr">
        <is>
          <t>Nord-Pas-de-Calais</t>
        </is>
      </c>
      <c r="AK602" s="16" t="n">
        <v>3</v>
      </c>
      <c r="AL602" s="10" t="n"/>
      <c r="AM602" s="10" t="inlineStr">
        <is>
          <t>Non</t>
        </is>
      </c>
      <c r="AN602" s="10" t="inlineStr">
        <is>
          <t xml:space="preserve">Je vends ma Renault Clio RS de 2000, une berline sportive et dynamique avec 143 000 km au compteur. - Marque : Renault - Modèle : Clio RS - Année : 2000 - Kilométrage : 143 000 km - Motorisation : 172 Ch - Carburant : Essence - Boîte de vitesses : Manuelle - Couleur : Gris - Type de véhicule : Berline - Nombre de portes : 3 - Puissance fiscale : 10 Cv - Contrôle technique : Valide N'hésitez pas à me contacter pour plus de renseignements et photos véhicule pour passionné de Clio RS je la vends à </t>
        </is>
      </c>
      <c r="AO602" s="10" t="inlineStr">
        <is>
          <t>vehicle_technical_inspection_valid : Oui ; Dommages : Bon état général ; Sellerie : Tout cuir, Alcantara ; Permis : Avec permis ; Importé : false</t>
        </is>
      </c>
      <c r="AP602" s="19" t="inlineStr">
        <is>
          <t>Voir</t>
        </is>
      </c>
      <c r="AQ602" s="10" t="inlineStr">
        <is>
          <t>3282299969</t>
        </is>
      </c>
    </row>
    <row r="603">
      <c r="A603" s="10" t="inlineStr">
        <is>
          <t>Renault Clio II RS (172/182 ch)</t>
        </is>
      </c>
      <c r="B603" s="10" t="inlineStr">
        <is>
          <t>Clio 2 rs</t>
        </is>
      </c>
      <c r="C603" s="10" t="n"/>
      <c r="D603" s="10" t="n"/>
      <c r="E603" s="10" t="inlineStr">
        <is>
          <t>En vente</t>
        </is>
      </c>
      <c r="F603" s="18" t="n">
        <v>46300</v>
      </c>
      <c r="G603" s="18" t="n">
        <v>46300</v>
      </c>
      <c r="H603" s="18" t="n">
        <v>46310</v>
      </c>
      <c r="I603" s="18" t="n"/>
      <c r="J603" s="17">
        <f>IF(OR(ISNUMBER(F603),ISNUMBER(G603)),IF(ISNUMBER(I603),I603,H603)-IF(ISNUMBER(F603),F603,G603),"")</f>
        <v/>
      </c>
      <c r="K603" s="12" t="n">
        <v>4300</v>
      </c>
      <c r="L603" s="12" t="n">
        <v>4300</v>
      </c>
      <c r="M603" s="13">
        <f>IF(AND(ISNUMBER(K603),ISNUMBER(L603),K603&gt;0),1-L603/K603,"")</f>
        <v/>
      </c>
      <c r="N603" s="16" t="n">
        <v>0</v>
      </c>
      <c r="O603" s="12" t="n"/>
      <c r="P603" s="12" t="n"/>
      <c r="Q603" s="12" t="n"/>
      <c r="R603" s="14">
        <f>IF(AND(ISNUMBER(L603),ISNUMBER(P603),ISNUMBER(Q603)),L603/((P603+Q603)/2)-1,"")</f>
        <v/>
      </c>
      <c r="S603" s="10" t="n"/>
      <c r="T603" s="15" t="n">
        <v>200000</v>
      </c>
      <c r="U603" s="16" t="n">
        <v>2003</v>
      </c>
      <c r="V603" s="10" t="inlineStr">
        <is>
          <t>02/2003</t>
        </is>
      </c>
      <c r="W603" s="10" t="inlineStr">
        <is>
          <t>Essence</t>
        </is>
      </c>
      <c r="X603" s="10" t="inlineStr">
        <is>
          <t>Manuelle</t>
        </is>
      </c>
      <c r="Y603" s="16" t="n">
        <v>172</v>
      </c>
      <c r="Z603" s="16" t="n">
        <v>10</v>
      </c>
      <c r="AA603" s="10" t="inlineStr">
        <is>
          <t>Rouge</t>
        </is>
      </c>
      <c r="AB603" s="16" t="n">
        <v>3</v>
      </c>
      <c r="AC603" s="10" t="inlineStr">
        <is>
          <t>Berline</t>
        </is>
      </c>
      <c r="AD603" s="10" t="inlineStr">
        <is>
          <t>Véhicule non fumeur, Réparations utiles déjà faites</t>
        </is>
      </c>
      <c r="AE603" s="10" t="n"/>
      <c r="AF603" s="10" t="inlineStr">
        <is>
          <t>Particulier</t>
        </is>
      </c>
      <c r="AG603" s="10" t="inlineStr">
        <is>
          <t>Saint-Louis</t>
        </is>
      </c>
      <c r="AH603" s="10" t="inlineStr">
        <is>
          <t>97421</t>
        </is>
      </c>
      <c r="AI603" s="10" t="n"/>
      <c r="AJ603" s="10" t="inlineStr">
        <is>
          <t>Réunion</t>
        </is>
      </c>
      <c r="AK603" s="16" t="n">
        <v>1</v>
      </c>
      <c r="AL603" s="10" t="n"/>
      <c r="AM603" s="10" t="inlineStr">
        <is>
          <t>Non</t>
        </is>
      </c>
      <c r="AN603" s="10" t="inlineStr">
        <is>
          <t>Bonjour je vends ma Renault Clio 2 RS AVIS AUX PASSIONNÉS !! RENAULT CLIO 2 RS 172 – SPORTIVE À vendre Renault Clio 2 RS 172, véritable petite sportive française avec son moteur 2.0 16V de 172 ch. 🔹 2.0 16V – 172 ch 🔹 Boîte manuelle 🔹 Modèle rare et en bonne état général 🔹 Peinture en très bon état 🔹 Intérieur sportif 🔹 Véhicule avec un vrai caractère sportif Son châssis efficace et ses sensations de conduite sont un plaisir a conduire. Une voiture plaisir qui conserve l'esprit des petites</t>
        </is>
      </c>
      <c r="AO603" s="10" t="inlineStr">
        <is>
          <t>vehicle_technical_inspection_valid : Oui ; Dommages : Bon état général ; Sellerie : Alcantara ; Permis : Avec permis ; Importé : false</t>
        </is>
      </c>
      <c r="AP603" s="19" t="inlineStr">
        <is>
          <t>Voir</t>
        </is>
      </c>
      <c r="AQ603" s="10" t="inlineStr">
        <is>
          <t>3282432895</t>
        </is>
      </c>
    </row>
    <row r="604">
      <c r="A604" s="10" t="inlineStr">
        <is>
          <t>Renault Clio II RS (172/182 ch)</t>
        </is>
      </c>
      <c r="B604" s="10" t="inlineStr">
        <is>
          <t>CLIO RS PlayStation</t>
        </is>
      </c>
      <c r="C604" s="10" t="n"/>
      <c r="D604" s="10" t="n"/>
      <c r="E604" s="10" t="inlineStr">
        <is>
          <t>En vente</t>
        </is>
      </c>
      <c r="F604" s="18" t="n">
        <v>46302</v>
      </c>
      <c r="G604" s="18" t="n">
        <v>46302</v>
      </c>
      <c r="H604" s="18" t="n">
        <v>46310</v>
      </c>
      <c r="I604" s="18" t="n"/>
      <c r="J604" s="17">
        <f>IF(OR(ISNUMBER(F604),ISNUMBER(G604)),IF(ISNUMBER(I604),I604,H604)-IF(ISNUMBER(F604),F604,G604),"")</f>
        <v/>
      </c>
      <c r="K604" s="12" t="n">
        <v>9999</v>
      </c>
      <c r="L604" s="12" t="n">
        <v>9999</v>
      </c>
      <c r="M604" s="13">
        <f>IF(AND(ISNUMBER(K604),ISNUMBER(L604),K604&gt;0),1-L604/K604,"")</f>
        <v/>
      </c>
      <c r="N604" s="16" t="n">
        <v>0</v>
      </c>
      <c r="O604" s="12" t="n"/>
      <c r="P604" s="12" t="n"/>
      <c r="Q604" s="12" t="n"/>
      <c r="R604" s="14">
        <f>IF(AND(ISNUMBER(L604),ISNUMBER(P604),ISNUMBER(Q604)),L604/((P604+Q604)/2)-1,"")</f>
        <v/>
      </c>
      <c r="S604" s="10" t="n"/>
      <c r="T604" s="15" t="n">
        <v>128000</v>
      </c>
      <c r="U604" s="16" t="n">
        <v>2003</v>
      </c>
      <c r="V604" s="10" t="inlineStr">
        <is>
          <t>10/2003</t>
        </is>
      </c>
      <c r="W604" s="10" t="inlineStr">
        <is>
          <t>Essence</t>
        </is>
      </c>
      <c r="X604" s="10" t="inlineStr">
        <is>
          <t>Manuelle</t>
        </is>
      </c>
      <c r="Y604" s="16" t="n">
        <v>172</v>
      </c>
      <c r="Z604" s="16" t="n">
        <v>10</v>
      </c>
      <c r="AA604" s="10" t="inlineStr">
        <is>
          <t>Autre</t>
        </is>
      </c>
      <c r="AB604" s="16" t="n">
        <v>3</v>
      </c>
      <c r="AC604" s="10" t="inlineStr">
        <is>
          <t>Berline</t>
        </is>
      </c>
      <c r="AD604" s="10" t="n"/>
      <c r="AE604" s="10" t="n"/>
      <c r="AF604" s="10" t="inlineStr">
        <is>
          <t>Pro</t>
        </is>
      </c>
      <c r="AG604" s="10" t="inlineStr">
        <is>
          <t>Biarritz</t>
        </is>
      </c>
      <c r="AH604" s="10" t="inlineStr">
        <is>
          <t>64200</t>
        </is>
      </c>
      <c r="AI604" s="10" t="inlineStr">
        <is>
          <t>Pyrénées-Atlantiques</t>
        </is>
      </c>
      <c r="AJ604" s="10" t="inlineStr">
        <is>
          <t>Aquitaine</t>
        </is>
      </c>
      <c r="AK604" s="16" t="n">
        <v>10</v>
      </c>
      <c r="AL604" s="10" t="n"/>
      <c r="AM604" s="10" t="inlineStr">
        <is>
          <t>Non</t>
        </is>
      </c>
      <c r="AN604" s="10" t="inlineStr">
        <is>
          <t>Renault Clio 2 RS PlayStation, dans une configuration orientée performance et utilisation sportive. Véhicule destiné à un connaisseur ou amateur averti, recherchant une Clio RS déjà préparée et équipée, plutôt qu’un exemplaire strictement d’origine. Équipements et modifications visibles sur le véhicule : volant Renault Sport Sabelt, Sièges Clio RS ,coupe-circuit, instrumentation additionnelle, barre anti-rapprochement, éléments moteur et admission modifiés, jantes sport, freinage optimisé, ainsi</t>
        </is>
      </c>
      <c r="AO604" s="10" t="inlineStr">
        <is>
          <t>Permis : Avec permis ; VO récent : false ; vehicle_commercial_warranty : Non ; vehicle_manufacturer_warranty : Non ; Importé : false ; vehicle_history_report_status : hidden ; spare_parts_availability : Non renseignée</t>
        </is>
      </c>
      <c r="AP604" s="19" t="inlineStr">
        <is>
          <t>Voir</t>
        </is>
      </c>
      <c r="AQ604" s="10" t="inlineStr">
        <is>
          <t>3284044209</t>
        </is>
      </c>
    </row>
    <row r="605">
      <c r="A605" s="10" t="inlineStr">
        <is>
          <t>Renault Clio II RS (172/182 ch)</t>
        </is>
      </c>
      <c r="B605" s="10" t="inlineStr">
        <is>
          <t>RENAULT CLIO RS 2.0 16v , 168000km</t>
        </is>
      </c>
      <c r="C605" s="10" t="inlineStr">
        <is>
          <t>RS_Clio 2.0 16v 172ch RS 3p</t>
        </is>
      </c>
      <c r="D605" s="10" t="inlineStr">
        <is>
          <t>RS</t>
        </is>
      </c>
      <c r="E605" s="10" t="inlineStr">
        <is>
          <t>En vente</t>
        </is>
      </c>
      <c r="F605" s="18" t="n">
        <v>46304</v>
      </c>
      <c r="G605" s="18" t="n">
        <v>46304</v>
      </c>
      <c r="H605" s="18" t="n">
        <v>46310</v>
      </c>
      <c r="I605" s="18" t="n"/>
      <c r="J605" s="17">
        <f>IF(OR(ISNUMBER(F605),ISNUMBER(G605)),IF(ISNUMBER(I605),I605,H605)-IF(ISNUMBER(F605),F605,G605),"")</f>
        <v/>
      </c>
      <c r="K605" s="12" t="n">
        <v>6490</v>
      </c>
      <c r="L605" s="12" t="n">
        <v>6490</v>
      </c>
      <c r="M605" s="13">
        <f>IF(AND(ISNUMBER(K605),ISNUMBER(L605),K605&gt;0),1-L605/K605,"")</f>
        <v/>
      </c>
      <c r="N605" s="16" t="n">
        <v>0</v>
      </c>
      <c r="O605" s="12" t="n"/>
      <c r="P605" s="12" t="n"/>
      <c r="Q605" s="12" t="n"/>
      <c r="R605" s="14">
        <f>IF(AND(ISNUMBER(L605),ISNUMBER(P605),ISNUMBER(Q605)),L605/((P605+Q605)/2)-1,"")</f>
        <v/>
      </c>
      <c r="S605" s="10" t="n"/>
      <c r="T605" s="15" t="n">
        <v>168000</v>
      </c>
      <c r="U605" s="16" t="n">
        <v>2001</v>
      </c>
      <c r="V605" s="10" t="inlineStr">
        <is>
          <t>07/2001</t>
        </is>
      </c>
      <c r="W605" s="10" t="inlineStr">
        <is>
          <t>Essence</t>
        </is>
      </c>
      <c r="X605" s="10" t="inlineStr">
        <is>
          <t>Manuelle</t>
        </is>
      </c>
      <c r="Y605" s="16" t="n">
        <v>172</v>
      </c>
      <c r="Z605" s="16" t="n"/>
      <c r="AA605" s="10" t="n"/>
      <c r="AB605" s="16" t="n"/>
      <c r="AC605" s="10" t="n"/>
      <c r="AD605" s="10" t="n"/>
      <c r="AE605" s="10" t="n"/>
      <c r="AF605" s="10" t="inlineStr">
        <is>
          <t>Pro</t>
        </is>
      </c>
      <c r="AG605" s="10" t="inlineStr">
        <is>
          <t>Durrenbach</t>
        </is>
      </c>
      <c r="AH605" s="10" t="inlineStr">
        <is>
          <t>67360</t>
        </is>
      </c>
      <c r="AI605" s="10" t="inlineStr">
        <is>
          <t>Bas-Rhin</t>
        </is>
      </c>
      <c r="AJ605" s="10" t="inlineStr">
        <is>
          <t>Alsace</t>
        </is>
      </c>
      <c r="AK605" s="16" t="n">
        <v>5</v>
      </c>
      <c r="AL605" s="10" t="n"/>
      <c r="AM605" s="10" t="inlineStr">
        <is>
          <t>Non</t>
        </is>
      </c>
      <c r="AN605" s="10" t="inlineStr">
        <is>
          <t>Bonjour pour plus de renseignements merci de bien vouloir appeler uniquement. Aucune réponse aux mails, message ni SMS ne sera assuré merci de votre compréhension. A vendre une chouette Renault Clio II RS. Véhicule en dépôt-vente Il s'agit d'une Renault Sport 2.0 16V Clio Clio RS. Elle est de juillet 2001. 168000 km. Elle possède son carnet d'entretien. Le véhicule est en bon état général il démarre et roule parfaitement. Contrôle technique à jour il est valable jusqu'en octobre 2028 (il a moins</t>
        </is>
      </c>
      <c r="AO605" s="10" t="inlineStr">
        <is>
          <t>Permis : Avec permis ; VO récent : false ; vehicle_commercial_warranty : Non ; vehicle_manufacturer_warranty : Non ; Importé : false ; spare_parts_availability : Non renseignée</t>
        </is>
      </c>
      <c r="AP605" s="19" t="inlineStr">
        <is>
          <t>Voir</t>
        </is>
      </c>
      <c r="AQ605" s="10" t="inlineStr">
        <is>
          <t>3285271531</t>
        </is>
      </c>
    </row>
    <row r="606">
      <c r="A606" s="10" t="inlineStr">
        <is>
          <t>Renault Clio II RS (172/182 ch)</t>
        </is>
      </c>
      <c r="B606" s="10" t="inlineStr">
        <is>
          <t>Clio RS phase 2</t>
        </is>
      </c>
      <c r="C606" s="10" t="n"/>
      <c r="D606" s="10" t="n"/>
      <c r="E606" s="10" t="inlineStr">
        <is>
          <t>En vente</t>
        </is>
      </c>
      <c r="F606" s="18" t="n">
        <v>46305</v>
      </c>
      <c r="G606" s="18" t="n">
        <v>46305</v>
      </c>
      <c r="H606" s="18" t="n">
        <v>46310</v>
      </c>
      <c r="I606" s="18" t="n"/>
      <c r="J606" s="17">
        <f>IF(OR(ISNUMBER(F606),ISNUMBER(G606)),IF(ISNUMBER(I606),I606,H606)-IF(ISNUMBER(F606),F606,G606),"")</f>
        <v/>
      </c>
      <c r="K606" s="12" t="n">
        <v>7000</v>
      </c>
      <c r="L606" s="12" t="n">
        <v>7000</v>
      </c>
      <c r="M606" s="13">
        <f>IF(AND(ISNUMBER(K606),ISNUMBER(L606),K606&gt;0),1-L606/K606,"")</f>
        <v/>
      </c>
      <c r="N606" s="16" t="n">
        <v>0</v>
      </c>
      <c r="O606" s="12" t="n"/>
      <c r="P606" s="12" t="n"/>
      <c r="Q606" s="12" t="n"/>
      <c r="R606" s="14">
        <f>IF(AND(ISNUMBER(L606),ISNUMBER(P606),ISNUMBER(Q606)),L606/((P606+Q606)/2)-1,"")</f>
        <v/>
      </c>
      <c r="S606" s="10" t="n"/>
      <c r="T606" s="15" t="n">
        <v>165000</v>
      </c>
      <c r="U606" s="16" t="n">
        <v>2002</v>
      </c>
      <c r="V606" s="10" t="inlineStr">
        <is>
          <t>07/2002</t>
        </is>
      </c>
      <c r="W606" s="10" t="inlineStr">
        <is>
          <t>Essence</t>
        </is>
      </c>
      <c r="X606" s="10" t="inlineStr">
        <is>
          <t>Manuelle</t>
        </is>
      </c>
      <c r="Y606" s="16" t="n">
        <v>172</v>
      </c>
      <c r="Z606" s="16" t="n">
        <v>10</v>
      </c>
      <c r="AA606" s="10" t="inlineStr">
        <is>
          <t>Autre</t>
        </is>
      </c>
      <c r="AB606" s="16" t="n">
        <v>3</v>
      </c>
      <c r="AC606" s="10" t="inlineStr">
        <is>
          <t>Berline</t>
        </is>
      </c>
      <c r="AD606" s="10" t="n"/>
      <c r="AE606" s="10" t="n"/>
      <c r="AF606" s="10" t="inlineStr">
        <is>
          <t>Pro</t>
        </is>
      </c>
      <c r="AG606" s="10" t="inlineStr">
        <is>
          <t>La Mure</t>
        </is>
      </c>
      <c r="AH606" s="10" t="inlineStr">
        <is>
          <t>38350</t>
        </is>
      </c>
      <c r="AI606" s="10" t="inlineStr">
        <is>
          <t>Isère</t>
        </is>
      </c>
      <c r="AJ606" s="10" t="inlineStr">
        <is>
          <t>Rhône-Alpes</t>
        </is>
      </c>
      <c r="AK606" s="16" t="n">
        <v>5</v>
      </c>
      <c r="AL606" s="10" t="n"/>
      <c r="AM606" s="10" t="inlineStr">
        <is>
          <t>Non</t>
        </is>
      </c>
      <c r="AN606" s="10" t="inlineStr">
        <is>
          <t>Je me sépare de ma Clio RS phase 2 de juillet 2002. 165000 kms évolutifs, car je roule quotidiennement avec. La mécanique fonctionne parfaitement, mais nécessite quelques frais (échappement, pompe de DA, ...). La distribution est à jour. La carrosserie est en bon état, mais présente quelques défauts (rayures principalement). L'intérieur est en très bon état pour ce modèle. Véhicule pouvant se destiner à un usage quotidien ou à une restauration, ce que je souhaitais faire, mais je n'ai pas le tem</t>
        </is>
      </c>
      <c r="AO606" s="10" t="inlineStr">
        <is>
          <t>Permis : Avec permis ; VO récent : false ; vehicle_commercial_warranty : Non ; vehicle_manufacturer_warranty : Non ; Importé : false ; vehicle_history_report_status : visible ; spare_parts_availability : Non renseignée</t>
        </is>
      </c>
      <c r="AP606" s="19" t="inlineStr">
        <is>
          <t>Voir</t>
        </is>
      </c>
      <c r="AQ606" s="10" t="inlineStr">
        <is>
          <t>3285680308</t>
        </is>
      </c>
    </row>
    <row r="607">
      <c r="A607" s="10" t="inlineStr">
        <is>
          <t>Renault Clio II RS (172/182 ch)</t>
        </is>
      </c>
      <c r="B607" s="10" t="inlineStr">
        <is>
          <t>Vends clio rs 2002</t>
        </is>
      </c>
      <c r="C607" s="10" t="n"/>
      <c r="D607" s="10" t="n"/>
      <c r="E607" s="10" t="inlineStr">
        <is>
          <t>En vente</t>
        </is>
      </c>
      <c r="F607" s="18" t="n">
        <v>46306</v>
      </c>
      <c r="G607" s="18" t="n">
        <v>46306</v>
      </c>
      <c r="H607" s="18" t="n">
        <v>46310</v>
      </c>
      <c r="I607" s="18" t="n"/>
      <c r="J607" s="17">
        <f>IF(OR(ISNUMBER(F607),ISNUMBER(G607)),IF(ISNUMBER(I607),I607,H607)-IF(ISNUMBER(F607),F607,G607),"")</f>
        <v/>
      </c>
      <c r="K607" s="12" t="n">
        <v>9000</v>
      </c>
      <c r="L607" s="12" t="n">
        <v>9000</v>
      </c>
      <c r="M607" s="13">
        <f>IF(AND(ISNUMBER(K607),ISNUMBER(L607),K607&gt;0),1-L607/K607,"")</f>
        <v/>
      </c>
      <c r="N607" s="16" t="n">
        <v>0</v>
      </c>
      <c r="O607" s="12" t="n"/>
      <c r="P607" s="12" t="n"/>
      <c r="Q607" s="12" t="n"/>
      <c r="R607" s="14">
        <f>IF(AND(ISNUMBER(L607),ISNUMBER(P607),ISNUMBER(Q607)),L607/((P607+Q607)/2)-1,"")</f>
        <v/>
      </c>
      <c r="S607" s="10" t="n"/>
      <c r="T607" s="15" t="n">
        <v>201000</v>
      </c>
      <c r="U607" s="16" t="n">
        <v>2002</v>
      </c>
      <c r="V607" s="10" t="inlineStr">
        <is>
          <t>05/2002</t>
        </is>
      </c>
      <c r="W607" s="10" t="inlineStr">
        <is>
          <t>Essence</t>
        </is>
      </c>
      <c r="X607" s="10" t="inlineStr">
        <is>
          <t>Manuelle</t>
        </is>
      </c>
      <c r="Y607" s="16" t="n">
        <v>172</v>
      </c>
      <c r="Z607" s="16" t="n">
        <v>10</v>
      </c>
      <c r="AA607" s="10" t="inlineStr">
        <is>
          <t>Gris</t>
        </is>
      </c>
      <c r="AB607" s="16" t="n">
        <v>3</v>
      </c>
      <c r="AC607" s="10" t="inlineStr">
        <is>
          <t>Berline</t>
        </is>
      </c>
      <c r="AD607" s="10" t="inlineStr">
        <is>
          <t>Factures disponibles</t>
        </is>
      </c>
      <c r="AE607" s="10" t="n"/>
      <c r="AF607" s="10" t="inlineStr">
        <is>
          <t>Particulier</t>
        </is>
      </c>
      <c r="AG607" s="10" t="inlineStr">
        <is>
          <t>Saint-André</t>
        </is>
      </c>
      <c r="AH607" s="10" t="inlineStr">
        <is>
          <t>66690</t>
        </is>
      </c>
      <c r="AI607" s="10" t="inlineStr">
        <is>
          <t>Pyrénées-Orientales</t>
        </is>
      </c>
      <c r="AJ607" s="10" t="inlineStr">
        <is>
          <t>Languedoc-Roussillon</t>
        </is>
      </c>
      <c r="AK607" s="16" t="n">
        <v>3</v>
      </c>
      <c r="AL607" s="10" t="n"/>
      <c r="AM607" s="10" t="inlineStr">
        <is>
          <t>Non</t>
        </is>
      </c>
      <c r="AN607" s="10" t="inlineStr">
        <is>
          <t>Clio rs en très bonne état 5000 euro de frais liste sur demande Problème de boîte résolue par l ancien propriétaire remplacement de celle ci Très propre et fonctionne parfaitement juste le siège conducteur décousu refait pour la vente Sieges chauffant toit ouvrant d origine GPS pour plus de question je suis a votre disposition</t>
        </is>
      </c>
      <c r="AO607" s="10" t="inlineStr">
        <is>
          <t>Dommages : Bon état général ; Sellerie : Alcantara ; Permis : Avec permis ; Importé : false</t>
        </is>
      </c>
      <c r="AP607" s="19" t="inlineStr">
        <is>
          <t>Voir</t>
        </is>
      </c>
      <c r="AQ607" s="10" t="inlineStr">
        <is>
          <t>3286310573</t>
        </is>
      </c>
    </row>
    <row r="608">
      <c r="A608" s="10" t="inlineStr">
        <is>
          <t>Renault Clio II RS (172/182 ch)</t>
        </is>
      </c>
      <c r="B608" s="10" t="inlineStr">
        <is>
          <t>Renault Clio RS 2 182 noire</t>
        </is>
      </c>
      <c r="C608" s="10" t="inlineStr">
        <is>
          <t>Renault Sport_Clio 2.0 16v 182ch Renault Sport 3p</t>
        </is>
      </c>
      <c r="D608" s="10" t="inlineStr">
        <is>
          <t>Renault Sport</t>
        </is>
      </c>
      <c r="E608" s="10" t="inlineStr">
        <is>
          <t>En vente</t>
        </is>
      </c>
      <c r="F608" s="18" t="n">
        <v>46307</v>
      </c>
      <c r="G608" s="18" t="n">
        <v>46307</v>
      </c>
      <c r="H608" s="18" t="n">
        <v>46310</v>
      </c>
      <c r="I608" s="18" t="n"/>
      <c r="J608" s="17">
        <f>IF(OR(ISNUMBER(F608),ISNUMBER(G608)),IF(ISNUMBER(I608),I608,H608)-IF(ISNUMBER(F608),F608,G608),"")</f>
        <v/>
      </c>
      <c r="K608" s="12" t="n">
        <v>11900</v>
      </c>
      <c r="L608" s="12" t="n">
        <v>11900</v>
      </c>
      <c r="M608" s="13">
        <f>IF(AND(ISNUMBER(K608),ISNUMBER(L608),K608&gt;0),1-L608/K608,"")</f>
        <v/>
      </c>
      <c r="N608" s="16" t="n">
        <v>0</v>
      </c>
      <c r="O608" s="12" t="n"/>
      <c r="P608" s="12" t="n"/>
      <c r="Q608" s="12" t="n"/>
      <c r="R608" s="14">
        <f>IF(AND(ISNUMBER(L608),ISNUMBER(P608),ISNUMBER(Q608)),L608/((P608+Q608)/2)-1,"")</f>
        <v/>
      </c>
      <c r="S608" s="10" t="n"/>
      <c r="T608" s="15" t="n">
        <v>170000</v>
      </c>
      <c r="U608" s="16" t="n">
        <v>2004</v>
      </c>
      <c r="V608" s="10" t="inlineStr">
        <is>
          <t>04/2004</t>
        </is>
      </c>
      <c r="W608" s="10" t="inlineStr">
        <is>
          <t>Essence</t>
        </is>
      </c>
      <c r="X608" s="10" t="inlineStr">
        <is>
          <t>Manuelle</t>
        </is>
      </c>
      <c r="Y608" s="16" t="n">
        <v>182</v>
      </c>
      <c r="Z608" s="16" t="n">
        <v>11</v>
      </c>
      <c r="AA608" s="10" t="inlineStr">
        <is>
          <t>Noir</t>
        </is>
      </c>
      <c r="AB608" s="16" t="n">
        <v>3</v>
      </c>
      <c r="AC608" s="10" t="inlineStr">
        <is>
          <t>Berline</t>
        </is>
      </c>
      <c r="AD608" s="10" t="inlineStr">
        <is>
          <t>Carnet d'entretien disponible</t>
        </is>
      </c>
      <c r="AE608" s="10" t="n"/>
      <c r="AF608" s="10" t="inlineStr">
        <is>
          <t>Particulier</t>
        </is>
      </c>
      <c r="AG608" s="10" t="inlineStr">
        <is>
          <t>Septèmes-les-Vallons</t>
        </is>
      </c>
      <c r="AH608" s="10" t="inlineStr">
        <is>
          <t>13240</t>
        </is>
      </c>
      <c r="AI608" s="10" t="inlineStr">
        <is>
          <t>Bouches-du-Rhône</t>
        </is>
      </c>
      <c r="AJ608" s="10" t="inlineStr">
        <is>
          <t>Provence-Alpes-Côte d'Azur</t>
        </is>
      </c>
      <c r="AK608" s="16" t="n">
        <v>3</v>
      </c>
      <c r="AL608" s="10" t="n"/>
      <c r="AM608" s="10" t="inlineStr">
        <is>
          <t>Non</t>
        </is>
      </c>
      <c r="AN608" s="10" t="inlineStr">
        <is>
          <t>Clio 2 rs 182 noire véhicule en très bon état général entretien et réparation a jour avec carnet d entretien pour plus de renseignements veuillez me contacter par message si vraiment intéressé</t>
        </is>
      </c>
      <c r="AO608" s="10" t="inlineStr">
        <is>
          <t>vehicle_technical_inspection_valid : Oui ; Contrôle technique : 2027 ; Dommages : Excellent état (proche du neuf) ; Sellerie : Alcantara ; Équipements intérieurs : Allumage automatique des phares, Climatisation, Coffre à ouverture électrique, Essuie-glaces automatiques, Jantes en alliage, Ordinateur de bord, Phares LED / Xenon ; Permis : Avec permis ; Importé : false ; vehicle_history_teaser_critair : 3 ; vehicle_history_teaser_owners : 2 ; vehicle_history_teaser_expertises : false ; vehicle_history_teaser_special_uses : false ; vehicle_history_teaser_atypical_operations : true ; vehicle_history_teaser_importations : true</t>
        </is>
      </c>
      <c r="AP608" s="19" t="inlineStr">
        <is>
          <t>Voir</t>
        </is>
      </c>
      <c r="AQ608" s="10" t="inlineStr">
        <is>
          <t>3286902597</t>
        </is>
      </c>
    </row>
    <row r="609">
      <c r="A609" s="10" t="inlineStr">
        <is>
          <t>Renault Clio II RS (172/182 ch)</t>
        </is>
      </c>
      <c r="B609" s="10" t="inlineStr">
        <is>
          <t>Clio rs phase 1 additionnel bio éthanol</t>
        </is>
      </c>
      <c r="C609" s="10" t="inlineStr">
        <is>
          <t>Clio 2.0 16v 200ch Renault Sport 3p</t>
        </is>
      </c>
      <c r="D609" s="10" t="inlineStr">
        <is>
          <t>Renault Sport</t>
        </is>
      </c>
      <c r="E609" s="10" t="inlineStr">
        <is>
          <t>En vente</t>
        </is>
      </c>
      <c r="F609" s="18" t="n">
        <v>46307</v>
      </c>
      <c r="G609" s="18" t="n">
        <v>46307</v>
      </c>
      <c r="H609" s="18" t="n">
        <v>46310</v>
      </c>
      <c r="I609" s="18" t="n"/>
      <c r="J609" s="17">
        <f>IF(OR(ISNUMBER(F609),ISNUMBER(G609)),IF(ISNUMBER(I609),I609,H609)-IF(ISNUMBER(F609),F609,G609),"")</f>
        <v/>
      </c>
      <c r="K609" s="12" t="n">
        <v>7599</v>
      </c>
      <c r="L609" s="12" t="n">
        <v>7599</v>
      </c>
      <c r="M609" s="13">
        <f>IF(AND(ISNUMBER(K609),ISNUMBER(L609),K609&gt;0),1-L609/K609,"")</f>
        <v/>
      </c>
      <c r="N609" s="16" t="n">
        <v>0</v>
      </c>
      <c r="O609" s="12" t="n"/>
      <c r="P609" s="12" t="n">
        <v>6910</v>
      </c>
      <c r="Q609" s="12" t="n">
        <v>7640</v>
      </c>
      <c r="R609" s="14">
        <f>IF(AND(ISNUMBER(L609),ISNUMBER(P609),ISNUMBER(Q609)),L609/((P609+Q609)/2)-1,"")</f>
        <v/>
      </c>
      <c r="S609" s="10" t="inlineStr">
        <is>
          <t>Prix équitable</t>
        </is>
      </c>
      <c r="T609" s="15" t="n">
        <v>255000</v>
      </c>
      <c r="U609" s="16" t="n">
        <v>2006</v>
      </c>
      <c r="V609" s="10" t="inlineStr">
        <is>
          <t>11/2006</t>
        </is>
      </c>
      <c r="W609" s="10" t="inlineStr">
        <is>
          <t>Essence</t>
        </is>
      </c>
      <c r="X609" s="10" t="inlineStr">
        <is>
          <t>Manuelle</t>
        </is>
      </c>
      <c r="Y609" s="16" t="n">
        <v>200</v>
      </c>
      <c r="Z609" s="16" t="n">
        <v>12</v>
      </c>
      <c r="AA609" s="10" t="inlineStr">
        <is>
          <t>Noir</t>
        </is>
      </c>
      <c r="AB609" s="16" t="n">
        <v>3</v>
      </c>
      <c r="AC609" s="10" t="inlineStr">
        <is>
          <t>Berline</t>
        </is>
      </c>
      <c r="AD609" s="10" t="inlineStr">
        <is>
          <t>Factures disponibles</t>
        </is>
      </c>
      <c r="AE609" s="10" t="n"/>
      <c r="AF609" s="10" t="inlineStr">
        <is>
          <t>Particulier</t>
        </is>
      </c>
      <c r="AG609" s="10" t="inlineStr">
        <is>
          <t>Marseille</t>
        </is>
      </c>
      <c r="AH609" s="10" t="inlineStr">
        <is>
          <t>13006</t>
        </is>
      </c>
      <c r="AI609" s="10" t="inlineStr">
        <is>
          <t>Bouches-du-Rhône</t>
        </is>
      </c>
      <c r="AJ609" s="10" t="inlineStr">
        <is>
          <t>Provence-Alpes-Côte d'Azur</t>
        </is>
      </c>
      <c r="AK609" s="16" t="n">
        <v>3</v>
      </c>
      <c r="AL609" s="10" t="n"/>
      <c r="AM609" s="10" t="inlineStr">
        <is>
          <t>Non</t>
        </is>
      </c>
      <c r="AN609" s="10" t="inlineStr">
        <is>
          <t>Renault Clio III RS année 2006, totalisant 255 000 km, essentiellement effectués sur autoroute, donc moteur peu sollicité et boîte sans problème. Équipée d’un toit ouvrant, sono auditorium, système Cabasse, régulateur de vitesse, ABS, direction assistée, double des clés, pas de démarrage à carte donc moins de risques de panne. Sort de révision : renault disques et plaquettes avant, distribution, poulie de déphasage ainsi que de nombreux capteurs périphériques ont été remplacés, travaux effectués</t>
        </is>
      </c>
      <c r="AO609" s="10" t="inlineStr">
        <is>
          <t>vehicle_technical_inspection_valid : Non ; Dommages : Traces d’usure normales ; Permis : Avec permis ; Importé : false ; vehicle_history_teaser_critair : 2 ; vehicle_history_teaser_owners : 15 ; vehicle_history_teaser_expertises : false ; vehicle_history_teaser_special_uses : true ; vehicle_history_teaser_atypical_operations : false ; vehicle_history_teaser_importations : false</t>
        </is>
      </c>
      <c r="AP609" s="19" t="inlineStr">
        <is>
          <t>Voir</t>
        </is>
      </c>
      <c r="AQ609" s="10" t="inlineStr">
        <is>
          <t>3287358182</t>
        </is>
      </c>
    </row>
    <row r="610">
      <c r="A610" s="10" t="inlineStr">
        <is>
          <t>Renault Clio II RS (172/182 ch)</t>
        </is>
      </c>
      <c r="B610" s="10" t="inlineStr">
        <is>
          <t>Renault Clio rs 2.0i 16v 182cHv 2.0I 182chvv sport</t>
        </is>
      </c>
      <c r="C610" s="10" t="inlineStr">
        <is>
          <t>Clio 2.0 16v 172ch RS 3p</t>
        </is>
      </c>
      <c r="D610" s="10" t="inlineStr">
        <is>
          <t>RS</t>
        </is>
      </c>
      <c r="E610" s="10" t="inlineStr">
        <is>
          <t>En vente</t>
        </is>
      </c>
      <c r="F610" s="18" t="n">
        <v>46308</v>
      </c>
      <c r="G610" s="18" t="n">
        <v>46308</v>
      </c>
      <c r="H610" s="18" t="n">
        <v>46310</v>
      </c>
      <c r="I610" s="18" t="n"/>
      <c r="J610" s="17">
        <f>IF(OR(ISNUMBER(F610),ISNUMBER(G610)),IF(ISNUMBER(I610),I610,H610)-IF(ISNUMBER(F610),F610,G610),"")</f>
        <v/>
      </c>
      <c r="K610" s="12" t="n">
        <v>12990</v>
      </c>
      <c r="L610" s="12" t="n">
        <v>12990</v>
      </c>
      <c r="M610" s="13">
        <f>IF(AND(ISNUMBER(K610),ISNUMBER(L610),K610&gt;0),1-L610/K610,"")</f>
        <v/>
      </c>
      <c r="N610" s="16" t="n">
        <v>0</v>
      </c>
      <c r="O610" s="12" t="n"/>
      <c r="P610" s="12" t="n"/>
      <c r="Q610" s="12" t="n"/>
      <c r="R610" s="14">
        <f>IF(AND(ISNUMBER(L610),ISNUMBER(P610),ISNUMBER(Q610)),L610/((P610+Q610)/2)-1,"")</f>
        <v/>
      </c>
      <c r="S610" s="10" t="n"/>
      <c r="T610" s="15" t="n">
        <v>107800</v>
      </c>
      <c r="U610" s="16" t="n">
        <v>2005</v>
      </c>
      <c r="V610" s="10" t="inlineStr">
        <is>
          <t>04/2005</t>
        </is>
      </c>
      <c r="W610" s="10" t="inlineStr">
        <is>
          <t>Essence</t>
        </is>
      </c>
      <c r="X610" s="10" t="inlineStr">
        <is>
          <t>Manuelle</t>
        </is>
      </c>
      <c r="Y610" s="16" t="n">
        <v>179</v>
      </c>
      <c r="Z610" s="16" t="n">
        <v>11</v>
      </c>
      <c r="AA610" s="10" t="inlineStr">
        <is>
          <t>Noir</t>
        </is>
      </c>
      <c r="AB610" s="16" t="n">
        <v>3</v>
      </c>
      <c r="AC610" s="10" t="inlineStr">
        <is>
          <t>Berline</t>
        </is>
      </c>
      <c r="AD610" s="10" t="n"/>
      <c r="AE610" s="10" t="n"/>
      <c r="AF610" s="10" t="inlineStr">
        <is>
          <t>Pro</t>
        </is>
      </c>
      <c r="AG610" s="10" t="inlineStr">
        <is>
          <t>Poilly-lez-Gien</t>
        </is>
      </c>
      <c r="AH610" s="10" t="inlineStr">
        <is>
          <t>45500</t>
        </is>
      </c>
      <c r="AI610" s="10" t="inlineStr">
        <is>
          <t>Loiret</t>
        </is>
      </c>
      <c r="AJ610" s="10" t="inlineStr">
        <is>
          <t>Centre</t>
        </is>
      </c>
      <c r="AK610" s="16" t="n">
        <v>9</v>
      </c>
      <c r="AL610" s="10" t="n"/>
      <c r="AM610" s="10" t="inlineStr">
        <is>
          <t>Non</t>
        </is>
      </c>
      <c r="AN610" s="10" t="inlineStr">
        <is>
          <t xml:space="preserve">Renault Clio rs 2.0i 16v 182cHv 2.0I 182chvv sport, berline, noir, 11 cv, 3 portes, première mise en circulation le 11/04/2005. 5 places RENAULT CLIO RS 2.0i 16V Sport, berline, noir , 11 cv, 3 portes, première mise en circulation le 11/04/2005 *** Reprise possible *** 5 places OPTIONS ET ÉQUIPEMENTS : Audio - Télécommunications : - CD - Lecteur CD Conduite : - Contrôle de stabilité ou Contrôle dynamique de trajectoire - Détecteur pluie - Pack sport - détecteur de pluie - pack sport Extérieur : </t>
        </is>
      </c>
      <c r="AO610" s="10" t="inlineStr">
        <is>
          <t>Permis : Avec permis ; VO récent : false ; custom_ref : VRZ_E0C910 ; Importé : true ; vehicle_history_report_status : visible ; spare_parts_availability : Non renseignée</t>
        </is>
      </c>
      <c r="AP610" s="19" t="inlineStr">
        <is>
          <t>Voir</t>
        </is>
      </c>
      <c r="AQ610" s="10" t="inlineStr">
        <is>
          <t>3287481751</t>
        </is>
      </c>
    </row>
    <row r="611">
      <c r="A611" s="10" t="inlineStr">
        <is>
          <t>Renault Clio II RS (172/182 ch)</t>
        </is>
      </c>
      <c r="B611" s="10" t="inlineStr">
        <is>
          <t>Clio rs 182</t>
        </is>
      </c>
      <c r="C611" s="10" t="inlineStr">
        <is>
          <t>Renault Sport_Clio 2.0 16v 182ch Renault Sport 3p</t>
        </is>
      </c>
      <c r="D611" s="10" t="inlineStr">
        <is>
          <t>Renault Sport</t>
        </is>
      </c>
      <c r="E611" s="10" t="inlineStr">
        <is>
          <t>En vente</t>
        </is>
      </c>
      <c r="F611" s="18" t="n">
        <v>46308</v>
      </c>
      <c r="G611" s="18" t="n">
        <v>46308</v>
      </c>
      <c r="H611" s="18" t="n">
        <v>46310</v>
      </c>
      <c r="I611" s="18" t="n"/>
      <c r="J611" s="17">
        <f>IF(OR(ISNUMBER(F611),ISNUMBER(G611)),IF(ISNUMBER(I611),I611,H611)-IF(ISNUMBER(F611),F611,G611),"")</f>
        <v/>
      </c>
      <c r="K611" s="12" t="n">
        <v>10990</v>
      </c>
      <c r="L611" s="12" t="n">
        <v>10990</v>
      </c>
      <c r="M611" s="13">
        <f>IF(AND(ISNUMBER(K611),ISNUMBER(L611),K611&gt;0),1-L611/K611,"")</f>
        <v/>
      </c>
      <c r="N611" s="16" t="n">
        <v>0</v>
      </c>
      <c r="O611" s="12" t="n"/>
      <c r="P611" s="12" t="n"/>
      <c r="Q611" s="12" t="n"/>
      <c r="R611" s="14">
        <f>IF(AND(ISNUMBER(L611),ISNUMBER(P611),ISNUMBER(Q611)),L611/((P611+Q611)/2)-1,"")</f>
        <v/>
      </c>
      <c r="S611" s="10" t="n"/>
      <c r="T611" s="15" t="n">
        <v>149880</v>
      </c>
      <c r="U611" s="16" t="n">
        <v>2004</v>
      </c>
      <c r="V611" s="10" t="inlineStr">
        <is>
          <t>05/2004</t>
        </is>
      </c>
      <c r="W611" s="10" t="inlineStr">
        <is>
          <t>Essence</t>
        </is>
      </c>
      <c r="X611" s="10" t="inlineStr">
        <is>
          <t>Manuelle</t>
        </is>
      </c>
      <c r="Y611" s="16" t="n">
        <v>182</v>
      </c>
      <c r="Z611" s="16" t="n">
        <v>11</v>
      </c>
      <c r="AA611" s="10" t="inlineStr">
        <is>
          <t>Noir</t>
        </is>
      </c>
      <c r="AB611" s="16" t="n">
        <v>3</v>
      </c>
      <c r="AC611" s="10" t="inlineStr">
        <is>
          <t>Citadine</t>
        </is>
      </c>
      <c r="AD611" s="10" t="n"/>
      <c r="AE611" s="10" t="n"/>
      <c r="AF611" s="10" t="inlineStr">
        <is>
          <t>Particulier</t>
        </is>
      </c>
      <c r="AG611" s="10" t="inlineStr">
        <is>
          <t>Nancy</t>
        </is>
      </c>
      <c r="AH611" s="10" t="inlineStr">
        <is>
          <t>54000</t>
        </is>
      </c>
      <c r="AI611" s="10" t="inlineStr">
        <is>
          <t>Meurthe-et-Moselle</t>
        </is>
      </c>
      <c r="AJ611" s="10" t="inlineStr">
        <is>
          <t>Lorraine</t>
        </is>
      </c>
      <c r="AK611" s="16" t="n">
        <v>3</v>
      </c>
      <c r="AL611" s="10" t="n"/>
      <c r="AM611" s="10" t="inlineStr">
        <is>
          <t>Non</t>
        </is>
      </c>
      <c r="AN611" s="10" t="inlineStr">
        <is>
          <t>Je vends ma Renault Clio RS 182 de 2004, une citadine sportive au tempérament affirmé. - Marque : Renault - Modèle : Clio - Finition : Renault Sport - Année : 2004 - Kilométrage : 149 880 km - Motorisation : 2.0 16v 182 ch - Carburant : Essence - Boîte de vitesses : Manuelle - Couleur : Noir - Type de véhicule : Citadine - Nombre de portes : 3 - Nombre de sièges : 5 - Puissance fiscale : 11 Cv - Contrôle technique : Valide jusqu'en 10/2028 N'hésitez pas à me contacter pour plus d'informations ou</t>
        </is>
      </c>
      <c r="AO611" s="10" t="inlineStr">
        <is>
          <t>vehicle_technical_inspection_valid : Oui ; Contrôle technique : 2028 ; Sellerie : Cuir partiel, Alcantara ; Permis : Avec permis ; Importé : false</t>
        </is>
      </c>
      <c r="AP611" s="19" t="inlineStr">
        <is>
          <t>Voir</t>
        </is>
      </c>
      <c r="AQ611" s="10" t="inlineStr">
        <is>
          <t>3287640164</t>
        </is>
      </c>
    </row>
    <row r="612">
      <c r="A612" s="10" t="inlineStr">
        <is>
          <t>Renault Clio II RS (172/182 ch)</t>
        </is>
      </c>
      <c r="B612" s="10" t="inlineStr">
        <is>
          <t>Renault Clio RS</t>
        </is>
      </c>
      <c r="C612" s="10" t="n"/>
      <c r="D612" s="10" t="n"/>
      <c r="E612" s="10" t="inlineStr">
        <is>
          <t>En vente</t>
        </is>
      </c>
      <c r="F612" s="18" t="n">
        <v>46308</v>
      </c>
      <c r="G612" s="18" t="n">
        <v>46308</v>
      </c>
      <c r="H612" s="18" t="n">
        <v>46310</v>
      </c>
      <c r="I612" s="18" t="n"/>
      <c r="J612" s="17">
        <f>IF(OR(ISNUMBER(F612),ISNUMBER(G612)),IF(ISNUMBER(I612),I612,H612)-IF(ISNUMBER(F612),F612,G612),"")</f>
        <v/>
      </c>
      <c r="K612" s="12" t="n">
        <v>4000</v>
      </c>
      <c r="L612" s="12" t="n">
        <v>4000</v>
      </c>
      <c r="M612" s="13">
        <f>IF(AND(ISNUMBER(K612),ISNUMBER(L612),K612&gt;0),1-L612/K612,"")</f>
        <v/>
      </c>
      <c r="N612" s="16" t="n">
        <v>0</v>
      </c>
      <c r="O612" s="12" t="n"/>
      <c r="P612" s="12" t="n"/>
      <c r="Q612" s="12" t="n"/>
      <c r="R612" s="14">
        <f>IF(AND(ISNUMBER(L612),ISNUMBER(P612),ISNUMBER(Q612)),L612/((P612+Q612)/2)-1,"")</f>
        <v/>
      </c>
      <c r="S612" s="10" t="n"/>
      <c r="T612" s="15" t="n">
        <v>220000</v>
      </c>
      <c r="U612" s="16" t="n">
        <v>2000</v>
      </c>
      <c r="V612" s="10" t="inlineStr">
        <is>
          <t>06/2000</t>
        </is>
      </c>
      <c r="W612" s="10" t="inlineStr">
        <is>
          <t>Essence</t>
        </is>
      </c>
      <c r="X612" s="10" t="inlineStr">
        <is>
          <t>Manuelle</t>
        </is>
      </c>
      <c r="Y612" s="16" t="n">
        <v>172</v>
      </c>
      <c r="Z612" s="16" t="n">
        <v>10</v>
      </c>
      <c r="AA612" s="10" t="inlineStr">
        <is>
          <t>Autre</t>
        </is>
      </c>
      <c r="AB612" s="16" t="n">
        <v>3</v>
      </c>
      <c r="AC612" s="10" t="inlineStr">
        <is>
          <t>Berline</t>
        </is>
      </c>
      <c r="AD612" s="10" t="n"/>
      <c r="AE612" s="10" t="n"/>
      <c r="AF612" s="10" t="inlineStr">
        <is>
          <t>Particulier</t>
        </is>
      </c>
      <c r="AG612" s="10" t="inlineStr">
        <is>
          <t>Cuinchy</t>
        </is>
      </c>
      <c r="AH612" s="10" t="inlineStr">
        <is>
          <t>62149</t>
        </is>
      </c>
      <c r="AI612" s="10" t="inlineStr">
        <is>
          <t>Pas-de-Calais</t>
        </is>
      </c>
      <c r="AJ612" s="10" t="inlineStr">
        <is>
          <t>Nord-Pas-de-Calais</t>
        </is>
      </c>
      <c r="AK612" s="16" t="n">
        <v>3</v>
      </c>
      <c r="AL612" s="10" t="n"/>
      <c r="AM612" s="10" t="inlineStr">
        <is>
          <t>Non</t>
        </is>
      </c>
      <c r="AN612" s="10" t="inlineStr">
        <is>
          <t>Vends: Renault clio 2 rs a restaurer carrosserie a reprendre 220000 kms année 2000 capot alu et témoin de passage de vitesse niveau moteur soupapes joint de culasse distribution pompe à eau galet tendeur de courroie d'accessoire poulie de déphasage poulie damper toutes les sondes neuves arbres a cames grA ligne grN calage de distribution grN frein av ar changé cg ok. Prix: 4000 euros a deb</t>
        </is>
      </c>
      <c r="AO612" s="10" t="inlineStr">
        <is>
          <t>Permis : Avec permis ; Importé : false</t>
        </is>
      </c>
      <c r="AP612" s="19" t="inlineStr">
        <is>
          <t>Voir</t>
        </is>
      </c>
      <c r="AQ612" s="10" t="inlineStr">
        <is>
          <t>3287649228</t>
        </is>
      </c>
    </row>
    <row r="613">
      <c r="A613" s="10" t="inlineStr">
        <is>
          <t>Renault Clio II RS (172/182 ch)</t>
        </is>
      </c>
      <c r="B613" s="10" t="inlineStr">
        <is>
          <t>Renault clio rs</t>
        </is>
      </c>
      <c r="C613" s="10" t="n"/>
      <c r="D613" s="10" t="n"/>
      <c r="E613" s="10" t="inlineStr">
        <is>
          <t>En vente</t>
        </is>
      </c>
      <c r="F613" s="18" t="n">
        <v>46308</v>
      </c>
      <c r="G613" s="18" t="n">
        <v>46308</v>
      </c>
      <c r="H613" s="18" t="n">
        <v>46310</v>
      </c>
      <c r="I613" s="18" t="n"/>
      <c r="J613" s="17">
        <f>IF(OR(ISNUMBER(F613),ISNUMBER(G613)),IF(ISNUMBER(I613),I613,H613)-IF(ISNUMBER(F613),F613,G613),"")</f>
        <v/>
      </c>
      <c r="K613" s="12" t="n">
        <v>6500</v>
      </c>
      <c r="L613" s="12" t="n">
        <v>6500</v>
      </c>
      <c r="M613" s="13">
        <f>IF(AND(ISNUMBER(K613),ISNUMBER(L613),K613&gt;0),1-L613/K613,"")</f>
        <v/>
      </c>
      <c r="N613" s="16" t="n">
        <v>0</v>
      </c>
      <c r="O613" s="12" t="n"/>
      <c r="P613" s="12" t="n"/>
      <c r="Q613" s="12" t="n"/>
      <c r="R613" s="14">
        <f>IF(AND(ISNUMBER(L613),ISNUMBER(P613),ISNUMBER(Q613)),L613/((P613+Q613)/2)-1,"")</f>
        <v/>
      </c>
      <c r="S613" s="10" t="n"/>
      <c r="T613" s="15" t="n">
        <v>175000</v>
      </c>
      <c r="U613" s="16" t="n">
        <v>2001</v>
      </c>
      <c r="V613" s="10" t="inlineStr">
        <is>
          <t>03/2001</t>
        </is>
      </c>
      <c r="W613" s="10" t="inlineStr">
        <is>
          <t>Essence</t>
        </is>
      </c>
      <c r="X613" s="10" t="inlineStr">
        <is>
          <t>Manuelle</t>
        </is>
      </c>
      <c r="Y613" s="16" t="n">
        <v>172</v>
      </c>
      <c r="Z613" s="16" t="n">
        <v>10</v>
      </c>
      <c r="AA613" s="10" t="inlineStr">
        <is>
          <t>Autre</t>
        </is>
      </c>
      <c r="AB613" s="16" t="n">
        <v>3</v>
      </c>
      <c r="AC613" s="10" t="inlineStr">
        <is>
          <t>Berline</t>
        </is>
      </c>
      <c r="AD613" s="10" t="n"/>
      <c r="AE613" s="10" t="n"/>
      <c r="AF613" s="10" t="inlineStr">
        <is>
          <t>Particulier</t>
        </is>
      </c>
      <c r="AG613" s="10" t="inlineStr">
        <is>
          <t>Saint-Ambroix</t>
        </is>
      </c>
      <c r="AH613" s="10" t="inlineStr">
        <is>
          <t>30500</t>
        </is>
      </c>
      <c r="AI613" s="10" t="inlineStr">
        <is>
          <t>Gard</t>
        </is>
      </c>
      <c r="AJ613" s="10" t="inlineStr">
        <is>
          <t>Languedoc-Roussillon</t>
        </is>
      </c>
      <c r="AK613" s="16" t="n">
        <v>3</v>
      </c>
      <c r="AL613" s="10" t="n"/>
      <c r="AM613" s="10" t="inlineStr">
        <is>
          <t>Non</t>
        </is>
      </c>
      <c r="AN613" s="10" t="inlineStr">
        <is>
          <t>Renault clio 2 rs phase 1 Tres bel etat. 4 jantes neuves (thermolaquage). 4 pneus neuf michelin sport 3. Sièges chauffeur a revoir Climatisation fonctionnelle Echange possible utilitaire en bon etat.</t>
        </is>
      </c>
      <c r="AO613" s="10" t="inlineStr">
        <is>
          <t>Permis : Avec permis ; Importé : false</t>
        </is>
      </c>
      <c r="AP613" s="19" t="inlineStr">
        <is>
          <t>Voir</t>
        </is>
      </c>
      <c r="AQ613" s="10" t="inlineStr">
        <is>
          <t>3287894943</t>
        </is>
      </c>
    </row>
    <row r="614">
      <c r="A614" s="10" t="inlineStr">
        <is>
          <t>Renault Clio II RS (172/182 ch)</t>
        </is>
      </c>
      <c r="B614" s="10" t="inlineStr">
        <is>
          <t>RENAULT Clio rs 2.0i 16v 182cHv 2.0I 182chvv sport</t>
        </is>
      </c>
      <c r="C614" s="10" t="n"/>
      <c r="D614" s="10" t="n"/>
      <c r="E614" s="10" t="inlineStr">
        <is>
          <t>En vente</t>
        </is>
      </c>
      <c r="F614" s="18" t="n">
        <v>45786</v>
      </c>
      <c r="G614" s="18" t="n">
        <v>45786</v>
      </c>
      <c r="H614" s="18" t="n">
        <v>46296</v>
      </c>
      <c r="I614" s="18" t="n"/>
      <c r="J614" s="17">
        <f>IF(OR(ISNUMBER(F614),ISNUMBER(G614)),IF(ISNUMBER(I614),I614,H614)-IF(ISNUMBER(F614),F614,G614),"")</f>
        <v/>
      </c>
      <c r="K614" s="12" t="n">
        <v>12990</v>
      </c>
      <c r="L614" s="12" t="n">
        <v>12990</v>
      </c>
      <c r="M614" s="13">
        <f>IF(AND(ISNUMBER(K614),ISNUMBER(L614),K614&gt;0),1-L614/K614,"")</f>
        <v/>
      </c>
      <c r="N614" s="16" t="n">
        <v>0</v>
      </c>
      <c r="O614" s="12" t="n"/>
      <c r="P614" s="12" t="n"/>
      <c r="Q614" s="12" t="n"/>
      <c r="R614" s="14">
        <f>IF(AND(ISNUMBER(L614),ISNUMBER(P614),ISNUMBER(Q614)),L614/((P614+Q614)/2)-1,"")</f>
        <v/>
      </c>
      <c r="S614" s="10" t="n"/>
      <c r="T614" s="15" t="n">
        <v>107800</v>
      </c>
      <c r="U614" s="16" t="n">
        <v>2005</v>
      </c>
      <c r="V614" s="10" t="n"/>
      <c r="W614" s="10" t="inlineStr">
        <is>
          <t>Essence</t>
        </is>
      </c>
      <c r="X614" s="10" t="inlineStr">
        <is>
          <t>Manuelle</t>
        </is>
      </c>
      <c r="Y614" s="16" t="n">
        <v>179</v>
      </c>
      <c r="Z614" s="16" t="n">
        <v>11</v>
      </c>
      <c r="AA614" s="10" t="inlineStr">
        <is>
          <t>Noir</t>
        </is>
      </c>
      <c r="AB614" s="16" t="n">
        <v>3</v>
      </c>
      <c r="AC614" s="10" t="inlineStr">
        <is>
          <t>Berline</t>
        </is>
      </c>
      <c r="AD614" s="10" t="n"/>
      <c r="AE614" s="10" t="n"/>
      <c r="AF614" s="10" t="inlineStr">
        <is>
          <t>Pro</t>
        </is>
      </c>
      <c r="AG614" s="10" t="inlineStr">
        <is>
          <t>Poilly-lez-Gien</t>
        </is>
      </c>
      <c r="AH614" s="10" t="inlineStr">
        <is>
          <t>45500</t>
        </is>
      </c>
      <c r="AI614" s="10" t="inlineStr">
        <is>
          <t>Loiret</t>
        </is>
      </c>
      <c r="AJ614" s="10" t="inlineStr">
        <is>
          <t>Centre</t>
        </is>
      </c>
      <c r="AK614" s="16" t="n"/>
      <c r="AL614" s="10" t="n"/>
      <c r="AM614" s="10" t="n"/>
      <c r="AN614" s="10" t="n"/>
      <c r="AO614" s="10" t="n"/>
      <c r="AP614" s="19" t="inlineStr">
        <is>
          <t>Voir</t>
        </is>
      </c>
      <c r="AQ614" s="10" t="inlineStr">
        <is>
          <t>3111952979</t>
        </is>
      </c>
    </row>
    <row r="615">
      <c r="A615" s="10" t="inlineStr">
        <is>
          <t>Renault Clio II RS (172/182 ch)</t>
        </is>
      </c>
      <c r="B615" s="10" t="inlineStr">
        <is>
          <t>Clio rs ps2 edition / ragnotti</t>
        </is>
      </c>
      <c r="C615" s="10" t="n"/>
      <c r="D615" s="10" t="n"/>
      <c r="E615" s="10" t="inlineStr">
        <is>
          <t>En vente</t>
        </is>
      </c>
      <c r="F615" s="18" t="n">
        <v>46264</v>
      </c>
      <c r="G615" s="18" t="n">
        <v>46264</v>
      </c>
      <c r="H615" s="18" t="n">
        <v>46296</v>
      </c>
      <c r="I615" s="18" t="n"/>
      <c r="J615" s="17">
        <f>IF(OR(ISNUMBER(F615),ISNUMBER(G615)),IF(ISNUMBER(I615),I615,H615)-IF(ISNUMBER(F615),F615,G615),"")</f>
        <v/>
      </c>
      <c r="K615" s="12" t="n">
        <v>11990</v>
      </c>
      <c r="L615" s="12" t="n">
        <v>11990</v>
      </c>
      <c r="M615" s="13">
        <f>IF(AND(ISNUMBER(K615),ISNUMBER(L615),K615&gt;0),1-L615/K615,"")</f>
        <v/>
      </c>
      <c r="N615" s="16" t="n">
        <v>0</v>
      </c>
      <c r="O615" s="12" t="n"/>
      <c r="P615" s="12" t="n"/>
      <c r="Q615" s="12" t="n"/>
      <c r="R615" s="14">
        <f>IF(AND(ISNUMBER(L615),ISNUMBER(P615),ISNUMBER(Q615)),L615/((P615+Q615)/2)-1,"")</f>
        <v/>
      </c>
      <c r="S615" s="10" t="n"/>
      <c r="T615" s="15" t="n">
        <v>154000</v>
      </c>
      <c r="U615" s="16" t="n">
        <v>2003</v>
      </c>
      <c r="V615" s="10" t="n"/>
      <c r="W615" s="10" t="inlineStr">
        <is>
          <t>Essence</t>
        </is>
      </c>
      <c r="X615" s="10" t="inlineStr">
        <is>
          <t>Manuelle</t>
        </is>
      </c>
      <c r="Y615" s="16" t="n">
        <v>172</v>
      </c>
      <c r="Z615" s="16" t="n">
        <v>10</v>
      </c>
      <c r="AA615" s="10" t="inlineStr">
        <is>
          <t>Gris</t>
        </is>
      </c>
      <c r="AB615" s="16" t="n">
        <v>3</v>
      </c>
      <c r="AC615" s="10" t="inlineStr">
        <is>
          <t>Citadine</t>
        </is>
      </c>
      <c r="AD615" s="10" t="n"/>
      <c r="AE615" s="10" t="n"/>
      <c r="AF615" s="10" t="inlineStr">
        <is>
          <t>Pro</t>
        </is>
      </c>
      <c r="AG615" s="10" t="inlineStr">
        <is>
          <t>Saint-Girons</t>
        </is>
      </c>
      <c r="AH615" s="10" t="inlineStr">
        <is>
          <t>09200</t>
        </is>
      </c>
      <c r="AI615" s="10" t="inlineStr">
        <is>
          <t>Ariège</t>
        </is>
      </c>
      <c r="AJ615" s="10" t="inlineStr">
        <is>
          <t>Midi-Pyrénées</t>
        </is>
      </c>
      <c r="AK615" s="16" t="n"/>
      <c r="AL615" s="10" t="n"/>
      <c r="AM615" s="10" t="n"/>
      <c r="AN615" s="10" t="n"/>
      <c r="AO615" s="10" t="n"/>
      <c r="AP615" s="19" t="inlineStr">
        <is>
          <t>Voir</t>
        </is>
      </c>
      <c r="AQ615" s="10" t="inlineStr">
        <is>
          <t>3225541573</t>
        </is>
      </c>
    </row>
    <row r="616">
      <c r="A616" s="10" t="inlineStr">
        <is>
          <t>Renault Clio II RS (172/182 ch)</t>
        </is>
      </c>
      <c r="B616" s="10" t="inlineStr">
        <is>
          <t>Clio 2 Rs</t>
        </is>
      </c>
      <c r="C616" s="10" t="n"/>
      <c r="D616" s="10" t="n"/>
      <c r="E616" s="10" t="inlineStr">
        <is>
          <t>En vente</t>
        </is>
      </c>
      <c r="F616" s="18" t="n">
        <v>46281</v>
      </c>
      <c r="G616" s="18" t="n">
        <v>46281</v>
      </c>
      <c r="H616" s="18" t="n">
        <v>46296</v>
      </c>
      <c r="I616" s="18" t="n"/>
      <c r="J616" s="17">
        <f>IF(OR(ISNUMBER(F616),ISNUMBER(G616)),IF(ISNUMBER(I616),I616,H616)-IF(ISNUMBER(F616),F616,G616),"")</f>
        <v/>
      </c>
      <c r="K616" s="12" t="n">
        <v>11000</v>
      </c>
      <c r="L616" s="12" t="n">
        <v>11000</v>
      </c>
      <c r="M616" s="13">
        <f>IF(AND(ISNUMBER(K616),ISNUMBER(L616),K616&gt;0),1-L616/K616,"")</f>
        <v/>
      </c>
      <c r="N616" s="16" t="n">
        <v>0</v>
      </c>
      <c r="O616" s="12" t="n"/>
      <c r="P616" s="12" t="n"/>
      <c r="Q616" s="12" t="n"/>
      <c r="R616" s="14">
        <f>IF(AND(ISNUMBER(L616),ISNUMBER(P616),ISNUMBER(Q616)),L616/((P616+Q616)/2)-1,"")</f>
        <v/>
      </c>
      <c r="S616" s="10" t="n"/>
      <c r="T616" s="15" t="n">
        <v>1000</v>
      </c>
      <c r="U616" s="16" t="n">
        <v>2005</v>
      </c>
      <c r="V616" s="10" t="n"/>
      <c r="W616" s="10" t="inlineStr">
        <is>
          <t>Essence</t>
        </is>
      </c>
      <c r="X616" s="10" t="inlineStr">
        <is>
          <t>Manuelle</t>
        </is>
      </c>
      <c r="Y616" s="16" t="n">
        <v>182</v>
      </c>
      <c r="Z616" s="16" t="n">
        <v>10</v>
      </c>
      <c r="AA616" s="10" t="inlineStr">
        <is>
          <t>Autre</t>
        </is>
      </c>
      <c r="AB616" s="16" t="n">
        <v>3</v>
      </c>
      <c r="AC616" s="10" t="inlineStr">
        <is>
          <t>Berline</t>
        </is>
      </c>
      <c r="AD616" s="10" t="n"/>
      <c r="AE616" s="10" t="n"/>
      <c r="AF616" s="10" t="inlineStr">
        <is>
          <t>Particulier</t>
        </is>
      </c>
      <c r="AG616" s="10" t="inlineStr">
        <is>
          <t>Val-de-Meuse</t>
        </is>
      </c>
      <c r="AH616" s="10" t="inlineStr">
        <is>
          <t>52140</t>
        </is>
      </c>
      <c r="AI616" s="10" t="inlineStr">
        <is>
          <t>Haute-Marne</t>
        </is>
      </c>
      <c r="AJ616" s="10" t="inlineStr">
        <is>
          <t>Champagne-Ardenne</t>
        </is>
      </c>
      <c r="AK616" s="16" t="n"/>
      <c r="AL616" s="10" t="n"/>
      <c r="AM616" s="10" t="n"/>
      <c r="AN616" s="10" t="n"/>
      <c r="AO616" s="10" t="n"/>
      <c r="AP616" s="19" t="inlineStr">
        <is>
          <t>Voir</t>
        </is>
      </c>
      <c r="AQ616" s="10" t="inlineStr">
        <is>
          <t>3234959156</t>
        </is>
      </c>
    </row>
    <row r="617">
      <c r="A617" s="10" t="inlineStr">
        <is>
          <t>Renault Clio II RS (172/182 ch)</t>
        </is>
      </c>
      <c r="B617" s="10" t="inlineStr">
        <is>
          <t>Clio 2 rs</t>
        </is>
      </c>
      <c r="C617" s="10" t="n"/>
      <c r="D617" s="10" t="n"/>
      <c r="E617" s="10" t="inlineStr">
        <is>
          <t>En vente</t>
        </is>
      </c>
      <c r="F617" s="18" t="n">
        <v>46286</v>
      </c>
      <c r="G617" s="18" t="n">
        <v>46286</v>
      </c>
      <c r="H617" s="18" t="n">
        <v>46296</v>
      </c>
      <c r="I617" s="18" t="n"/>
      <c r="J617" s="17">
        <f>IF(OR(ISNUMBER(F617),ISNUMBER(G617)),IF(ISNUMBER(I617),I617,H617)-IF(ISNUMBER(F617),F617,G617),"")</f>
        <v/>
      </c>
      <c r="K617" s="12" t="n">
        <v>8999</v>
      </c>
      <c r="L617" s="12" t="n">
        <v>8999</v>
      </c>
      <c r="M617" s="13">
        <f>IF(AND(ISNUMBER(K617),ISNUMBER(L617),K617&gt;0),1-L617/K617,"")</f>
        <v/>
      </c>
      <c r="N617" s="16" t="n">
        <v>0</v>
      </c>
      <c r="O617" s="12" t="n"/>
      <c r="P617" s="12" t="n"/>
      <c r="Q617" s="12" t="n"/>
      <c r="R617" s="14">
        <f>IF(AND(ISNUMBER(L617),ISNUMBER(P617),ISNUMBER(Q617)),L617/((P617+Q617)/2)-1,"")</f>
        <v/>
      </c>
      <c r="S617" s="10" t="n"/>
      <c r="T617" s="15" t="n">
        <v>184876</v>
      </c>
      <c r="U617" s="16" t="n">
        <v>2002</v>
      </c>
      <c r="V617" s="10" t="n"/>
      <c r="W617" s="10" t="inlineStr">
        <is>
          <t>Essence</t>
        </is>
      </c>
      <c r="X617" s="10" t="inlineStr">
        <is>
          <t>Manuelle</t>
        </is>
      </c>
      <c r="Y617" s="16" t="n">
        <v>172</v>
      </c>
      <c r="Z617" s="16" t="n">
        <v>10</v>
      </c>
      <c r="AA617" s="10" t="inlineStr">
        <is>
          <t>Noir</t>
        </is>
      </c>
      <c r="AB617" s="16" t="n">
        <v>3</v>
      </c>
      <c r="AC617" s="10" t="inlineStr">
        <is>
          <t>Berline</t>
        </is>
      </c>
      <c r="AD617" s="10" t="n"/>
      <c r="AE617" s="10" t="n"/>
      <c r="AF617" s="10" t="inlineStr">
        <is>
          <t>Particulier</t>
        </is>
      </c>
      <c r="AG617" s="10" t="inlineStr">
        <is>
          <t>Beaucourt</t>
        </is>
      </c>
      <c r="AH617" s="10" t="inlineStr">
        <is>
          <t>90500</t>
        </is>
      </c>
      <c r="AI617" s="10" t="inlineStr">
        <is>
          <t>Territoire de Belfort</t>
        </is>
      </c>
      <c r="AJ617" s="10" t="inlineStr">
        <is>
          <t>Franche-Comté</t>
        </is>
      </c>
      <c r="AK617" s="16" t="n"/>
      <c r="AL617" s="10" t="n"/>
      <c r="AM617" s="10" t="n"/>
      <c r="AN617" s="10" t="n"/>
      <c r="AO617" s="10" t="n"/>
      <c r="AP617" s="19" t="inlineStr">
        <is>
          <t>Voir</t>
        </is>
      </c>
      <c r="AQ617" s="10" t="inlineStr">
        <is>
          <t>3235031075</t>
        </is>
      </c>
    </row>
    <row r="618">
      <c r="A618" s="10" t="inlineStr">
        <is>
          <t>Renault Clio II RS (172/182 ch)</t>
        </is>
      </c>
      <c r="B618" s="10" t="inlineStr">
        <is>
          <t>Vend clio rs 182</t>
        </is>
      </c>
      <c r="C618" s="10" t="n"/>
      <c r="D618" s="10" t="n"/>
      <c r="E618" s="10" t="inlineStr">
        <is>
          <t>En vente</t>
        </is>
      </c>
      <c r="F618" s="18" t="n">
        <v>46244</v>
      </c>
      <c r="G618" s="18" t="n">
        <v>46244</v>
      </c>
      <c r="H618" s="18" t="n">
        <v>46296</v>
      </c>
      <c r="I618" s="18" t="n"/>
      <c r="J618" s="17">
        <f>IF(OR(ISNUMBER(F618),ISNUMBER(G618)),IF(ISNUMBER(I618),I618,H618)-IF(ISNUMBER(F618),F618,G618),"")</f>
        <v/>
      </c>
      <c r="K618" s="12" t="n">
        <v>12000</v>
      </c>
      <c r="L618" s="12" t="n">
        <v>12000</v>
      </c>
      <c r="M618" s="13">
        <f>IF(AND(ISNUMBER(K618),ISNUMBER(L618),K618&gt;0),1-L618/K618,"")</f>
        <v/>
      </c>
      <c r="N618" s="16" t="n">
        <v>0</v>
      </c>
      <c r="O618" s="12" t="n"/>
      <c r="P618" s="12" t="n"/>
      <c r="Q618" s="12" t="n"/>
      <c r="R618" s="14">
        <f>IF(AND(ISNUMBER(L618),ISNUMBER(P618),ISNUMBER(Q618)),L618/((P618+Q618)/2)-1,"")</f>
        <v/>
      </c>
      <c r="S618" s="10" t="n"/>
      <c r="T618" s="15" t="n">
        <v>170000</v>
      </c>
      <c r="U618" s="16" t="n">
        <v>2004</v>
      </c>
      <c r="V618" s="10" t="n"/>
      <c r="W618" s="10" t="inlineStr">
        <is>
          <t>Essence</t>
        </is>
      </c>
      <c r="X618" s="10" t="inlineStr">
        <is>
          <t>Manuelle</t>
        </is>
      </c>
      <c r="Y618" s="16" t="n">
        <v>182</v>
      </c>
      <c r="Z618" s="16" t="n">
        <v>11</v>
      </c>
      <c r="AA618" s="10" t="inlineStr">
        <is>
          <t>Noir</t>
        </is>
      </c>
      <c r="AB618" s="16" t="n">
        <v>3</v>
      </c>
      <c r="AC618" s="10" t="inlineStr">
        <is>
          <t>Berline</t>
        </is>
      </c>
      <c r="AD618" s="10" t="n"/>
      <c r="AE618" s="10" t="n"/>
      <c r="AF618" s="10" t="inlineStr">
        <is>
          <t>Particulier</t>
        </is>
      </c>
      <c r="AG618" s="10" t="inlineStr">
        <is>
          <t>Septèmes-les-Vallons</t>
        </is>
      </c>
      <c r="AH618" s="10" t="inlineStr">
        <is>
          <t>13240</t>
        </is>
      </c>
      <c r="AI618" s="10" t="inlineStr">
        <is>
          <t>Bouches-du-Rhône</t>
        </is>
      </c>
      <c r="AJ618" s="10" t="inlineStr">
        <is>
          <t>Provence-Alpes-Côte d'Azur</t>
        </is>
      </c>
      <c r="AK618" s="16" t="n"/>
      <c r="AL618" s="10" t="n"/>
      <c r="AM618" s="10" t="n"/>
      <c r="AN618" s="10" t="n"/>
      <c r="AO618" s="10" t="n"/>
      <c r="AP618" s="19" t="inlineStr">
        <is>
          <t>Voir</t>
        </is>
      </c>
      <c r="AQ618" s="10" t="inlineStr">
        <is>
          <t>3248026868</t>
        </is>
      </c>
    </row>
    <row r="619">
      <c r="A619" s="10" t="inlineStr">
        <is>
          <t>Renault Clio II RS (172/182 ch)</t>
        </is>
      </c>
      <c r="B619" s="10" t="inlineStr">
        <is>
          <t>Clio rs 182 rhd</t>
        </is>
      </c>
      <c r="C619" s="10" t="n"/>
      <c r="D619" s="10" t="n"/>
      <c r="E619" s="10" t="inlineStr">
        <is>
          <t>En vente</t>
        </is>
      </c>
      <c r="F619" s="18" t="n">
        <v>46252</v>
      </c>
      <c r="G619" s="18" t="n">
        <v>46252</v>
      </c>
      <c r="H619" s="18" t="n">
        <v>46296</v>
      </c>
      <c r="I619" s="18" t="n"/>
      <c r="J619" s="17">
        <f>IF(OR(ISNUMBER(F619),ISNUMBER(G619)),IF(ISNUMBER(I619),I619,H619)-IF(ISNUMBER(F619),F619,G619),"")</f>
        <v/>
      </c>
      <c r="K619" s="12" t="n">
        <v>5500</v>
      </c>
      <c r="L619" s="12" t="n">
        <v>5500</v>
      </c>
      <c r="M619" s="13">
        <f>IF(AND(ISNUMBER(K619),ISNUMBER(L619),K619&gt;0),1-L619/K619,"")</f>
        <v/>
      </c>
      <c r="N619" s="16" t="n">
        <v>0</v>
      </c>
      <c r="O619" s="12" t="n"/>
      <c r="P619" s="12" t="n"/>
      <c r="Q619" s="12" t="n"/>
      <c r="R619" s="14">
        <f>IF(AND(ISNUMBER(L619),ISNUMBER(P619),ISNUMBER(Q619)),L619/((P619+Q619)/2)-1,"")</f>
        <v/>
      </c>
      <c r="S619" s="10" t="n"/>
      <c r="T619" s="15" t="n">
        <v>182000</v>
      </c>
      <c r="U619" s="16" t="n">
        <v>2004</v>
      </c>
      <c r="V619" s="10" t="n"/>
      <c r="W619" s="10" t="inlineStr">
        <is>
          <t>Essence</t>
        </is>
      </c>
      <c r="X619" s="10" t="inlineStr">
        <is>
          <t>Manuelle</t>
        </is>
      </c>
      <c r="Y619" s="16" t="n">
        <v>182</v>
      </c>
      <c r="Z619" s="16" t="n">
        <v>10</v>
      </c>
      <c r="AA619" s="10" t="inlineStr">
        <is>
          <t>Autre</t>
        </is>
      </c>
      <c r="AB619" s="16" t="n">
        <v>3</v>
      </c>
      <c r="AC619" s="10" t="inlineStr">
        <is>
          <t>Berline</t>
        </is>
      </c>
      <c r="AD619" s="10" t="n"/>
      <c r="AE619" s="10" t="n"/>
      <c r="AF619" s="10" t="inlineStr">
        <is>
          <t>Particulier</t>
        </is>
      </c>
      <c r="AG619" s="10" t="inlineStr">
        <is>
          <t>Arras</t>
        </is>
      </c>
      <c r="AH619" s="10" t="inlineStr">
        <is>
          <t>62000</t>
        </is>
      </c>
      <c r="AI619" s="10" t="inlineStr">
        <is>
          <t>Pas-de-Calais</t>
        </is>
      </c>
      <c r="AJ619" s="10" t="inlineStr">
        <is>
          <t>Nord-Pas-de-Calais</t>
        </is>
      </c>
      <c r="AK619" s="16" t="n"/>
      <c r="AL619" s="10" t="n"/>
      <c r="AM619" s="10" t="n"/>
      <c r="AN619" s="10" t="n"/>
      <c r="AO619" s="10" t="n"/>
      <c r="AP619" s="19" t="inlineStr">
        <is>
          <t>Voir</t>
        </is>
      </c>
      <c r="AQ619" s="10" t="inlineStr">
        <is>
          <t>3252273657</t>
        </is>
      </c>
    </row>
    <row r="620">
      <c r="A620" s="10" t="inlineStr">
        <is>
          <t>Renault Clio II RS (172/182 ch)</t>
        </is>
      </c>
      <c r="B620" s="10" t="inlineStr">
        <is>
          <t>Clio 2 rs</t>
        </is>
      </c>
      <c r="C620" s="10" t="n"/>
      <c r="D620" s="10" t="n"/>
      <c r="E620" s="10" t="inlineStr">
        <is>
          <t>En vente</t>
        </is>
      </c>
      <c r="F620" s="18" t="n">
        <v>46255</v>
      </c>
      <c r="G620" s="18" t="n">
        <v>46255</v>
      </c>
      <c r="H620" s="18" t="n">
        <v>46296</v>
      </c>
      <c r="I620" s="18" t="n"/>
      <c r="J620" s="17">
        <f>IF(OR(ISNUMBER(F620),ISNUMBER(G620)),IF(ISNUMBER(I620),I620,H620)-IF(ISNUMBER(F620),F620,G620),"")</f>
        <v/>
      </c>
      <c r="K620" s="12" t="n">
        <v>10500</v>
      </c>
      <c r="L620" s="12" t="n">
        <v>10500</v>
      </c>
      <c r="M620" s="13">
        <f>IF(AND(ISNUMBER(K620),ISNUMBER(L620),K620&gt;0),1-L620/K620,"")</f>
        <v/>
      </c>
      <c r="N620" s="16" t="n">
        <v>0</v>
      </c>
      <c r="O620" s="12" t="n"/>
      <c r="P620" s="12" t="n"/>
      <c r="Q620" s="12" t="n"/>
      <c r="R620" s="14">
        <f>IF(AND(ISNUMBER(L620),ISNUMBER(P620),ISNUMBER(Q620)),L620/((P620+Q620)/2)-1,"")</f>
        <v/>
      </c>
      <c r="S620" s="10" t="n"/>
      <c r="T620" s="15" t="n">
        <v>134700</v>
      </c>
      <c r="U620" s="16" t="n">
        <v>2001</v>
      </c>
      <c r="V620" s="10" t="n"/>
      <c r="W620" s="10" t="inlineStr">
        <is>
          <t>Essence</t>
        </is>
      </c>
      <c r="X620" s="10" t="inlineStr">
        <is>
          <t>Manuelle</t>
        </is>
      </c>
      <c r="Y620" s="16" t="n">
        <v>172</v>
      </c>
      <c r="Z620" s="16" t="n">
        <v>10</v>
      </c>
      <c r="AA620" s="10" t="inlineStr">
        <is>
          <t>Bleu</t>
        </is>
      </c>
      <c r="AB620" s="16" t="n">
        <v>3</v>
      </c>
      <c r="AC620" s="10" t="inlineStr">
        <is>
          <t>Citadine</t>
        </is>
      </c>
      <c r="AD620" s="10" t="n"/>
      <c r="AE620" s="10" t="n"/>
      <c r="AF620" s="10" t="inlineStr">
        <is>
          <t>Particulier</t>
        </is>
      </c>
      <c r="AG620" s="10" t="inlineStr">
        <is>
          <t>Caen</t>
        </is>
      </c>
      <c r="AH620" s="10" t="inlineStr">
        <is>
          <t>14000</t>
        </is>
      </c>
      <c r="AI620" s="10" t="inlineStr">
        <is>
          <t>Calvados</t>
        </is>
      </c>
      <c r="AJ620" s="10" t="inlineStr">
        <is>
          <t>Basse-Normandie</t>
        </is>
      </c>
      <c r="AK620" s="16" t="n"/>
      <c r="AL620" s="10" t="n"/>
      <c r="AM620" s="10" t="n"/>
      <c r="AN620" s="10" t="n"/>
      <c r="AO620" s="10" t="n"/>
      <c r="AP620" s="19" t="inlineStr">
        <is>
          <t>Voir</t>
        </is>
      </c>
      <c r="AQ620" s="10" t="inlineStr">
        <is>
          <t>3254332412</t>
        </is>
      </c>
    </row>
    <row r="621">
      <c r="A621" s="10" t="inlineStr">
        <is>
          <t>Renault Clio II RS (172/182 ch)</t>
        </is>
      </c>
      <c r="B621" s="10" t="inlineStr">
        <is>
          <t>Clio 2 rs phase 2, 2L 16v 172chv</t>
        </is>
      </c>
      <c r="C621" s="10" t="n"/>
      <c r="D621" s="10" t="n"/>
      <c r="E621" s="10" t="inlineStr">
        <is>
          <t>En vente</t>
        </is>
      </c>
      <c r="F621" s="18" t="n">
        <v>46263</v>
      </c>
      <c r="G621" s="18" t="n">
        <v>46263</v>
      </c>
      <c r="H621" s="18" t="n">
        <v>46296</v>
      </c>
      <c r="I621" s="18" t="n"/>
      <c r="J621" s="17">
        <f>IF(OR(ISNUMBER(F621),ISNUMBER(G621)),IF(ISNUMBER(I621),I621,H621)-IF(ISNUMBER(F621),F621,G621),"")</f>
        <v/>
      </c>
      <c r="K621" s="12" t="n">
        <v>6000</v>
      </c>
      <c r="L621" s="12" t="n">
        <v>6000</v>
      </c>
      <c r="M621" s="13">
        <f>IF(AND(ISNUMBER(K621),ISNUMBER(L621),K621&gt;0),1-L621/K621,"")</f>
        <v/>
      </c>
      <c r="N621" s="16" t="n">
        <v>0</v>
      </c>
      <c r="O621" s="12" t="n"/>
      <c r="P621" s="12" t="n"/>
      <c r="Q621" s="12" t="n"/>
      <c r="R621" s="14">
        <f>IF(AND(ISNUMBER(L621),ISNUMBER(P621),ISNUMBER(Q621)),L621/((P621+Q621)/2)-1,"")</f>
        <v/>
      </c>
      <c r="S621" s="10" t="n"/>
      <c r="T621" s="15" t="n">
        <v>225000</v>
      </c>
      <c r="U621" s="16" t="n">
        <v>2001</v>
      </c>
      <c r="V621" s="10" t="n"/>
      <c r="W621" s="10" t="inlineStr">
        <is>
          <t>Essence</t>
        </is>
      </c>
      <c r="X621" s="10" t="inlineStr">
        <is>
          <t>Manuelle</t>
        </is>
      </c>
      <c r="Y621" s="16" t="n">
        <v>172</v>
      </c>
      <c r="Z621" s="16" t="n">
        <v>10</v>
      </c>
      <c r="AA621" s="10" t="inlineStr">
        <is>
          <t>Noir</t>
        </is>
      </c>
      <c r="AB621" s="16" t="n">
        <v>3</v>
      </c>
      <c r="AC621" s="10" t="inlineStr">
        <is>
          <t>Berline</t>
        </is>
      </c>
      <c r="AD621" s="10" t="n"/>
      <c r="AE621" s="10" t="n"/>
      <c r="AF621" s="10" t="inlineStr">
        <is>
          <t>Particulier</t>
        </is>
      </c>
      <c r="AG621" s="10" t="inlineStr">
        <is>
          <t>Grandvillers-aux-Bois</t>
        </is>
      </c>
      <c r="AH621" s="10" t="inlineStr">
        <is>
          <t>60190</t>
        </is>
      </c>
      <c r="AI621" s="10" t="inlineStr">
        <is>
          <t>Oise</t>
        </is>
      </c>
      <c r="AJ621" s="10" t="inlineStr">
        <is>
          <t>Picardie</t>
        </is>
      </c>
      <c r="AK621" s="16" t="n"/>
      <c r="AL621" s="10" t="inlineStr">
        <is>
          <t>Oui</t>
        </is>
      </c>
      <c r="AM621" s="10" t="n"/>
      <c r="AN621" s="10" t="n"/>
      <c r="AO621" s="10" t="n"/>
      <c r="AP621" s="19" t="inlineStr">
        <is>
          <t>Voir</t>
        </is>
      </c>
      <c r="AQ621" s="10" t="inlineStr">
        <is>
          <t>3258667592</t>
        </is>
      </c>
    </row>
    <row r="622">
      <c r="A622" s="10" t="inlineStr">
        <is>
          <t>Renault Clio II RS (172/182 ch)</t>
        </is>
      </c>
      <c r="B622" s="10" t="inlineStr">
        <is>
          <t>Clio rs</t>
        </is>
      </c>
      <c r="C622" s="10" t="n"/>
      <c r="D622" s="10" t="n"/>
      <c r="E622" s="10" t="inlineStr">
        <is>
          <t>En vente</t>
        </is>
      </c>
      <c r="F622" s="18" t="n">
        <v>46265</v>
      </c>
      <c r="G622" s="18" t="n">
        <v>46265</v>
      </c>
      <c r="H622" s="18" t="n">
        <v>46296</v>
      </c>
      <c r="I622" s="18" t="n"/>
      <c r="J622" s="17">
        <f>IF(OR(ISNUMBER(F622),ISNUMBER(G622)),IF(ISNUMBER(I622),I622,H622)-IF(ISNUMBER(F622),F622,G622),"")</f>
        <v/>
      </c>
      <c r="K622" s="12" t="n">
        <v>8500</v>
      </c>
      <c r="L622" s="12" t="n">
        <v>8500</v>
      </c>
      <c r="M622" s="13">
        <f>IF(AND(ISNUMBER(K622),ISNUMBER(L622),K622&gt;0),1-L622/K622,"")</f>
        <v/>
      </c>
      <c r="N622" s="16" t="n">
        <v>0</v>
      </c>
      <c r="O622" s="12" t="n"/>
      <c r="P622" s="12" t="n"/>
      <c r="Q622" s="12" t="n"/>
      <c r="R622" s="14">
        <f>IF(AND(ISNUMBER(L622),ISNUMBER(P622),ISNUMBER(Q622)),L622/((P622+Q622)/2)-1,"")</f>
        <v/>
      </c>
      <c r="S622" s="10" t="n"/>
      <c r="T622" s="15" t="n">
        <v>190000</v>
      </c>
      <c r="U622" s="16" t="n">
        <v>2003</v>
      </c>
      <c r="V622" s="10" t="n"/>
      <c r="W622" s="10" t="inlineStr">
        <is>
          <t>Essence</t>
        </is>
      </c>
      <c r="X622" s="10" t="inlineStr">
        <is>
          <t>Manuelle</t>
        </is>
      </c>
      <c r="Y622" s="16" t="n">
        <v>172</v>
      </c>
      <c r="Z622" s="16" t="n">
        <v>10</v>
      </c>
      <c r="AA622" s="10" t="inlineStr">
        <is>
          <t>Autre</t>
        </is>
      </c>
      <c r="AB622" s="16" t="n">
        <v>3</v>
      </c>
      <c r="AC622" s="10" t="inlineStr">
        <is>
          <t>Berline</t>
        </is>
      </c>
      <c r="AD622" s="10" t="n"/>
      <c r="AE622" s="10" t="n"/>
      <c r="AF622" s="10" t="inlineStr">
        <is>
          <t>Particulier</t>
        </is>
      </c>
      <c r="AG622" s="10" t="inlineStr">
        <is>
          <t>Ornans</t>
        </is>
      </c>
      <c r="AH622" s="10" t="inlineStr">
        <is>
          <t>25290</t>
        </is>
      </c>
      <c r="AI622" s="10" t="inlineStr">
        <is>
          <t>Doubs</t>
        </is>
      </c>
      <c r="AJ622" s="10" t="inlineStr">
        <is>
          <t>Franche-Comté</t>
        </is>
      </c>
      <c r="AK622" s="16" t="n"/>
      <c r="AL622" s="10" t="n"/>
      <c r="AM622" s="10" t="n"/>
      <c r="AN622" s="10" t="n"/>
      <c r="AO622" s="10" t="n"/>
      <c r="AP622" s="19" t="inlineStr">
        <is>
          <t>Voir</t>
        </is>
      </c>
      <c r="AQ622" s="10" t="inlineStr">
        <is>
          <t>3260553786</t>
        </is>
      </c>
    </row>
    <row r="623">
      <c r="A623" s="10" t="inlineStr">
        <is>
          <t>Renault Clio II RS (172/182 ch)</t>
        </is>
      </c>
      <c r="B623" s="10" t="inlineStr">
        <is>
          <t>Renault clio rs 2.0 16s</t>
        </is>
      </c>
      <c r="C623" s="10" t="n"/>
      <c r="D623" s="10" t="n"/>
      <c r="E623" s="10" t="inlineStr">
        <is>
          <t>En vente</t>
        </is>
      </c>
      <c r="F623" s="18" t="n">
        <v>46266</v>
      </c>
      <c r="G623" s="18" t="n">
        <v>46266</v>
      </c>
      <c r="H623" s="18" t="n">
        <v>46296</v>
      </c>
      <c r="I623" s="18" t="n"/>
      <c r="J623" s="17">
        <f>IF(OR(ISNUMBER(F623),ISNUMBER(G623)),IF(ISNUMBER(I623),I623,H623)-IF(ISNUMBER(F623),F623,G623),"")</f>
        <v/>
      </c>
      <c r="K623" s="12" t="n">
        <v>10500</v>
      </c>
      <c r="L623" s="12" t="n">
        <v>10500</v>
      </c>
      <c r="M623" s="13">
        <f>IF(AND(ISNUMBER(K623),ISNUMBER(L623),K623&gt;0),1-L623/K623,"")</f>
        <v/>
      </c>
      <c r="N623" s="16" t="n">
        <v>0</v>
      </c>
      <c r="O623" s="12" t="n"/>
      <c r="P623" s="12" t="n"/>
      <c r="Q623" s="12" t="n"/>
      <c r="R623" s="14">
        <f>IF(AND(ISNUMBER(L623),ISNUMBER(P623),ISNUMBER(Q623)),L623/((P623+Q623)/2)-1,"")</f>
        <v/>
      </c>
      <c r="S623" s="10" t="n"/>
      <c r="T623" s="15" t="n">
        <v>162500</v>
      </c>
      <c r="U623" s="16" t="n">
        <v>2001</v>
      </c>
      <c r="V623" s="10" t="n"/>
      <c r="W623" s="10" t="inlineStr">
        <is>
          <t>Essence</t>
        </is>
      </c>
      <c r="X623" s="10" t="inlineStr">
        <is>
          <t>Manuelle</t>
        </is>
      </c>
      <c r="Y623" s="16" t="n">
        <v>172</v>
      </c>
      <c r="Z623" s="16" t="n">
        <v>10</v>
      </c>
      <c r="AA623" s="10" t="inlineStr">
        <is>
          <t>Argent</t>
        </is>
      </c>
      <c r="AB623" s="16" t="n">
        <v>3</v>
      </c>
      <c r="AC623" s="10" t="inlineStr">
        <is>
          <t>Berline</t>
        </is>
      </c>
      <c r="AD623" s="10" t="n"/>
      <c r="AE623" s="10" t="n"/>
      <c r="AF623" s="10" t="inlineStr">
        <is>
          <t>Particulier</t>
        </is>
      </c>
      <c r="AG623" s="10" t="inlineStr">
        <is>
          <t>Six-Fours-les-Plages</t>
        </is>
      </c>
      <c r="AH623" s="10" t="inlineStr">
        <is>
          <t>83140</t>
        </is>
      </c>
      <c r="AI623" s="10" t="inlineStr">
        <is>
          <t>Var</t>
        </is>
      </c>
      <c r="AJ623" s="10" t="inlineStr">
        <is>
          <t>Provence-Alpes-Côte d'Azur</t>
        </is>
      </c>
      <c r="AK623" s="16" t="n"/>
      <c r="AL623" s="10" t="n"/>
      <c r="AM623" s="10" t="n"/>
      <c r="AN623" s="10" t="n"/>
      <c r="AO623" s="10" t="n"/>
      <c r="AP623" s="19" t="inlineStr">
        <is>
          <t>Voir</t>
        </is>
      </c>
      <c r="AQ623" s="10" t="inlineStr">
        <is>
          <t>3261006166</t>
        </is>
      </c>
    </row>
    <row r="624">
      <c r="A624" s="10" t="inlineStr">
        <is>
          <t>Renault Clio II RS (172/182 ch)</t>
        </is>
      </c>
      <c r="B624" s="10" t="inlineStr">
        <is>
          <t>Clio 2 rs</t>
        </is>
      </c>
      <c r="C624" s="10" t="n"/>
      <c r="D624" s="10" t="n"/>
      <c r="E624" s="10" t="inlineStr">
        <is>
          <t>En vente</t>
        </is>
      </c>
      <c r="F624" s="18" t="n">
        <v>46283</v>
      </c>
      <c r="G624" s="18" t="n">
        <v>46283</v>
      </c>
      <c r="H624" s="18" t="n">
        <v>46296</v>
      </c>
      <c r="I624" s="18" t="n"/>
      <c r="J624" s="17">
        <f>IF(OR(ISNUMBER(F624),ISNUMBER(G624)),IF(ISNUMBER(I624),I624,H624)-IF(ISNUMBER(F624),F624,G624),"")</f>
        <v/>
      </c>
      <c r="K624" s="12" t="n">
        <v>9990</v>
      </c>
      <c r="L624" s="12" t="n">
        <v>9990</v>
      </c>
      <c r="M624" s="13">
        <f>IF(AND(ISNUMBER(K624),ISNUMBER(L624),K624&gt;0),1-L624/K624,"")</f>
        <v/>
      </c>
      <c r="N624" s="16" t="n">
        <v>0</v>
      </c>
      <c r="O624" s="12" t="n"/>
      <c r="P624" s="12" t="n"/>
      <c r="Q624" s="12" t="n"/>
      <c r="R624" s="14">
        <f>IF(AND(ISNUMBER(L624),ISNUMBER(P624),ISNUMBER(Q624)),L624/((P624+Q624)/2)-1,"")</f>
        <v/>
      </c>
      <c r="S624" s="10" t="n"/>
      <c r="T624" s="15" t="n">
        <v>146803</v>
      </c>
      <c r="U624" s="16" t="n">
        <v>2000</v>
      </c>
      <c r="V624" s="10" t="n"/>
      <c r="W624" s="10" t="inlineStr">
        <is>
          <t>Essence</t>
        </is>
      </c>
      <c r="X624" s="10" t="inlineStr">
        <is>
          <t>Manuelle</t>
        </is>
      </c>
      <c r="Y624" s="16" t="n">
        <v>172</v>
      </c>
      <c r="Z624" s="16" t="n">
        <v>10</v>
      </c>
      <c r="AA624" s="10" t="inlineStr">
        <is>
          <t>Autre</t>
        </is>
      </c>
      <c r="AB624" s="16" t="n">
        <v>3</v>
      </c>
      <c r="AC624" s="10" t="inlineStr">
        <is>
          <t>Berline</t>
        </is>
      </c>
      <c r="AD624" s="10" t="n"/>
      <c r="AE624" s="10" t="n"/>
      <c r="AF624" s="10" t="inlineStr">
        <is>
          <t>Particulier</t>
        </is>
      </c>
      <c r="AG624" s="10" t="inlineStr">
        <is>
          <t>Tarbes</t>
        </is>
      </c>
      <c r="AH624" s="10" t="inlineStr">
        <is>
          <t>65000</t>
        </is>
      </c>
      <c r="AI624" s="10" t="inlineStr">
        <is>
          <t>Hautes-Pyrénées</t>
        </is>
      </c>
      <c r="AJ624" s="10" t="inlineStr">
        <is>
          <t>Midi-Pyrénées</t>
        </is>
      </c>
      <c r="AK624" s="16" t="n"/>
      <c r="AL624" s="10" t="n"/>
      <c r="AM624" s="10" t="n"/>
      <c r="AN624" s="10" t="n"/>
      <c r="AO624" s="10" t="n"/>
      <c r="AP624" s="19" t="inlineStr">
        <is>
          <t>Voir</t>
        </is>
      </c>
      <c r="AQ624" s="10" t="inlineStr">
        <is>
          <t>3272175500</t>
        </is>
      </c>
    </row>
    <row r="625">
      <c r="A625" s="10" t="inlineStr">
        <is>
          <t>Renault Clio II RS (172/182 ch)</t>
        </is>
      </c>
      <c r="B625" s="10" t="inlineStr">
        <is>
          <t>Clio rs 172cv 2.016v ct ok 185000km</t>
        </is>
      </c>
      <c r="C625" s="10" t="n"/>
      <c r="D625" s="10" t="n"/>
      <c r="E625" s="10" t="inlineStr">
        <is>
          <t>En vente</t>
        </is>
      </c>
      <c r="F625" s="18" t="n">
        <v>46284</v>
      </c>
      <c r="G625" s="18" t="n">
        <v>46284</v>
      </c>
      <c r="H625" s="18" t="n">
        <v>46296</v>
      </c>
      <c r="I625" s="18" t="n"/>
      <c r="J625" s="17">
        <f>IF(OR(ISNUMBER(F625),ISNUMBER(G625)),IF(ISNUMBER(I625),I625,H625)-IF(ISNUMBER(F625),F625,G625),"")</f>
        <v/>
      </c>
      <c r="K625" s="12" t="n">
        <v>9500</v>
      </c>
      <c r="L625" s="12" t="n">
        <v>9500</v>
      </c>
      <c r="M625" s="13">
        <f>IF(AND(ISNUMBER(K625),ISNUMBER(L625),K625&gt;0),1-L625/K625,"")</f>
        <v/>
      </c>
      <c r="N625" s="16" t="n">
        <v>0</v>
      </c>
      <c r="O625" s="12" t="n"/>
      <c r="P625" s="12" t="n"/>
      <c r="Q625" s="12" t="n"/>
      <c r="R625" s="14">
        <f>IF(AND(ISNUMBER(L625),ISNUMBER(P625),ISNUMBER(Q625)),L625/((P625+Q625)/2)-1,"")</f>
        <v/>
      </c>
      <c r="S625" s="10" t="n"/>
      <c r="T625" s="15" t="n">
        <v>185000</v>
      </c>
      <c r="U625" s="16" t="n">
        <v>2001</v>
      </c>
      <c r="V625" s="10" t="n"/>
      <c r="W625" s="10" t="inlineStr">
        <is>
          <t>Essence</t>
        </is>
      </c>
      <c r="X625" s="10" t="inlineStr">
        <is>
          <t>Manuelle</t>
        </is>
      </c>
      <c r="Y625" s="16" t="n">
        <v>172</v>
      </c>
      <c r="Z625" s="16" t="n">
        <v>10</v>
      </c>
      <c r="AA625" s="10" t="inlineStr">
        <is>
          <t>Bleu</t>
        </is>
      </c>
      <c r="AB625" s="16" t="n">
        <v>3</v>
      </c>
      <c r="AC625" s="10" t="inlineStr">
        <is>
          <t>Coupe</t>
        </is>
      </c>
      <c r="AD625" s="10" t="n"/>
      <c r="AE625" s="10" t="n"/>
      <c r="AF625" s="10" t="inlineStr">
        <is>
          <t>Particulier</t>
        </is>
      </c>
      <c r="AG625" s="10" t="inlineStr">
        <is>
          <t>Les Belleville</t>
        </is>
      </c>
      <c r="AH625" s="10" t="inlineStr">
        <is>
          <t>73440</t>
        </is>
      </c>
      <c r="AI625" s="10" t="inlineStr">
        <is>
          <t>Savoie</t>
        </is>
      </c>
      <c r="AJ625" s="10" t="inlineStr">
        <is>
          <t>Rhône-Alpes</t>
        </is>
      </c>
      <c r="AK625" s="16" t="n"/>
      <c r="AL625" s="10" t="n"/>
      <c r="AM625" s="10" t="n"/>
      <c r="AN625" s="10" t="n"/>
      <c r="AO625" s="10" t="n"/>
      <c r="AP625" s="19" t="inlineStr">
        <is>
          <t>Voir</t>
        </is>
      </c>
      <c r="AQ625" s="10" t="inlineStr">
        <is>
          <t>3272349615</t>
        </is>
      </c>
    </row>
    <row r="626">
      <c r="A626" s="10" t="inlineStr">
        <is>
          <t>Renault Clio II RS (172/182 ch)</t>
        </is>
      </c>
      <c r="B626" s="10" t="inlineStr">
        <is>
          <t>Clio RS série limitée team</t>
        </is>
      </c>
      <c r="C626" s="10" t="n"/>
      <c r="D626" s="10" t="n"/>
      <c r="E626" s="10" t="inlineStr">
        <is>
          <t>En vente</t>
        </is>
      </c>
      <c r="F626" s="18" t="n">
        <v>46285</v>
      </c>
      <c r="G626" s="18" t="n">
        <v>46285</v>
      </c>
      <c r="H626" s="18" t="n">
        <v>46296</v>
      </c>
      <c r="I626" s="18" t="n"/>
      <c r="J626" s="17">
        <f>IF(OR(ISNUMBER(F626),ISNUMBER(G626)),IF(ISNUMBER(I626),I626,H626)-IF(ISNUMBER(F626),F626,G626),"")</f>
        <v/>
      </c>
      <c r="K626" s="12" t="n">
        <v>10000</v>
      </c>
      <c r="L626" s="12" t="n">
        <v>10000</v>
      </c>
      <c r="M626" s="13">
        <f>IF(AND(ISNUMBER(K626),ISNUMBER(L626),K626&gt;0),1-L626/K626,"")</f>
        <v/>
      </c>
      <c r="N626" s="16" t="n">
        <v>0</v>
      </c>
      <c r="O626" s="12" t="n"/>
      <c r="P626" s="12" t="n"/>
      <c r="Q626" s="12" t="n"/>
      <c r="R626" s="14">
        <f>IF(AND(ISNUMBER(L626),ISNUMBER(P626),ISNUMBER(Q626)),L626/((P626+Q626)/2)-1,"")</f>
        <v/>
      </c>
      <c r="S626" s="10" t="n"/>
      <c r="T626" s="15" t="n">
        <v>160000</v>
      </c>
      <c r="U626" s="16" t="n">
        <v>2004</v>
      </c>
      <c r="V626" s="10" t="n"/>
      <c r="W626" s="10" t="inlineStr">
        <is>
          <t>Essence</t>
        </is>
      </c>
      <c r="X626" s="10" t="inlineStr">
        <is>
          <t>Manuelle</t>
        </is>
      </c>
      <c r="Y626" s="16" t="n">
        <v>182</v>
      </c>
      <c r="Z626" s="16" t="n">
        <v>10</v>
      </c>
      <c r="AA626" s="10" t="inlineStr">
        <is>
          <t>Autre</t>
        </is>
      </c>
      <c r="AB626" s="16" t="n">
        <v>3</v>
      </c>
      <c r="AC626" s="10" t="inlineStr">
        <is>
          <t>Berline</t>
        </is>
      </c>
      <c r="AD626" s="10" t="n"/>
      <c r="AE626" s="10" t="n"/>
      <c r="AF626" s="10" t="inlineStr">
        <is>
          <t>Particulier</t>
        </is>
      </c>
      <c r="AG626" s="10" t="inlineStr">
        <is>
          <t>Tarbes</t>
        </is>
      </c>
      <c r="AH626" s="10" t="inlineStr">
        <is>
          <t>65000</t>
        </is>
      </c>
      <c r="AI626" s="10" t="inlineStr">
        <is>
          <t>Hautes-Pyrénées</t>
        </is>
      </c>
      <c r="AJ626" s="10" t="inlineStr">
        <is>
          <t>Midi-Pyrénées</t>
        </is>
      </c>
      <c r="AK626" s="16" t="n"/>
      <c r="AL626" s="10" t="n"/>
      <c r="AM626" s="10" t="n"/>
      <c r="AN626" s="10" t="n"/>
      <c r="AO626" s="10" t="n"/>
      <c r="AP626" s="19" t="inlineStr">
        <is>
          <t>Voir</t>
        </is>
      </c>
      <c r="AQ626" s="10" t="inlineStr">
        <is>
          <t>3273260142</t>
        </is>
      </c>
    </row>
    <row r="627">
      <c r="A627" s="10" t="inlineStr">
        <is>
          <t>Renault Clio II RS (172/182 ch)</t>
        </is>
      </c>
      <c r="B627" s="10" t="inlineStr">
        <is>
          <t>Clio 2 rs</t>
        </is>
      </c>
      <c r="C627" s="10" t="n"/>
      <c r="D627" s="10" t="n"/>
      <c r="E627" s="10" t="inlineStr">
        <is>
          <t>En vente</t>
        </is>
      </c>
      <c r="F627" s="18" t="n">
        <v>46290</v>
      </c>
      <c r="G627" s="18" t="n">
        <v>46290</v>
      </c>
      <c r="H627" s="18" t="n">
        <v>46296</v>
      </c>
      <c r="I627" s="18" t="n"/>
      <c r="J627" s="17">
        <f>IF(OR(ISNUMBER(F627),ISNUMBER(G627)),IF(ISNUMBER(I627),I627,H627)-IF(ISNUMBER(F627),F627,G627),"")</f>
        <v/>
      </c>
      <c r="K627" s="12" t="n">
        <v>7900</v>
      </c>
      <c r="L627" s="12" t="n">
        <v>7900</v>
      </c>
      <c r="M627" s="13">
        <f>IF(AND(ISNUMBER(K627),ISNUMBER(L627),K627&gt;0),1-L627/K627,"")</f>
        <v/>
      </c>
      <c r="N627" s="16" t="n">
        <v>0</v>
      </c>
      <c r="O627" s="12" t="n"/>
      <c r="P627" s="12" t="n"/>
      <c r="Q627" s="12" t="n"/>
      <c r="R627" s="14">
        <f>IF(AND(ISNUMBER(L627),ISNUMBER(P627),ISNUMBER(Q627)),L627/((P627+Q627)/2)-1,"")</f>
        <v/>
      </c>
      <c r="S627" s="10" t="n"/>
      <c r="T627" s="15" t="n">
        <v>209000</v>
      </c>
      <c r="U627" s="16" t="n">
        <v>2002</v>
      </c>
      <c r="V627" s="10" t="n"/>
      <c r="W627" s="10" t="inlineStr">
        <is>
          <t>Essence</t>
        </is>
      </c>
      <c r="X627" s="10" t="inlineStr">
        <is>
          <t>Manuelle</t>
        </is>
      </c>
      <c r="Y627" s="16" t="n">
        <v>172</v>
      </c>
      <c r="Z627" s="16" t="n">
        <v>10</v>
      </c>
      <c r="AA627" s="10" t="inlineStr">
        <is>
          <t>Gris</t>
        </is>
      </c>
      <c r="AB627" s="16" t="n">
        <v>3</v>
      </c>
      <c r="AC627" s="10" t="inlineStr">
        <is>
          <t>Berline</t>
        </is>
      </c>
      <c r="AD627" s="10" t="n"/>
      <c r="AE627" s="10" t="n"/>
      <c r="AF627" s="10" t="inlineStr">
        <is>
          <t>Particulier</t>
        </is>
      </c>
      <c r="AG627" s="10" t="inlineStr">
        <is>
          <t>Roncq</t>
        </is>
      </c>
      <c r="AH627" s="10" t="inlineStr">
        <is>
          <t>59223</t>
        </is>
      </c>
      <c r="AI627" s="10" t="inlineStr">
        <is>
          <t>Nord</t>
        </is>
      </c>
      <c r="AJ627" s="10" t="inlineStr">
        <is>
          <t>Nord-Pas-de-Calais</t>
        </is>
      </c>
      <c r="AK627" s="16" t="n"/>
      <c r="AL627" s="10" t="n"/>
      <c r="AM627" s="10" t="n"/>
      <c r="AN627" s="10" t="n"/>
      <c r="AO627" s="10" t="n"/>
      <c r="AP627" s="19" t="inlineStr">
        <is>
          <t>Voir</t>
        </is>
      </c>
      <c r="AQ627" s="10" t="inlineStr">
        <is>
          <t>3276649870</t>
        </is>
      </c>
    </row>
    <row r="628">
      <c r="A628" s="10" t="inlineStr">
        <is>
          <t>Renault Clio II RS (172/182 ch)</t>
        </is>
      </c>
      <c r="B628" s="10" t="inlineStr">
        <is>
          <t>Clio 2 rs</t>
        </is>
      </c>
      <c r="C628" s="10" t="n"/>
      <c r="D628" s="10" t="n"/>
      <c r="E628" s="10" t="inlineStr">
        <is>
          <t>En vente</t>
        </is>
      </c>
      <c r="F628" s="18" t="n">
        <v>46290</v>
      </c>
      <c r="G628" s="18" t="n">
        <v>46290</v>
      </c>
      <c r="H628" s="18" t="n">
        <v>46296</v>
      </c>
      <c r="I628" s="18" t="n"/>
      <c r="J628" s="17">
        <f>IF(OR(ISNUMBER(F628),ISNUMBER(G628)),IF(ISNUMBER(I628),I628,H628)-IF(ISNUMBER(F628),F628,G628),"")</f>
        <v/>
      </c>
      <c r="K628" s="12" t="n">
        <v>14500</v>
      </c>
      <c r="L628" s="12" t="n">
        <v>14500</v>
      </c>
      <c r="M628" s="13">
        <f>IF(AND(ISNUMBER(K628),ISNUMBER(L628),K628&gt;0),1-L628/K628,"")</f>
        <v/>
      </c>
      <c r="N628" s="16" t="n">
        <v>0</v>
      </c>
      <c r="O628" s="12" t="n"/>
      <c r="P628" s="12" t="n"/>
      <c r="Q628" s="12" t="n"/>
      <c r="R628" s="14">
        <f>IF(AND(ISNUMBER(L628),ISNUMBER(P628),ISNUMBER(Q628)),L628/((P628+Q628)/2)-1,"")</f>
        <v/>
      </c>
      <c r="S628" s="10" t="n"/>
      <c r="T628" s="15" t="n">
        <v>168000</v>
      </c>
      <c r="U628" s="16" t="n">
        <v>2001</v>
      </c>
      <c r="V628" s="10" t="n"/>
      <c r="W628" s="10" t="inlineStr">
        <is>
          <t>Essence</t>
        </is>
      </c>
      <c r="X628" s="10" t="inlineStr">
        <is>
          <t>Manuelle</t>
        </is>
      </c>
      <c r="Y628" s="16" t="n">
        <v>182</v>
      </c>
      <c r="Z628" s="16" t="n"/>
      <c r="AA628" s="10" t="inlineStr">
        <is>
          <t>Autre</t>
        </is>
      </c>
      <c r="AB628" s="16" t="n">
        <v>5</v>
      </c>
      <c r="AC628" s="10" t="inlineStr">
        <is>
          <t>Berline</t>
        </is>
      </c>
      <c r="AD628" s="10" t="n"/>
      <c r="AE628" s="10" t="n"/>
      <c r="AF628" s="10" t="inlineStr">
        <is>
          <t>Particulier</t>
        </is>
      </c>
      <c r="AG628" s="10" t="inlineStr">
        <is>
          <t>Meximieux</t>
        </is>
      </c>
      <c r="AH628" s="10" t="inlineStr">
        <is>
          <t>01800</t>
        </is>
      </c>
      <c r="AI628" s="10" t="inlineStr">
        <is>
          <t>Ain</t>
        </is>
      </c>
      <c r="AJ628" s="10" t="inlineStr">
        <is>
          <t>Rhône-Alpes</t>
        </is>
      </c>
      <c r="AK628" s="16" t="n"/>
      <c r="AL628" s="10" t="n"/>
      <c r="AM628" s="10" t="n"/>
      <c r="AN628" s="10" t="n"/>
      <c r="AO628" s="10" t="n"/>
      <c r="AP628" s="19" t="inlineStr">
        <is>
          <t>Voir</t>
        </is>
      </c>
      <c r="AQ628" s="10" t="inlineStr">
        <is>
          <t>3276674920</t>
        </is>
      </c>
    </row>
    <row r="629">
      <c r="A629" s="10" t="inlineStr">
        <is>
          <t>Renault Clio II RS (172/182 ch)</t>
        </is>
      </c>
      <c r="B629" s="10" t="inlineStr">
        <is>
          <t>Clio rs 182</t>
        </is>
      </c>
      <c r="C629" s="10" t="n"/>
      <c r="D629" s="10" t="n"/>
      <c r="E629" s="10" t="inlineStr">
        <is>
          <t>En vente</t>
        </is>
      </c>
      <c r="F629" s="18" t="n">
        <v>46291</v>
      </c>
      <c r="G629" s="18" t="n">
        <v>46291</v>
      </c>
      <c r="H629" s="18" t="n">
        <v>46296</v>
      </c>
      <c r="I629" s="18" t="n"/>
      <c r="J629" s="17">
        <f>IF(OR(ISNUMBER(F629),ISNUMBER(G629)),IF(ISNUMBER(I629),I629,H629)-IF(ISNUMBER(F629),F629,G629),"")</f>
        <v/>
      </c>
      <c r="K629" s="12" t="n">
        <v>12000</v>
      </c>
      <c r="L629" s="12" t="n">
        <v>12000</v>
      </c>
      <c r="M629" s="13">
        <f>IF(AND(ISNUMBER(K629),ISNUMBER(L629),K629&gt;0),1-L629/K629,"")</f>
        <v/>
      </c>
      <c r="N629" s="16" t="n">
        <v>0</v>
      </c>
      <c r="O629" s="12" t="n"/>
      <c r="P629" s="12" t="n"/>
      <c r="Q629" s="12" t="n"/>
      <c r="R629" s="14">
        <f>IF(AND(ISNUMBER(L629),ISNUMBER(P629),ISNUMBER(Q629)),L629/((P629+Q629)/2)-1,"")</f>
        <v/>
      </c>
      <c r="S629" s="10" t="n"/>
      <c r="T629" s="15" t="n">
        <v>204000</v>
      </c>
      <c r="U629" s="16" t="n">
        <v>2004</v>
      </c>
      <c r="V629" s="10" t="n"/>
      <c r="W629" s="10" t="inlineStr">
        <is>
          <t>Essence</t>
        </is>
      </c>
      <c r="X629" s="10" t="inlineStr">
        <is>
          <t>Manuelle</t>
        </is>
      </c>
      <c r="Y629" s="16" t="n">
        <v>182</v>
      </c>
      <c r="Z629" s="16" t="n">
        <v>10</v>
      </c>
      <c r="AA629" s="10" t="inlineStr">
        <is>
          <t>Gris</t>
        </is>
      </c>
      <c r="AB629" s="16" t="n">
        <v>3</v>
      </c>
      <c r="AC629" s="10" t="inlineStr">
        <is>
          <t>Berline</t>
        </is>
      </c>
      <c r="AD629" s="10" t="n"/>
      <c r="AE629" s="10" t="n"/>
      <c r="AF629" s="10" t="inlineStr">
        <is>
          <t>Particulier</t>
        </is>
      </c>
      <c r="AG629" s="10" t="inlineStr">
        <is>
          <t>Moulins</t>
        </is>
      </c>
      <c r="AH629" s="10" t="inlineStr">
        <is>
          <t>03000</t>
        </is>
      </c>
      <c r="AI629" s="10" t="inlineStr">
        <is>
          <t>Allier</t>
        </is>
      </c>
      <c r="AJ629" s="10" t="inlineStr">
        <is>
          <t>Auvergne</t>
        </is>
      </c>
      <c r="AK629" s="16" t="n"/>
      <c r="AL629" s="10" t="n"/>
      <c r="AM629" s="10" t="n"/>
      <c r="AN629" s="10" t="n"/>
      <c r="AO629" s="10" t="n"/>
      <c r="AP629" s="19" t="inlineStr">
        <is>
          <t>Voir</t>
        </is>
      </c>
      <c r="AQ629" s="10" t="inlineStr">
        <is>
          <t>3277297648</t>
        </is>
      </c>
    </row>
    <row r="630">
      <c r="A630" s="10" t="inlineStr">
        <is>
          <t>Renault Clio II RS (172/182 ch)</t>
        </is>
      </c>
      <c r="B630" s="10" t="inlineStr">
        <is>
          <t>Clio 2 rs</t>
        </is>
      </c>
      <c r="C630" s="10" t="n"/>
      <c r="D630" s="10" t="n"/>
      <c r="E630" s="10" t="inlineStr">
        <is>
          <t>En vente</t>
        </is>
      </c>
      <c r="F630" s="18" t="n">
        <v>46293</v>
      </c>
      <c r="G630" s="18" t="n">
        <v>46293</v>
      </c>
      <c r="H630" s="18" t="n">
        <v>46296</v>
      </c>
      <c r="I630" s="18" t="n"/>
      <c r="J630" s="17">
        <f>IF(OR(ISNUMBER(F630),ISNUMBER(G630)),IF(ISNUMBER(I630),I630,H630)-IF(ISNUMBER(F630),F630,G630),"")</f>
        <v/>
      </c>
      <c r="K630" s="12" t="n">
        <v>13900</v>
      </c>
      <c r="L630" s="12" t="n">
        <v>13900</v>
      </c>
      <c r="M630" s="13">
        <f>IF(AND(ISNUMBER(K630),ISNUMBER(L630),K630&gt;0),1-L630/K630,"")</f>
        <v/>
      </c>
      <c r="N630" s="16" t="n">
        <v>0</v>
      </c>
      <c r="O630" s="12" t="n"/>
      <c r="P630" s="12" t="n"/>
      <c r="Q630" s="12" t="n"/>
      <c r="R630" s="14">
        <f>IF(AND(ISNUMBER(L630),ISNUMBER(P630),ISNUMBER(Q630)),L630/((P630+Q630)/2)-1,"")</f>
        <v/>
      </c>
      <c r="S630" s="10" t="n"/>
      <c r="T630" s="15" t="n">
        <v>155000</v>
      </c>
      <c r="U630" s="16" t="n">
        <v>2004</v>
      </c>
      <c r="V630" s="10" t="n"/>
      <c r="W630" s="10" t="inlineStr">
        <is>
          <t>Essence</t>
        </is>
      </c>
      <c r="X630" s="10" t="inlineStr">
        <is>
          <t>Manuelle</t>
        </is>
      </c>
      <c r="Y630" s="16" t="n">
        <v>182</v>
      </c>
      <c r="Z630" s="16" t="n">
        <v>10</v>
      </c>
      <c r="AA630" s="10" t="inlineStr">
        <is>
          <t>Noir</t>
        </is>
      </c>
      <c r="AB630" s="16" t="n">
        <v>3</v>
      </c>
      <c r="AC630" s="10" t="inlineStr">
        <is>
          <t>Berline</t>
        </is>
      </c>
      <c r="AD630" s="10" t="n"/>
      <c r="AE630" s="10" t="n"/>
      <c r="AF630" s="10" t="inlineStr">
        <is>
          <t>Particulier</t>
        </is>
      </c>
      <c r="AG630" s="10" t="inlineStr">
        <is>
          <t>Lourdes</t>
        </is>
      </c>
      <c r="AH630" s="10" t="inlineStr">
        <is>
          <t>65100</t>
        </is>
      </c>
      <c r="AI630" s="10" t="inlineStr">
        <is>
          <t>Hautes-Pyrénées</t>
        </is>
      </c>
      <c r="AJ630" s="10" t="inlineStr">
        <is>
          <t>Midi-Pyrénées</t>
        </is>
      </c>
      <c r="AK630" s="16" t="n"/>
      <c r="AL630" s="10" t="n"/>
      <c r="AM630" s="10" t="n"/>
      <c r="AN630" s="10" t="n"/>
      <c r="AO630" s="10" t="n"/>
      <c r="AP630" s="19" t="inlineStr">
        <is>
          <t>Voir</t>
        </is>
      </c>
      <c r="AQ630" s="10" t="inlineStr">
        <is>
          <t>3278695532</t>
        </is>
      </c>
    </row>
    <row r="631">
      <c r="A631" s="10" t="inlineStr">
        <is>
          <t>Renault Mégane II RS R26</t>
        </is>
      </c>
      <c r="B631" s="10" t="inlineStr">
        <is>
          <t>Renault Mégane rs r26</t>
        </is>
      </c>
      <c r="C631" s="10" t="n"/>
      <c r="D631" s="10" t="n"/>
      <c r="E631" s="10" t="inlineStr">
        <is>
          <t>En vente</t>
        </is>
      </c>
      <c r="F631" s="18" t="n">
        <v>46283</v>
      </c>
      <c r="G631" s="18" t="n">
        <v>46283</v>
      </c>
      <c r="H631" s="18" t="n">
        <v>46310</v>
      </c>
      <c r="I631" s="18" t="n"/>
      <c r="J631" s="17">
        <f>IF(OR(ISNUMBER(F631),ISNUMBER(G631)),IF(ISNUMBER(I631),I631,H631)-IF(ISNUMBER(F631),F631,G631),"")</f>
        <v/>
      </c>
      <c r="K631" s="12" t="n">
        <v>17500</v>
      </c>
      <c r="L631" s="12" t="n">
        <v>17500</v>
      </c>
      <c r="M631" s="13">
        <f>IF(AND(ISNUMBER(K631),ISNUMBER(L631),K631&gt;0),1-L631/K631,"")</f>
        <v/>
      </c>
      <c r="N631" s="16" t="n">
        <v>0</v>
      </c>
      <c r="O631" s="12" t="n"/>
      <c r="P631" s="12" t="n"/>
      <c r="Q631" s="12" t="n"/>
      <c r="R631" s="14">
        <f>IF(AND(ISNUMBER(L631),ISNUMBER(P631),ISNUMBER(Q631)),L631/((P631+Q631)/2)-1,"")</f>
        <v/>
      </c>
      <c r="S631" s="10" t="n"/>
      <c r="T631" s="15" t="n">
        <v>198500</v>
      </c>
      <c r="U631" s="16" t="n">
        <v>2007</v>
      </c>
      <c r="V631" s="10" t="n"/>
      <c r="W631" s="10" t="inlineStr">
        <is>
          <t>Essence</t>
        </is>
      </c>
      <c r="X631" s="10" t="inlineStr">
        <is>
          <t>Manuelle</t>
        </is>
      </c>
      <c r="Y631" s="16" t="n">
        <v>230</v>
      </c>
      <c r="Z631" s="16" t="n"/>
      <c r="AA631" s="10" t="inlineStr">
        <is>
          <t>Noir</t>
        </is>
      </c>
      <c r="AB631" s="16" t="n"/>
      <c r="AC631" s="10" t="n"/>
      <c r="AD631" s="10" t="n"/>
      <c r="AE631" s="10" t="n"/>
      <c r="AF631" s="10" t="inlineStr">
        <is>
          <t>Particulier</t>
        </is>
      </c>
      <c r="AG631" s="10" t="inlineStr">
        <is>
          <t>Dannemarie</t>
        </is>
      </c>
      <c r="AH631" s="10" t="inlineStr">
        <is>
          <t>68210</t>
        </is>
      </c>
      <c r="AI631" s="10" t="inlineStr">
        <is>
          <t>Haut-Rhin</t>
        </is>
      </c>
      <c r="AJ631" s="10" t="inlineStr">
        <is>
          <t>Alsace</t>
        </is>
      </c>
      <c r="AK631" s="16" t="n">
        <v>3</v>
      </c>
      <c r="AL631" s="10" t="n"/>
      <c r="AM631" s="10" t="inlineStr">
        <is>
          <t>Non</t>
        </is>
      </c>
      <c r="AN631" s="10" t="inlineStr">
        <is>
          <t>Oui disponible !✅ Pas d’échange !⛔️ Pas de pseudo pro⛔️ Renault Mégane 2 rs r26 Numéroté-recaro-autobloquant Pneus neuf Très bon état Ct fait pour la vente</t>
        </is>
      </c>
      <c r="AO631" s="10" t="inlineStr">
        <is>
          <t>Permis : Avec permis ; Importé : false</t>
        </is>
      </c>
      <c r="AP631" s="19" t="inlineStr">
        <is>
          <t>Voir</t>
        </is>
      </c>
      <c r="AQ631" s="10" t="inlineStr">
        <is>
          <t>3093503886</t>
        </is>
      </c>
    </row>
    <row r="632">
      <c r="A632" s="10" t="inlineStr">
        <is>
          <t>Renault Mégane II RS R26</t>
        </is>
      </c>
      <c r="B632" s="10" t="inlineStr">
        <is>
          <t>Renault megane rs 2.0t 16v 230 f1 team r26 numerotee 41mkm</t>
        </is>
      </c>
      <c r="C632" s="10" t="inlineStr">
        <is>
          <t>Megane Coupe 2.0T 230ch F1 Team R26</t>
        </is>
      </c>
      <c r="D632" s="10" t="inlineStr">
        <is>
          <t>F1 Team R26</t>
        </is>
      </c>
      <c r="E632" s="10" t="inlineStr">
        <is>
          <t>En vente</t>
        </is>
      </c>
      <c r="F632" s="18" t="n">
        <v>46081</v>
      </c>
      <c r="G632" s="18" t="n">
        <v>46081</v>
      </c>
      <c r="H632" s="18" t="n">
        <v>46310</v>
      </c>
      <c r="I632" s="18" t="n"/>
      <c r="J632" s="17">
        <f>IF(OR(ISNUMBER(F632),ISNUMBER(G632)),IF(ISNUMBER(I632),I632,H632)-IF(ISNUMBER(F632),F632,G632),"")</f>
        <v/>
      </c>
      <c r="K632" s="12" t="n">
        <v>19900</v>
      </c>
      <c r="L632" s="12" t="n">
        <v>19900</v>
      </c>
      <c r="M632" s="13">
        <f>IF(AND(ISNUMBER(K632),ISNUMBER(L632),K632&gt;0),1-L632/K632,"")</f>
        <v/>
      </c>
      <c r="N632" s="16" t="n">
        <v>0</v>
      </c>
      <c r="O632" s="12" t="n">
        <v>24900</v>
      </c>
      <c r="P632" s="12" t="n">
        <v>19290</v>
      </c>
      <c r="Q632" s="12" t="n">
        <v>21320</v>
      </c>
      <c r="R632" s="14">
        <f>IF(AND(ISNUMBER(L632),ISNUMBER(P632),ISNUMBER(Q632)),L632/((P632+Q632)/2)-1,"")</f>
        <v/>
      </c>
      <c r="S632" s="10" t="inlineStr">
        <is>
          <t>Prix équitable</t>
        </is>
      </c>
      <c r="T632" s="15" t="n">
        <v>41461</v>
      </c>
      <c r="U632" s="16" t="n">
        <v>2007</v>
      </c>
      <c r="V632" s="10" t="inlineStr">
        <is>
          <t>01/2007</t>
        </is>
      </c>
      <c r="W632" s="10" t="inlineStr">
        <is>
          <t>Essence</t>
        </is>
      </c>
      <c r="X632" s="10" t="inlineStr">
        <is>
          <t>Manuelle</t>
        </is>
      </c>
      <c r="Y632" s="16" t="n">
        <v>230</v>
      </c>
      <c r="Z632" s="16" t="n">
        <v>14</v>
      </c>
      <c r="AA632" s="10" t="inlineStr">
        <is>
          <t>Gris</t>
        </is>
      </c>
      <c r="AB632" s="16" t="n">
        <v>3</v>
      </c>
      <c r="AC632" s="10" t="inlineStr">
        <is>
          <t>Berline</t>
        </is>
      </c>
      <c r="AD632" s="10" t="n"/>
      <c r="AE632" s="10" t="n"/>
      <c r="AF632" s="10" t="inlineStr">
        <is>
          <t>Pro</t>
        </is>
      </c>
      <c r="AG632" s="10" t="inlineStr">
        <is>
          <t>Sorgues</t>
        </is>
      </c>
      <c r="AH632" s="10" t="inlineStr">
        <is>
          <t>84700</t>
        </is>
      </c>
      <c r="AI632" s="10" t="inlineStr">
        <is>
          <t>Vaucluse</t>
        </is>
      </c>
      <c r="AJ632" s="10" t="inlineStr">
        <is>
          <t>Provence-Alpes-Côte d'Azur</t>
        </is>
      </c>
      <c r="AK632" s="16" t="n">
        <v>19</v>
      </c>
      <c r="AL632" s="10" t="n"/>
      <c r="AM632" s="10" t="inlineStr">
        <is>
          <t>Non</t>
        </is>
      </c>
      <c r="AN632" s="10" t="inlineStr">
        <is>
          <t>*************************************************** RENAULT MEGANE RS 2.0T 16V 230 F1 TEAM R26 NUMEROTEE 429/500 MEC 01/2007 KM 41461 *************************************************** VEHICULE REVISE / GARANTI REPRISE POSSIBLE ************************************************** AUTO NEGOCE 84 960 ROUTE D'ENTRAIGUES 84700 SORGUES ************************************************** OPTIONS ET ÉQUIPEMENTS : Audio - Télécommunications : - Radio CD MP3 Conduite : - Régulateur de vitesse - Système ISO</t>
        </is>
      </c>
      <c r="AO632" s="10" t="inlineStr">
        <is>
          <t>Sellerie : Alcantara ; Équipements intérieurs : Climatisation, Jantes en alliage, Phares anti-brouillard, Régulateur de vitesse, Siège réglable en hauteur, Volant réglable en profondeur ; vehicle_euro_emissions_standard : Euro 1 ; VO récent : false ; custom_ref : 1347516 ; Importé : true ; vehicle_history_report_status : hidden ; spare_parts_availability : Non renseignée</t>
        </is>
      </c>
      <c r="AP632" s="19" t="inlineStr">
        <is>
          <t>Voir</t>
        </is>
      </c>
      <c r="AQ632" s="10" t="inlineStr">
        <is>
          <t>3152592919</t>
        </is>
      </c>
    </row>
    <row r="633">
      <c r="A633" s="10" t="inlineStr">
        <is>
          <t>Renault Mégane II RS R26</t>
        </is>
      </c>
      <c r="B633" s="10" t="inlineStr">
        <is>
          <t>Renault Megane II RS F1 Team R26 2.0 230 ch - Équipé Complet R26-R</t>
        </is>
      </c>
      <c r="C633" s="10" t="inlineStr">
        <is>
          <t>Megane Coupe 2.0T 230ch F1 Team R26</t>
        </is>
      </c>
      <c r="D633" s="10" t="inlineStr">
        <is>
          <t>F1 Team R26</t>
        </is>
      </c>
      <c r="E633" s="10" t="inlineStr">
        <is>
          <t>En vente</t>
        </is>
      </c>
      <c r="F633" s="18" t="n">
        <v>46102</v>
      </c>
      <c r="G633" s="18" t="n">
        <v>46102</v>
      </c>
      <c r="H633" s="18" t="n">
        <v>46310</v>
      </c>
      <c r="I633" s="18" t="n"/>
      <c r="J633" s="17">
        <f>IF(OR(ISNUMBER(F633),ISNUMBER(G633)),IF(ISNUMBER(I633),I633,H633)-IF(ISNUMBER(F633),F633,G633),"")</f>
        <v/>
      </c>
      <c r="K633" s="12" t="n">
        <v>31490</v>
      </c>
      <c r="L633" s="12" t="n">
        <v>31490</v>
      </c>
      <c r="M633" s="13">
        <f>IF(AND(ISNUMBER(K633),ISNUMBER(L633),K633&gt;0),1-L633/K633,"")</f>
        <v/>
      </c>
      <c r="N633" s="16" t="n">
        <v>0</v>
      </c>
      <c r="O633" s="12" t="n">
        <v>31990</v>
      </c>
      <c r="P633" s="12" t="n">
        <v>19040</v>
      </c>
      <c r="Q633" s="12" t="n">
        <v>21040</v>
      </c>
      <c r="R633" s="14">
        <f>IF(AND(ISNUMBER(L633),ISNUMBER(P633),ISNUMBER(Q633)),L633/((P633+Q633)/2)-1,"")</f>
        <v/>
      </c>
      <c r="S633" s="10" t="inlineStr">
        <is>
          <t>Estimation indisponible</t>
        </is>
      </c>
      <c r="T633" s="15" t="n">
        <v>40500</v>
      </c>
      <c r="U633" s="16" t="n">
        <v>2008</v>
      </c>
      <c r="V633" s="10" t="inlineStr">
        <is>
          <t>12/2008</t>
        </is>
      </c>
      <c r="W633" s="10" t="inlineStr">
        <is>
          <t>Essence</t>
        </is>
      </c>
      <c r="X633" s="10" t="inlineStr">
        <is>
          <t>Manuelle</t>
        </is>
      </c>
      <c r="Y633" s="16" t="n">
        <v>230</v>
      </c>
      <c r="Z633" s="16" t="n">
        <v>14</v>
      </c>
      <c r="AA633" s="10" t="inlineStr">
        <is>
          <t>Noir</t>
        </is>
      </c>
      <c r="AB633" s="16" t="n">
        <v>3</v>
      </c>
      <c r="AC633" s="10" t="inlineStr">
        <is>
          <t>Berline</t>
        </is>
      </c>
      <c r="AD633" s="10" t="n"/>
      <c r="AE633" s="10" t="n"/>
      <c r="AF633" s="10" t="inlineStr">
        <is>
          <t>Pro</t>
        </is>
      </c>
      <c r="AG633" s="10" t="inlineStr">
        <is>
          <t>Gleizé</t>
        </is>
      </c>
      <c r="AH633" s="10" t="inlineStr">
        <is>
          <t>69400</t>
        </is>
      </c>
      <c r="AI633" s="10" t="inlineStr">
        <is>
          <t>Rhône</t>
        </is>
      </c>
      <c r="AJ633" s="10" t="inlineStr">
        <is>
          <t>Rhône-Alpes</t>
        </is>
      </c>
      <c r="AK633" s="16" t="n">
        <v>15</v>
      </c>
      <c r="AL633" s="10" t="n"/>
      <c r="AM633" s="10" t="inlineStr">
        <is>
          <t>Non</t>
        </is>
      </c>
      <c r="AN633" s="10" t="inlineStr">
        <is>
          <t>Renault Megane II RS F1 Team R26 2.0 230 ch - Équipé Complet R26-R, berline, noir, 14 cv, 3 portes, première mise en circulation le 30/12/2008. 2 places OPTIONS: - Allumage des phares automatique - Régulateur / Limiteur de vitesse - Climatisation automatique - Peinture métal Noir PRÉPARATION R26-R Extérieur : - Kit déco type R26R Jester Création - Obturateur antibrouillard OEM R26R - Obturateur lave phare OEM R26R - Phares halogène à fond noir OEM R26R - Capot moteur en carbone OEM R26R - Vitres</t>
        </is>
      </c>
      <c r="AO633" s="10" t="inlineStr">
        <is>
          <t>Permis : Avec permis ; VO récent : false ; custom_ref : VRO_9EE9FB ; Importé : true ; spare_parts_availability : Non renseignée</t>
        </is>
      </c>
      <c r="AP633" s="19" t="inlineStr">
        <is>
          <t>Voir</t>
        </is>
      </c>
      <c r="AQ633" s="10" t="inlineStr">
        <is>
          <t>3165656670</t>
        </is>
      </c>
    </row>
    <row r="634">
      <c r="A634" s="10" t="inlineStr">
        <is>
          <t>Renault Mégane II RS R26</t>
        </is>
      </c>
      <c r="B634" s="10" t="inlineStr">
        <is>
          <t>Renault Megane 2.0 R26 F1-TEAM RS 230 ch "ECHAPPEMENT N°15/34"</t>
        </is>
      </c>
      <c r="C634" s="10" t="inlineStr">
        <is>
          <t>Megane Coupe 2.0T 230ch F1 Team R26</t>
        </is>
      </c>
      <c r="D634" s="10" t="inlineStr">
        <is>
          <t>F1 Team R26</t>
        </is>
      </c>
      <c r="E634" s="10" t="inlineStr">
        <is>
          <t>En vente</t>
        </is>
      </c>
      <c r="F634" s="18" t="n">
        <v>46108</v>
      </c>
      <c r="G634" s="18" t="n">
        <v>46108</v>
      </c>
      <c r="H634" s="18" t="n">
        <v>46310</v>
      </c>
      <c r="I634" s="18" t="n"/>
      <c r="J634" s="17">
        <f>IF(OR(ISNUMBER(F634),ISNUMBER(G634)),IF(ISNUMBER(I634),I634,H634)-IF(ISNUMBER(F634),F634,G634),"")</f>
        <v/>
      </c>
      <c r="K634" s="12" t="n">
        <v>27489</v>
      </c>
      <c r="L634" s="12" t="n">
        <v>27489</v>
      </c>
      <c r="M634" s="13">
        <f>IF(AND(ISNUMBER(K634),ISNUMBER(L634),K634&gt;0),1-L634/K634,"")</f>
        <v/>
      </c>
      <c r="N634" s="16" t="n">
        <v>0</v>
      </c>
      <c r="O634" s="12" t="n">
        <v>29989</v>
      </c>
      <c r="P634" s="12" t="n">
        <v>17620</v>
      </c>
      <c r="Q634" s="12" t="n">
        <v>19480</v>
      </c>
      <c r="R634" s="14">
        <f>IF(AND(ISNUMBER(L634),ISNUMBER(P634),ISNUMBER(Q634)),L634/((P634+Q634)/2)-1,"")</f>
        <v/>
      </c>
      <c r="S634" s="10" t="inlineStr">
        <is>
          <t>Estimation indisponible</t>
        </is>
      </c>
      <c r="T634" s="15" t="n">
        <v>88900</v>
      </c>
      <c r="U634" s="16" t="n">
        <v>2008</v>
      </c>
      <c r="V634" s="10" t="inlineStr">
        <is>
          <t>05/2008</t>
        </is>
      </c>
      <c r="W634" s="10" t="inlineStr">
        <is>
          <t>Essence</t>
        </is>
      </c>
      <c r="X634" s="10" t="inlineStr">
        <is>
          <t>Manuelle</t>
        </is>
      </c>
      <c r="Y634" s="16" t="n">
        <v>230</v>
      </c>
      <c r="Z634" s="16" t="n">
        <v>14</v>
      </c>
      <c r="AA634" s="10" t="inlineStr">
        <is>
          <t>Blanc</t>
        </is>
      </c>
      <c r="AB634" s="16" t="n">
        <v>3</v>
      </c>
      <c r="AC634" s="10" t="inlineStr">
        <is>
          <t>Berline</t>
        </is>
      </c>
      <c r="AD634" s="10" t="n"/>
      <c r="AE634" s="10" t="n"/>
      <c r="AF634" s="10" t="inlineStr">
        <is>
          <t>Pro</t>
        </is>
      </c>
      <c r="AG634" s="10" t="inlineStr">
        <is>
          <t>Argelès-sur-Mer</t>
        </is>
      </c>
      <c r="AH634" s="10" t="inlineStr">
        <is>
          <t>66700</t>
        </is>
      </c>
      <c r="AI634" s="10" t="inlineStr">
        <is>
          <t>Pyrénées-Orientales</t>
        </is>
      </c>
      <c r="AJ634" s="10" t="inlineStr">
        <is>
          <t>Languedoc-Roussillon</t>
        </is>
      </c>
      <c r="AK634" s="16" t="n">
        <v>20</v>
      </c>
      <c r="AL634" s="10" t="n"/>
      <c r="AM634" s="10" t="inlineStr">
        <is>
          <t>Non</t>
        </is>
      </c>
      <c r="AN634" s="10" t="inlineStr">
        <is>
          <t>Renault Megane 2.0 R26 F1-TEAM RS 230 ch "ECHAPPEMENT N°15/34", berline, blanc, 14 cv, 3 portes, première mise en circulation le 30/05/2008. 5 places Clickandbuyauto Argelès-sur-Mer vous propose cette Renault Mégane 2 RS 2.0 Turbo 230 ch R26 F1 Team, équipée du moteur 2.0 Turbo essence de 230 ch associé à une boîte mécanique 6 rapports. Une véritable sportive devenue particulièrement recherchée, dans sa série limitée R26 F1 Team et dans une configuration rare. Cet exemplaire « Échappement » numé</t>
        </is>
      </c>
      <c r="AO634" s="10" t="inlineStr">
        <is>
          <t>Permis : Avec permis ; VO récent : false ; custom_ref : VRO_E0A4DC ; Importé : true ; spare_parts_availability : Non renseignée</t>
        </is>
      </c>
      <c r="AP634" s="19" t="inlineStr">
        <is>
          <t>Voir</t>
        </is>
      </c>
      <c r="AQ634" s="10" t="inlineStr">
        <is>
          <t>3169074583</t>
        </is>
      </c>
    </row>
    <row r="635">
      <c r="A635" s="10" t="inlineStr">
        <is>
          <t>Renault Mégane II RS R26</t>
        </is>
      </c>
      <c r="B635" s="10" t="inlineStr">
        <is>
          <t>Renault Mégane 2 RS R26 F1 Team</t>
        </is>
      </c>
      <c r="C635" s="10" t="inlineStr">
        <is>
          <t>Megane Coupe 2.0T 230ch F1 Team R26</t>
        </is>
      </c>
      <c r="D635" s="10" t="inlineStr">
        <is>
          <t>F1 Team R26</t>
        </is>
      </c>
      <c r="E635" s="10" t="inlineStr">
        <is>
          <t>En vente</t>
        </is>
      </c>
      <c r="F635" s="18" t="n">
        <v>46308</v>
      </c>
      <c r="G635" s="18" t="n">
        <v>46247</v>
      </c>
      <c r="H635" s="18" t="n">
        <v>46310</v>
      </c>
      <c r="I635" s="18" t="n"/>
      <c r="J635" s="17">
        <f>IF(OR(ISNUMBER(F635),ISNUMBER(G635)),IF(ISNUMBER(I635),I635,H635)-IF(ISNUMBER(F635),F635,G635),"")</f>
        <v/>
      </c>
      <c r="K635" s="12" t="n">
        <v>20500</v>
      </c>
      <c r="L635" s="12" t="n">
        <v>20500</v>
      </c>
      <c r="M635" s="13">
        <f>IF(AND(ISNUMBER(K635),ISNUMBER(L635),K635&gt;0),1-L635/K635,"")</f>
        <v/>
      </c>
      <c r="N635" s="16" t="n">
        <v>0</v>
      </c>
      <c r="O635" s="12" t="n"/>
      <c r="P635" s="12" t="n">
        <v>15450</v>
      </c>
      <c r="Q635" s="12" t="n">
        <v>17080</v>
      </c>
      <c r="R635" s="14">
        <f>IF(AND(ISNUMBER(L635),ISNUMBER(P635),ISNUMBER(Q635)),L635/((P635+Q635)/2)-1,"")</f>
        <v/>
      </c>
      <c r="S635" s="10" t="inlineStr">
        <is>
          <t>Estimation indisponible</t>
        </is>
      </c>
      <c r="T635" s="15" t="n">
        <v>124400</v>
      </c>
      <c r="U635" s="16" t="n">
        <v>2007</v>
      </c>
      <c r="V635" s="10" t="inlineStr">
        <is>
          <t>08/2007</t>
        </is>
      </c>
      <c r="W635" s="10" t="inlineStr">
        <is>
          <t>Essence</t>
        </is>
      </c>
      <c r="X635" s="10" t="inlineStr">
        <is>
          <t>Manuelle</t>
        </is>
      </c>
      <c r="Y635" s="16" t="n">
        <v>230</v>
      </c>
      <c r="Z635" s="16" t="n">
        <v>14</v>
      </c>
      <c r="AA635" s="10" t="inlineStr">
        <is>
          <t>Gris</t>
        </is>
      </c>
      <c r="AB635" s="16" t="n">
        <v>3</v>
      </c>
      <c r="AC635" s="10" t="inlineStr">
        <is>
          <t>Autre</t>
        </is>
      </c>
      <c r="AD635" s="10" t="n"/>
      <c r="AE635" s="10" t="n"/>
      <c r="AF635" s="10" t="inlineStr">
        <is>
          <t>Particulier</t>
        </is>
      </c>
      <c r="AG635" s="10" t="inlineStr">
        <is>
          <t>Nogent-le-Rotrou</t>
        </is>
      </c>
      <c r="AH635" s="10" t="inlineStr">
        <is>
          <t>28400</t>
        </is>
      </c>
      <c r="AI635" s="10" t="inlineStr">
        <is>
          <t>Eure-et-Loir</t>
        </is>
      </c>
      <c r="AJ635" s="10" t="inlineStr">
        <is>
          <t>Centre</t>
        </is>
      </c>
      <c r="AK635" s="16" t="n">
        <v>3</v>
      </c>
      <c r="AL635" s="10" t="n"/>
      <c r="AM635" s="10" t="inlineStr">
        <is>
          <t>Non</t>
        </is>
      </c>
      <c r="AN635" s="10" t="inlineStr">
        <is>
          <t>Renault Mégane 2 RS R26 F1 Team – 2007 – 124 400 km Je mets en vente ma Renault Mégane 2 RS R26 F1 Team de 2007, une sportive emblématique entretenue avec le plus grand soin. Caractéristiques * Année : 2007 * Kilométrage : 124 400 km * Carburant : Essence * Version : RS R26 F1 Team * 2ᵉ main (véhicule acquis à 9 000 km) Entretien et historique * Toutes les factures disponibles. * Véhicule suivi et entretenu rigoureusement. * Distribution effectuée il y a 1 an. * Pour la vente, la voiture sera li</t>
        </is>
      </c>
      <c r="AO635" s="10" t="inlineStr">
        <is>
          <t>Dommages : Excellent état (proche du neuf) ; Sellerie : Cuir partiel ; Permis : Avec permis ; ad_warranty_type : essential ; Importé : false</t>
        </is>
      </c>
      <c r="AP635" s="19" t="inlineStr">
        <is>
          <t>Voir</t>
        </is>
      </c>
      <c r="AQ635" s="10" t="inlineStr">
        <is>
          <t>3216991704</t>
        </is>
      </c>
    </row>
    <row r="636">
      <c r="A636" s="10" t="inlineStr">
        <is>
          <t>Renault Mégane II RS R26</t>
        </is>
      </c>
      <c r="B636" s="10" t="inlineStr">
        <is>
          <t>Renault Megane 2 RS 2.0l R26 F1 Team</t>
        </is>
      </c>
      <c r="C636" s="10" t="n"/>
      <c r="D636" s="10" t="n"/>
      <c r="E636" s="10" t="inlineStr">
        <is>
          <t>En vente</t>
        </is>
      </c>
      <c r="F636" s="18" t="n">
        <v>46285</v>
      </c>
      <c r="G636" s="18" t="n">
        <v>46285</v>
      </c>
      <c r="H636" s="18" t="n">
        <v>46310</v>
      </c>
      <c r="I636" s="18" t="n"/>
      <c r="J636" s="17">
        <f>IF(OR(ISNUMBER(F636),ISNUMBER(G636)),IF(ISNUMBER(I636),I636,H636)-IF(ISNUMBER(F636),F636,G636),"")</f>
        <v/>
      </c>
      <c r="K636" s="12" t="n">
        <v>19900</v>
      </c>
      <c r="L636" s="12" t="n">
        <v>19900</v>
      </c>
      <c r="M636" s="13">
        <f>IF(AND(ISNUMBER(K636),ISNUMBER(L636),K636&gt;0),1-L636/K636,"")</f>
        <v/>
      </c>
      <c r="N636" s="16" t="n">
        <v>0</v>
      </c>
      <c r="O636" s="12" t="n"/>
      <c r="P636" s="12" t="n">
        <v>14080</v>
      </c>
      <c r="Q636" s="12" t="n">
        <v>15560</v>
      </c>
      <c r="R636" s="14">
        <f>IF(AND(ISNUMBER(L636),ISNUMBER(P636),ISNUMBER(Q636)),L636/((P636+Q636)/2)-1,"")</f>
        <v/>
      </c>
      <c r="S636" s="10" t="inlineStr">
        <is>
          <t>Estimation indisponible</t>
        </is>
      </c>
      <c r="T636" s="15" t="n">
        <v>130000</v>
      </c>
      <c r="U636" s="16" t="n">
        <v>2007</v>
      </c>
      <c r="V636" s="10" t="inlineStr">
        <is>
          <t>06/2007</t>
        </is>
      </c>
      <c r="W636" s="10" t="inlineStr">
        <is>
          <t>Essence</t>
        </is>
      </c>
      <c r="X636" s="10" t="inlineStr">
        <is>
          <t>Manuelle</t>
        </is>
      </c>
      <c r="Y636" s="16" t="n">
        <v>230</v>
      </c>
      <c r="Z636" s="16" t="n">
        <v>10</v>
      </c>
      <c r="AA636" s="10" t="inlineStr">
        <is>
          <t>Jaune</t>
        </is>
      </c>
      <c r="AB636" s="16" t="n">
        <v>3</v>
      </c>
      <c r="AC636" s="10" t="inlineStr">
        <is>
          <t>Autre</t>
        </is>
      </c>
      <c r="AD636" s="10" t="n"/>
      <c r="AE636" s="10" t="n"/>
      <c r="AF636" s="10" t="inlineStr">
        <is>
          <t>Particulier</t>
        </is>
      </c>
      <c r="AG636" s="10" t="inlineStr">
        <is>
          <t>Furiani</t>
        </is>
      </c>
      <c r="AH636" s="10" t="inlineStr">
        <is>
          <t>20600</t>
        </is>
      </c>
      <c r="AI636" s="10" t="n"/>
      <c r="AJ636" s="10" t="inlineStr">
        <is>
          <t>Corse</t>
        </is>
      </c>
      <c r="AK636" s="16" t="n">
        <v>3</v>
      </c>
      <c r="AL636" s="10" t="n"/>
      <c r="AM636" s="10" t="inlineStr">
        <is>
          <t>Non</t>
        </is>
      </c>
      <c r="AN636" s="10" t="inlineStr">
        <is>
          <t>Bonjour, A la suite d'un changement de projet, je mets à la vente à contre-coeur ma Renault Megane 2 RS 2.0l R26 F1 Team qui comptabilise 130 000km peu évolutifs car voiture de Week-end. Derniers frais depuis qu'elle est en ma possesssion : Vidange : 07/2026 Distribution : 07/2026 Gros dossier de factures à l'appui des anciens propriétaires, aucun frais à prévoir, contrôle technique sera fait pour la vente. Aucun rallye / Reconnaissance / Piste, temps de chauffe toujours respectés. Becquet d'ori</t>
        </is>
      </c>
      <c r="AO636" s="10" t="inlineStr">
        <is>
          <t>Dommages : Excellent état (proche du neuf) ; Permis : Avec permis ; ad_warranty_type : essential ; Importé : false</t>
        </is>
      </c>
      <c r="AP636" s="19" t="inlineStr">
        <is>
          <t>Voir</t>
        </is>
      </c>
      <c r="AQ636" s="10" t="inlineStr">
        <is>
          <t>3237229836</t>
        </is>
      </c>
    </row>
    <row r="637">
      <c r="A637" s="10" t="inlineStr">
        <is>
          <t>Renault Mégane II RS R26</t>
        </is>
      </c>
      <c r="B637" s="10" t="inlineStr">
        <is>
          <t>Renault Mégane 230 R26 F1-TEAM RS / N°6/34 Origine France</t>
        </is>
      </c>
      <c r="C637" s="10" t="inlineStr">
        <is>
          <t>Megane Coupe 2.0T 230ch F1 Team R26</t>
        </is>
      </c>
      <c r="D637" s="10" t="inlineStr">
        <is>
          <t>F1 Team R26</t>
        </is>
      </c>
      <c r="E637" s="10" t="inlineStr">
        <is>
          <t>En vente</t>
        </is>
      </c>
      <c r="F637" s="18" t="n">
        <v>46292</v>
      </c>
      <c r="G637" s="18" t="n">
        <v>46292</v>
      </c>
      <c r="H637" s="18" t="n">
        <v>46310</v>
      </c>
      <c r="I637" s="18" t="n"/>
      <c r="J637" s="17">
        <f>IF(OR(ISNUMBER(F637),ISNUMBER(G637)),IF(ISNUMBER(I637),I637,H637)-IF(ISNUMBER(F637),F637,G637),"")</f>
        <v/>
      </c>
      <c r="K637" s="12" t="n">
        <v>24490</v>
      </c>
      <c r="L637" s="12" t="n">
        <v>24490</v>
      </c>
      <c r="M637" s="13">
        <f>IF(AND(ISNUMBER(K637),ISNUMBER(L637),K637&gt;0),1-L637/K637,"")</f>
        <v/>
      </c>
      <c r="N637" s="16" t="n">
        <v>0</v>
      </c>
      <c r="O637" s="12" t="n">
        <v>26490</v>
      </c>
      <c r="P637" s="12" t="n">
        <v>16170</v>
      </c>
      <c r="Q637" s="12" t="n">
        <v>17870</v>
      </c>
      <c r="R637" s="14">
        <f>IF(AND(ISNUMBER(L637),ISNUMBER(P637),ISNUMBER(Q637)),L637/((P637+Q637)/2)-1,"")</f>
        <v/>
      </c>
      <c r="S637" s="10" t="inlineStr">
        <is>
          <t>Estimation indisponible</t>
        </is>
      </c>
      <c r="T637" s="15" t="n">
        <v>99250</v>
      </c>
      <c r="U637" s="16" t="n">
        <v>2007</v>
      </c>
      <c r="V637" s="10" t="inlineStr">
        <is>
          <t>12/2007</t>
        </is>
      </c>
      <c r="W637" s="10" t="inlineStr">
        <is>
          <t>Essence</t>
        </is>
      </c>
      <c r="X637" s="10" t="inlineStr">
        <is>
          <t>Manuelle</t>
        </is>
      </c>
      <c r="Y637" s="16" t="n">
        <v>230</v>
      </c>
      <c r="Z637" s="16" t="n">
        <v>14</v>
      </c>
      <c r="AA637" s="10" t="inlineStr">
        <is>
          <t>Blanc</t>
        </is>
      </c>
      <c r="AB637" s="16" t="n">
        <v>3</v>
      </c>
      <c r="AC637" s="10" t="inlineStr">
        <is>
          <t>Berline</t>
        </is>
      </c>
      <c r="AD637" s="10" t="n"/>
      <c r="AE637" s="10" t="n"/>
      <c r="AF637" s="10" t="inlineStr">
        <is>
          <t>Pro</t>
        </is>
      </c>
      <c r="AG637" s="10" t="inlineStr">
        <is>
          <t>Antibes</t>
        </is>
      </c>
      <c r="AH637" s="10" t="inlineStr">
        <is>
          <t>06600</t>
        </is>
      </c>
      <c r="AI637" s="10" t="inlineStr">
        <is>
          <t>Alpes-Maritimes</t>
        </is>
      </c>
      <c r="AJ637" s="10" t="inlineStr">
        <is>
          <t>Provence-Alpes-Côte d'Azur</t>
        </is>
      </c>
      <c r="AK637" s="16" t="n">
        <v>22</v>
      </c>
      <c r="AL637" s="10" t="n"/>
      <c r="AM637" s="10" t="inlineStr">
        <is>
          <t>Non</t>
        </is>
      </c>
      <c r="AN637" s="10" t="inlineStr">
        <is>
          <t>Renault Mégane 230 R26 F1-TEAM RS / N°6/34 Origine France berline, blanc, 14 cv, 3 portes, première mise en circulation le 28/12/2007. Origine France Exemplaire n°6 sur 34 Dernier entretien réalisé en 2026 Vendu avec 2 clés 5 places, contrôle technique : OK OPTIONS ET ÉQUIPEMENTS : Autres équipements et informations : - Classe Crit'air : 2 - Puissance kilowatt : 169 kw - origine pays : FRA - puissance réelle : 230 ch - émission CO2 : 200 g/km Référence annonce : VIA_DDA05C</t>
        </is>
      </c>
      <c r="AO637" s="10" t="inlineStr">
        <is>
          <t>vehicle_technical_inspection_valid : Oui ; Permis : Avec permis ; VO récent : false ; custom_ref : VIA_DDA05C ; Importé : true ; vehicle_history_report_status : visible ; spare_parts_availability : Non renseignée</t>
        </is>
      </c>
      <c r="AP637" s="19" t="inlineStr">
        <is>
          <t>Voir</t>
        </is>
      </c>
      <c r="AQ637" s="10" t="inlineStr">
        <is>
          <t>3243865675</t>
        </is>
      </c>
    </row>
    <row r="638">
      <c r="A638" s="10" t="inlineStr">
        <is>
          <t>Renault Mégane II RS R26</t>
        </is>
      </c>
      <c r="B638" s="10" t="inlineStr">
        <is>
          <t>Renault Megane 2 RS R26 F1 Team</t>
        </is>
      </c>
      <c r="C638" s="10" t="n"/>
      <c r="D638" s="10" t="n"/>
      <c r="E638" s="10" t="inlineStr">
        <is>
          <t>En vente</t>
        </is>
      </c>
      <c r="F638" s="18" t="n">
        <v>46253</v>
      </c>
      <c r="G638" s="18" t="n">
        <v>46253</v>
      </c>
      <c r="H638" s="18" t="n">
        <v>46310</v>
      </c>
      <c r="I638" s="18" t="n"/>
      <c r="J638" s="17">
        <f>IF(OR(ISNUMBER(F638),ISNUMBER(G638)),IF(ISNUMBER(I638),I638,H638)-IF(ISNUMBER(F638),F638,G638),"")</f>
        <v/>
      </c>
      <c r="K638" s="12" t="n">
        <v>24990</v>
      </c>
      <c r="L638" s="12" t="n">
        <v>24990</v>
      </c>
      <c r="M638" s="13">
        <f>IF(AND(ISNUMBER(K638),ISNUMBER(L638),K638&gt;0),1-L638/K638,"")</f>
        <v/>
      </c>
      <c r="N638" s="16" t="n">
        <v>0</v>
      </c>
      <c r="O638" s="12" t="n"/>
      <c r="P638" s="12" t="n">
        <v>17790</v>
      </c>
      <c r="Q638" s="12" t="n">
        <v>19660</v>
      </c>
      <c r="R638" s="14">
        <f>IF(AND(ISNUMBER(L638),ISNUMBER(P638),ISNUMBER(Q638)),L638/((P638+Q638)/2)-1,"")</f>
        <v/>
      </c>
      <c r="S638" s="10" t="inlineStr">
        <is>
          <t>Estimation indisponible</t>
        </is>
      </c>
      <c r="T638" s="15" t="n">
        <v>82900</v>
      </c>
      <c r="U638" s="16" t="n">
        <v>2008</v>
      </c>
      <c r="V638" s="10" t="inlineStr">
        <is>
          <t>09/2008</t>
        </is>
      </c>
      <c r="W638" s="10" t="inlineStr">
        <is>
          <t>Essence</t>
        </is>
      </c>
      <c r="X638" s="10" t="inlineStr">
        <is>
          <t>Manuelle</t>
        </is>
      </c>
      <c r="Y638" s="16" t="n">
        <v>230</v>
      </c>
      <c r="Z638" s="16" t="n">
        <v>14</v>
      </c>
      <c r="AA638" s="10" t="inlineStr">
        <is>
          <t>Jaune</t>
        </is>
      </c>
      <c r="AB638" s="16" t="n">
        <v>3</v>
      </c>
      <c r="AC638" s="10" t="inlineStr">
        <is>
          <t>Autre</t>
        </is>
      </c>
      <c r="AD638" s="10" t="n"/>
      <c r="AE638" s="10" t="n"/>
      <c r="AF638" s="10" t="inlineStr">
        <is>
          <t>Pro</t>
        </is>
      </c>
      <c r="AG638" s="10" t="inlineStr">
        <is>
          <t>Hiersac</t>
        </is>
      </c>
      <c r="AH638" s="10" t="inlineStr">
        <is>
          <t>16290</t>
        </is>
      </c>
      <c r="AI638" s="10" t="inlineStr">
        <is>
          <t>Charente</t>
        </is>
      </c>
      <c r="AJ638" s="10" t="inlineStr">
        <is>
          <t>Poitou-Charentes</t>
        </is>
      </c>
      <c r="AK638" s="16" t="n">
        <v>10</v>
      </c>
      <c r="AL638" s="10" t="n"/>
      <c r="AM638" s="10" t="inlineStr">
        <is>
          <t>Non</t>
        </is>
      </c>
      <c r="AN638" s="10" t="inlineStr">
        <is>
          <t>Renault Megane 2 RS R26 F1 Team ⚠️Véritable R26 F1 Team numérotée, jaune Sirius⚠️ ⚠️ 4 pneus Michelin pilot sport 5 neufs.⚠️ ✅Un Véhicule Entièrement Révisé avant la livraison✅ ✅ Véhicule Garantie 6 mois dans toute l'Europe et dans n'importe quel garage avec possibilité d'extension jusqu'à 5 ans ✅ ⚠️Véhicule très propre, pas de travaux à prévoir ⚠️ Première Immatriculation: 09/2008 82 900 Kilomètres Principaux Equipements (liste non exhaustive) : 🔸️Baquets Recaro d'origine cuir / Alcantara 🔸️C</t>
        </is>
      </c>
      <c r="AO638" s="10" t="inlineStr">
        <is>
          <t>Permis : Avec permis ; Vente en LOA/LLD : Non ; VO récent : false ; vehicle_commercial_warranty : Non ; vehicle_manufacturer_warranty : Non ; Importé : false ; vehicle_history_report_status : visible ; vehicle_history_teaser_critair : 2 ; vehicle_history_teaser_owners : 6 ; vehicle_history_teaser_expertises : false ; vehicle_history_teaser_special_uses : false ; vehicle_history_teaser_atypical_operations : true ; vehicle_history_teaser_importations : true ; spare_parts_availability : Non renseignée</t>
        </is>
      </c>
      <c r="AP638" s="19" t="inlineStr">
        <is>
          <t>Voir</t>
        </is>
      </c>
      <c r="AQ638" s="10" t="inlineStr">
        <is>
          <t>3252684628</t>
        </is>
      </c>
    </row>
    <row r="639">
      <c r="A639" s="10" t="inlineStr">
        <is>
          <t>Renault Mégane II RS R26</t>
        </is>
      </c>
      <c r="B639" s="10" t="inlineStr">
        <is>
          <t>Renault Mégane 2.0 RS F1 TEAM R26 - Série Échappement N° 4/34 230 Ch DISTRIBUTION ÉFFECTUÉE</t>
        </is>
      </c>
      <c r="C639" s="10" t="inlineStr">
        <is>
          <t>Megane Coupe 2.0T 230ch F1 Team R26</t>
        </is>
      </c>
      <c r="D639" s="10" t="inlineStr">
        <is>
          <t>F1 Team R26</t>
        </is>
      </c>
      <c r="E639" s="10" t="inlineStr">
        <is>
          <t>En vente</t>
        </is>
      </c>
      <c r="F639" s="18" t="n">
        <v>46259</v>
      </c>
      <c r="G639" s="18" t="n">
        <v>46259</v>
      </c>
      <c r="H639" s="18" t="n">
        <v>46310</v>
      </c>
      <c r="I639" s="18" t="n"/>
      <c r="J639" s="17">
        <f>IF(OR(ISNUMBER(F639),ISNUMBER(G639)),IF(ISNUMBER(I639),I639,H639)-IF(ISNUMBER(F639),F639,G639),"")</f>
        <v/>
      </c>
      <c r="K639" s="12" t="n">
        <v>24990</v>
      </c>
      <c r="L639" s="12" t="n">
        <v>23990</v>
      </c>
      <c r="M639" s="13">
        <f>IF(AND(ISNUMBER(K639),ISNUMBER(L639),K639&gt;0),1-L639/K639,"")</f>
        <v/>
      </c>
      <c r="N639" s="16" t="n">
        <v>1</v>
      </c>
      <c r="O639" s="12" t="n">
        <v>26990</v>
      </c>
      <c r="P639" s="12" t="n">
        <v>17650</v>
      </c>
      <c r="Q639" s="12" t="n">
        <v>19510</v>
      </c>
      <c r="R639" s="14">
        <f>IF(AND(ISNUMBER(L639),ISNUMBER(P639),ISNUMBER(Q639)),L639/((P639+Q639)/2)-1,"")</f>
        <v/>
      </c>
      <c r="S639" s="10" t="inlineStr">
        <is>
          <t>Estimation indisponible</t>
        </is>
      </c>
      <c r="T639" s="15" t="n">
        <v>118528</v>
      </c>
      <c r="U639" s="16" t="n">
        <v>2008</v>
      </c>
      <c r="V639" s="10" t="inlineStr">
        <is>
          <t>02/2008</t>
        </is>
      </c>
      <c r="W639" s="10" t="inlineStr">
        <is>
          <t>Essence</t>
        </is>
      </c>
      <c r="X639" s="10" t="inlineStr">
        <is>
          <t>Manuelle</t>
        </is>
      </c>
      <c r="Y639" s="16" t="n">
        <v>230</v>
      </c>
      <c r="Z639" s="16" t="n">
        <v>14</v>
      </c>
      <c r="AA639" s="10" t="inlineStr">
        <is>
          <t>Blanc</t>
        </is>
      </c>
      <c r="AB639" s="16" t="n">
        <v>3</v>
      </c>
      <c r="AC639" s="10" t="inlineStr">
        <is>
          <t>Citadine</t>
        </is>
      </c>
      <c r="AD639" s="10" t="n"/>
      <c r="AE639" s="10" t="n"/>
      <c r="AF639" s="10" t="inlineStr">
        <is>
          <t>Pro</t>
        </is>
      </c>
      <c r="AG639" s="10" t="inlineStr">
        <is>
          <t>Narbonne</t>
        </is>
      </c>
      <c r="AH639" s="10" t="inlineStr">
        <is>
          <t>11100</t>
        </is>
      </c>
      <c r="AI639" s="10" t="inlineStr">
        <is>
          <t>Aude</t>
        </is>
      </c>
      <c r="AJ639" s="10" t="inlineStr">
        <is>
          <t>Languedoc-Roussillon</t>
        </is>
      </c>
      <c r="AK639" s="16" t="n">
        <v>30</v>
      </c>
      <c r="AL639" s="10" t="n"/>
      <c r="AM639" s="10" t="inlineStr">
        <is>
          <t>Non</t>
        </is>
      </c>
      <c r="AN639" s="10" t="inlineStr">
        <is>
          <t>Renault Mégane 2.0 RS F1 TEAM R26 - Série Échappement N° 4/34 230 Ch DISTRIBUTION ÉFFECTUÉE compacte, blanc, 14 cv, 3 portes, première mise en circulation le 12/02/2008. Entretiens à jours sur factures de 2009 à 2026 Disponibles - KIT DISTRIBUTION + PAE en 2018 à 62246 kms et en 2024 à 111535 kms - COURROIE ACCESSOIRE en 2018 a 62246 kms et en 2023 a 109279 kms Derniers entretiens en 04/2026 = Vidange + Filtres + Paraléllisme + Contrôle Technique Favorable Vierge Exemplaire N°4/34 accompagné Rev</t>
        </is>
      </c>
      <c r="AO639" s="10" t="inlineStr">
        <is>
          <t>Équipements intérieurs : 4 roues motrices ; Permis : Avec permis ; VO récent : false ; custom_ref : 260825-121340 ; Importé : true ; vehicle_history_report_status : visible ; spare_parts_availability : Non renseignée</t>
        </is>
      </c>
      <c r="AP639" s="19" t="inlineStr">
        <is>
          <t>Voir</t>
        </is>
      </c>
      <c r="AQ639" s="10" t="inlineStr">
        <is>
          <t>3256587657</t>
        </is>
      </c>
    </row>
    <row r="640">
      <c r="A640" s="10" t="inlineStr">
        <is>
          <t>Renault Mégane II RS R26</t>
        </is>
      </c>
      <c r="B640" s="10" t="inlineStr">
        <is>
          <t>Renault MEGANE II (2) 2.0 T RS F1 TEAM R26 / USAGE CIRCUIT, PISTE, TRACKDAY, TRACKTOOL</t>
        </is>
      </c>
      <c r="C640" s="10" t="inlineStr">
        <is>
          <t>Megane Coupe 2.0T 230ch F1 Team R26</t>
        </is>
      </c>
      <c r="D640" s="10" t="n"/>
      <c r="E640" s="10" t="inlineStr">
        <is>
          <t>En vente</t>
        </is>
      </c>
      <c r="F640" s="18" t="n">
        <v>46266</v>
      </c>
      <c r="G640" s="18" t="n">
        <v>46266</v>
      </c>
      <c r="H640" s="18" t="n">
        <v>46310</v>
      </c>
      <c r="I640" s="18" t="n"/>
      <c r="J640" s="17">
        <f>IF(OR(ISNUMBER(F640),ISNUMBER(G640)),IF(ISNUMBER(I640),I640,H640)-IF(ISNUMBER(F640),F640,G640),"")</f>
        <v/>
      </c>
      <c r="K640" s="12" t="n">
        <v>14900</v>
      </c>
      <c r="L640" s="12" t="n">
        <v>14900</v>
      </c>
      <c r="M640" s="13">
        <f>IF(AND(ISNUMBER(K640),ISNUMBER(L640),K640&gt;0),1-L640/K640,"")</f>
        <v/>
      </c>
      <c r="N640" s="16" t="n">
        <v>0</v>
      </c>
      <c r="O640" s="12" t="n"/>
      <c r="P640" s="12" t="n">
        <v>4870</v>
      </c>
      <c r="Q640" s="12" t="n">
        <v>5380</v>
      </c>
      <c r="R640" s="14">
        <f>IF(AND(ISNUMBER(L640),ISNUMBER(P640),ISNUMBER(Q640)),L640/((P640+Q640)/2)-1,"")</f>
        <v/>
      </c>
      <c r="S640" s="10" t="inlineStr">
        <is>
          <t>Estimation indisponible</t>
        </is>
      </c>
      <c r="T640" s="15" t="n">
        <v>179700</v>
      </c>
      <c r="U640" s="16" t="n">
        <v>2007</v>
      </c>
      <c r="V640" s="10" t="inlineStr">
        <is>
          <t>03/2007</t>
        </is>
      </c>
      <c r="W640" s="10" t="inlineStr">
        <is>
          <t>Essence</t>
        </is>
      </c>
      <c r="X640" s="10" t="inlineStr">
        <is>
          <t>Manuelle</t>
        </is>
      </c>
      <c r="Y640" s="16" t="n">
        <v>165</v>
      </c>
      <c r="Z640" s="16" t="n">
        <v>10</v>
      </c>
      <c r="AA640" s="10" t="inlineStr">
        <is>
          <t>Blanc</t>
        </is>
      </c>
      <c r="AB640" s="16" t="n">
        <v>3</v>
      </c>
      <c r="AC640" s="10" t="inlineStr">
        <is>
          <t>Autre</t>
        </is>
      </c>
      <c r="AD640" s="10" t="n"/>
      <c r="AE640" s="10" t="n"/>
      <c r="AF640" s="10" t="inlineStr">
        <is>
          <t>Pro</t>
        </is>
      </c>
      <c r="AG640" s="10" t="inlineStr">
        <is>
          <t>Les Sables-d'Olonne</t>
        </is>
      </c>
      <c r="AH640" s="10" t="inlineStr">
        <is>
          <t>85180</t>
        </is>
      </c>
      <c r="AI640" s="10" t="inlineStr">
        <is>
          <t>Vendée</t>
        </is>
      </c>
      <c r="AJ640" s="10" t="inlineStr">
        <is>
          <t>Pays de la Loire</t>
        </is>
      </c>
      <c r="AK640" s="16" t="n">
        <v>5</v>
      </c>
      <c r="AL640" s="10" t="n"/>
      <c r="AM640" s="10" t="inlineStr">
        <is>
          <t>Non</t>
        </is>
      </c>
      <c r="AN640" s="10" t="inlineStr">
        <is>
          <t>MÉGANE 2 RS F1 TEAM - N°0847 🚨 USAGE CIRCUIT, PISTE, TRACKDAY 🚨 Moteur de Mégane 3 RS F4r 874 Forgée piston bielle Visserie culasse et vilebrequin et bielle ARP 2000 Embrayage origine et volant moteur bimasse d'origine neuf Coussinets de bielles trimetal ACL Linguet et poussoir neuf Turbo d'origine Megane 3 RS Injecteur d'origine Reprogrammation sur-mesure faite par un professionnel : 301ch Cardan neuf Plaquettes neuves CARBON LORRAINE Disques neufs 4 combinés filetés BC RACING neufs Dump valv</t>
        </is>
      </c>
      <c r="AO640" s="10" t="inlineStr">
        <is>
          <t>Permis : Avec permis ; Vente en LOA/LLD : Non ; VO récent : false ; vehicle_commercial_warranty : Non ; vehicle_manufacturer_warranty : Non ; Importé : false ; vehicle_history_report_status : visible ; vehicle_history_teaser_critair : 2 ; vehicle_history_teaser_owners : 8 ; vehicle_history_teaser_expertises : true ; vehicle_history_teaser_special_uses : true ; vehicle_history_teaser_atypical_operations : true ; vehicle_history_teaser_importations : false ; spare_parts_availability : Non renseignée</t>
        </is>
      </c>
      <c r="AP640" s="19" t="inlineStr">
        <is>
          <t>Voir</t>
        </is>
      </c>
      <c r="AQ640" s="10" t="inlineStr">
        <is>
          <t>3261154881</t>
        </is>
      </c>
    </row>
    <row r="641">
      <c r="A641" s="10" t="inlineStr">
        <is>
          <t>Renault Mégane II RS R26</t>
        </is>
      </c>
      <c r="B641" s="10" t="inlineStr">
        <is>
          <t>Renault Megane 2.0 R.S F1 TEAM R26 Série limitée (Échappement N° 25/34)</t>
        </is>
      </c>
      <c r="C641" s="10" t="inlineStr">
        <is>
          <t>Megane Coupe 2.0T 230ch F1 Team R26</t>
        </is>
      </c>
      <c r="D641" s="10" t="n"/>
      <c r="E641" s="10" t="inlineStr">
        <is>
          <t>En vente</t>
        </is>
      </c>
      <c r="F641" s="18" t="n">
        <v>46269</v>
      </c>
      <c r="G641" s="18" t="n">
        <v>46269</v>
      </c>
      <c r="H641" s="18" t="n">
        <v>46310</v>
      </c>
      <c r="I641" s="18" t="n"/>
      <c r="J641" s="17">
        <f>IF(OR(ISNUMBER(F641),ISNUMBER(G641)),IF(ISNUMBER(I641),I641,H641)-IF(ISNUMBER(F641),F641,G641),"")</f>
        <v/>
      </c>
      <c r="K641" s="12" t="n">
        <v>25500</v>
      </c>
      <c r="L641" s="12" t="n">
        <v>24500</v>
      </c>
      <c r="M641" s="13">
        <f>IF(AND(ISNUMBER(K641),ISNUMBER(L641),K641&gt;0),1-L641/K641,"")</f>
        <v/>
      </c>
      <c r="N641" s="16" t="n">
        <v>1</v>
      </c>
      <c r="O641" s="12" t="n">
        <v>25490</v>
      </c>
      <c r="P641" s="12" t="n">
        <v>16540</v>
      </c>
      <c r="Q641" s="12" t="n">
        <v>18280</v>
      </c>
      <c r="R641" s="14">
        <f>IF(AND(ISNUMBER(L641),ISNUMBER(P641),ISNUMBER(Q641)),L641/((P641+Q641)/2)-1,"")</f>
        <v/>
      </c>
      <c r="S641" s="10" t="inlineStr">
        <is>
          <t>Estimation indisponible</t>
        </is>
      </c>
      <c r="T641" s="15" t="n">
        <v>108900</v>
      </c>
      <c r="U641" s="16" t="n">
        <v>2008</v>
      </c>
      <c r="V641" s="10" t="inlineStr">
        <is>
          <t>01/2008</t>
        </is>
      </c>
      <c r="W641" s="10" t="inlineStr">
        <is>
          <t>Essence</t>
        </is>
      </c>
      <c r="X641" s="10" t="inlineStr">
        <is>
          <t>Manuelle</t>
        </is>
      </c>
      <c r="Y641" s="16" t="n">
        <v>230</v>
      </c>
      <c r="Z641" s="16" t="n">
        <v>14</v>
      </c>
      <c r="AA641" s="10" t="inlineStr">
        <is>
          <t>Blanc</t>
        </is>
      </c>
      <c r="AB641" s="16" t="n">
        <v>3</v>
      </c>
      <c r="AC641" s="10" t="inlineStr">
        <is>
          <t>Autre</t>
        </is>
      </c>
      <c r="AD641" s="10" t="n"/>
      <c r="AE641" s="10" t="n"/>
      <c r="AF641" s="10" t="inlineStr">
        <is>
          <t>Pro</t>
        </is>
      </c>
      <c r="AG641" s="10" t="inlineStr">
        <is>
          <t>Grand-Couronne</t>
        </is>
      </c>
      <c r="AH641" s="10" t="inlineStr">
        <is>
          <t>76530</t>
        </is>
      </c>
      <c r="AI641" s="10" t="inlineStr">
        <is>
          <t>Seine-Maritime</t>
        </is>
      </c>
      <c r="AJ641" s="10" t="inlineStr">
        <is>
          <t>Haute-Normandie</t>
        </is>
      </c>
      <c r="AK641" s="16" t="n">
        <v>13</v>
      </c>
      <c r="AL641" s="10" t="n"/>
      <c r="AM641" s="10" t="inlineStr">
        <is>
          <t>Non</t>
        </is>
      </c>
      <c r="AN641" s="10" t="inlineStr">
        <is>
          <t>Renault Megane 2.0 R.S F1 TEAM R26 230ch - Série limitée (Échappement N° 25/34) , blanc, 14 cv, 3 portes, première mise en circulation le 25/01/2008. Exemplaire N°25/34 en Série limitée tiré du partenariat avec le célèbre magazine Échappement ! Distribution à jour ! Options et équipements : * Sièges sport RECARO * Étriers de frein rouges * Jantes alliage R26 R * Roue secours R26 R * Pommeau de vitesse Renault Sport * Carplay / poste auto radio d'origine disponible * Catalyseur sport 200 cellules</t>
        </is>
      </c>
      <c r="AO641" s="10" t="inlineStr">
        <is>
          <t>Dommages : Bon état général ; Sellerie : Tout cuir ; Permis : Avec permis ; Vente en LOA/LLD : Non ; VO récent : false ; vehicle_commercial_warranty : Non ; vehicle_manufacturer_warranty : Non ; Importé : false ; vehicle_history_report_status : visible ; vehicle_history_teaser_critair : 2 ; vehicle_history_teaser_owners : 5 ; vehicle_history_teaser_expertises : true ; vehicle_history_teaser_special_uses : true ; vehicle_history_teaser_atypical_operations : false ; vehicle_history_teaser_importations : false ; spare_parts_availability : Non renseignée</t>
        </is>
      </c>
      <c r="AP641" s="19" t="inlineStr">
        <is>
          <t>Voir</t>
        </is>
      </c>
      <c r="AQ641" s="10" t="inlineStr">
        <is>
          <t>3262231451</t>
        </is>
      </c>
    </row>
    <row r="642">
      <c r="A642" s="10" t="inlineStr">
        <is>
          <t>Renault Mégane II RS R26</t>
        </is>
      </c>
      <c r="B642" s="10" t="inlineStr">
        <is>
          <t>Mégane 2 RS R26 jaune Sirius</t>
        </is>
      </c>
      <c r="C642" s="10" t="n"/>
      <c r="D642" s="10" t="n"/>
      <c r="E642" s="10" t="inlineStr">
        <is>
          <t>En vente</t>
        </is>
      </c>
      <c r="F642" s="18" t="n">
        <v>46285</v>
      </c>
      <c r="G642" s="18" t="n">
        <v>46285</v>
      </c>
      <c r="H642" s="18" t="n">
        <v>46310</v>
      </c>
      <c r="I642" s="18" t="n"/>
      <c r="J642" s="17">
        <f>IF(OR(ISNUMBER(F642),ISNUMBER(G642)),IF(ISNUMBER(I642),I642,H642)-IF(ISNUMBER(F642),F642,G642),"")</f>
        <v/>
      </c>
      <c r="K642" s="12" t="n">
        <v>20500</v>
      </c>
      <c r="L642" s="12" t="n">
        <v>20500</v>
      </c>
      <c r="M642" s="13">
        <f>IF(AND(ISNUMBER(K642),ISNUMBER(L642),K642&gt;0),1-L642/K642,"")</f>
        <v/>
      </c>
      <c r="N642" s="16" t="n">
        <v>0</v>
      </c>
      <c r="O642" s="12" t="n"/>
      <c r="P642" s="12" t="n">
        <v>15640</v>
      </c>
      <c r="Q642" s="12" t="n">
        <v>17290</v>
      </c>
      <c r="R642" s="14">
        <f>IF(AND(ISNUMBER(L642),ISNUMBER(P642),ISNUMBER(Q642)),L642/((P642+Q642)/2)-1,"")</f>
        <v/>
      </c>
      <c r="S642" s="10" t="inlineStr">
        <is>
          <t>Au-dessus du marché</t>
        </is>
      </c>
      <c r="T642" s="15" t="n">
        <v>105000</v>
      </c>
      <c r="U642" s="16" t="n">
        <v>2007</v>
      </c>
      <c r="V642" s="10" t="inlineStr">
        <is>
          <t>12/2007</t>
        </is>
      </c>
      <c r="W642" s="10" t="inlineStr">
        <is>
          <t>Essence</t>
        </is>
      </c>
      <c r="X642" s="10" t="inlineStr">
        <is>
          <t>Manuelle</t>
        </is>
      </c>
      <c r="Y642" s="16" t="n">
        <v>230</v>
      </c>
      <c r="Z642" s="16" t="n">
        <v>14</v>
      </c>
      <c r="AA642" s="10" t="inlineStr">
        <is>
          <t>Jaune</t>
        </is>
      </c>
      <c r="AB642" s="16" t="n">
        <v>3</v>
      </c>
      <c r="AC642" s="10" t="inlineStr">
        <is>
          <t>Autre</t>
        </is>
      </c>
      <c r="AD642" s="10" t="n"/>
      <c r="AE642" s="10" t="n"/>
      <c r="AF642" s="10" t="inlineStr">
        <is>
          <t>Particulier</t>
        </is>
      </c>
      <c r="AG642" s="10" t="inlineStr">
        <is>
          <t>Auray</t>
        </is>
      </c>
      <c r="AH642" s="10" t="inlineStr">
        <is>
          <t>56400</t>
        </is>
      </c>
      <c r="AI642" s="10" t="inlineStr">
        <is>
          <t>Morbihan</t>
        </is>
      </c>
      <c r="AJ642" s="10" t="inlineStr">
        <is>
          <t>Bretagne</t>
        </is>
      </c>
      <c r="AK642" s="16" t="n">
        <v>3</v>
      </c>
      <c r="AL642" s="10" t="n"/>
      <c r="AM642" s="10" t="inlineStr">
        <is>
          <t>Non</t>
        </is>
      </c>
      <c r="AN642" s="10" t="inlineStr">
        <is>
          <t xml:space="preserve">Je vends ma Renault Mégane 2 RS R26 de 2007, une sportive légendaire au coloris jaune éclatant. - Marque : Renault - Modèle : Mégane 2 RS R26 - Année : 2007 - Kilométrage : 105 000 km - Motorisation : 2.0 Turbo 250 ch - Carburant : Essence - Boîte de vitesses : Manuelle - Couleur : Jaune - Nombre de portes : 3 - Nombre de sièges : 5 - Puissance fiscale : 10 Cv - Contrôle technique : Valide jusqu'en 07/2028 Elle a quelques optimisations : - combiné fileté - frein sur bol - échangeur gros volume, </t>
        </is>
      </c>
      <c r="AO642" s="10" t="inlineStr">
        <is>
          <t>vehicle_technical_inspection_valid : Non ; Sellerie : Cuir partiel ; Permis : Avec permis ; ad_warranty_type : essential ; Importé : false</t>
        </is>
      </c>
      <c r="AP642" s="19" t="inlineStr">
        <is>
          <t>Voir</t>
        </is>
      </c>
      <c r="AQ642" s="10" t="inlineStr">
        <is>
          <t>3273010014</t>
        </is>
      </c>
    </row>
    <row r="643">
      <c r="A643" s="10" t="inlineStr">
        <is>
          <t>Renault Mégane II RS R26</t>
        </is>
      </c>
      <c r="B643" s="10" t="inlineStr">
        <is>
          <t>Renault Mégane 2 rs F1 Team R26</t>
        </is>
      </c>
      <c r="C643" s="10" t="inlineStr">
        <is>
          <t>Megane Coupe 2.0T 230ch F1 Team R26</t>
        </is>
      </c>
      <c r="D643" s="10" t="inlineStr">
        <is>
          <t>F1 Team R26</t>
        </is>
      </c>
      <c r="E643" s="10" t="inlineStr">
        <is>
          <t>En vente</t>
        </is>
      </c>
      <c r="F643" s="18" t="n">
        <v>46290</v>
      </c>
      <c r="G643" s="18" t="n">
        <v>46290</v>
      </c>
      <c r="H643" s="18" t="n">
        <v>46310</v>
      </c>
      <c r="I643" s="18" t="n"/>
      <c r="J643" s="17">
        <f>IF(OR(ISNUMBER(F643),ISNUMBER(G643)),IF(ISNUMBER(I643),I643,H643)-IF(ISNUMBER(F643),F643,G643),"")</f>
        <v/>
      </c>
      <c r="K643" s="12" t="n">
        <v>22990</v>
      </c>
      <c r="L643" s="12" t="n">
        <v>22990</v>
      </c>
      <c r="M643" s="13">
        <f>IF(AND(ISNUMBER(K643),ISNUMBER(L643),K643&gt;0),1-L643/K643,"")</f>
        <v/>
      </c>
      <c r="N643" s="16" t="n">
        <v>0</v>
      </c>
      <c r="O643" s="12" t="n"/>
      <c r="P643" s="12" t="n">
        <v>13370</v>
      </c>
      <c r="Q643" s="12" t="n">
        <v>14770</v>
      </c>
      <c r="R643" s="14">
        <f>IF(AND(ISNUMBER(L643),ISNUMBER(P643),ISNUMBER(Q643)),L643/((P643+Q643)/2)-1,"")</f>
        <v/>
      </c>
      <c r="S643" s="10" t="inlineStr">
        <is>
          <t>Estimation indisponible</t>
        </is>
      </c>
      <c r="T643" s="15" t="n">
        <v>146579</v>
      </c>
      <c r="U643" s="16" t="n">
        <v>2007</v>
      </c>
      <c r="V643" s="10" t="inlineStr">
        <is>
          <t>05/2007</t>
        </is>
      </c>
      <c r="W643" s="10" t="inlineStr">
        <is>
          <t>Essence</t>
        </is>
      </c>
      <c r="X643" s="10" t="inlineStr">
        <is>
          <t>Manuelle</t>
        </is>
      </c>
      <c r="Y643" s="16" t="n">
        <v>230</v>
      </c>
      <c r="Z643" s="16" t="n">
        <v>14</v>
      </c>
      <c r="AA643" s="10" t="inlineStr">
        <is>
          <t>Jaune</t>
        </is>
      </c>
      <c r="AB643" s="16" t="n">
        <v>3</v>
      </c>
      <c r="AC643" s="10" t="inlineStr">
        <is>
          <t>Autre</t>
        </is>
      </c>
      <c r="AD643" s="10" t="inlineStr">
        <is>
          <t>Carnet d'entretien disponible, Véhicule non fumeur, Factures disponibles</t>
        </is>
      </c>
      <c r="AE643" s="10" t="n"/>
      <c r="AF643" s="10" t="inlineStr">
        <is>
          <t>Pro</t>
        </is>
      </c>
      <c r="AG643" s="10" t="inlineStr">
        <is>
          <t>Segré-en-Anjou Bleu</t>
        </is>
      </c>
      <c r="AH643" s="10" t="inlineStr">
        <is>
          <t>49500</t>
        </is>
      </c>
      <c r="AI643" s="10" t="inlineStr">
        <is>
          <t>Maine-et-Loire</t>
        </is>
      </c>
      <c r="AJ643" s="10" t="inlineStr">
        <is>
          <t>Pays de la Loire</t>
        </is>
      </c>
      <c r="AK643" s="16" t="n">
        <v>5</v>
      </c>
      <c r="AL643" s="10" t="n"/>
      <c r="AM643" s="10" t="inlineStr">
        <is>
          <t>Non</t>
        </is>
      </c>
      <c r="AN643" s="10" t="inlineStr">
        <is>
          <t xml:space="preserve">Renault Mégane 2 rs F1 Team R26, Jaune Sirius, 2.0L 230CH, 14 chevaux fiscaux, 3 portes, 5 places, première mise en circulation le 30/05/2007, 146579 kilomètres non évolutif VÉHICULE EN DEPOT VENTE, garantie possible via le garage Origine France Elle a eu 4 propriétaires au total : 2 agents Renault ainsi que 2 commerciaux Renault. La voiture est toujours restée dans le réseau. Double de clés et pochette constructeur fournis La voiture est en excellent état pour l’année et le kilométrage. Elle a </t>
        </is>
      </c>
      <c r="AO643" s="10" t="inlineStr">
        <is>
          <t>Dommages : Excellent état (proche du neuf) ; Sellerie : Alcantara, Cuir partiel ; Permis : Avec permis ; VO récent : false ; Importé : false ; vehicle_history_report_status : visible ; vehicle_history_teaser_critair : 2 ; vehicle_history_teaser_owners : 4 ; vehicle_history_teaser_expertises : false ; vehicle_history_teaser_special_uses : false ; vehicle_history_teaser_atypical_operations : false ; vehicle_history_teaser_importations : false ; spare_parts_availability : Non renseignée</t>
        </is>
      </c>
      <c r="AP643" s="19" t="inlineStr">
        <is>
          <t>Voir</t>
        </is>
      </c>
      <c r="AQ643" s="10" t="inlineStr">
        <is>
          <t>3276458601</t>
        </is>
      </c>
    </row>
    <row r="644">
      <c r="A644" s="10" t="inlineStr">
        <is>
          <t>Renault Mégane II RS R26</t>
        </is>
      </c>
      <c r="B644" s="10" t="inlineStr">
        <is>
          <t>Megane rs f1 team r26 parfaite</t>
        </is>
      </c>
      <c r="C644" s="10" t="inlineStr">
        <is>
          <t>Megane Coupe 2.0T 230ch F1 Team R26</t>
        </is>
      </c>
      <c r="D644" s="10" t="inlineStr">
        <is>
          <t>F1 Team R26</t>
        </is>
      </c>
      <c r="E644" s="10" t="inlineStr">
        <is>
          <t>En vente</t>
        </is>
      </c>
      <c r="F644" s="18" t="n">
        <v>46305</v>
      </c>
      <c r="G644" s="18" t="n">
        <v>46305</v>
      </c>
      <c r="H644" s="18" t="n">
        <v>46310</v>
      </c>
      <c r="I644" s="18" t="n"/>
      <c r="J644" s="17">
        <f>IF(OR(ISNUMBER(F644),ISNUMBER(G644)),IF(ISNUMBER(I644),I644,H644)-IF(ISNUMBER(F644),F644,G644),"")</f>
        <v/>
      </c>
      <c r="K644" s="12" t="n">
        <v>23900</v>
      </c>
      <c r="L644" s="12" t="n">
        <v>23900</v>
      </c>
      <c r="M644" s="13">
        <f>IF(AND(ISNUMBER(K644),ISNUMBER(L644),K644&gt;0),1-L644/K644,"")</f>
        <v/>
      </c>
      <c r="N644" s="16" t="n">
        <v>0</v>
      </c>
      <c r="O644" s="12" t="n"/>
      <c r="P644" s="12" t="n">
        <v>15540</v>
      </c>
      <c r="Q644" s="12" t="n">
        <v>17180</v>
      </c>
      <c r="R644" s="14">
        <f>IF(AND(ISNUMBER(L644),ISNUMBER(P644),ISNUMBER(Q644)),L644/((P644+Q644)/2)-1,"")</f>
        <v/>
      </c>
      <c r="S644" s="10" t="n"/>
      <c r="T644" s="15" t="n">
        <v>69900</v>
      </c>
      <c r="U644" s="16" t="n">
        <v>2007</v>
      </c>
      <c r="V644" s="10" t="inlineStr">
        <is>
          <t>11/2007</t>
        </is>
      </c>
      <c r="W644" s="10" t="inlineStr">
        <is>
          <t>Essence</t>
        </is>
      </c>
      <c r="X644" s="10" t="inlineStr">
        <is>
          <t>Manuelle</t>
        </is>
      </c>
      <c r="Y644" s="16" t="n">
        <v>230</v>
      </c>
      <c r="Z644" s="16" t="n">
        <v>14</v>
      </c>
      <c r="AA644" s="10" t="inlineStr">
        <is>
          <t>Noir</t>
        </is>
      </c>
      <c r="AB644" s="16" t="n">
        <v>3</v>
      </c>
      <c r="AC644" s="10" t="inlineStr">
        <is>
          <t>Autre</t>
        </is>
      </c>
      <c r="AD644" s="10" t="inlineStr">
        <is>
          <t>Carnet d'entretien disponible, Factures disponibles, Véhicule non fumeur, Réparations utiles déjà faites</t>
        </is>
      </c>
      <c r="AE644" s="10" t="n"/>
      <c r="AF644" s="10" t="inlineStr">
        <is>
          <t>Particulier</t>
        </is>
      </c>
      <c r="AG644" s="10" t="inlineStr">
        <is>
          <t>Choisy-le-Roi</t>
        </is>
      </c>
      <c r="AH644" s="10" t="inlineStr">
        <is>
          <t>94600</t>
        </is>
      </c>
      <c r="AI644" s="10" t="inlineStr">
        <is>
          <t>Val-de-Marne</t>
        </is>
      </c>
      <c r="AJ644" s="10" t="inlineStr">
        <is>
          <t>Ile-de-France</t>
        </is>
      </c>
      <c r="AK644" s="16" t="n">
        <v>3</v>
      </c>
      <c r="AL644" s="10" t="n"/>
      <c r="AM644" s="10" t="inlineStr">
        <is>
          <t>Non</t>
        </is>
      </c>
      <c r="AN644" s="10" t="inlineStr">
        <is>
          <t xml:space="preserve">Vend Renault Mégane 2 RS F1 Team R26 authentique, affichant seulement 70 000 km. La voiture est strictement d'origine. Véhicule passion, dans un état exceptionnel. Aucun frais à prévoir, le gros entretien et la remise à neuf mécanique/esthétique viennent d'être réalisés. Tous les remplacements ont été effectués avec des pièces d'origine ou OEM. Interventions récentes : • Mécanique &amp; Moteur : Distribution complète + pompe à eau, bougies, bobines, pompe HP et plusieurs capteurs neufs. • Châssis &amp; </t>
        </is>
      </c>
      <c r="AO644" s="10" t="inlineStr">
        <is>
          <t>Dommages : Excellent état (proche du neuf) ; Équipements intérieurs : Allumage automatique des phares, Bluetooth, Ordinateur de bord, Phares LED / Xenon, Régulateur de vitesse, Rétroviseurs rabattables électriquement, Siège arrière rabattable, Siège réglable en hauteur, Sièges arrières coulissants, Sièges en cuir, Sièges sport ; Permis : Avec permis ; ad_warranty_type : essential ; Importé : false</t>
        </is>
      </c>
      <c r="AP644" s="19" t="inlineStr">
        <is>
          <t>Voir</t>
        </is>
      </c>
      <c r="AQ644" s="10" t="inlineStr">
        <is>
          <t>3285387218</t>
        </is>
      </c>
    </row>
    <row r="645">
      <c r="A645" s="10" t="inlineStr">
        <is>
          <t>Renault Mégane II RS R26</t>
        </is>
      </c>
      <c r="B645" s="10" t="inlineStr">
        <is>
          <t>Megane 2 rs r26</t>
        </is>
      </c>
      <c r="C645" s="10" t="n"/>
      <c r="D645" s="10" t="n"/>
      <c r="E645" s="10" t="inlineStr">
        <is>
          <t>En vente</t>
        </is>
      </c>
      <c r="F645" s="18" t="n">
        <v>46305</v>
      </c>
      <c r="G645" s="18" t="n">
        <v>46305</v>
      </c>
      <c r="H645" s="18" t="n">
        <v>46310</v>
      </c>
      <c r="I645" s="18" t="n"/>
      <c r="J645" s="17">
        <f>IF(OR(ISNUMBER(F645),ISNUMBER(G645)),IF(ISNUMBER(I645),I645,H645)-IF(ISNUMBER(F645),F645,G645),"")</f>
        <v/>
      </c>
      <c r="K645" s="12" t="n">
        <v>15000</v>
      </c>
      <c r="L645" s="12" t="n">
        <v>15000</v>
      </c>
      <c r="M645" s="13">
        <f>IF(AND(ISNUMBER(K645),ISNUMBER(L645),K645&gt;0),1-L645/K645,"")</f>
        <v/>
      </c>
      <c r="N645" s="16" t="n">
        <v>0</v>
      </c>
      <c r="O645" s="12" t="n"/>
      <c r="P645" s="12" t="n">
        <v>9470</v>
      </c>
      <c r="Q645" s="12" t="n">
        <v>10470</v>
      </c>
      <c r="R645" s="14">
        <f>IF(AND(ISNUMBER(L645),ISNUMBER(P645),ISNUMBER(Q645)),L645/((P645+Q645)/2)-1,"")</f>
        <v/>
      </c>
      <c r="S645" s="10" t="inlineStr">
        <is>
          <t>Estimation indisponible</t>
        </is>
      </c>
      <c r="T645" s="15" t="n">
        <v>190000</v>
      </c>
      <c r="U645" s="16" t="n">
        <v>2008</v>
      </c>
      <c r="V645" s="10" t="inlineStr">
        <is>
          <t>06/2008</t>
        </is>
      </c>
      <c r="W645" s="10" t="inlineStr">
        <is>
          <t>Essence</t>
        </is>
      </c>
      <c r="X645" s="10" t="inlineStr">
        <is>
          <t>Manuelle</t>
        </is>
      </c>
      <c r="Y645" s="16" t="n">
        <v>230</v>
      </c>
      <c r="Z645" s="16" t="n">
        <v>14</v>
      </c>
      <c r="AA645" s="10" t="inlineStr">
        <is>
          <t>Blanc</t>
        </is>
      </c>
      <c r="AB645" s="16" t="n">
        <v>3</v>
      </c>
      <c r="AC645" s="10" t="inlineStr">
        <is>
          <t>Autre</t>
        </is>
      </c>
      <c r="AD645" s="10" t="n"/>
      <c r="AE645" s="10" t="n"/>
      <c r="AF645" s="10" t="inlineStr">
        <is>
          <t>Particulier</t>
        </is>
      </c>
      <c r="AG645" s="10" t="inlineStr">
        <is>
          <t>Neuville-aux-Bois</t>
        </is>
      </c>
      <c r="AH645" s="10" t="inlineStr">
        <is>
          <t>45170</t>
        </is>
      </c>
      <c r="AI645" s="10" t="inlineStr">
        <is>
          <t>Loiret</t>
        </is>
      </c>
      <c r="AJ645" s="10" t="inlineStr">
        <is>
          <t>Centre</t>
        </is>
      </c>
      <c r="AK645" s="16" t="n">
        <v>3</v>
      </c>
      <c r="AL645" s="10" t="n"/>
      <c r="AM645" s="10" t="inlineStr">
        <is>
          <t>Non</t>
        </is>
      </c>
      <c r="AN645" s="10" t="inlineStr">
        <is>
          <t>Megane rs r26 numérotée Moteur de megane 3rs (90 000 km) Grosse pompe et gros injecteurs Echangeur et radiateur gros volume Durites silicone Shifter Collecteur inox et ligne complète Combinés filetés. Silent bloc powerflex. Durites avia Etc... Carto faite sur mesure (316cv) au sp. La voiture roule très bien il y a juste le joint de collecteur qui fuit.</t>
        </is>
      </c>
      <c r="AO645" s="10" t="inlineStr">
        <is>
          <t>Sellerie : Cuir partiel ; Équipements intérieurs : Bluetooth, Régulateur de vitesse, Sièges sport, Volant réglable en hauteur, Volant réglable en profondeur ; Permis : Avec permis ; ad_warranty_type : essential ; Importé : false</t>
        </is>
      </c>
      <c r="AP645" s="19" t="inlineStr">
        <is>
          <t>Voir</t>
        </is>
      </c>
      <c r="AQ645" s="10" t="inlineStr">
        <is>
          <t>3285622672</t>
        </is>
      </c>
    </row>
    <row r="646">
      <c r="A646" s="10" t="inlineStr">
        <is>
          <t>Renault Mégane II RS R26</t>
        </is>
      </c>
      <c r="B646" s="10" t="inlineStr">
        <is>
          <t>Mégane 2 rs f1 Team r26</t>
        </is>
      </c>
      <c r="C646" s="10" t="n"/>
      <c r="D646" s="10" t="n"/>
      <c r="E646" s="10" t="inlineStr">
        <is>
          <t>Partie</t>
        </is>
      </c>
      <c r="F646" s="18" t="n">
        <v>46237</v>
      </c>
      <c r="G646" s="18" t="n">
        <v>46237</v>
      </c>
      <c r="H646" s="18" t="n">
        <v>46296</v>
      </c>
      <c r="I646" s="18" t="n">
        <v>46310</v>
      </c>
      <c r="J646" s="17">
        <f>IF(OR(ISNUMBER(F646),ISNUMBER(G646)),IF(ISNUMBER(I646),I646,H646)-IF(ISNUMBER(F646),F646,G646),"")</f>
        <v/>
      </c>
      <c r="K646" s="12" t="n">
        <v>22000</v>
      </c>
      <c r="L646" s="12" t="n">
        <v>22000</v>
      </c>
      <c r="M646" s="13">
        <f>IF(AND(ISNUMBER(K646),ISNUMBER(L646),K646&gt;0),1-L646/K646,"")</f>
        <v/>
      </c>
      <c r="N646" s="16" t="n">
        <v>0</v>
      </c>
      <c r="O646" s="12" t="n"/>
      <c r="P646" s="12" t="n"/>
      <c r="Q646" s="12" t="n"/>
      <c r="R646" s="14">
        <f>IF(AND(ISNUMBER(L646),ISNUMBER(P646),ISNUMBER(Q646)),L646/((P646+Q646)/2)-1,"")</f>
        <v/>
      </c>
      <c r="S646" s="10" t="n"/>
      <c r="T646" s="15" t="n">
        <v>48000</v>
      </c>
      <c r="U646" s="16" t="n">
        <v>2007</v>
      </c>
      <c r="V646" s="10" t="n"/>
      <c r="W646" s="10" t="inlineStr">
        <is>
          <t>Essence</t>
        </is>
      </c>
      <c r="X646" s="10" t="inlineStr">
        <is>
          <t>Manuelle</t>
        </is>
      </c>
      <c r="Y646" s="16" t="n">
        <v>230</v>
      </c>
      <c r="Z646" s="16" t="n">
        <v>14</v>
      </c>
      <c r="AA646" s="10" t="inlineStr">
        <is>
          <t>Jaune</t>
        </is>
      </c>
      <c r="AB646" s="16" t="n">
        <v>3</v>
      </c>
      <c r="AC646" s="10" t="inlineStr">
        <is>
          <t>Autre</t>
        </is>
      </c>
      <c r="AD646" s="10" t="n"/>
      <c r="AE646" s="10" t="n"/>
      <c r="AF646" s="10" t="inlineStr">
        <is>
          <t>Particulier</t>
        </is>
      </c>
      <c r="AG646" s="10" t="inlineStr">
        <is>
          <t>Saint-Pierre</t>
        </is>
      </c>
      <c r="AH646" s="10" t="inlineStr">
        <is>
          <t>97432</t>
        </is>
      </c>
      <c r="AI646" s="10" t="n"/>
      <c r="AJ646" s="10" t="inlineStr">
        <is>
          <t>Réunion</t>
        </is>
      </c>
      <c r="AK646" s="16" t="n"/>
      <c r="AL646" s="10" t="n"/>
      <c r="AM646" s="10" t="n"/>
      <c r="AN646" s="10" t="n"/>
      <c r="AO646" s="10" t="n"/>
      <c r="AP646" s="19" t="inlineStr">
        <is>
          <t>Voir</t>
        </is>
      </c>
      <c r="AQ646" s="10" t="inlineStr">
        <is>
          <t>3243871328</t>
        </is>
      </c>
    </row>
    <row r="647">
      <c r="A647" s="10" t="inlineStr">
        <is>
          <t>Renault Mégane II RS R26</t>
        </is>
      </c>
      <c r="B647" s="10" t="inlineStr">
        <is>
          <t>Megane RS R26</t>
        </is>
      </c>
      <c r="C647" s="10" t="n"/>
      <c r="D647" s="10" t="n"/>
      <c r="E647" s="10" t="inlineStr">
        <is>
          <t>Partie</t>
        </is>
      </c>
      <c r="F647" s="18" t="n">
        <v>46241</v>
      </c>
      <c r="G647" s="18" t="n">
        <v>46241</v>
      </c>
      <c r="H647" s="18" t="n">
        <v>46296</v>
      </c>
      <c r="I647" s="18" t="n">
        <v>46310</v>
      </c>
      <c r="J647" s="17">
        <f>IF(OR(ISNUMBER(F647),ISNUMBER(G647)),IF(ISNUMBER(I647),I647,H647)-IF(ISNUMBER(F647),F647,G647),"")</f>
        <v/>
      </c>
      <c r="K647" s="12" t="n">
        <v>19000</v>
      </c>
      <c r="L647" s="12" t="n">
        <v>19000</v>
      </c>
      <c r="M647" s="13">
        <f>IF(AND(ISNUMBER(K647),ISNUMBER(L647),K647&gt;0),1-L647/K647,"")</f>
        <v/>
      </c>
      <c r="N647" s="16" t="n">
        <v>0</v>
      </c>
      <c r="O647" s="12" t="n"/>
      <c r="P647" s="12" t="n"/>
      <c r="Q647" s="12" t="n"/>
      <c r="R647" s="14">
        <f>IF(AND(ISNUMBER(L647),ISNUMBER(P647),ISNUMBER(Q647)),L647/((P647+Q647)/2)-1,"")</f>
        <v/>
      </c>
      <c r="S647" s="10" t="n"/>
      <c r="T647" s="15" t="n">
        <v>88000</v>
      </c>
      <c r="U647" s="16" t="n">
        <v>2008</v>
      </c>
      <c r="V647" s="10" t="n"/>
      <c r="W647" s="10" t="inlineStr">
        <is>
          <t>Essence</t>
        </is>
      </c>
      <c r="X647" s="10" t="inlineStr">
        <is>
          <t>Manuelle</t>
        </is>
      </c>
      <c r="Y647" s="16" t="n">
        <v>230</v>
      </c>
      <c r="Z647" s="16" t="n">
        <v>14</v>
      </c>
      <c r="AA647" s="10" t="inlineStr">
        <is>
          <t>Noir</t>
        </is>
      </c>
      <c r="AB647" s="16" t="n">
        <v>3</v>
      </c>
      <c r="AC647" s="10" t="inlineStr">
        <is>
          <t>Autre</t>
        </is>
      </c>
      <c r="AD647" s="10" t="n"/>
      <c r="AE647" s="10" t="n"/>
      <c r="AF647" s="10" t="inlineStr">
        <is>
          <t>Particulier</t>
        </is>
      </c>
      <c r="AG647" s="10" t="inlineStr">
        <is>
          <t>Grandchamps-des-Fontaines</t>
        </is>
      </c>
      <c r="AH647" s="10" t="inlineStr">
        <is>
          <t>44119</t>
        </is>
      </c>
      <c r="AI647" s="10" t="inlineStr">
        <is>
          <t>Loire-Atlantique</t>
        </is>
      </c>
      <c r="AJ647" s="10" t="inlineStr">
        <is>
          <t>Pays de la Loire</t>
        </is>
      </c>
      <c r="AK647" s="16" t="n"/>
      <c r="AL647" s="10" t="n"/>
      <c r="AM647" s="10" t="n"/>
      <c r="AN647" s="10" t="n"/>
      <c r="AO647" s="10" t="n"/>
      <c r="AP647" s="19" t="inlineStr">
        <is>
          <t>Voir</t>
        </is>
      </c>
      <c r="AQ647" s="10" t="inlineStr">
        <is>
          <t>3245939851</t>
        </is>
      </c>
    </row>
    <row r="648">
      <c r="A648" s="10" t="inlineStr">
        <is>
          <t>Renault Mégane II RS R26</t>
        </is>
      </c>
      <c r="B648" s="10" t="inlineStr">
        <is>
          <t>Renault Megane 2.0 230 R26 F1-TEAM RS - jaune Sirius - 40250 KM</t>
        </is>
      </c>
      <c r="C648" s="10" t="n"/>
      <c r="D648" s="10" t="n"/>
      <c r="E648" s="10" t="inlineStr">
        <is>
          <t>Partie</t>
        </is>
      </c>
      <c r="F648" s="18" t="n">
        <v>46240</v>
      </c>
      <c r="G648" s="18" t="n">
        <v>46240</v>
      </c>
      <c r="H648" s="18" t="n">
        <v>46296</v>
      </c>
      <c r="I648" s="18" t="n">
        <v>46310</v>
      </c>
      <c r="J648" s="17">
        <f>IF(OR(ISNUMBER(F648),ISNUMBER(G648)),IF(ISNUMBER(I648),I648,H648)-IF(ISNUMBER(F648),F648,G648),"")</f>
        <v/>
      </c>
      <c r="K648" s="12" t="n">
        <v>29490</v>
      </c>
      <c r="L648" s="12" t="n">
        <v>29490</v>
      </c>
      <c r="M648" s="13">
        <f>IF(AND(ISNUMBER(K648),ISNUMBER(L648),K648&gt;0),1-L648/K648,"")</f>
        <v/>
      </c>
      <c r="N648" s="16" t="n">
        <v>0</v>
      </c>
      <c r="O648" s="12" t="n"/>
      <c r="P648" s="12" t="n"/>
      <c r="Q648" s="12" t="n"/>
      <c r="R648" s="14">
        <f>IF(AND(ISNUMBER(L648),ISNUMBER(P648),ISNUMBER(Q648)),L648/((P648+Q648)/2)-1,"")</f>
        <v/>
      </c>
      <c r="S648" s="10" t="n"/>
      <c r="T648" s="15" t="n">
        <v>40250</v>
      </c>
      <c r="U648" s="16" t="n">
        <v>2007</v>
      </c>
      <c r="V648" s="10" t="n"/>
      <c r="W648" s="10" t="inlineStr">
        <is>
          <t>Essence</t>
        </is>
      </c>
      <c r="X648" s="10" t="inlineStr">
        <is>
          <t>Manuelle</t>
        </is>
      </c>
      <c r="Y648" s="16" t="n">
        <v>230</v>
      </c>
      <c r="Z648" s="16" t="n">
        <v>14</v>
      </c>
      <c r="AA648" s="10" t="inlineStr">
        <is>
          <t>Jaune</t>
        </is>
      </c>
      <c r="AB648" s="16" t="n">
        <v>3</v>
      </c>
      <c r="AC648" s="10" t="inlineStr">
        <is>
          <t>Berline</t>
        </is>
      </c>
      <c r="AD648" s="10" t="n"/>
      <c r="AE648" s="10" t="n"/>
      <c r="AF648" s="10" t="inlineStr">
        <is>
          <t>Pro</t>
        </is>
      </c>
      <c r="AG648" s="10" t="inlineStr">
        <is>
          <t>Vallauris</t>
        </is>
      </c>
      <c r="AH648" s="10" t="inlineStr">
        <is>
          <t>06220</t>
        </is>
      </c>
      <c r="AI648" s="10" t="inlineStr">
        <is>
          <t>Alpes-Maritimes</t>
        </is>
      </c>
      <c r="AJ648" s="10" t="inlineStr">
        <is>
          <t>Provence-Alpes-Côte d'Azur</t>
        </is>
      </c>
      <c r="AK648" s="16" t="n"/>
      <c r="AL648" s="10" t="n"/>
      <c r="AM648" s="10" t="n"/>
      <c r="AN648" s="10" t="n"/>
      <c r="AO648" s="10" t="n"/>
      <c r="AP648" s="19" t="inlineStr">
        <is>
          <t>Voir</t>
        </is>
      </c>
      <c r="AQ648" s="10" t="inlineStr">
        <is>
          <t>3271644740</t>
        </is>
      </c>
    </row>
    <row r="649">
      <c r="A649" s="10" t="inlineStr">
        <is>
          <t>Renault Mégane II RS R26</t>
        </is>
      </c>
      <c r="B649" s="10" t="inlineStr">
        <is>
          <t>Mégane 2 RS R26 F1 TEAM</t>
        </is>
      </c>
      <c r="C649" s="10" t="n"/>
      <c r="D649" s="10" t="n"/>
      <c r="E649" s="10" t="inlineStr">
        <is>
          <t>Partie</t>
        </is>
      </c>
      <c r="F649" s="18" t="n">
        <v>46290</v>
      </c>
      <c r="G649" s="18" t="n">
        <v>46290</v>
      </c>
      <c r="H649" s="18" t="n">
        <v>46296</v>
      </c>
      <c r="I649" s="18" t="n">
        <v>46310</v>
      </c>
      <c r="J649" s="17">
        <f>IF(OR(ISNUMBER(F649),ISNUMBER(G649)),IF(ISNUMBER(I649),I649,H649)-IF(ISNUMBER(F649),F649,G649),"")</f>
        <v/>
      </c>
      <c r="K649" s="12" t="n">
        <v>23990</v>
      </c>
      <c r="L649" s="12" t="n">
        <v>23990</v>
      </c>
      <c r="M649" s="13">
        <f>IF(AND(ISNUMBER(K649),ISNUMBER(L649),K649&gt;0),1-L649/K649,"")</f>
        <v/>
      </c>
      <c r="N649" s="16" t="n">
        <v>0</v>
      </c>
      <c r="O649" s="12" t="n"/>
      <c r="P649" s="12" t="n"/>
      <c r="Q649" s="12" t="n"/>
      <c r="R649" s="14">
        <f>IF(AND(ISNUMBER(L649),ISNUMBER(P649),ISNUMBER(Q649)),L649/((P649+Q649)/2)-1,"")</f>
        <v/>
      </c>
      <c r="S649" s="10" t="n"/>
      <c r="T649" s="15" t="n">
        <v>79800</v>
      </c>
      <c r="U649" s="16" t="n">
        <v>2007</v>
      </c>
      <c r="V649" s="10" t="n"/>
      <c r="W649" s="10" t="inlineStr">
        <is>
          <t>Essence</t>
        </is>
      </c>
      <c r="X649" s="10" t="inlineStr">
        <is>
          <t>Manuelle</t>
        </is>
      </c>
      <c r="Y649" s="16" t="n">
        <v>230</v>
      </c>
      <c r="Z649" s="16" t="n">
        <v>14</v>
      </c>
      <c r="AA649" s="10" t="inlineStr">
        <is>
          <t>Jaune</t>
        </is>
      </c>
      <c r="AB649" s="16" t="n">
        <v>3</v>
      </c>
      <c r="AC649" s="10" t="inlineStr">
        <is>
          <t>Autre</t>
        </is>
      </c>
      <c r="AD649" s="10" t="n"/>
      <c r="AE649" s="10" t="inlineStr"/>
      <c r="AF649" s="10" t="inlineStr">
        <is>
          <t>Particulier</t>
        </is>
      </c>
      <c r="AG649" s="10" t="inlineStr">
        <is>
          <t>Savigny-le-Temple</t>
        </is>
      </c>
      <c r="AH649" s="10" t="inlineStr">
        <is>
          <t>77176</t>
        </is>
      </c>
      <c r="AI649" s="10" t="inlineStr">
        <is>
          <t>Seine-et-Marne</t>
        </is>
      </c>
      <c r="AJ649" s="10" t="inlineStr">
        <is>
          <t>Ile-de-France</t>
        </is>
      </c>
      <c r="AK649" s="16" t="n"/>
      <c r="AL649" s="10" t="n"/>
      <c r="AM649" s="10" t="n"/>
      <c r="AN649" s="10" t="n"/>
      <c r="AO649" s="10" t="n"/>
      <c r="AP649" s="19" t="inlineStr">
        <is>
          <t>Voir</t>
        </is>
      </c>
      <c r="AQ649" s="10" t="inlineStr">
        <is>
          <t>3276459475</t>
        </is>
      </c>
    </row>
    <row r="650">
      <c r="A650" s="10" t="inlineStr">
        <is>
          <t>Renault Mégane II RS R26</t>
        </is>
      </c>
      <c r="B650" s="10" t="inlineStr">
        <is>
          <t>RENAULT MEGANE Mégane 2 RS COUPÉ - 230 F1 Team R26 PHASE 2</t>
        </is>
      </c>
      <c r="C650" s="10" t="n"/>
      <c r="D650" s="10" t="n"/>
      <c r="E650" s="10" t="inlineStr">
        <is>
          <t>Partie</t>
        </is>
      </c>
      <c r="F650" s="18" t="n">
        <v>46296</v>
      </c>
      <c r="G650" s="18" t="n">
        <v>46296</v>
      </c>
      <c r="H650" s="18" t="n">
        <v>46296</v>
      </c>
      <c r="I650" s="18" t="n">
        <v>46310</v>
      </c>
      <c r="J650" s="17">
        <f>IF(OR(ISNUMBER(F650),ISNUMBER(G650)),IF(ISNUMBER(I650),I650,H650)-IF(ISNUMBER(F650),F650,G650),"")</f>
        <v/>
      </c>
      <c r="K650" s="12" t="n">
        <v>23980</v>
      </c>
      <c r="L650" s="12" t="n">
        <v>23980</v>
      </c>
      <c r="M650" s="13">
        <f>IF(AND(ISNUMBER(K650),ISNUMBER(L650),K650&gt;0),1-L650/K650,"")</f>
        <v/>
      </c>
      <c r="N650" s="16" t="n">
        <v>0</v>
      </c>
      <c r="O650" s="12" t="n"/>
      <c r="P650" s="12" t="n"/>
      <c r="Q650" s="12" t="n"/>
      <c r="R650" s="14">
        <f>IF(AND(ISNUMBER(L650),ISNUMBER(P650),ISNUMBER(Q650)),L650/((P650+Q650)/2)-1,"")</f>
        <v/>
      </c>
      <c r="S650" s="10" t="n"/>
      <c r="T650" s="15" t="n">
        <v>79000</v>
      </c>
      <c r="U650" s="16" t="n">
        <v>2007</v>
      </c>
      <c r="V650" s="10" t="n"/>
      <c r="W650" s="10" t="inlineStr">
        <is>
          <t>Essence</t>
        </is>
      </c>
      <c r="X650" s="10" t="inlineStr">
        <is>
          <t>Manuelle</t>
        </is>
      </c>
      <c r="Y650" s="16" t="n">
        <v>230</v>
      </c>
      <c r="Z650" s="16" t="n">
        <v>14</v>
      </c>
      <c r="AA650" s="10" t="inlineStr">
        <is>
          <t>Orange</t>
        </is>
      </c>
      <c r="AB650" s="16" t="n">
        <v>3</v>
      </c>
      <c r="AC650" s="10" t="inlineStr">
        <is>
          <t>Autre</t>
        </is>
      </c>
      <c r="AD650" s="10" t="n"/>
      <c r="AE650" s="10" t="n"/>
      <c r="AF650" s="10" t="inlineStr">
        <is>
          <t>Pro</t>
        </is>
      </c>
      <c r="AG650" s="10" t="inlineStr">
        <is>
          <t>Villebon-sur-Yvette</t>
        </is>
      </c>
      <c r="AH650" s="10" t="inlineStr">
        <is>
          <t>91140</t>
        </is>
      </c>
      <c r="AI650" s="10" t="inlineStr">
        <is>
          <t>Essonne</t>
        </is>
      </c>
      <c r="AJ650" s="10" t="inlineStr">
        <is>
          <t>Ile-de-France</t>
        </is>
      </c>
      <c r="AK650" s="16" t="n"/>
      <c r="AL650" s="10" t="n"/>
      <c r="AM650" s="10" t="n"/>
      <c r="AN650" s="10" t="n"/>
      <c r="AO650" s="10" t="n"/>
      <c r="AP650" s="19" t="inlineStr">
        <is>
          <t>Voir</t>
        </is>
      </c>
      <c r="AQ650" s="10" t="inlineStr">
        <is>
          <t>3280273275</t>
        </is>
      </c>
    </row>
    <row r="651">
      <c r="A651" s="10" t="inlineStr">
        <is>
          <t>Renault Twingo 1 découvrable</t>
        </is>
      </c>
      <c r="B651" s="10" t="inlineStr">
        <is>
          <t>RENAULT TWINGO PACK AUTHENTIQUE 1.2 60Ch Toit Ouvrant Garantie 12 mois</t>
        </is>
      </c>
      <c r="C651" s="10" t="inlineStr">
        <is>
          <t>Twingo 1.2 60ch Authentique</t>
        </is>
      </c>
      <c r="D651" s="10" t="inlineStr">
        <is>
          <t>Authentique</t>
        </is>
      </c>
      <c r="E651" s="10" t="inlineStr">
        <is>
          <t>En vente</t>
        </is>
      </c>
      <c r="F651" s="18" t="n">
        <v>46162</v>
      </c>
      <c r="G651" s="18" t="n">
        <v>46162</v>
      </c>
      <c r="H651" s="18" t="n">
        <v>46310</v>
      </c>
      <c r="I651" s="18" t="n"/>
      <c r="J651" s="17">
        <f>IF(OR(ISNUMBER(F651),ISNUMBER(G651)),IF(ISNUMBER(I651),I651,H651)-IF(ISNUMBER(F651),F651,G651),"")</f>
        <v/>
      </c>
      <c r="K651" s="12" t="n">
        <v>2980</v>
      </c>
      <c r="L651" s="12" t="n">
        <v>2980</v>
      </c>
      <c r="M651" s="13">
        <f>IF(AND(ISNUMBER(K651),ISNUMBER(L651),K651&gt;0),1-L651/K651,"")</f>
        <v/>
      </c>
      <c r="N651" s="16" t="n">
        <v>0</v>
      </c>
      <c r="O651" s="12" t="n">
        <v>3480</v>
      </c>
      <c r="P651" s="12" t="n"/>
      <c r="Q651" s="12" t="n"/>
      <c r="R651" s="14">
        <f>IF(AND(ISNUMBER(L651),ISNUMBER(P651),ISNUMBER(Q651)),L651/((P651+Q651)/2)-1,"")</f>
        <v/>
      </c>
      <c r="S651" s="10" t="n"/>
      <c r="T651" s="15" t="n">
        <v>164500</v>
      </c>
      <c r="U651" s="16" t="n">
        <v>2003</v>
      </c>
      <c r="V651" s="10" t="inlineStr">
        <is>
          <t>06/2003</t>
        </is>
      </c>
      <c r="W651" s="10" t="inlineStr">
        <is>
          <t>Essence</t>
        </is>
      </c>
      <c r="X651" s="10" t="inlineStr">
        <is>
          <t>Manuelle</t>
        </is>
      </c>
      <c r="Y651" s="16" t="n">
        <v>60</v>
      </c>
      <c r="Z651" s="16" t="n">
        <v>4</v>
      </c>
      <c r="AA651" s="10" t="inlineStr">
        <is>
          <t>Noir</t>
        </is>
      </c>
      <c r="AB651" s="16" t="n">
        <v>3</v>
      </c>
      <c r="AC651" s="10" t="inlineStr">
        <is>
          <t>Berline</t>
        </is>
      </c>
      <c r="AD651" s="10" t="n"/>
      <c r="AE651" s="10" t="n"/>
      <c r="AF651" s="10" t="inlineStr">
        <is>
          <t>Pro</t>
        </is>
      </c>
      <c r="AG651" s="10" t="inlineStr">
        <is>
          <t>Barberey-Saint-Sulpice</t>
        </is>
      </c>
      <c r="AH651" s="10" t="inlineStr">
        <is>
          <t>10600</t>
        </is>
      </c>
      <c r="AI651" s="10" t="inlineStr">
        <is>
          <t>Aube</t>
        </is>
      </c>
      <c r="AJ651" s="10" t="inlineStr">
        <is>
          <t>Champagne-Ardenne</t>
        </is>
      </c>
      <c r="AK651" s="16" t="n">
        <v>20</v>
      </c>
      <c r="AL651" s="10" t="n"/>
      <c r="AM651" s="10" t="inlineStr">
        <is>
          <t>Non</t>
        </is>
      </c>
      <c r="AN651" s="10" t="inlineStr">
        <is>
          <t>🚗 Nous sommes Simplicicar Le 1er réseau de vente de véhicules neufs et d’occasion en dépôt-vente, présent partout en France, DOM-TOM et Belgique. 📍 Simplicicar Barbery Saint Sulpice vous présente cette RENAULT TWINGO, soigneusement sélectionnée par notre équipe. ✅ Garantie : 12 mois (extension de garantie possible) 📑 Véhicule contrôlé, prêt à partir, reprise possible, financement disponible. ----------------------------------------------------------- Options et équipements : &gt; Intérieur Systè</t>
        </is>
      </c>
      <c r="AO651" s="10" t="inlineStr">
        <is>
          <t>Équipements intérieurs : Toit ouvrant / Toit panoramique, Vitres électriques arrières ; Vente en LOA/LLD : Non ; VO récent : false ; custom_ref : 3826 ; Importé : true ; vehicle_history_report_status : visible ; spare_parts_availability : Non renseignée</t>
        </is>
      </c>
      <c r="AP651" s="19" t="inlineStr">
        <is>
          <t>Voir</t>
        </is>
      </c>
      <c r="AQ651" s="10" t="inlineStr">
        <is>
          <t>3201621635</t>
        </is>
      </c>
    </row>
    <row r="652">
      <c r="A652" s="10" t="inlineStr">
        <is>
          <t>Renault Twingo 1 découvrable</t>
        </is>
      </c>
      <c r="B652" s="10" t="inlineStr">
        <is>
          <t>Renault Twingo Initiale Paris 1.2 16V 75 ch – Juin 2004 – Toit ouvrant – Cuir – Clim - 140 000 km</t>
        </is>
      </c>
      <c r="C652" s="10" t="n"/>
      <c r="D652" s="10" t="n"/>
      <c r="E652" s="10" t="inlineStr">
        <is>
          <t>En vente</t>
        </is>
      </c>
      <c r="F652" s="18" t="n">
        <v>46289</v>
      </c>
      <c r="G652" s="18" t="n">
        <v>46289</v>
      </c>
      <c r="H652" s="18" t="n">
        <v>46310</v>
      </c>
      <c r="I652" s="18" t="n"/>
      <c r="J652" s="17">
        <f>IF(OR(ISNUMBER(F652),ISNUMBER(G652)),IF(ISNUMBER(I652),I652,H652)-IF(ISNUMBER(F652),F652,G652),"")</f>
        <v/>
      </c>
      <c r="K652" s="12" t="n">
        <v>4900</v>
      </c>
      <c r="L652" s="12" t="n">
        <v>3900</v>
      </c>
      <c r="M652" s="13">
        <f>IF(AND(ISNUMBER(K652),ISNUMBER(L652),K652&gt;0),1-L652/K652,"")</f>
        <v/>
      </c>
      <c r="N652" s="16" t="n">
        <v>1</v>
      </c>
      <c r="O652" s="12" t="n">
        <v>4900</v>
      </c>
      <c r="P652" s="12" t="n"/>
      <c r="Q652" s="12" t="n"/>
      <c r="R652" s="14">
        <f>IF(AND(ISNUMBER(L652),ISNUMBER(P652),ISNUMBER(Q652)),L652/((P652+Q652)/2)-1,"")</f>
        <v/>
      </c>
      <c r="S652" s="10" t="n"/>
      <c r="T652" s="15" t="n">
        <v>140000</v>
      </c>
      <c r="U652" s="16" t="n">
        <v>2004</v>
      </c>
      <c r="V652" s="10" t="inlineStr">
        <is>
          <t>06/2004</t>
        </is>
      </c>
      <c r="W652" s="10" t="inlineStr">
        <is>
          <t>Essence</t>
        </is>
      </c>
      <c r="X652" s="10" t="inlineStr">
        <is>
          <t>Manuelle</t>
        </is>
      </c>
      <c r="Y652" s="16" t="n">
        <v>75</v>
      </c>
      <c r="Z652" s="16" t="n">
        <v>5</v>
      </c>
      <c r="AA652" s="10" t="inlineStr">
        <is>
          <t>Noir</t>
        </is>
      </c>
      <c r="AB652" s="16" t="n">
        <v>3</v>
      </c>
      <c r="AC652" s="10" t="inlineStr">
        <is>
          <t>Berline</t>
        </is>
      </c>
      <c r="AD652" s="10" t="n"/>
      <c r="AE652" s="10" t="n"/>
      <c r="AF652" s="10" t="inlineStr">
        <is>
          <t>Particulier</t>
        </is>
      </c>
      <c r="AG652" s="10" t="inlineStr">
        <is>
          <t>Limetz-Villez</t>
        </is>
      </c>
      <c r="AH652" s="10" t="inlineStr">
        <is>
          <t>78270</t>
        </is>
      </c>
      <c r="AI652" s="10" t="inlineStr">
        <is>
          <t>Yvelines</t>
        </is>
      </c>
      <c r="AJ652" s="10" t="inlineStr">
        <is>
          <t>Ile-de-France</t>
        </is>
      </c>
      <c r="AK652" s="16" t="n">
        <v>3</v>
      </c>
      <c r="AL652" s="10" t="n"/>
      <c r="AM652" s="10" t="inlineStr">
        <is>
          <t>Non</t>
        </is>
      </c>
      <c r="AN652" s="10" t="inlineStr">
        <is>
          <t>Rare Renault Twingo Initiale Paris, l'une des dernières produites, dans sa configuration d'origine. Première mise en circulation : 15 juin 2004 Motorisation 1.2 16V de 75 ch (D4F), 5 CV fiscaux, très agréable et économique. Équipements Sellerie cuir beige d'origine Toit ouvrant panoramique électrique en toile Climatisation fonctionnelle Direction assistée Fermeture centralisée à télécommande Vitres électriques Rétroviseurs électriques Antibrouillards avant Jantes alliage d'origine Renault Initia</t>
        </is>
      </c>
      <c r="AO652" s="10" t="inlineStr">
        <is>
          <t>vehicle_technical_inspection_valid : Non ; Sellerie : Tout cuir ; Équipements intérieurs : Climatisation, Phares anti-brouillard, Sièges en cuir, Toit ouvrant / Toit panoramique ; Permis : Avec permis ; Importé : false</t>
        </is>
      </c>
      <c r="AP652" s="19" t="inlineStr">
        <is>
          <t>Voir</t>
        </is>
      </c>
      <c r="AQ652" s="10" t="inlineStr">
        <is>
          <t>3236310353</t>
        </is>
      </c>
    </row>
    <row r="653">
      <c r="A653" s="10" t="inlineStr">
        <is>
          <t>Renault Twingo 1 découvrable</t>
        </is>
      </c>
      <c r="B653" s="10" t="inlineStr">
        <is>
          <t>RENAULT TWINGO PHASE 2 1.2i 60CH Cinetic Toit ouvrant…</t>
        </is>
      </c>
      <c r="C653" s="10" t="n"/>
      <c r="D653" s="10" t="n"/>
      <c r="E653" s="10" t="inlineStr">
        <is>
          <t>En vente</t>
        </is>
      </c>
      <c r="F653" s="18" t="n">
        <v>46256</v>
      </c>
      <c r="G653" s="18" t="n">
        <v>46256</v>
      </c>
      <c r="H653" s="18" t="n">
        <v>46310</v>
      </c>
      <c r="I653" s="18" t="n"/>
      <c r="J653" s="17">
        <f>IF(OR(ISNUMBER(F653),ISNUMBER(G653)),IF(ISNUMBER(I653),I653,H653)-IF(ISNUMBER(F653),F653,G653),"")</f>
        <v/>
      </c>
      <c r="K653" s="12" t="n">
        <v>3490</v>
      </c>
      <c r="L653" s="12" t="n">
        <v>2990</v>
      </c>
      <c r="M653" s="13">
        <f>IF(AND(ISNUMBER(K653),ISNUMBER(L653),K653&gt;0),1-L653/K653,"")</f>
        <v/>
      </c>
      <c r="N653" s="16" t="n">
        <v>1</v>
      </c>
      <c r="O653" s="12" t="n">
        <v>3490</v>
      </c>
      <c r="P653" s="12" t="n"/>
      <c r="Q653" s="12" t="n"/>
      <c r="R653" s="14">
        <f>IF(AND(ISNUMBER(L653),ISNUMBER(P653),ISNUMBER(Q653)),L653/((P653+Q653)/2)-1,"")</f>
        <v/>
      </c>
      <c r="S653" s="10" t="n"/>
      <c r="T653" s="15" t="n">
        <v>120513</v>
      </c>
      <c r="U653" s="16" t="n">
        <v>2001</v>
      </c>
      <c r="V653" s="10" t="inlineStr">
        <is>
          <t>05/2001</t>
        </is>
      </c>
      <c r="W653" s="10" t="inlineStr">
        <is>
          <t>Essence</t>
        </is>
      </c>
      <c r="X653" s="10" t="inlineStr">
        <is>
          <t>Manuelle</t>
        </is>
      </c>
      <c r="Y653" s="16" t="n">
        <v>60</v>
      </c>
      <c r="Z653" s="16" t="n">
        <v>4</v>
      </c>
      <c r="AA653" s="10" t="inlineStr">
        <is>
          <t>Rouge</t>
        </is>
      </c>
      <c r="AB653" s="16" t="n">
        <v>3</v>
      </c>
      <c r="AC653" s="10" t="inlineStr">
        <is>
          <t>Berline</t>
        </is>
      </c>
      <c r="AD653" s="10" t="n"/>
      <c r="AE653" s="10" t="n"/>
      <c r="AF653" s="10" t="inlineStr">
        <is>
          <t>Pro</t>
        </is>
      </c>
      <c r="AG653" s="10" t="inlineStr">
        <is>
          <t>Beaugency</t>
        </is>
      </c>
      <c r="AH653" s="10" t="inlineStr">
        <is>
          <t>45190</t>
        </is>
      </c>
      <c r="AI653" s="10" t="inlineStr">
        <is>
          <t>Loiret</t>
        </is>
      </c>
      <c r="AJ653" s="10" t="inlineStr">
        <is>
          <t>Centre</t>
        </is>
      </c>
      <c r="AK653" s="16" t="n">
        <v>9</v>
      </c>
      <c r="AL653" s="10" t="n"/>
      <c r="AM653" s="10" t="inlineStr">
        <is>
          <t>Non</t>
        </is>
      </c>
      <c r="AN653" s="10" t="inlineStr">
        <is>
          <t>RENAULT TWINGO PHASE 2 1.2i 60CH Cinetic Toit ouvrant… Contrôle technique moins de 6 mois, vidange + filtres neufs, Kit distribution et pompe à eau neufs... Véhicule fiable, économique et très pratique, idéale pour un jeune conducteur ou les trajets du quotidien. Toit ouvrant panoramique en verre, très agréable aux beaux jours. OPTIONS ET ÉQUIPEMENTS : -Toit ouvrant panoramique en verre -Direction assistée -Fermeture centralisée -Vitres électriques -Autoradio d’origine -Prise 12V -Banquette arri</t>
        </is>
      </c>
      <c r="AO653" s="10" t="inlineStr">
        <is>
          <t>Dommages : Bon état général ; Sellerie : Tissu ; Équipements intérieurs : Phares anti-brouillard, Roue de secours, Sièges arrières coulissants, Toit ouvrant / Toit panoramique, Volant réglable en hauteur ; Permis : Avec permis ; VO récent : false ; vehicle_commercial_warranty : Non ; vehicle_manufacturer_warranty : Non ; Importé : false ; vehicle_history_report_status : visible ; spare_parts_availability : Non renseignée</t>
        </is>
      </c>
      <c r="AP653" s="19" t="inlineStr">
        <is>
          <t>Voir</t>
        </is>
      </c>
      <c r="AQ653" s="10" t="inlineStr">
        <is>
          <t>3254592892</t>
        </is>
      </c>
    </row>
    <row r="654">
      <c r="A654" s="10" t="inlineStr">
        <is>
          <t>Renault Twingo 1 découvrable</t>
        </is>
      </c>
      <c r="B654" s="10" t="inlineStr">
        <is>
          <t>Renault Twingo 1.2 16V 75 ch Initiale – Toit ouvrant</t>
        </is>
      </c>
      <c r="C654" s="10" t="inlineStr">
        <is>
          <t>Twingo 1.2 16v 75ch Initiale</t>
        </is>
      </c>
      <c r="D654" s="10" t="inlineStr">
        <is>
          <t>Initiale</t>
        </is>
      </c>
      <c r="E654" s="10" t="inlineStr">
        <is>
          <t>En vente</t>
        </is>
      </c>
      <c r="F654" s="18" t="n">
        <v>46272</v>
      </c>
      <c r="G654" s="18" t="n">
        <v>46272</v>
      </c>
      <c r="H654" s="18" t="n">
        <v>46310</v>
      </c>
      <c r="I654" s="18" t="n"/>
      <c r="J654" s="17">
        <f>IF(OR(ISNUMBER(F654),ISNUMBER(G654)),IF(ISNUMBER(I654),I654,H654)-IF(ISNUMBER(F654),F654,G654),"")</f>
        <v/>
      </c>
      <c r="K654" s="12" t="n">
        <v>2200</v>
      </c>
      <c r="L654" s="12" t="n">
        <v>2200</v>
      </c>
      <c r="M654" s="13">
        <f>IF(AND(ISNUMBER(K654),ISNUMBER(L654),K654&gt;0),1-L654/K654,"")</f>
        <v/>
      </c>
      <c r="N654" s="16" t="n">
        <v>0</v>
      </c>
      <c r="O654" s="12" t="n"/>
      <c r="P654" s="12" t="n"/>
      <c r="Q654" s="12" t="n"/>
      <c r="R654" s="14">
        <f>IF(AND(ISNUMBER(L654),ISNUMBER(P654),ISNUMBER(Q654)),L654/((P654+Q654)/2)-1,"")</f>
        <v/>
      </c>
      <c r="S654" s="10" t="n"/>
      <c r="T654" s="15" t="n">
        <v>175395</v>
      </c>
      <c r="U654" s="16" t="n">
        <v>2003</v>
      </c>
      <c r="V654" s="10" t="inlineStr">
        <is>
          <t>02/2003</t>
        </is>
      </c>
      <c r="W654" s="10" t="inlineStr">
        <is>
          <t>Essence</t>
        </is>
      </c>
      <c r="X654" s="10" t="inlineStr">
        <is>
          <t>Manuelle</t>
        </is>
      </c>
      <c r="Y654" s="16" t="n">
        <v>75</v>
      </c>
      <c r="Z654" s="16" t="n">
        <v>5</v>
      </c>
      <c r="AA654" s="10" t="inlineStr">
        <is>
          <t>Bleu</t>
        </is>
      </c>
      <c r="AB654" s="16" t="n">
        <v>3</v>
      </c>
      <c r="AC654" s="10" t="inlineStr">
        <is>
          <t>Berline</t>
        </is>
      </c>
      <c r="AD654" s="10" t="inlineStr">
        <is>
          <t>Véhicule non fumeur</t>
        </is>
      </c>
      <c r="AE654" s="10" t="n"/>
      <c r="AF654" s="10" t="inlineStr">
        <is>
          <t>Particulier</t>
        </is>
      </c>
      <c r="AG654" s="10" t="inlineStr">
        <is>
          <t>Suresnes</t>
        </is>
      </c>
      <c r="AH654" s="10" t="inlineStr">
        <is>
          <t>92150</t>
        </is>
      </c>
      <c r="AI654" s="10" t="inlineStr">
        <is>
          <t>Hauts-de-Seine</t>
        </is>
      </c>
      <c r="AJ654" s="10" t="inlineStr">
        <is>
          <t>Ile-de-France</t>
        </is>
      </c>
      <c r="AK654" s="16" t="n">
        <v>3</v>
      </c>
      <c r="AL654" s="10" t="n"/>
      <c r="AM654" s="10" t="inlineStr">
        <is>
          <t>Non</t>
        </is>
      </c>
      <c r="AN654" s="10" t="inlineStr">
        <is>
          <t xml:space="preserve">Bonjour, Je vends ma Renault Twingo finition Initiale, mise en circulation en février 2003, avec 175 395 km au compteur. Moteur essence 1.2 16V de 75 ch avec boîte manuelle. 🚘 Véhicule roulant régulièrement, qui démarre au quart de tour et roule sans souci au quotidien. ✅ Aucun problème de démarrage. ✅ Pas de fumée blanche. ✅ Bonne reprise sur le plat, notamment en 1ʳᵉ, 2ᵉ et 3ᵉ vitesse. ✅ Contrôle technique valide jusqu’en 2028. ✅ Véhicule non-fumeur. Le véhicule est propre dans l’ensemble et </t>
        </is>
      </c>
      <c r="AO654" s="10" t="inlineStr">
        <is>
          <t>vehicle_technical_inspection_valid : Oui ; Contrôle technique : 2028 ; Dommages : Réparations mineures à prévoir ; Sellerie : Tout cuir ; Équipements intérieurs : Chargeurs USB, Climatisation, Jantes en alliage, Ordinateur de bord, Sièges en cuir, Toit ouvrant / Toit panoramique ; Permis : Avec permis ; Importé : false ; vehicle_history_report_status : visible</t>
        </is>
      </c>
      <c r="AP654" s="19" t="inlineStr">
        <is>
          <t>Voir</t>
        </is>
      </c>
      <c r="AQ654" s="10" t="inlineStr">
        <is>
          <t>3265072540</t>
        </is>
      </c>
    </row>
    <row r="655">
      <c r="A655" s="10" t="inlineStr">
        <is>
          <t>Renault Twingo 1 découvrable</t>
        </is>
      </c>
      <c r="B655" s="10" t="inlineStr">
        <is>
          <t>Renault Twingo 1.2 4CV – 215 365 km – Toit ouvrant – CT 2027</t>
        </is>
      </c>
      <c r="C655" s="10" t="n"/>
      <c r="D655" s="10" t="n"/>
      <c r="E655" s="10" t="inlineStr">
        <is>
          <t>En vente</t>
        </is>
      </c>
      <c r="F655" s="18" t="n">
        <v>46272</v>
      </c>
      <c r="G655" s="18" t="n">
        <v>46272</v>
      </c>
      <c r="H655" s="18" t="n">
        <v>46310</v>
      </c>
      <c r="I655" s="18" t="n"/>
      <c r="J655" s="17">
        <f>IF(OR(ISNUMBER(F655),ISNUMBER(G655)),IF(ISNUMBER(I655),I655,H655)-IF(ISNUMBER(F655),F655,G655),"")</f>
        <v/>
      </c>
      <c r="K655" s="12" t="n">
        <v>2500</v>
      </c>
      <c r="L655" s="12" t="n">
        <v>2500</v>
      </c>
      <c r="M655" s="13">
        <f>IF(AND(ISNUMBER(K655),ISNUMBER(L655),K655&gt;0),1-L655/K655,"")</f>
        <v/>
      </c>
      <c r="N655" s="16" t="n">
        <v>0</v>
      </c>
      <c r="O655" s="12" t="n"/>
      <c r="P655" s="12" t="n"/>
      <c r="Q655" s="12" t="n"/>
      <c r="R655" s="14">
        <f>IF(AND(ISNUMBER(L655),ISNUMBER(P655),ISNUMBER(Q655)),L655/((P655+Q655)/2)-1,"")</f>
        <v/>
      </c>
      <c r="S655" s="10" t="n"/>
      <c r="T655" s="15" t="n">
        <v>215365</v>
      </c>
      <c r="U655" s="16" t="n">
        <v>2000</v>
      </c>
      <c r="V655" s="10" t="inlineStr">
        <is>
          <t>01/2000</t>
        </is>
      </c>
      <c r="W655" s="10" t="inlineStr">
        <is>
          <t>Essence</t>
        </is>
      </c>
      <c r="X655" s="10" t="inlineStr">
        <is>
          <t>Manuelle</t>
        </is>
      </c>
      <c r="Y655" s="16" t="n">
        <v>60</v>
      </c>
      <c r="Z655" s="16" t="n">
        <v>4</v>
      </c>
      <c r="AA655" s="10" t="inlineStr">
        <is>
          <t>Autre</t>
        </is>
      </c>
      <c r="AB655" s="16" t="n">
        <v>3</v>
      </c>
      <c r="AC655" s="10" t="inlineStr">
        <is>
          <t>Berline</t>
        </is>
      </c>
      <c r="AD655" s="10" t="inlineStr">
        <is>
          <t>Carnet d'entretien disponible, Véhicule non fumeur, Factures disponibles, Réparations utiles déjà faites</t>
        </is>
      </c>
      <c r="AE655" s="10" t="n"/>
      <c r="AF655" s="10" t="inlineStr">
        <is>
          <t>Particulier</t>
        </is>
      </c>
      <c r="AG655" s="10" t="inlineStr">
        <is>
          <t>Roquefort</t>
        </is>
      </c>
      <c r="AH655" s="10" t="inlineStr">
        <is>
          <t>47310</t>
        </is>
      </c>
      <c r="AI655" s="10" t="inlineStr">
        <is>
          <t>Lot-et-Garonne</t>
        </is>
      </c>
      <c r="AJ655" s="10" t="inlineStr">
        <is>
          <t>Aquitaine</t>
        </is>
      </c>
      <c r="AK655" s="16" t="n">
        <v>3</v>
      </c>
      <c r="AL655" s="10" t="n"/>
      <c r="AM655" s="10" t="inlineStr">
        <is>
          <t>Non</t>
        </is>
      </c>
      <c r="AN655" s="10" t="inlineStr">
        <is>
          <t>Renault Twingo 1.2 essence – 4 CV – boîte manuelle – année 2000 Je vends ma Renault Twingo essence de 2000, affichant 215 365 km. Véhicule en bon état général pour son âge, propre et agréable à conduire. Toit ouvrant fonctionnel Contrôle technique valable jusqu'au 04/09/2027 Disque et plaquettes de frein remplacées en mars 2026 Entretien suivi, factures disponibles Véhicule roulant parfaitement La peinture est légèrement passée par endroits, ce qui est à prendre en compte compte tenu de l'âge du</t>
        </is>
      </c>
      <c r="AO655" s="10" t="inlineStr">
        <is>
          <t>vehicle_technical_inspection_valid : Oui ; Contrôle technique : 2027 ; Dommages : Bon état général ; Sellerie : Tissu ; Équipements intérieurs : Roue de secours, Siège arrière rabattable, Sièges arrières coulissants, Toit ouvrant / Toit panoramique ; Permis : Avec permis ; Importé : false</t>
        </is>
      </c>
      <c r="AP655" s="19" t="inlineStr">
        <is>
          <t>Voir</t>
        </is>
      </c>
      <c r="AQ655" s="10" t="inlineStr">
        <is>
          <t>3265411834</t>
        </is>
      </c>
    </row>
    <row r="656">
      <c r="A656" s="10" t="inlineStr">
        <is>
          <t>Renault Twingo 1 découvrable</t>
        </is>
      </c>
      <c r="B656" s="10" t="inlineStr">
        <is>
          <t>Twingo 1 phase 2 élios toit ouvrant panoramique 4500e</t>
        </is>
      </c>
      <c r="C656" s="10" t="n"/>
      <c r="D656" s="10" t="n"/>
      <c r="E656" s="10" t="inlineStr">
        <is>
          <t>En vente</t>
        </is>
      </c>
      <c r="F656" s="18" t="n">
        <v>46274</v>
      </c>
      <c r="G656" s="18" t="n">
        <v>46274</v>
      </c>
      <c r="H656" s="18" t="n">
        <v>46310</v>
      </c>
      <c r="I656" s="18" t="n"/>
      <c r="J656" s="17">
        <f>IF(OR(ISNUMBER(F656),ISNUMBER(G656)),IF(ISNUMBER(I656),I656,H656)-IF(ISNUMBER(F656),F656,G656),"")</f>
        <v/>
      </c>
      <c r="K656" s="12" t="n">
        <v>4500</v>
      </c>
      <c r="L656" s="12" t="n">
        <v>4500</v>
      </c>
      <c r="M656" s="13">
        <f>IF(AND(ISNUMBER(K656),ISNUMBER(L656),K656&gt;0),1-L656/K656,"")</f>
        <v/>
      </c>
      <c r="N656" s="16" t="n">
        <v>0</v>
      </c>
      <c r="O656" s="12" t="n"/>
      <c r="P656" s="12" t="n"/>
      <c r="Q656" s="12" t="n"/>
      <c r="R656" s="14">
        <f>IF(AND(ISNUMBER(L656),ISNUMBER(P656),ISNUMBER(Q656)),L656/((P656+Q656)/2)-1,"")</f>
        <v/>
      </c>
      <c r="S656" s="10" t="n"/>
      <c r="T656" s="15" t="n">
        <v>142000</v>
      </c>
      <c r="U656" s="16" t="n">
        <v>2000</v>
      </c>
      <c r="V656" s="10" t="inlineStr">
        <is>
          <t>03/2000</t>
        </is>
      </c>
      <c r="W656" s="10" t="inlineStr">
        <is>
          <t>Essence</t>
        </is>
      </c>
      <c r="X656" s="10" t="inlineStr">
        <is>
          <t>Manuelle</t>
        </is>
      </c>
      <c r="Y656" s="16" t="n">
        <v>60</v>
      </c>
      <c r="Z656" s="16" t="n">
        <v>4</v>
      </c>
      <c r="AA656" s="10" t="inlineStr">
        <is>
          <t>Jaune</t>
        </is>
      </c>
      <c r="AB656" s="16" t="n">
        <v>3</v>
      </c>
      <c r="AC656" s="10" t="inlineStr">
        <is>
          <t>Berline</t>
        </is>
      </c>
      <c r="AD656" s="10" t="inlineStr">
        <is>
          <t>Factures disponibles</t>
        </is>
      </c>
      <c r="AE656" s="10" t="n"/>
      <c r="AF656" s="10" t="inlineStr">
        <is>
          <t>Particulier</t>
        </is>
      </c>
      <c r="AG656" s="10" t="inlineStr">
        <is>
          <t>Reims</t>
        </is>
      </c>
      <c r="AH656" s="10" t="inlineStr">
        <is>
          <t>51100</t>
        </is>
      </c>
      <c r="AI656" s="10" t="inlineStr">
        <is>
          <t>Marne</t>
        </is>
      </c>
      <c r="AJ656" s="10" t="inlineStr">
        <is>
          <t>Champagne-Ardenne</t>
        </is>
      </c>
      <c r="AK656" s="16" t="n">
        <v>3</v>
      </c>
      <c r="AL656" s="10" t="n"/>
      <c r="AM656" s="10" t="inlineStr">
        <is>
          <t>Non</t>
        </is>
      </c>
      <c r="AN656" s="10" t="inlineStr">
        <is>
          <t>A vendre twingo 1 phase 2 élios avec toit ouvrant panoramique. CT OK aucune fuite d'huile vitres électriques et réglage des rétroviseurs électriques pas de frais à prévoir tous les filtres et vidanges fin 2025 2026 ok frein arrière neuf et liquide de frein changé silencieux neuf pneus ok courroie de distribution faite fin 2023 batterie neuve bobine et bougies neuves tapis avant arrière neuf enjoliveurs neuf centralisation HS à débattre</t>
        </is>
      </c>
      <c r="AO656" s="10" t="inlineStr">
        <is>
          <t>vehicle_technical_inspection_valid : Non ; Dommages : Bon état général ; Sellerie : Velours ; Équipements intérieurs : Toit ouvrant / Toit panoramique ; Permis : Avec permis ; Importé : false ; vehicle_history_teaser_critair : 3 ; vehicle_history_teaser_owners : 5 ; vehicle_history_teaser_expertises : false ; vehicle_history_teaser_special_uses : false ; vehicle_history_teaser_atypical_operations : true ; vehicle_history_teaser_importations : false</t>
        </is>
      </c>
      <c r="AP656" s="19" t="inlineStr">
        <is>
          <t>Voir</t>
        </is>
      </c>
      <c r="AQ656" s="10" t="inlineStr">
        <is>
          <t>3266701696</t>
        </is>
      </c>
    </row>
    <row r="657">
      <c r="A657" s="10" t="inlineStr">
        <is>
          <t>Renault Twingo 1 découvrable</t>
        </is>
      </c>
      <c r="B657" s="10" t="inlineStr">
        <is>
          <t>Rare Twingo I Initiale Paris 1.2 16V 75ch – Cuir – Clim – Toit ouvrant</t>
        </is>
      </c>
      <c r="C657" s="10" t="n"/>
      <c r="D657" s="10" t="n"/>
      <c r="E657" s="10" t="inlineStr">
        <is>
          <t>En vente</t>
        </is>
      </c>
      <c r="F657" s="18" t="n">
        <v>46275</v>
      </c>
      <c r="G657" s="18" t="n">
        <v>46275</v>
      </c>
      <c r="H657" s="18" t="n">
        <v>46310</v>
      </c>
      <c r="I657" s="18" t="n"/>
      <c r="J657" s="17">
        <f>IF(OR(ISNUMBER(F657),ISNUMBER(G657)),IF(ISNUMBER(I657),I657,H657)-IF(ISNUMBER(F657),F657,G657),"")</f>
        <v/>
      </c>
      <c r="K657" s="12" t="n">
        <v>1690</v>
      </c>
      <c r="L657" s="12" t="n">
        <v>1690</v>
      </c>
      <c r="M657" s="13">
        <f>IF(AND(ISNUMBER(K657),ISNUMBER(L657),K657&gt;0),1-L657/K657,"")</f>
        <v/>
      </c>
      <c r="N657" s="16" t="n">
        <v>0</v>
      </c>
      <c r="O657" s="12" t="n"/>
      <c r="P657" s="12" t="n"/>
      <c r="Q657" s="12" t="n"/>
      <c r="R657" s="14">
        <f>IF(AND(ISNUMBER(L657),ISNUMBER(P657),ISNUMBER(Q657)),L657/((P657+Q657)/2)-1,"")</f>
        <v/>
      </c>
      <c r="S657" s="10" t="n"/>
      <c r="T657" s="15" t="n">
        <v>242400</v>
      </c>
      <c r="U657" s="16" t="n">
        <v>2001</v>
      </c>
      <c r="V657" s="10" t="inlineStr">
        <is>
          <t>02/2001</t>
        </is>
      </c>
      <c r="W657" s="10" t="inlineStr">
        <is>
          <t>Essence</t>
        </is>
      </c>
      <c r="X657" s="10" t="inlineStr">
        <is>
          <t>Manuelle</t>
        </is>
      </c>
      <c r="Y657" s="16" t="n">
        <v>75</v>
      </c>
      <c r="Z657" s="16" t="n">
        <v>5</v>
      </c>
      <c r="AA657" s="10" t="inlineStr">
        <is>
          <t>Gris</t>
        </is>
      </c>
      <c r="AB657" s="16" t="n">
        <v>3</v>
      </c>
      <c r="AC657" s="10" t="inlineStr">
        <is>
          <t>Berline</t>
        </is>
      </c>
      <c r="AD657" s="10" t="inlineStr">
        <is>
          <t>Carnet d'entretien disponible, Factures disponibles, Véhicule non fumeur</t>
        </is>
      </c>
      <c r="AE657" s="10" t="n"/>
      <c r="AF657" s="10" t="inlineStr">
        <is>
          <t>Particulier</t>
        </is>
      </c>
      <c r="AG657" s="10" t="inlineStr">
        <is>
          <t>Saint-Étienne</t>
        </is>
      </c>
      <c r="AH657" s="10" t="inlineStr">
        <is>
          <t>42000</t>
        </is>
      </c>
      <c r="AI657" s="10" t="inlineStr">
        <is>
          <t>Loire</t>
        </is>
      </c>
      <c r="AJ657" s="10" t="inlineStr">
        <is>
          <t>Rhône-Alpes</t>
        </is>
      </c>
      <c r="AK657" s="16" t="n">
        <v>3</v>
      </c>
      <c r="AL657" s="10" t="n"/>
      <c r="AM657" s="10" t="inlineStr">
        <is>
          <t>Non</t>
        </is>
      </c>
      <c r="AN657" s="10" t="inlineStr">
        <is>
          <t>À vendre Renault Twingo I Initiale Paris 1.2 16V 75 ch de 2001, 242 000 km. Une version Initiale Paris, finition haut de gamme de la Twingo I, avec une configuration particulièrement intéressante et aujourd’hui assez difficile à retrouver : • Moteur 1.2 16V 75 ch • Sellerie cuir • Climatisation • Toit ouvrant • Boîte manuelle • 3 portes • Intérieur typique de la finition Initiale • Couleur d’origine vert/gris • Jantes alliage • Double des clés Entretien / historique : • Factures d’entretien et d</t>
        </is>
      </c>
      <c r="AO657" s="10" t="inlineStr">
        <is>
          <t>vehicle_technical_inspection_valid : Oui ; Contrôle technique : 2028 ; Dommages : Réparations majeures à prévoir ; Sellerie : Tout cuir ; Équipements intérieurs : Climatisation, Jantes en alliage, Radio numérique DAB, Roue de secours, Siège arrière rabattable, Siège réglable en hauteur, Sièges arrières coulissants, Sièges en cuir, Toit ouvrant / Toit panoramique ; vehicle_euro_emissions_standard : Euro 3 ; Permis : Avec permis ; Importé : false</t>
        </is>
      </c>
      <c r="AP657" s="19" t="inlineStr">
        <is>
          <t>Voir</t>
        </is>
      </c>
      <c r="AQ657" s="10" t="inlineStr">
        <is>
          <t>3266949797</t>
        </is>
      </c>
    </row>
    <row r="658">
      <c r="A658" s="10" t="inlineStr">
        <is>
          <t>Renault Twingo 1 découvrable</t>
        </is>
      </c>
      <c r="B658" s="10" t="inlineStr">
        <is>
          <t>Twingo 1 phase 2 Clim toit ouvrant</t>
        </is>
      </c>
      <c r="C658" s="10" t="inlineStr">
        <is>
          <t>Twingo 1.2 16v 75ch Expression</t>
        </is>
      </c>
      <c r="D658" s="10" t="inlineStr">
        <is>
          <t>Expression</t>
        </is>
      </c>
      <c r="E658" s="10" t="inlineStr">
        <is>
          <t>En vente</t>
        </is>
      </c>
      <c r="F658" s="18" t="n">
        <v>46277</v>
      </c>
      <c r="G658" s="18" t="n">
        <v>46277</v>
      </c>
      <c r="H658" s="18" t="n">
        <v>46310</v>
      </c>
      <c r="I658" s="18" t="n"/>
      <c r="J658" s="17">
        <f>IF(OR(ISNUMBER(F658),ISNUMBER(G658)),IF(ISNUMBER(I658),I658,H658)-IF(ISNUMBER(F658),F658,G658),"")</f>
        <v/>
      </c>
      <c r="K658" s="12" t="n">
        <v>2990</v>
      </c>
      <c r="L658" s="12" t="n">
        <v>2990</v>
      </c>
      <c r="M658" s="13">
        <f>IF(AND(ISNUMBER(K658),ISNUMBER(L658),K658&gt;0),1-L658/K658,"")</f>
        <v/>
      </c>
      <c r="N658" s="16" t="n">
        <v>0</v>
      </c>
      <c r="O658" s="12" t="n">
        <v>3400</v>
      </c>
      <c r="P658" s="12" t="n"/>
      <c r="Q658" s="12" t="n"/>
      <c r="R658" s="14">
        <f>IF(AND(ISNUMBER(L658),ISNUMBER(P658),ISNUMBER(Q658)),L658/((P658+Q658)/2)-1,"")</f>
        <v/>
      </c>
      <c r="S658" s="10" t="n"/>
      <c r="T658" s="15" t="n">
        <v>218800</v>
      </c>
      <c r="U658" s="16" t="n">
        <v>2004</v>
      </c>
      <c r="V658" s="10" t="inlineStr">
        <is>
          <t>02/2004</t>
        </is>
      </c>
      <c r="W658" s="10" t="inlineStr">
        <is>
          <t>Essence</t>
        </is>
      </c>
      <c r="X658" s="10" t="inlineStr">
        <is>
          <t>Manuelle</t>
        </is>
      </c>
      <c r="Y658" s="16" t="n">
        <v>75</v>
      </c>
      <c r="Z658" s="16" t="n">
        <v>5</v>
      </c>
      <c r="AA658" s="10" t="inlineStr">
        <is>
          <t>Rouge</t>
        </is>
      </c>
      <c r="AB658" s="16" t="n">
        <v>3</v>
      </c>
      <c r="AC658" s="10" t="inlineStr">
        <is>
          <t>Berline</t>
        </is>
      </c>
      <c r="AD658" s="10" t="inlineStr">
        <is>
          <t>Factures disponibles, Réparations utiles déjà faites</t>
        </is>
      </c>
      <c r="AE658" s="10" t="n"/>
      <c r="AF658" s="10" t="inlineStr">
        <is>
          <t>Particulier</t>
        </is>
      </c>
      <c r="AG658" s="10" t="inlineStr">
        <is>
          <t>Bizonnes</t>
        </is>
      </c>
      <c r="AH658" s="10" t="inlineStr">
        <is>
          <t>38690</t>
        </is>
      </c>
      <c r="AI658" s="10" t="inlineStr">
        <is>
          <t>Isère</t>
        </is>
      </c>
      <c r="AJ658" s="10" t="inlineStr">
        <is>
          <t>Rhône-Alpes</t>
        </is>
      </c>
      <c r="AK658" s="16" t="n">
        <v>3</v>
      </c>
      <c r="AL658" s="10" t="n"/>
      <c r="AM658" s="10" t="inlineStr">
        <is>
          <t>Non</t>
        </is>
      </c>
      <c r="AN658" s="10" t="inlineStr">
        <is>
          <t>Je vends ma Renault Twingo 1 phase 2 de 2004, une citadine pratique et économique avec climatisation et toit ouvrant La révision complète vient d’être effectué, changement de la courroie de distribution, pompe à eau, courroie d’accessoires, vidange etc. Tout fonctionne parfaitement bien. - Marque : Renault - Modèle : Twingo - Année : 2004 - Kilométrage : 218 800 km - Motorisation : 1.2 16v 75 ch - Carburant : Essence - Finition : Expression - Boîte de vitesses : Manuelle - Couleur : Rouge - Type</t>
        </is>
      </c>
      <c r="AO658" s="10" t="inlineStr">
        <is>
          <t>Dommages : Bon état général ; Sellerie : Tissu ; Équipements intérieurs : Climatisation, Essuie-glaces automatiques, Phares anti-brouillard, Roue de secours, Siège arrière rabattable, Siège réglable en hauteur, Sièges arrières coulissants, Toit ouvrant / Toit panoramique ; Permis : Avec permis ; Importé : false</t>
        </is>
      </c>
      <c r="AP658" s="19" t="inlineStr">
        <is>
          <t>Voir</t>
        </is>
      </c>
      <c r="AQ658" s="10" t="inlineStr">
        <is>
          <t>3268258543</t>
        </is>
      </c>
    </row>
    <row r="659">
      <c r="A659" s="10" t="inlineStr">
        <is>
          <t>Renault Twingo 1 découvrable</t>
        </is>
      </c>
      <c r="B659" s="10" t="inlineStr">
        <is>
          <t>Twingo 1 1.2 60cv toit ouvrant</t>
        </is>
      </c>
      <c r="C659" s="10" t="n"/>
      <c r="D659" s="10" t="n"/>
      <c r="E659" s="10" t="inlineStr">
        <is>
          <t>En vente</t>
        </is>
      </c>
      <c r="F659" s="18" t="n">
        <v>46278</v>
      </c>
      <c r="G659" s="18" t="n">
        <v>46278</v>
      </c>
      <c r="H659" s="18" t="n">
        <v>46310</v>
      </c>
      <c r="I659" s="18" t="n"/>
      <c r="J659" s="17">
        <f>IF(OR(ISNUMBER(F659),ISNUMBER(G659)),IF(ISNUMBER(I659),I659,H659)-IF(ISNUMBER(F659),F659,G659),"")</f>
        <v/>
      </c>
      <c r="K659" s="12" t="n">
        <v>3600</v>
      </c>
      <c r="L659" s="12" t="n">
        <v>3600</v>
      </c>
      <c r="M659" s="13">
        <f>IF(AND(ISNUMBER(K659),ISNUMBER(L659),K659&gt;0),1-L659/K659,"")</f>
        <v/>
      </c>
      <c r="N659" s="16" t="n">
        <v>0</v>
      </c>
      <c r="O659" s="12" t="n"/>
      <c r="P659" s="12" t="n"/>
      <c r="Q659" s="12" t="n"/>
      <c r="R659" s="14">
        <f>IF(AND(ISNUMBER(L659),ISNUMBER(P659),ISNUMBER(Q659)),L659/((P659+Q659)/2)-1,"")</f>
        <v/>
      </c>
      <c r="S659" s="10" t="n"/>
      <c r="T659" s="15" t="n">
        <v>146000</v>
      </c>
      <c r="U659" s="16" t="n">
        <v>2000</v>
      </c>
      <c r="V659" s="10" t="inlineStr">
        <is>
          <t>04/2000</t>
        </is>
      </c>
      <c r="W659" s="10" t="inlineStr">
        <is>
          <t>Essence</t>
        </is>
      </c>
      <c r="X659" s="10" t="inlineStr">
        <is>
          <t>Manuelle</t>
        </is>
      </c>
      <c r="Y659" s="16" t="n">
        <v>60</v>
      </c>
      <c r="Z659" s="16" t="n">
        <v>4</v>
      </c>
      <c r="AA659" s="10" t="inlineStr">
        <is>
          <t>Noir</t>
        </is>
      </c>
      <c r="AB659" s="16" t="n">
        <v>3</v>
      </c>
      <c r="AC659" s="10" t="inlineStr">
        <is>
          <t>Berline</t>
        </is>
      </c>
      <c r="AD659" s="10" t="inlineStr">
        <is>
          <t>Factures disponibles, Véhicule non fumeur, Réparations utiles déjà faites</t>
        </is>
      </c>
      <c r="AE659" s="10" t="n"/>
      <c r="AF659" s="10" t="inlineStr">
        <is>
          <t>Particulier</t>
        </is>
      </c>
      <c r="AG659" s="10" t="inlineStr">
        <is>
          <t>Cenon</t>
        </is>
      </c>
      <c r="AH659" s="10" t="inlineStr">
        <is>
          <t>33150</t>
        </is>
      </c>
      <c r="AI659" s="10" t="inlineStr">
        <is>
          <t>Gironde</t>
        </is>
      </c>
      <c r="AJ659" s="10" t="inlineStr">
        <is>
          <t>Aquitaine</t>
        </is>
      </c>
      <c r="AK659" s="16" t="n">
        <v>3</v>
      </c>
      <c r="AL659" s="10" t="n"/>
      <c r="AM659" s="10" t="inlineStr">
        <is>
          <t>Non</t>
        </is>
      </c>
      <c r="AN659" s="10" t="inlineStr">
        <is>
          <t>Je vends ma Twingo 1. Toit ouvrant en toile (toit presque intégralement découvrable), vitre et rétros électriques. Attelage. Entièrement fonctionnelle sauf fermeture centralisée. CT ok, révision faite pour la vente. Prête à partir pour de nombreux autres kilomètres.</t>
        </is>
      </c>
      <c r="AO659" s="10" t="inlineStr">
        <is>
          <t>vehicle_technical_inspection_valid : Oui ; Contrôle technique : 2028 ; Dommages : Traces d’usure normales ; Sellerie : Tissu ; Équipements intérieurs : Attelage de remorque, Siège arrière rabattable, Toit ouvrant / Toit panoramique ; Permis : Avec permis ; Importé : false</t>
        </is>
      </c>
      <c r="AP659" s="19" t="inlineStr">
        <is>
          <t>Voir</t>
        </is>
      </c>
      <c r="AQ659" s="10" t="inlineStr">
        <is>
          <t>3268824297</t>
        </is>
      </c>
    </row>
    <row r="660">
      <c r="A660" s="10" t="inlineStr">
        <is>
          <t>Renault Twingo 1 découvrable</t>
        </is>
      </c>
      <c r="B660" s="10" t="inlineStr">
        <is>
          <t>Twingo, Expression 16V toit ouvrant</t>
        </is>
      </c>
      <c r="C660" s="10" t="n"/>
      <c r="D660" s="10" t="n"/>
      <c r="E660" s="10" t="inlineStr">
        <is>
          <t>En vente</t>
        </is>
      </c>
      <c r="F660" s="18" t="n">
        <v>46278</v>
      </c>
      <c r="G660" s="18" t="n">
        <v>46278</v>
      </c>
      <c r="H660" s="18" t="n">
        <v>46310</v>
      </c>
      <c r="I660" s="18" t="n"/>
      <c r="J660" s="17">
        <f>IF(OR(ISNUMBER(F660),ISNUMBER(G660)),IF(ISNUMBER(I660),I660,H660)-IF(ISNUMBER(F660),F660,G660),"")</f>
        <v/>
      </c>
      <c r="K660" s="12" t="n">
        <v>1700</v>
      </c>
      <c r="L660" s="12" t="n">
        <v>1700</v>
      </c>
      <c r="M660" s="13">
        <f>IF(AND(ISNUMBER(K660),ISNUMBER(L660),K660&gt;0),1-L660/K660,"")</f>
        <v/>
      </c>
      <c r="N660" s="16" t="n">
        <v>0</v>
      </c>
      <c r="O660" s="12" t="n"/>
      <c r="P660" s="12" t="n"/>
      <c r="Q660" s="12" t="n"/>
      <c r="R660" s="14">
        <f>IF(AND(ISNUMBER(L660),ISNUMBER(P660),ISNUMBER(Q660)),L660/((P660+Q660)/2)-1,"")</f>
        <v/>
      </c>
      <c r="S660" s="10" t="n"/>
      <c r="T660" s="15" t="n">
        <v>298500</v>
      </c>
      <c r="U660" s="16" t="n">
        <v>2004</v>
      </c>
      <c r="V660" s="10" t="inlineStr">
        <is>
          <t>06/2004</t>
        </is>
      </c>
      <c r="W660" s="10" t="inlineStr">
        <is>
          <t>Essence</t>
        </is>
      </c>
      <c r="X660" s="10" t="inlineStr">
        <is>
          <t>Manuelle</t>
        </is>
      </c>
      <c r="Y660" s="16" t="n">
        <v>75</v>
      </c>
      <c r="Z660" s="16" t="n">
        <v>5</v>
      </c>
      <c r="AA660" s="10" t="inlineStr">
        <is>
          <t>Rouge</t>
        </is>
      </c>
      <c r="AB660" s="16" t="n">
        <v>3</v>
      </c>
      <c r="AC660" s="10" t="inlineStr">
        <is>
          <t>Berline</t>
        </is>
      </c>
      <c r="AD660" s="10" t="inlineStr">
        <is>
          <t>Factures disponibles, Réparations utiles déjà faites</t>
        </is>
      </c>
      <c r="AE660" s="10" t="n"/>
      <c r="AF660" s="10" t="inlineStr">
        <is>
          <t>Particulier</t>
        </is>
      </c>
      <c r="AG660" s="10" t="inlineStr">
        <is>
          <t>Antibes</t>
        </is>
      </c>
      <c r="AH660" s="10" t="inlineStr">
        <is>
          <t>06600</t>
        </is>
      </c>
      <c r="AI660" s="10" t="inlineStr">
        <is>
          <t>Alpes-Maritimes</t>
        </is>
      </c>
      <c r="AJ660" s="10" t="inlineStr">
        <is>
          <t>Provence-Alpes-Côte d'Azur</t>
        </is>
      </c>
      <c r="AK660" s="16" t="n">
        <v>3</v>
      </c>
      <c r="AL660" s="10" t="n"/>
      <c r="AM660" s="10" t="inlineStr">
        <is>
          <t>Non</t>
        </is>
      </c>
      <c r="AN660" s="10" t="inlineStr">
        <is>
          <t>Je vends mon véhicule dans l’état Qui roule parfaitement idéal pour jeunes, conducteur, Plaquettes et disque à faire Courroie distribution déjà fait contrôle technique OK</t>
        </is>
      </c>
      <c r="AO660" s="10" t="inlineStr">
        <is>
          <t>Dommages : Bon état général ; Sellerie : Tissu ; Équipements intérieurs : Climatisation, Toit ouvrant / Toit panoramique ; Permis : Avec permis ; Importé : false</t>
        </is>
      </c>
      <c r="AP660" s="19" t="inlineStr">
        <is>
          <t>Voir</t>
        </is>
      </c>
      <c r="AQ660" s="10" t="inlineStr">
        <is>
          <t>3269180003</t>
        </is>
      </c>
    </row>
    <row r="661">
      <c r="A661" s="10" t="inlineStr">
        <is>
          <t>Renault Twingo 1 découvrable</t>
        </is>
      </c>
      <c r="B661" s="10" t="inlineStr">
        <is>
          <t>RENAULT TWINGO 1.2L 75CV Dynamique Toit ouvrant</t>
        </is>
      </c>
      <c r="C661" s="10" t="n"/>
      <c r="D661" s="10" t="n"/>
      <c r="E661" s="10" t="inlineStr">
        <is>
          <t>En vente</t>
        </is>
      </c>
      <c r="F661" s="18" t="n">
        <v>46280</v>
      </c>
      <c r="G661" s="18" t="n">
        <v>46280</v>
      </c>
      <c r="H661" s="18" t="n">
        <v>46310</v>
      </c>
      <c r="I661" s="18" t="n"/>
      <c r="J661" s="17">
        <f>IF(OR(ISNUMBER(F661),ISNUMBER(G661)),IF(ISNUMBER(I661),I661,H661)-IF(ISNUMBER(F661),F661,G661),"")</f>
        <v/>
      </c>
      <c r="K661" s="12" t="n">
        <v>3490</v>
      </c>
      <c r="L661" s="12" t="n">
        <v>3490</v>
      </c>
      <c r="M661" s="13">
        <f>IF(AND(ISNUMBER(K661),ISNUMBER(L661),K661&gt;0),1-L661/K661,"")</f>
        <v/>
      </c>
      <c r="N661" s="16" t="n">
        <v>0</v>
      </c>
      <c r="O661" s="12" t="n"/>
      <c r="P661" s="12" t="n">
        <v>3030</v>
      </c>
      <c r="Q661" s="12" t="n">
        <v>3350</v>
      </c>
      <c r="R661" s="14">
        <f>IF(AND(ISNUMBER(L661),ISNUMBER(P661),ISNUMBER(Q661)),L661/((P661+Q661)/2)-1,"")</f>
        <v/>
      </c>
      <c r="S661" s="10" t="inlineStr">
        <is>
          <t>Légèrement supérieur</t>
        </is>
      </c>
      <c r="T661" s="15" t="n">
        <v>126783</v>
      </c>
      <c r="U661" s="16" t="n">
        <v>2007</v>
      </c>
      <c r="V661" s="10" t="inlineStr">
        <is>
          <t>12/2007</t>
        </is>
      </c>
      <c r="W661" s="10" t="inlineStr">
        <is>
          <t>Essence</t>
        </is>
      </c>
      <c r="X661" s="10" t="inlineStr">
        <is>
          <t>Manuelle</t>
        </is>
      </c>
      <c r="Y661" s="16" t="n">
        <v>75</v>
      </c>
      <c r="Z661" s="16" t="n">
        <v>4</v>
      </c>
      <c r="AA661" s="10" t="n"/>
      <c r="AB661" s="16" t="n"/>
      <c r="AC661" s="10" t="n"/>
      <c r="AD661" s="10" t="n"/>
      <c r="AE661" s="10" t="n"/>
      <c r="AF661" s="10" t="inlineStr">
        <is>
          <t>Pro</t>
        </is>
      </c>
      <c r="AG661" s="10" t="inlineStr">
        <is>
          <t>Florange</t>
        </is>
      </c>
      <c r="AH661" s="10" t="inlineStr">
        <is>
          <t>57190</t>
        </is>
      </c>
      <c r="AI661" s="10" t="inlineStr">
        <is>
          <t>Moselle</t>
        </is>
      </c>
      <c r="AJ661" s="10" t="inlineStr">
        <is>
          <t>Lorraine</t>
        </is>
      </c>
      <c r="AK661" s="16" t="n">
        <v>5</v>
      </c>
      <c r="AL661" s="10" t="n"/>
      <c r="AM661" s="10" t="inlineStr">
        <is>
          <t>Non</t>
        </is>
      </c>
      <c r="AN661" s="10" t="inlineStr">
        <is>
          <t>RENAULT TWINGO DYNAMIQUE 1.2 75 ch ───── 📆 Mise en circulation : 12/2007 📍 Kilométrage : 126 783 km ⚙️ Motorisation : 1.2 Essence – 75 ch 🔄 Boîte : Manuelle 5 rapports 🚪 Portes : 3 portes ⛽ Énergie : Essence ⭐ Finition : Dynamique 🔧 Entretien : Distribution refaite + révision complète effectuée 💰 PRIX : 3490€ ──────────────────── CONFORT &amp; CONDUITE * Climatisation * Toit ouvrant électrique * Vitres électriques avant * Verrouillage centralisé à distance * Siège conducteur réglable en hauteu</t>
        </is>
      </c>
      <c r="AO661" s="10" t="inlineStr">
        <is>
          <t>vehicle_technical_inspection_valid : Non ; Permis : Avec permis ; Vente en LOA/LLD : Non ; VO récent : false ; vehicle_commercial_warranty : Non ; vehicle_manufacturer_warranty : Non ; Importé : false ; spare_parts_availability : Non renseignée</t>
        </is>
      </c>
      <c r="AP661" s="19" t="inlineStr">
        <is>
          <t>Voir</t>
        </is>
      </c>
      <c r="AQ661" s="10" t="inlineStr">
        <is>
          <t>3270178988</t>
        </is>
      </c>
    </row>
    <row r="662">
      <c r="A662" s="10" t="inlineStr">
        <is>
          <t>Renault Twingo 1 découvrable</t>
        </is>
      </c>
      <c r="B662" s="10" t="inlineStr">
        <is>
          <t>Twingo 1 boîte automatique toit ouvrant</t>
        </is>
      </c>
      <c r="C662" s="10" t="n"/>
      <c r="D662" s="10" t="n"/>
      <c r="E662" s="10" t="inlineStr">
        <is>
          <t>En vente</t>
        </is>
      </c>
      <c r="F662" s="18" t="n">
        <v>46286</v>
      </c>
      <c r="G662" s="18" t="n">
        <v>46286</v>
      </c>
      <c r="H662" s="18" t="n">
        <v>46310</v>
      </c>
      <c r="I662" s="18" t="n"/>
      <c r="J662" s="17">
        <f>IF(OR(ISNUMBER(F662),ISNUMBER(G662)),IF(ISNUMBER(I662),I662,H662)-IF(ISNUMBER(F662),F662,G662),"")</f>
        <v/>
      </c>
      <c r="K662" s="12" t="n">
        <v>3650</v>
      </c>
      <c r="L662" s="12" t="n">
        <v>3650</v>
      </c>
      <c r="M662" s="13">
        <f>IF(AND(ISNUMBER(K662),ISNUMBER(L662),K662&gt;0),1-L662/K662,"")</f>
        <v/>
      </c>
      <c r="N662" s="16" t="n">
        <v>0</v>
      </c>
      <c r="O662" s="12" t="n"/>
      <c r="P662" s="12" t="n"/>
      <c r="Q662" s="12" t="n"/>
      <c r="R662" s="14">
        <f>IF(AND(ISNUMBER(L662),ISNUMBER(P662),ISNUMBER(Q662)),L662/((P662+Q662)/2)-1,"")</f>
        <v/>
      </c>
      <c r="S662" s="10" t="n"/>
      <c r="T662" s="15" t="n">
        <v>143000</v>
      </c>
      <c r="U662" s="16" t="n">
        <v>2001</v>
      </c>
      <c r="V662" s="10" t="inlineStr">
        <is>
          <t>08/2001</t>
        </is>
      </c>
      <c r="W662" s="10" t="inlineStr">
        <is>
          <t>Essence</t>
        </is>
      </c>
      <c r="X662" s="10" t="inlineStr">
        <is>
          <t>Automatique</t>
        </is>
      </c>
      <c r="Y662" s="16" t="n">
        <v>60</v>
      </c>
      <c r="Z662" s="16" t="n">
        <v>4</v>
      </c>
      <c r="AA662" s="10" t="inlineStr">
        <is>
          <t>Gris</t>
        </is>
      </c>
      <c r="AB662" s="16" t="n">
        <v>3</v>
      </c>
      <c r="AC662" s="10" t="inlineStr">
        <is>
          <t>Citadine</t>
        </is>
      </c>
      <c r="AD662" s="10" t="n"/>
      <c r="AE662" s="10" t="n"/>
      <c r="AF662" s="10" t="inlineStr">
        <is>
          <t>Particulier</t>
        </is>
      </c>
      <c r="AG662" s="10" t="inlineStr">
        <is>
          <t>Nice</t>
        </is>
      </c>
      <c r="AH662" s="10" t="inlineStr">
        <is>
          <t>06300</t>
        </is>
      </c>
      <c r="AI662" s="10" t="inlineStr">
        <is>
          <t>Alpes-Maritimes</t>
        </is>
      </c>
      <c r="AJ662" s="10" t="inlineStr">
        <is>
          <t>Provence-Alpes-Côte d'Azur</t>
        </is>
      </c>
      <c r="AK662" s="16" t="n">
        <v>3</v>
      </c>
      <c r="AL662" s="10" t="n"/>
      <c r="AM662" s="10" t="inlineStr">
        <is>
          <t>Non</t>
        </is>
      </c>
      <c r="AN662" s="10" t="inlineStr">
        <is>
          <t>Twingo 1 Essence Boîte automatique Toit ouvrant 142000km Véhicule qui a toujours été dans la famille depuis sa mise en circulation. Poste radio changé (avec Bluetooth) mais je détiens toujours le poste d’origine. Haut-parleurs également changés. Sort du contrôle technique, valable jusqu’en 09/28</t>
        </is>
      </c>
      <c r="AO662" s="10" t="inlineStr">
        <is>
          <t>vehicle_technical_inspection_valid : Oui ; Contrôle technique : 2028 ; Permis : Avec permis ; Importé : false</t>
        </is>
      </c>
      <c r="AP662" s="19" t="inlineStr">
        <is>
          <t>Voir</t>
        </is>
      </c>
      <c r="AQ662" s="10" t="inlineStr">
        <is>
          <t>3273813000</t>
        </is>
      </c>
    </row>
    <row r="663">
      <c r="A663" s="10" t="inlineStr">
        <is>
          <t>Renault Twingo 1 découvrable</t>
        </is>
      </c>
      <c r="B663" s="10" t="inlineStr">
        <is>
          <t>Twingo phase 2 1.2I 16V 75vh toit ouvrant</t>
        </is>
      </c>
      <c r="C663" s="10" t="n"/>
      <c r="D663" s="10" t="n"/>
      <c r="E663" s="10" t="inlineStr">
        <is>
          <t>En vente</t>
        </is>
      </c>
      <c r="F663" s="18" t="n">
        <v>46290</v>
      </c>
      <c r="G663" s="18" t="n">
        <v>46290</v>
      </c>
      <c r="H663" s="18" t="n">
        <v>46310</v>
      </c>
      <c r="I663" s="18" t="n"/>
      <c r="J663" s="17">
        <f>IF(OR(ISNUMBER(F663),ISNUMBER(G663)),IF(ISNUMBER(I663),I663,H663)-IF(ISNUMBER(F663),F663,G663),"")</f>
        <v/>
      </c>
      <c r="K663" s="12" t="n">
        <v>1990</v>
      </c>
      <c r="L663" s="12" t="n">
        <v>1990</v>
      </c>
      <c r="M663" s="13">
        <f>IF(AND(ISNUMBER(K663),ISNUMBER(L663),K663&gt;0),1-L663/K663,"")</f>
        <v/>
      </c>
      <c r="N663" s="16" t="n">
        <v>0</v>
      </c>
      <c r="O663" s="12" t="n"/>
      <c r="P663" s="12" t="n"/>
      <c r="Q663" s="12" t="n"/>
      <c r="R663" s="14">
        <f>IF(AND(ISNUMBER(L663),ISNUMBER(P663),ISNUMBER(Q663)),L663/((P663+Q663)/2)-1,"")</f>
        <v/>
      </c>
      <c r="S663" s="10" t="n"/>
      <c r="T663" s="15" t="n">
        <v>193000</v>
      </c>
      <c r="U663" s="16" t="n">
        <v>2001</v>
      </c>
      <c r="V663" s="10" t="inlineStr">
        <is>
          <t>04/2001</t>
        </is>
      </c>
      <c r="W663" s="10" t="inlineStr">
        <is>
          <t>Essence</t>
        </is>
      </c>
      <c r="X663" s="10" t="inlineStr">
        <is>
          <t>Manuelle</t>
        </is>
      </c>
      <c r="Y663" s="16" t="n">
        <v>75</v>
      </c>
      <c r="Z663" s="16" t="n">
        <v>5</v>
      </c>
      <c r="AA663" s="10" t="inlineStr">
        <is>
          <t>Autre</t>
        </is>
      </c>
      <c r="AB663" s="16" t="n">
        <v>3</v>
      </c>
      <c r="AC663" s="10" t="inlineStr">
        <is>
          <t>Berline</t>
        </is>
      </c>
      <c r="AD663" s="10" t="n"/>
      <c r="AE663" s="10" t="n"/>
      <c r="AF663" s="10" t="inlineStr">
        <is>
          <t>Pro</t>
        </is>
      </c>
      <c r="AG663" s="10" t="inlineStr">
        <is>
          <t>Grenoble</t>
        </is>
      </c>
      <c r="AH663" s="10" t="inlineStr">
        <is>
          <t>38000</t>
        </is>
      </c>
      <c r="AI663" s="10" t="inlineStr">
        <is>
          <t>Isère</t>
        </is>
      </c>
      <c r="AJ663" s="10" t="inlineStr">
        <is>
          <t>Rhône-Alpes</t>
        </is>
      </c>
      <c r="AK663" s="16" t="n">
        <v>5</v>
      </c>
      <c r="AL663" s="10" t="n"/>
      <c r="AM663" s="10" t="inlineStr">
        <is>
          <t>Non</t>
        </is>
      </c>
      <c r="AN663" s="10" t="inlineStr">
        <is>
          <t>RENAULT TWINGO PHASE 2 1.2 75CHCinetic Toit ouvrant… Contrôle technique moins de 6 mois, vidange + filtres neufs, Kit distribution et pompe à eau neufs... Véhicule fiable, économique et très pratique, idéale pour un jeune conducteur ou les trajets du quotidien. Toit ouvrant panoramique en verre, très agréable aux beaux jours. OPTIONS ET ÉQUIPEMENTS : -Toit ouvrant panoramique en verre -Direction assistée -Fermeture centralisée -Vitres électriques -Autoradio d’origine -Prise 12V -Banquette arrièr</t>
        </is>
      </c>
      <c r="AO663" s="10" t="inlineStr">
        <is>
          <t>Permis : Avec permis ; VO récent : false ; vehicle_commercial_warranty : Non ; vehicle_manufacturer_warranty : Non ; Importé : false ; vehicle_history_report_status : visible ; spare_parts_availability : Non renseignée</t>
        </is>
      </c>
      <c r="AP663" s="19" t="inlineStr">
        <is>
          <t>Voir</t>
        </is>
      </c>
      <c r="AQ663" s="10" t="inlineStr">
        <is>
          <t>3276478695</t>
        </is>
      </c>
    </row>
    <row r="664">
      <c r="A664" s="10" t="inlineStr">
        <is>
          <t>Renault Twingo 1 découvrable</t>
        </is>
      </c>
      <c r="B664" s="10" t="inlineStr">
        <is>
          <t>Voiture twingo</t>
        </is>
      </c>
      <c r="C664" s="10" t="n"/>
      <c r="D664" s="10" t="n"/>
      <c r="E664" s="10" t="inlineStr">
        <is>
          <t>En vente</t>
        </is>
      </c>
      <c r="F664" s="18" t="n">
        <v>46293</v>
      </c>
      <c r="G664" s="18" t="n">
        <v>46293</v>
      </c>
      <c r="H664" s="18" t="n">
        <v>46310</v>
      </c>
      <c r="I664" s="18" t="n"/>
      <c r="J664" s="17">
        <f>IF(OR(ISNUMBER(F664),ISNUMBER(G664)),IF(ISNUMBER(I664),I664,H664)-IF(ISNUMBER(F664),F664,G664),"")</f>
        <v/>
      </c>
      <c r="K664" s="12" t="n">
        <v>2000</v>
      </c>
      <c r="L664" s="12" t="n">
        <v>2000</v>
      </c>
      <c r="M664" s="13">
        <f>IF(AND(ISNUMBER(K664),ISNUMBER(L664),K664&gt;0),1-L664/K664,"")</f>
        <v/>
      </c>
      <c r="N664" s="16" t="n">
        <v>0</v>
      </c>
      <c r="O664" s="12" t="n"/>
      <c r="P664" s="12" t="n"/>
      <c r="Q664" s="12" t="n"/>
      <c r="R664" s="14">
        <f>IF(AND(ISNUMBER(L664),ISNUMBER(P664),ISNUMBER(Q664)),L664/((P664+Q664)/2)-1,"")</f>
        <v/>
      </c>
      <c r="S664" s="10" t="n"/>
      <c r="T664" s="15" t="n">
        <v>173962</v>
      </c>
      <c r="U664" s="16" t="n">
        <v>1997</v>
      </c>
      <c r="V664" s="10" t="inlineStr">
        <is>
          <t>04/1997</t>
        </is>
      </c>
      <c r="W664" s="10" t="inlineStr">
        <is>
          <t>Essence</t>
        </is>
      </c>
      <c r="X664" s="10" t="inlineStr">
        <is>
          <t>Manuelle</t>
        </is>
      </c>
      <c r="Y664" s="16" t="n">
        <v>4</v>
      </c>
      <c r="Z664" s="16" t="n">
        <v>4</v>
      </c>
      <c r="AA664" s="10" t="inlineStr">
        <is>
          <t>Rouge</t>
        </is>
      </c>
      <c r="AB664" s="16" t="n">
        <v>3</v>
      </c>
      <c r="AC664" s="10" t="inlineStr">
        <is>
          <t>Citadine</t>
        </is>
      </c>
      <c r="AD664" s="10" t="n"/>
      <c r="AE664" s="10" t="n"/>
      <c r="AF664" s="10" t="inlineStr">
        <is>
          <t>Particulier</t>
        </is>
      </c>
      <c r="AG664" s="10" t="inlineStr">
        <is>
          <t>La Crèche</t>
        </is>
      </c>
      <c r="AH664" s="10" t="inlineStr">
        <is>
          <t>79260</t>
        </is>
      </c>
      <c r="AI664" s="10" t="inlineStr">
        <is>
          <t>Deux-Sèvres</t>
        </is>
      </c>
      <c r="AJ664" s="10" t="inlineStr">
        <is>
          <t>Poitou-Charentes</t>
        </is>
      </c>
      <c r="AK664" s="16" t="n">
        <v>3</v>
      </c>
      <c r="AL664" s="10" t="n"/>
      <c r="AM664" s="10" t="inlineStr">
        <is>
          <t>Non</t>
        </is>
      </c>
      <c r="AN664" s="10" t="inlineStr">
        <is>
          <t>Je vends ma Renault Twingo de 1997, une citadine compacte et économique. - Marque : Renault - Modèle : Twingo -Toit ouvrant - Année : 1997 - Kilométrage : 173 962 km - Motorisation : 4 Ch - Carburant : Essence - Boîte de vitesses : Manuelle - Couleur : Rouge - Type de véhicule : Citadine - Nombre de portes : 3 - Nombre de sièges : 4 - Puissance fiscale : 4 Cv - Contrôle technique : Valide jusqu'en 06/2028 N'hésitez pas à me contacter pour plus d'informations ou pour organiser une visite.</t>
        </is>
      </c>
      <c r="AO664" s="10" t="inlineStr">
        <is>
          <t>vehicle_technical_inspection_valid : Oui ; Contrôle technique : 2028 ; Dommages : Traces d’usure normales ; Sellerie : Tissu ; Permis : Avec permis ; Importé : false</t>
        </is>
      </c>
      <c r="AP664" s="19" t="inlineStr">
        <is>
          <t>Voir</t>
        </is>
      </c>
      <c r="AQ664" s="10" t="inlineStr">
        <is>
          <t>3277403260</t>
        </is>
      </c>
    </row>
    <row r="665">
      <c r="A665" s="10" t="inlineStr">
        <is>
          <t>Renault Twingo 1 découvrable</t>
        </is>
      </c>
      <c r="B665" s="10" t="inlineStr">
        <is>
          <t>Twingo initiale</t>
        </is>
      </c>
      <c r="C665" s="10" t="n"/>
      <c r="D665" s="10" t="n"/>
      <c r="E665" s="10" t="inlineStr">
        <is>
          <t>En vente</t>
        </is>
      </c>
      <c r="F665" s="18" t="n">
        <v>46292</v>
      </c>
      <c r="G665" s="18" t="n">
        <v>46292</v>
      </c>
      <c r="H665" s="18" t="n">
        <v>46310</v>
      </c>
      <c r="I665" s="18" t="n"/>
      <c r="J665" s="17">
        <f>IF(OR(ISNUMBER(F665),ISNUMBER(G665)),IF(ISNUMBER(I665),I665,H665)-IF(ISNUMBER(F665),F665,G665),"")</f>
        <v/>
      </c>
      <c r="K665" s="12" t="n">
        <v>4100</v>
      </c>
      <c r="L665" s="12" t="n">
        <v>4100</v>
      </c>
      <c r="M665" s="13">
        <f>IF(AND(ISNUMBER(K665),ISNUMBER(L665),K665&gt;0),1-L665/K665,"")</f>
        <v/>
      </c>
      <c r="N665" s="16" t="n">
        <v>0</v>
      </c>
      <c r="O665" s="12" t="n"/>
      <c r="P665" s="12" t="n"/>
      <c r="Q665" s="12" t="n"/>
      <c r="R665" s="14">
        <f>IF(AND(ISNUMBER(L665),ISNUMBER(P665),ISNUMBER(Q665)),L665/((P665+Q665)/2)-1,"")</f>
        <v/>
      </c>
      <c r="S665" s="10" t="n"/>
      <c r="T665" s="15" t="n">
        <v>155000</v>
      </c>
      <c r="U665" s="16" t="n">
        <v>2000</v>
      </c>
      <c r="V665" s="10" t="inlineStr">
        <is>
          <t>03/2000</t>
        </is>
      </c>
      <c r="W665" s="10" t="inlineStr">
        <is>
          <t>Essence</t>
        </is>
      </c>
      <c r="X665" s="10" t="inlineStr">
        <is>
          <t>Manuelle</t>
        </is>
      </c>
      <c r="Y665" s="16" t="n">
        <v>60</v>
      </c>
      <c r="Z665" s="16" t="n">
        <v>4</v>
      </c>
      <c r="AA665" s="10" t="inlineStr">
        <is>
          <t>Vert</t>
        </is>
      </c>
      <c r="AB665" s="16" t="n">
        <v>3</v>
      </c>
      <c r="AC665" s="10" t="inlineStr">
        <is>
          <t>Berline</t>
        </is>
      </c>
      <c r="AD665" s="10" t="inlineStr">
        <is>
          <t>Carnet d'entretien disponible</t>
        </is>
      </c>
      <c r="AE665" s="10" t="inlineStr">
        <is>
          <t>Première main</t>
        </is>
      </c>
      <c r="AF665" s="10" t="inlineStr">
        <is>
          <t>Particulier</t>
        </is>
      </c>
      <c r="AG665" s="10" t="inlineStr">
        <is>
          <t>Mérignac</t>
        </is>
      </c>
      <c r="AH665" s="10" t="inlineStr">
        <is>
          <t>33700</t>
        </is>
      </c>
      <c r="AI665" s="10" t="inlineStr">
        <is>
          <t>Gironde</t>
        </is>
      </c>
      <c r="AJ665" s="10" t="inlineStr">
        <is>
          <t>Aquitaine</t>
        </is>
      </c>
      <c r="AK665" s="16" t="n">
        <v>3</v>
      </c>
      <c r="AL665" s="10" t="n"/>
      <c r="AM665" s="10" t="inlineStr">
        <is>
          <t>Non</t>
        </is>
      </c>
      <c r="AN665" s="10" t="inlineStr">
        <is>
          <t>Renault Twingo 1 Initiale – Cuir – Toit ouvrant électrique À vendre Renault Twingo 1 finition Initiale Équipements principaux : * Finition Initiale * Intérieur cuir * Toit ouvrant électrique * Jantes aluminium * Vitres électriques * Direction assistée * Antibrouillards avant * Fermeture centralisée * Autoradio * Banquette arrière modulable Véhicule idéal pour une première voiture, un usage quotidien, ou pour un amateur de Twingo 1 recherchant une version bien équipée. Visible sur rendez-vous. Po</t>
        </is>
      </c>
      <c r="AO665" s="10" t="inlineStr">
        <is>
          <t>Dommages : Traces d’usure normales ; Sellerie : Tout cuir ; Équipements intérieurs : Climatisation ; Permis : Avec permis ; Importé : false</t>
        </is>
      </c>
      <c r="AP665" s="19" t="inlineStr">
        <is>
          <t>Voir</t>
        </is>
      </c>
      <c r="AQ665" s="10" t="inlineStr">
        <is>
          <t>3277928130</t>
        </is>
      </c>
    </row>
    <row r="666">
      <c r="A666" s="10" t="inlineStr">
        <is>
          <t>Renault Twingo 1 découvrable</t>
        </is>
      </c>
      <c r="B666" s="10" t="inlineStr">
        <is>
          <t>Twingo 1</t>
        </is>
      </c>
      <c r="C666" s="10" t="n"/>
      <c r="D666" s="10" t="n"/>
      <c r="E666" s="10" t="inlineStr">
        <is>
          <t>En vente</t>
        </is>
      </c>
      <c r="F666" s="18" t="n">
        <v>46293</v>
      </c>
      <c r="G666" s="18" t="n">
        <v>46293</v>
      </c>
      <c r="H666" s="18" t="n">
        <v>46310</v>
      </c>
      <c r="I666" s="18" t="n"/>
      <c r="J666" s="17">
        <f>IF(OR(ISNUMBER(F666),ISNUMBER(G666)),IF(ISNUMBER(I666),I666,H666)-IF(ISNUMBER(F666),F666,G666),"")</f>
        <v/>
      </c>
      <c r="K666" s="12" t="n">
        <v>3000</v>
      </c>
      <c r="L666" s="12" t="n">
        <v>3000</v>
      </c>
      <c r="M666" s="13">
        <f>IF(AND(ISNUMBER(K666),ISNUMBER(L666),K666&gt;0),1-L666/K666,"")</f>
        <v/>
      </c>
      <c r="N666" s="16" t="n">
        <v>0</v>
      </c>
      <c r="O666" s="12" t="n"/>
      <c r="P666" s="12" t="n"/>
      <c r="Q666" s="12" t="n"/>
      <c r="R666" s="14">
        <f>IF(AND(ISNUMBER(L666),ISNUMBER(P666),ISNUMBER(Q666)),L666/((P666+Q666)/2)-1,"")</f>
        <v/>
      </c>
      <c r="S666" s="10" t="n"/>
      <c r="T666" s="15" t="n">
        <v>221900</v>
      </c>
      <c r="U666" s="16" t="n">
        <v>1997</v>
      </c>
      <c r="V666" s="10" t="inlineStr">
        <is>
          <t>01/1997</t>
        </is>
      </c>
      <c r="W666" s="10" t="inlineStr">
        <is>
          <t>Essence</t>
        </is>
      </c>
      <c r="X666" s="10" t="inlineStr">
        <is>
          <t>Manuelle</t>
        </is>
      </c>
      <c r="Y666" s="16" t="n">
        <v>60</v>
      </c>
      <c r="Z666" s="16" t="n">
        <v>4</v>
      </c>
      <c r="AA666" s="10" t="inlineStr">
        <is>
          <t>Bleu</t>
        </is>
      </c>
      <c r="AB666" s="16" t="n">
        <v>3</v>
      </c>
      <c r="AC666" s="10" t="inlineStr">
        <is>
          <t>Berline</t>
        </is>
      </c>
      <c r="AD666" s="10" t="inlineStr">
        <is>
          <t>Véhicule non fumeur, Réparations utiles déjà faites</t>
        </is>
      </c>
      <c r="AE666" s="10" t="n"/>
      <c r="AF666" s="10" t="inlineStr">
        <is>
          <t>Particulier</t>
        </is>
      </c>
      <c r="AG666" s="10" t="inlineStr">
        <is>
          <t>Montalieu-Vercieu</t>
        </is>
      </c>
      <c r="AH666" s="10" t="inlineStr">
        <is>
          <t>38390</t>
        </is>
      </c>
      <c r="AI666" s="10" t="inlineStr">
        <is>
          <t>Isère</t>
        </is>
      </c>
      <c r="AJ666" s="10" t="inlineStr">
        <is>
          <t>Rhône-Alpes</t>
        </is>
      </c>
      <c r="AK666" s="16" t="n">
        <v>3</v>
      </c>
      <c r="AL666" s="10" t="n"/>
      <c r="AM666" s="10" t="inlineStr">
        <is>
          <t>Non</t>
        </is>
      </c>
      <c r="AN666" s="10" t="inlineStr">
        <is>
          <t>Je vends ma Renault Twingo de 1997, une petite citadine pratique et économique. - Marque : Renault - Modèle : Twingo - Année : 1997 - Kilométrage : 221 900 km - Motorisation : 60 Ch - Puissance fiscale : 4 Cv - Carburant : Essence - Boîte de vitesses : Manuelle - Couleur : Bleu - Type de véhicule : Berline - Nombre de portes : 3 - Nombre de sièges : 4 - Contrôle technique : Valide Toit ouvrant en toile open air N'hésitez pas à me contacter pour plus d'informations ou pour organiser une visite.</t>
        </is>
      </c>
      <c r="AO666" s="10" t="inlineStr">
        <is>
          <t>vehicle_technical_inspection_valid : Oui ; Dommages : Traces d’usure normales ; Sellerie : Tissu ; Équipements intérieurs : Roue de secours, Siège arrière rabattable, Sièges arrières coulissants, Toit ouvrant / Toit panoramique ; Permis : Avec permis ; Importé : false</t>
        </is>
      </c>
      <c r="AP666" s="19" t="inlineStr">
        <is>
          <t>Voir</t>
        </is>
      </c>
      <c r="AQ666" s="10" t="inlineStr">
        <is>
          <t>3278196482</t>
        </is>
      </c>
    </row>
    <row r="667">
      <c r="A667" s="10" t="inlineStr">
        <is>
          <t>Renault Twingo 1 découvrable</t>
        </is>
      </c>
      <c r="B667" s="10" t="inlineStr">
        <is>
          <t>Twingo 1 (phase 2) toit ouvrant (panoramique) en Parfait état</t>
        </is>
      </c>
      <c r="C667" s="10" t="inlineStr">
        <is>
          <t>Twingo 1.2 60ch Authentique</t>
        </is>
      </c>
      <c r="D667" s="10" t="inlineStr">
        <is>
          <t>Authentique</t>
        </is>
      </c>
      <c r="E667" s="10" t="inlineStr">
        <is>
          <t>En vente</t>
        </is>
      </c>
      <c r="F667" s="18" t="n">
        <v>46293</v>
      </c>
      <c r="G667" s="18" t="n">
        <v>46293</v>
      </c>
      <c r="H667" s="18" t="n">
        <v>46310</v>
      </c>
      <c r="I667" s="18" t="n"/>
      <c r="J667" s="17">
        <f>IF(OR(ISNUMBER(F667),ISNUMBER(G667)),IF(ISNUMBER(I667),I667,H667)-IF(ISNUMBER(F667),F667,G667),"")</f>
        <v/>
      </c>
      <c r="K667" s="12" t="n">
        <v>2850</v>
      </c>
      <c r="L667" s="12" t="n">
        <v>2850</v>
      </c>
      <c r="M667" s="13">
        <f>IF(AND(ISNUMBER(K667),ISNUMBER(L667),K667&gt;0),1-L667/K667,"")</f>
        <v/>
      </c>
      <c r="N667" s="16" t="n">
        <v>0</v>
      </c>
      <c r="O667" s="12" t="n"/>
      <c r="P667" s="12" t="n"/>
      <c r="Q667" s="12" t="n"/>
      <c r="R667" s="14">
        <f>IF(AND(ISNUMBER(L667),ISNUMBER(P667),ISNUMBER(Q667)),L667/((P667+Q667)/2)-1,"")</f>
        <v/>
      </c>
      <c r="S667" s="10" t="n"/>
      <c r="T667" s="15" t="n">
        <v>175000</v>
      </c>
      <c r="U667" s="16" t="n">
        <v>2004</v>
      </c>
      <c r="V667" s="10" t="inlineStr">
        <is>
          <t>01/2004</t>
        </is>
      </c>
      <c r="W667" s="10" t="inlineStr">
        <is>
          <t>Essence</t>
        </is>
      </c>
      <c r="X667" s="10" t="inlineStr">
        <is>
          <t>Manuelle</t>
        </is>
      </c>
      <c r="Y667" s="16" t="n">
        <v>60</v>
      </c>
      <c r="Z667" s="16" t="n">
        <v>4</v>
      </c>
      <c r="AA667" s="10" t="inlineStr">
        <is>
          <t>Gris</t>
        </is>
      </c>
      <c r="AB667" s="16" t="n">
        <v>3</v>
      </c>
      <c r="AC667" s="10" t="inlineStr">
        <is>
          <t>Berline</t>
        </is>
      </c>
      <c r="AD667" s="10" t="inlineStr">
        <is>
          <t>Carnet d'entretien disponible, Factures disponibles, Véhicule non fumeur, Réparations utiles déjà faites</t>
        </is>
      </c>
      <c r="AE667" s="10" t="n"/>
      <c r="AF667" s="10" t="inlineStr">
        <is>
          <t>Particulier</t>
        </is>
      </c>
      <c r="AG667" s="10" t="inlineStr">
        <is>
          <t>Lille</t>
        </is>
      </c>
      <c r="AH667" s="10" t="inlineStr">
        <is>
          <t>59000</t>
        </is>
      </c>
      <c r="AI667" s="10" t="inlineStr">
        <is>
          <t>Nord</t>
        </is>
      </c>
      <c r="AJ667" s="10" t="inlineStr">
        <is>
          <t>Nord-Pas-de-Calais</t>
        </is>
      </c>
      <c r="AK667" s="16" t="n">
        <v>3</v>
      </c>
      <c r="AL667" s="10" t="n"/>
      <c r="AM667" s="10" t="inlineStr">
        <is>
          <t>Non</t>
        </is>
      </c>
      <c r="AN667" s="10" t="inlineStr">
        <is>
          <t>Je vends ma Renault Twingo 1 phase 2 toit ouvrant panoramique de 2004, une petite citadine pratique et économique. Elle est en parfait état, le véhicule n’a jamais roulé à l’éthanol ! Tous les frais pratiques ont été effectués sur le véhicule, vidange filtre à air filtre à huile, pure du liquide de refroidissement. - Marque : Renault - Modèle : Twingo - Année : 2004 - Kilométrage : 175 000 km - Motorisation : 1.2 60 ch - Carburant : Essence - Finition : Authentique - Boîte de vitesses : Manuelle</t>
        </is>
      </c>
      <c r="AO667" s="10" t="inlineStr">
        <is>
          <t>Dommages : Excellent état (proche du neuf) ; Sellerie : Tissu ; Permis : Avec permis ; Importé : false</t>
        </is>
      </c>
      <c r="AP667" s="19" t="inlineStr">
        <is>
          <t>Voir</t>
        </is>
      </c>
      <c r="AQ667" s="10" t="inlineStr">
        <is>
          <t>3278551940</t>
        </is>
      </c>
    </row>
    <row r="668">
      <c r="A668" s="10" t="inlineStr">
        <is>
          <t>Renault Twingo 1 découvrable</t>
        </is>
      </c>
      <c r="B668" s="10" t="inlineStr">
        <is>
          <t>Renault Twingo 1 16v</t>
        </is>
      </c>
      <c r="C668" s="10" t="n"/>
      <c r="D668" s="10" t="n"/>
      <c r="E668" s="10" t="inlineStr">
        <is>
          <t>En vente</t>
        </is>
      </c>
      <c r="F668" s="18" t="n">
        <v>46294</v>
      </c>
      <c r="G668" s="18" t="n">
        <v>46294</v>
      </c>
      <c r="H668" s="18" t="n">
        <v>46310</v>
      </c>
      <c r="I668" s="18" t="n"/>
      <c r="J668" s="17">
        <f>IF(OR(ISNUMBER(F668),ISNUMBER(G668)),IF(ISNUMBER(I668),I668,H668)-IF(ISNUMBER(F668),F668,G668),"")</f>
        <v/>
      </c>
      <c r="K668" s="12" t="n">
        <v>2000</v>
      </c>
      <c r="L668" s="12" t="n">
        <v>2000</v>
      </c>
      <c r="M668" s="13">
        <f>IF(AND(ISNUMBER(K668),ISNUMBER(L668),K668&gt;0),1-L668/K668,"")</f>
        <v/>
      </c>
      <c r="N668" s="16" t="n">
        <v>0</v>
      </c>
      <c r="O668" s="12" t="n"/>
      <c r="P668" s="12" t="n"/>
      <c r="Q668" s="12" t="n"/>
      <c r="R668" s="14">
        <f>IF(AND(ISNUMBER(L668),ISNUMBER(P668),ISNUMBER(Q668)),L668/((P668+Q668)/2)-1,"")</f>
        <v/>
      </c>
      <c r="S668" s="10" t="n"/>
      <c r="T668" s="15" t="n">
        <v>196000</v>
      </c>
      <c r="U668" s="16" t="n">
        <v>2002</v>
      </c>
      <c r="V668" s="10" t="inlineStr">
        <is>
          <t>10/2002</t>
        </is>
      </c>
      <c r="W668" s="10" t="inlineStr">
        <is>
          <t>Essence</t>
        </is>
      </c>
      <c r="X668" s="10" t="inlineStr">
        <is>
          <t>Manuelle</t>
        </is>
      </c>
      <c r="Y668" s="16" t="n">
        <v>75</v>
      </c>
      <c r="Z668" s="16" t="n">
        <v>5</v>
      </c>
      <c r="AA668" s="10" t="inlineStr">
        <is>
          <t>Autre</t>
        </is>
      </c>
      <c r="AB668" s="16" t="n">
        <v>3</v>
      </c>
      <c r="AC668" s="10" t="inlineStr">
        <is>
          <t>Berline</t>
        </is>
      </c>
      <c r="AD668" s="10" t="n"/>
      <c r="AE668" s="10" t="n"/>
      <c r="AF668" s="10" t="inlineStr">
        <is>
          <t>Particulier</t>
        </is>
      </c>
      <c r="AG668" s="10" t="inlineStr">
        <is>
          <t>Anglet</t>
        </is>
      </c>
      <c r="AH668" s="10" t="inlineStr">
        <is>
          <t>64600</t>
        </is>
      </c>
      <c r="AI668" s="10" t="inlineStr">
        <is>
          <t>Pyrénées-Atlantiques</t>
        </is>
      </c>
      <c r="AJ668" s="10" t="inlineStr">
        <is>
          <t>Aquitaine</t>
        </is>
      </c>
      <c r="AK668" s="16" t="n">
        <v>3</v>
      </c>
      <c r="AL668" s="10" t="n"/>
      <c r="AM668" s="10" t="inlineStr">
        <is>
          <t>Non</t>
        </is>
      </c>
      <c r="AN668" s="10" t="inlineStr">
        <is>
          <t>Je vends ma Renault Twingo 1 16v de 2002, une citadine compacte et économique. Toit ouvrant Climatisation Distribution ok Vidange ok - Marque : Renault - Modèle : Twingo - Année : 2002 - Kilométrage : 196 000 km - Motorisation : 75 Ch - Carburant : Essence - Boîte de vitesses : Manuelle - Nombre de portes : 3 - Nombre de sièges : 4 - Puissance fiscale : 5 Cv N'hésitez pas à me contacter pour plus d'informations ou pour convenir d'une visite.</t>
        </is>
      </c>
      <c r="AO668" s="10" t="inlineStr">
        <is>
          <t>Permis : Avec permis ; Importé : false ; vehicle_history_report_status : visible</t>
        </is>
      </c>
      <c r="AP668" s="19" t="inlineStr">
        <is>
          <t>Voir</t>
        </is>
      </c>
      <c r="AQ668" s="10" t="inlineStr">
        <is>
          <t>3279054855</t>
        </is>
      </c>
    </row>
    <row r="669">
      <c r="A669" s="10" t="inlineStr">
        <is>
          <t>Renault Twingo 1 découvrable</t>
        </is>
      </c>
      <c r="B669" s="10" t="inlineStr">
        <is>
          <t>RENAULT Twingo 1.2 QUICKSHIFT 3P</t>
        </is>
      </c>
      <c r="C669" s="10" t="inlineStr">
        <is>
          <t>Twingo 1.2 16v 75ch Initiale Quickshift</t>
        </is>
      </c>
      <c r="D669" s="10" t="inlineStr">
        <is>
          <t>Initiale</t>
        </is>
      </c>
      <c r="E669" s="10" t="inlineStr">
        <is>
          <t>En vente</t>
        </is>
      </c>
      <c r="F669" s="18" t="n">
        <v>46297</v>
      </c>
      <c r="G669" s="18" t="n">
        <v>46297</v>
      </c>
      <c r="H669" s="18" t="n">
        <v>46310</v>
      </c>
      <c r="I669" s="18" t="n"/>
      <c r="J669" s="17">
        <f>IF(OR(ISNUMBER(F669),ISNUMBER(G669)),IF(ISNUMBER(I669),I669,H669)-IF(ISNUMBER(F669),F669,G669),"")</f>
        <v/>
      </c>
      <c r="K669" s="12" t="n">
        <v>5990</v>
      </c>
      <c r="L669" s="12" t="n">
        <v>5990</v>
      </c>
      <c r="M669" s="13">
        <f>IF(AND(ISNUMBER(K669),ISNUMBER(L669),K669&gt;0),1-L669/K669,"")</f>
        <v/>
      </c>
      <c r="N669" s="16" t="n">
        <v>0</v>
      </c>
      <c r="O669" s="12" t="n"/>
      <c r="P669" s="12" t="n">
        <v>3650</v>
      </c>
      <c r="Q669" s="12" t="n">
        <v>4040</v>
      </c>
      <c r="R669" s="14">
        <f>IF(AND(ISNUMBER(L669),ISNUMBER(P669),ISNUMBER(Q669)),L669/((P669+Q669)/2)-1,"")</f>
        <v/>
      </c>
      <c r="S669" s="10" t="inlineStr">
        <is>
          <t>Estimation indisponible</t>
        </is>
      </c>
      <c r="T669" s="15" t="n">
        <v>59000</v>
      </c>
      <c r="U669" s="16" t="n">
        <v>2007</v>
      </c>
      <c r="V669" s="10" t="inlineStr">
        <is>
          <t>06/2007</t>
        </is>
      </c>
      <c r="W669" s="10" t="inlineStr">
        <is>
          <t>Essence</t>
        </is>
      </c>
      <c r="X669" s="10" t="inlineStr">
        <is>
          <t>Automatique</t>
        </is>
      </c>
      <c r="Y669" s="16" t="n"/>
      <c r="Z669" s="16" t="n">
        <v>5</v>
      </c>
      <c r="AA669" s="10" t="inlineStr">
        <is>
          <t>Noir</t>
        </is>
      </c>
      <c r="AB669" s="16" t="n"/>
      <c r="AC669" s="10" t="inlineStr">
        <is>
          <t>Berline</t>
        </is>
      </c>
      <c r="AD669" s="10" t="n"/>
      <c r="AE669" s="10" t="n"/>
      <c r="AF669" s="10" t="inlineStr">
        <is>
          <t>Pro</t>
        </is>
      </c>
      <c r="AG669" s="10" t="inlineStr">
        <is>
          <t>Sanary-sur-Mer</t>
        </is>
      </c>
      <c r="AH669" s="10" t="inlineStr">
        <is>
          <t>83110</t>
        </is>
      </c>
      <c r="AI669" s="10" t="inlineStr">
        <is>
          <t>Var</t>
        </is>
      </c>
      <c r="AJ669" s="10" t="inlineStr">
        <is>
          <t>Provence-Alpes-Côte d'Azur</t>
        </is>
      </c>
      <c r="AK669" s="16" t="n">
        <v>10</v>
      </c>
      <c r="AL669" s="10" t="n"/>
      <c r="AM669" s="10" t="inlineStr">
        <is>
          <t>Non</t>
        </is>
      </c>
      <c r="AN669" s="10" t="inlineStr">
        <is>
          <t>RENAULT Twingo 1.2 QUICKSHIFT 3P, berline, noir, 5 cv, première mise en circulation le 05/06/2007. 🚗 JVP CARS – Votre spécialiste automobile d'occasion à Sanary-sur-Mer ! Découvrez notre sélection de véhicules soigneusement sélectionnés, avec un accompagnement personnalisé. 🖤 RENAULT TWINGO I 1.2 16V – BOÎTE QUICKSHIFT – TOIT OUVRANT – CLIMATISATION JVP CARS vous propose une véritable pépite urbaine : l'iconique Renault Twingo 1 en version 1.2 16V 75 ch avec boîte robotisée Quickshift, habillé</t>
        </is>
      </c>
      <c r="AO669" s="10" t="inlineStr">
        <is>
          <t>Permis : Avec permis ; VO récent : false ; custom_ref : BIZ_B58F01 ; Importé : true ; vehicle_history_report_status : hidden ; spare_parts_availability : Non renseignée</t>
        </is>
      </c>
      <c r="AP669" s="19" t="inlineStr">
        <is>
          <t>Voir</t>
        </is>
      </c>
      <c r="AQ669" s="10" t="inlineStr">
        <is>
          <t>3280760419</t>
        </is>
      </c>
    </row>
    <row r="670">
      <c r="A670" s="10" t="inlineStr">
        <is>
          <t>Renault Twingo 1 découvrable</t>
        </is>
      </c>
      <c r="B670" s="10" t="inlineStr">
        <is>
          <t>Twingo 1 phase 3 clim</t>
        </is>
      </c>
      <c r="C670" s="10" t="inlineStr">
        <is>
          <t>Collector Clim_Twingo 1.2 60ch Collector Clim</t>
        </is>
      </c>
      <c r="D670" s="10" t="inlineStr">
        <is>
          <t>Collector Clim</t>
        </is>
      </c>
      <c r="E670" s="10" t="inlineStr">
        <is>
          <t>En vente</t>
        </is>
      </c>
      <c r="F670" s="18" t="n">
        <v>46299</v>
      </c>
      <c r="G670" s="18" t="n">
        <v>46299</v>
      </c>
      <c r="H670" s="18" t="n">
        <v>46310</v>
      </c>
      <c r="I670" s="18" t="n"/>
      <c r="J670" s="17">
        <f>IF(OR(ISNUMBER(F670),ISNUMBER(G670)),IF(ISNUMBER(I670),I670,H670)-IF(ISNUMBER(F670),F670,G670),"")</f>
        <v/>
      </c>
      <c r="K670" s="12" t="n">
        <v>3000</v>
      </c>
      <c r="L670" s="12" t="n">
        <v>3000</v>
      </c>
      <c r="M670" s="13">
        <f>IF(AND(ISNUMBER(K670),ISNUMBER(L670),K670&gt;0),1-L670/K670,"")</f>
        <v/>
      </c>
      <c r="N670" s="16" t="n">
        <v>0</v>
      </c>
      <c r="O670" s="12" t="n"/>
      <c r="P670" s="12" t="n">
        <v>2730</v>
      </c>
      <c r="Q670" s="12" t="n">
        <v>3010</v>
      </c>
      <c r="R670" s="14">
        <f>IF(AND(ISNUMBER(L670),ISNUMBER(P670),ISNUMBER(Q670)),L670/((P670+Q670)/2)-1,"")</f>
        <v/>
      </c>
      <c r="S670" s="10" t="n"/>
      <c r="T670" s="15" t="n">
        <v>117600</v>
      </c>
      <c r="U670" s="16" t="n">
        <v>2007</v>
      </c>
      <c r="V670" s="10" t="inlineStr">
        <is>
          <t>05/2007</t>
        </is>
      </c>
      <c r="W670" s="10" t="inlineStr">
        <is>
          <t>Essence</t>
        </is>
      </c>
      <c r="X670" s="10" t="inlineStr">
        <is>
          <t>Manuelle</t>
        </is>
      </c>
      <c r="Y670" s="16" t="n">
        <v>60</v>
      </c>
      <c r="Z670" s="16" t="n">
        <v>4</v>
      </c>
      <c r="AA670" s="10" t="inlineStr">
        <is>
          <t>Gris</t>
        </is>
      </c>
      <c r="AB670" s="16" t="n">
        <v>3</v>
      </c>
      <c r="AC670" s="10" t="inlineStr">
        <is>
          <t>Berline</t>
        </is>
      </c>
      <c r="AD670" s="10" t="inlineStr">
        <is>
          <t>Carnet d'entretien disponible, Factures disponibles, Véhicule non fumeur, Réparations utiles déjà faites</t>
        </is>
      </c>
      <c r="AE670" s="10" t="inlineStr">
        <is>
          <t>Véhicule importé</t>
        </is>
      </c>
      <c r="AF670" s="10" t="inlineStr">
        <is>
          <t>Particulier</t>
        </is>
      </c>
      <c r="AG670" s="10" t="inlineStr">
        <is>
          <t>Sancy</t>
        </is>
      </c>
      <c r="AH670" s="10" t="inlineStr">
        <is>
          <t>77580</t>
        </is>
      </c>
      <c r="AI670" s="10" t="inlineStr">
        <is>
          <t>Seine-et-Marne</t>
        </is>
      </c>
      <c r="AJ670" s="10" t="inlineStr">
        <is>
          <t>Ile-de-France</t>
        </is>
      </c>
      <c r="AK670" s="16" t="n">
        <v>3</v>
      </c>
      <c r="AL670" s="10" t="n"/>
      <c r="AM670" s="10" t="inlineStr">
        <is>
          <t>Non</t>
        </is>
      </c>
      <c r="AN670" s="10" t="inlineStr">
        <is>
          <t xml:space="preserve">Je vends ma Renault Twingo 1 Phase 3 de 2007, une citadine pratique et économique avec climatisation neuve, toit ouvrant et direction assistée. - Marque : Renault - Modèle : Twingo - Année : 2007 - Date de mise en circulation : 05/2007 - Kilométrage : 117 600 km - Motorisation : 1.2 60 ch - Carburant : Essence - Boîte de vitesses : Manuelle - Finition : Collector Clim - Type de véhicule : Berline - Nombre de portes : 3 - Nombre de sièges : 4 - Couleur : Gris - Puissance fiscale : 4 Cv - Options </t>
        </is>
      </c>
      <c r="AO670" s="10" t="inlineStr">
        <is>
          <t>Dommages : Bon état général ; Sellerie : Velours ; Équipements intérieurs : Climatisation, Roue de secours, Siège arrière rabattable, Sièges arrières coulissants, Toit ouvrant / Toit panoramique ; Permis : Avec permis ; ad_warranty_type : essential ; Importé : false</t>
        </is>
      </c>
      <c r="AP670" s="19" t="inlineStr">
        <is>
          <t>Voir</t>
        </is>
      </c>
      <c r="AQ670" s="10" t="inlineStr">
        <is>
          <t>3281895385</t>
        </is>
      </c>
    </row>
    <row r="671">
      <c r="A671" s="10" t="inlineStr">
        <is>
          <t>Renault Twingo 1 découvrable</t>
        </is>
      </c>
      <c r="B671" s="10" t="inlineStr">
        <is>
          <t>Twingo</t>
        </is>
      </c>
      <c r="C671" s="10" t="n"/>
      <c r="D671" s="10" t="n"/>
      <c r="E671" s="10" t="inlineStr">
        <is>
          <t>En vente</t>
        </is>
      </c>
      <c r="F671" s="18" t="n">
        <v>46299</v>
      </c>
      <c r="G671" s="18" t="n">
        <v>46299</v>
      </c>
      <c r="H671" s="18" t="n">
        <v>46310</v>
      </c>
      <c r="I671" s="18" t="n"/>
      <c r="J671" s="17">
        <f>IF(OR(ISNUMBER(F671),ISNUMBER(G671)),IF(ISNUMBER(I671),I671,H671)-IF(ISNUMBER(F671),F671,G671),"")</f>
        <v/>
      </c>
      <c r="K671" s="12" t="n">
        <v>1700</v>
      </c>
      <c r="L671" s="12" t="n">
        <v>1700</v>
      </c>
      <c r="M671" s="13">
        <f>IF(AND(ISNUMBER(K671),ISNUMBER(L671),K671&gt;0),1-L671/K671,"")</f>
        <v/>
      </c>
      <c r="N671" s="16" t="n">
        <v>0</v>
      </c>
      <c r="O671" s="12" t="n"/>
      <c r="P671" s="12" t="n"/>
      <c r="Q671" s="12" t="n"/>
      <c r="R671" s="14">
        <f>IF(AND(ISNUMBER(L671),ISNUMBER(P671),ISNUMBER(Q671)),L671/((P671+Q671)/2)-1,"")</f>
        <v/>
      </c>
      <c r="S671" s="10" t="n"/>
      <c r="T671" s="15" t="n">
        <v>260895</v>
      </c>
      <c r="U671" s="16" t="n">
        <v>2006</v>
      </c>
      <c r="V671" s="10" t="inlineStr">
        <is>
          <t>09/2006</t>
        </is>
      </c>
      <c r="W671" s="10" t="inlineStr">
        <is>
          <t>GPL</t>
        </is>
      </c>
      <c r="X671" s="10" t="inlineStr">
        <is>
          <t>Manuelle</t>
        </is>
      </c>
      <c r="Y671" s="16" t="n">
        <v>60</v>
      </c>
      <c r="Z671" s="16" t="n">
        <v>4</v>
      </c>
      <c r="AA671" s="10" t="inlineStr">
        <is>
          <t>Jaune</t>
        </is>
      </c>
      <c r="AB671" s="16" t="n">
        <v>3</v>
      </c>
      <c r="AC671" s="10" t="inlineStr">
        <is>
          <t>Berline</t>
        </is>
      </c>
      <c r="AD671" s="10" t="n"/>
      <c r="AE671" s="10" t="n"/>
      <c r="AF671" s="10" t="inlineStr">
        <is>
          <t>Particulier</t>
        </is>
      </c>
      <c r="AG671" s="10" t="inlineStr">
        <is>
          <t>Arques</t>
        </is>
      </c>
      <c r="AH671" s="10" t="inlineStr">
        <is>
          <t>11190</t>
        </is>
      </c>
      <c r="AI671" s="10" t="inlineStr">
        <is>
          <t>Aude</t>
        </is>
      </c>
      <c r="AJ671" s="10" t="inlineStr">
        <is>
          <t>Languedoc-Roussillon</t>
        </is>
      </c>
      <c r="AK671" s="16" t="n">
        <v>3</v>
      </c>
      <c r="AL671" s="10" t="n"/>
      <c r="AM671" s="10" t="inlineStr">
        <is>
          <t>Non</t>
        </is>
      </c>
      <c r="AN671" s="10" t="inlineStr">
        <is>
          <t>🚗 Renault Twingo essence – Toit ouvrant – 1 700 € négociable – Échange possible Je mets en vente ma Renault Twingo essence, une petite voiture pratique et économique, idéale pour les trajets du quotidien ou comme première voiture. ✅ Motorisation essence ✅ 261 895 km au compteur ✅ Toit ouvrant ✅ Carte grise à jour ✅ Contrôle technique OK ✅ Facile à stationner ✅ Véhicule disponible immédiatement 💰 Prix : 1 700 € négociable 🔄 J'étudie toute proposition d'échange. Véhicule visible sur rendez-vous</t>
        </is>
      </c>
      <c r="AO671" s="10" t="inlineStr">
        <is>
          <t>vehicle_technical_inspection_valid : Oui ; Permis : Avec permis ; Importé : false</t>
        </is>
      </c>
      <c r="AP671" s="19" t="inlineStr">
        <is>
          <t>Voir</t>
        </is>
      </c>
      <c r="AQ671" s="10" t="inlineStr">
        <is>
          <t>3282160498</t>
        </is>
      </c>
    </row>
    <row r="672">
      <c r="A672" s="10" t="inlineStr">
        <is>
          <t>Renault Twingo 1 découvrable</t>
        </is>
      </c>
      <c r="B672" s="10" t="inlineStr">
        <is>
          <t>Renault Twingo Kenzo série 1 – 1995 – 62 573 km – Toit ouvrant</t>
        </is>
      </c>
      <c r="C672" s="10" t="n"/>
      <c r="D672" s="10" t="n"/>
      <c r="E672" s="10" t="inlineStr">
        <is>
          <t>En vente</t>
        </is>
      </c>
      <c r="F672" s="18" t="n">
        <v>46299</v>
      </c>
      <c r="G672" s="18" t="n">
        <v>46299</v>
      </c>
      <c r="H672" s="18" t="n">
        <v>46310</v>
      </c>
      <c r="I672" s="18" t="n"/>
      <c r="J672" s="17">
        <f>IF(OR(ISNUMBER(F672),ISNUMBER(G672)),IF(ISNUMBER(I672),I672,H672)-IF(ISNUMBER(F672),F672,G672),"")</f>
        <v/>
      </c>
      <c r="K672" s="12" t="n">
        <v>5990</v>
      </c>
      <c r="L672" s="12" t="n">
        <v>5990</v>
      </c>
      <c r="M672" s="13">
        <f>IF(AND(ISNUMBER(K672),ISNUMBER(L672),K672&gt;0),1-L672/K672,"")</f>
        <v/>
      </c>
      <c r="N672" s="16" t="n">
        <v>0</v>
      </c>
      <c r="O672" s="12" t="n"/>
      <c r="P672" s="12" t="n"/>
      <c r="Q672" s="12" t="n"/>
      <c r="R672" s="14">
        <f>IF(AND(ISNUMBER(L672),ISNUMBER(P672),ISNUMBER(Q672)),L672/((P672+Q672)/2)-1,"")</f>
        <v/>
      </c>
      <c r="S672" s="10" t="n"/>
      <c r="T672" s="15" t="n">
        <v>62573</v>
      </c>
      <c r="U672" s="16" t="n">
        <v>1995</v>
      </c>
      <c r="V672" s="10" t="inlineStr">
        <is>
          <t>09/1995</t>
        </is>
      </c>
      <c r="W672" s="10" t="inlineStr">
        <is>
          <t>Essence</t>
        </is>
      </c>
      <c r="X672" s="10" t="inlineStr">
        <is>
          <t>Manuelle</t>
        </is>
      </c>
      <c r="Y672" s="16" t="n"/>
      <c r="Z672" s="16" t="n"/>
      <c r="AA672" s="10" t="inlineStr">
        <is>
          <t>Noir</t>
        </is>
      </c>
      <c r="AB672" s="16" t="n">
        <v>3</v>
      </c>
      <c r="AC672" s="10" t="inlineStr">
        <is>
          <t>Citadine</t>
        </is>
      </c>
      <c r="AD672" s="10" t="inlineStr">
        <is>
          <t>Factures disponibles</t>
        </is>
      </c>
      <c r="AE672" s="10" t="n"/>
      <c r="AF672" s="10" t="inlineStr">
        <is>
          <t>Particulier</t>
        </is>
      </c>
      <c r="AG672" s="10" t="inlineStr">
        <is>
          <t>Le Crotoy</t>
        </is>
      </c>
      <c r="AH672" s="10" t="inlineStr">
        <is>
          <t>80550</t>
        </is>
      </c>
      <c r="AI672" s="10" t="inlineStr">
        <is>
          <t>Somme</t>
        </is>
      </c>
      <c r="AJ672" s="10" t="inlineStr">
        <is>
          <t>Picardie</t>
        </is>
      </c>
      <c r="AK672" s="16" t="n">
        <v>10</v>
      </c>
      <c r="AL672" s="10" t="n"/>
      <c r="AM672" s="10" t="inlineStr">
        <is>
          <t>Non</t>
        </is>
      </c>
      <c r="AN672" s="10" t="inlineStr">
        <is>
          <t>Twingo Kenzo série 1 de 1995, noire, avec seulement 62 573 km. Seulement 2 propriétaires avant moi. Voiture très soignée, idéale pour un amateur de youngtimer ou pour un usage quotidien. Équipements : • Toit ouvrant électrique • Jantes alu • Sellerie et habitacle en parfait état Entretien : • Freins avant neufs (disques et plaquettes) • Antidémarrage neuf • Batterie neuve • Entretien suivi, classeur de factures remis à l'acheteur Carrosserie en très bon état, sans corrosion, avec quelques rayure</t>
        </is>
      </c>
      <c r="AO672" s="10" t="inlineStr">
        <is>
          <t>vehicle_technical_inspection_valid : Oui ; Contrôle technique : 2028 ; Dommages : Bon état général ; Sellerie : Tissu ; Équipements intérieurs : Toit ouvrant / Toit panoramique ; Permis : Avec permis ; Importé : false ; vehicle_history_report_status : visible</t>
        </is>
      </c>
      <c r="AP672" s="19" t="inlineStr">
        <is>
          <t>Voir</t>
        </is>
      </c>
      <c r="AQ672" s="10" t="inlineStr">
        <is>
          <t>3282185714</t>
        </is>
      </c>
    </row>
    <row r="673">
      <c r="A673" s="10" t="inlineStr">
        <is>
          <t>Renault Twingo 1 découvrable</t>
        </is>
      </c>
      <c r="B673" s="10" t="inlineStr">
        <is>
          <t>Twingo 16v de 2002</t>
        </is>
      </c>
      <c r="C673" s="10" t="n"/>
      <c r="D673" s="10" t="n"/>
      <c r="E673" s="10" t="inlineStr">
        <is>
          <t>En vente</t>
        </is>
      </c>
      <c r="F673" s="18" t="n">
        <v>46303</v>
      </c>
      <c r="G673" s="18" t="n">
        <v>46303</v>
      </c>
      <c r="H673" s="18" t="n">
        <v>46310</v>
      </c>
      <c r="I673" s="18" t="n"/>
      <c r="J673" s="17">
        <f>IF(OR(ISNUMBER(F673),ISNUMBER(G673)),IF(ISNUMBER(I673),I673,H673)-IF(ISNUMBER(F673),F673,G673),"")</f>
        <v/>
      </c>
      <c r="K673" s="12" t="n">
        <v>2400</v>
      </c>
      <c r="L673" s="12" t="n">
        <v>2400</v>
      </c>
      <c r="M673" s="13">
        <f>IF(AND(ISNUMBER(K673),ISNUMBER(L673),K673&gt;0),1-L673/K673,"")</f>
        <v/>
      </c>
      <c r="N673" s="16" t="n">
        <v>0</v>
      </c>
      <c r="O673" s="12" t="n"/>
      <c r="P673" s="12" t="n"/>
      <c r="Q673" s="12" t="n"/>
      <c r="R673" s="14">
        <f>IF(AND(ISNUMBER(L673),ISNUMBER(P673),ISNUMBER(Q673)),L673/((P673+Q673)/2)-1,"")</f>
        <v/>
      </c>
      <c r="S673" s="10" t="n"/>
      <c r="T673" s="15" t="n">
        <v>250000</v>
      </c>
      <c r="U673" s="16" t="n">
        <v>2002</v>
      </c>
      <c r="V673" s="10" t="inlineStr">
        <is>
          <t>09/2002</t>
        </is>
      </c>
      <c r="W673" s="10" t="inlineStr">
        <is>
          <t>Essence</t>
        </is>
      </c>
      <c r="X673" s="10" t="inlineStr">
        <is>
          <t>Manuelle</t>
        </is>
      </c>
      <c r="Y673" s="16" t="n">
        <v>75</v>
      </c>
      <c r="Z673" s="16" t="n">
        <v>5</v>
      </c>
      <c r="AA673" s="10" t="inlineStr">
        <is>
          <t>Autre</t>
        </is>
      </c>
      <c r="AB673" s="16" t="n">
        <v>3</v>
      </c>
      <c r="AC673" s="10" t="inlineStr">
        <is>
          <t>Berline</t>
        </is>
      </c>
      <c r="AD673" s="10" t="n"/>
      <c r="AE673" s="10" t="n"/>
      <c r="AF673" s="10" t="inlineStr">
        <is>
          <t>Particulier</t>
        </is>
      </c>
      <c r="AG673" s="10" t="inlineStr">
        <is>
          <t>Pauvres</t>
        </is>
      </c>
      <c r="AH673" s="10" t="inlineStr">
        <is>
          <t>08310</t>
        </is>
      </c>
      <c r="AI673" s="10" t="inlineStr">
        <is>
          <t>Ardennes</t>
        </is>
      </c>
      <c r="AJ673" s="10" t="inlineStr">
        <is>
          <t>Champagne-Ardenne</t>
        </is>
      </c>
      <c r="AK673" s="16" t="n">
        <v>3</v>
      </c>
      <c r="AL673" s="10" t="n"/>
      <c r="AM673" s="10" t="inlineStr">
        <is>
          <t>Non</t>
        </is>
      </c>
      <c r="AN673" s="10" t="inlineStr">
        <is>
          <t>Vend twingo 16v de 2002 . Entretiens réalisés kit distribution vidanges moteur et boîte. Réfection du train avant. Quelques bosses mais carrosserie très saine.. Toutes options sauf climatisation. Toit ouvrant en bon état et fonctionnel.</t>
        </is>
      </c>
      <c r="AO673" s="10" t="inlineStr">
        <is>
          <t>Permis : Avec permis ; Importé : false</t>
        </is>
      </c>
      <c r="AP673" s="19" t="inlineStr">
        <is>
          <t>Voir</t>
        </is>
      </c>
      <c r="AQ673" s="10" t="inlineStr">
        <is>
          <t>3284375384</t>
        </is>
      </c>
    </row>
    <row r="674">
      <c r="A674" s="10" t="inlineStr">
        <is>
          <t>Renault Twingo 1 découvrable</t>
        </is>
      </c>
      <c r="B674" s="10" t="inlineStr">
        <is>
          <t>Belle twingo 1.2 99 boite auto pack 122000 kms garanti reprise possible</t>
        </is>
      </c>
      <c r="C674" s="10" t="inlineStr">
        <is>
          <t>Twingo 1.2 60ch Initiale BVA</t>
        </is>
      </c>
      <c r="D674" s="10" t="inlineStr">
        <is>
          <t>Initiale</t>
        </is>
      </c>
      <c r="E674" s="10" t="inlineStr">
        <is>
          <t>En vente</t>
        </is>
      </c>
      <c r="F674" s="18" t="n">
        <v>46304</v>
      </c>
      <c r="G674" s="18" t="n">
        <v>46304</v>
      </c>
      <c r="H674" s="18" t="n">
        <v>46310</v>
      </c>
      <c r="I674" s="18" t="n"/>
      <c r="J674" s="17">
        <f>IF(OR(ISNUMBER(F674),ISNUMBER(G674)),IF(ISNUMBER(I674),I674,H674)-IF(ISNUMBER(F674),F674,G674),"")</f>
        <v/>
      </c>
      <c r="K674" s="12" t="n">
        <v>3200</v>
      </c>
      <c r="L674" s="12" t="n">
        <v>3200</v>
      </c>
      <c r="M674" s="13">
        <f>IF(AND(ISNUMBER(K674),ISNUMBER(L674),K674&gt;0),1-L674/K674,"")</f>
        <v/>
      </c>
      <c r="N674" s="16" t="n">
        <v>0</v>
      </c>
      <c r="O674" s="12" t="n"/>
      <c r="P674" s="12" t="n"/>
      <c r="Q674" s="12" t="n"/>
      <c r="R674" s="14">
        <f>IF(AND(ISNUMBER(L674),ISNUMBER(P674),ISNUMBER(Q674)),L674/((P674+Q674)/2)-1,"")</f>
        <v/>
      </c>
      <c r="S674" s="10" t="n"/>
      <c r="T674" s="15" t="n">
        <v>122000</v>
      </c>
      <c r="U674" s="16" t="n">
        <v>1998</v>
      </c>
      <c r="V674" s="10" t="inlineStr">
        <is>
          <t>11/1998</t>
        </is>
      </c>
      <c r="W674" s="10" t="inlineStr">
        <is>
          <t>Essence</t>
        </is>
      </c>
      <c r="X674" s="10" t="inlineStr">
        <is>
          <t>Automatique</t>
        </is>
      </c>
      <c r="Y674" s="16" t="n">
        <v>58</v>
      </c>
      <c r="Z674" s="16" t="n">
        <v>5</v>
      </c>
      <c r="AA674" s="10" t="inlineStr">
        <is>
          <t>Bleu</t>
        </is>
      </c>
      <c r="AB674" s="16" t="n">
        <v>3</v>
      </c>
      <c r="AC674" s="10" t="inlineStr">
        <is>
          <t>Berline</t>
        </is>
      </c>
      <c r="AD674" s="10" t="inlineStr">
        <is>
          <t>Carnet d'entretien disponible, Factures disponibles, Véhicule non fumeur, Réparations utiles déjà faites</t>
        </is>
      </c>
      <c r="AE674" s="10" t="inlineStr">
        <is>
          <t>Première main</t>
        </is>
      </c>
      <c r="AF674" s="10" t="inlineStr">
        <is>
          <t>Pro</t>
        </is>
      </c>
      <c r="AG674" s="10" t="inlineStr">
        <is>
          <t>Marly</t>
        </is>
      </c>
      <c r="AH674" s="10" t="inlineStr">
        <is>
          <t>57155</t>
        </is>
      </c>
      <c r="AI674" s="10" t="inlineStr">
        <is>
          <t>Moselle</t>
        </is>
      </c>
      <c r="AJ674" s="10" t="inlineStr">
        <is>
          <t>Lorraine</t>
        </is>
      </c>
      <c r="AK674" s="16" t="n">
        <v>5</v>
      </c>
      <c r="AL674" s="10" t="n"/>
      <c r="AM674" s="10" t="inlineStr">
        <is>
          <t>Non</t>
        </is>
      </c>
      <c r="AN674" s="10" t="inlineStr">
        <is>
          <t>BELLE RENAULT TWINGO 1.2 99 BOITE AUTO PACK VE FC DA AIRB TOIT OUVRANT 122000 KMS FACTURES ENRETIEN CT OK PARFAIT ETAT PRIX 3200 EUROS GARANTI REPRISE POSSIBLE GILAUTO 26 RUE DES GARENNES 57155 MARLY</t>
        </is>
      </c>
      <c r="AO674" s="10" t="inlineStr">
        <is>
          <t>Dommages : Excellent état (proche du neuf) ; Sellerie : Tissu ; Permis : Avec permis ; VO récent : false ; Importé : false ; vehicle_history_report_status : visible ; vehicle_history_teaser_critair : 3 ; vehicle_history_teaser_owners : 1 ; vehicle_history_teaser_expertises : false ; vehicle_history_teaser_special_uses : false ; vehicle_history_teaser_atypical_operations : false ; vehicle_history_teaser_importations : false ; spare_parts_availability : Non renseignée</t>
        </is>
      </c>
      <c r="AP674" s="19" t="inlineStr">
        <is>
          <t>Voir</t>
        </is>
      </c>
      <c r="AQ674" s="10" t="inlineStr">
        <is>
          <t>3284985731</t>
        </is>
      </c>
    </row>
    <row r="675">
      <c r="A675" s="10" t="inlineStr">
        <is>
          <t>Renault Twingo 1 découvrable</t>
        </is>
      </c>
      <c r="B675" s="10" t="inlineStr">
        <is>
          <t>Twingo 1.2 hélios toit ouvrant</t>
        </is>
      </c>
      <c r="C675" s="10" t="n"/>
      <c r="D675" s="10" t="n"/>
      <c r="E675" s="10" t="inlineStr">
        <is>
          <t>En vente</t>
        </is>
      </c>
      <c r="F675" s="18" t="n">
        <v>46304</v>
      </c>
      <c r="G675" s="18" t="n">
        <v>46304</v>
      </c>
      <c r="H675" s="18" t="n">
        <v>46310</v>
      </c>
      <c r="I675" s="18" t="n"/>
      <c r="J675" s="17">
        <f>IF(OR(ISNUMBER(F675),ISNUMBER(G675)),IF(ISNUMBER(I675),I675,H675)-IF(ISNUMBER(F675),F675,G675),"")</f>
        <v/>
      </c>
      <c r="K675" s="12" t="n">
        <v>2200</v>
      </c>
      <c r="L675" s="12" t="n">
        <v>2200</v>
      </c>
      <c r="M675" s="13">
        <f>IF(AND(ISNUMBER(K675),ISNUMBER(L675),K675&gt;0),1-L675/K675,"")</f>
        <v/>
      </c>
      <c r="N675" s="16" t="n">
        <v>0</v>
      </c>
      <c r="O675" s="12" t="n"/>
      <c r="P675" s="12" t="n"/>
      <c r="Q675" s="12" t="n"/>
      <c r="R675" s="14">
        <f>IF(AND(ISNUMBER(L675),ISNUMBER(P675),ISNUMBER(Q675)),L675/((P675+Q675)/2)-1,"")</f>
        <v/>
      </c>
      <c r="S675" s="10" t="n"/>
      <c r="T675" s="15" t="n">
        <v>186000</v>
      </c>
      <c r="U675" s="16" t="n">
        <v>2000</v>
      </c>
      <c r="V675" s="10" t="inlineStr">
        <is>
          <t>04/2000</t>
        </is>
      </c>
      <c r="W675" s="10" t="inlineStr">
        <is>
          <t>Essence</t>
        </is>
      </c>
      <c r="X675" s="10" t="inlineStr">
        <is>
          <t>Manuelle</t>
        </is>
      </c>
      <c r="Y675" s="16" t="n">
        <v>60</v>
      </c>
      <c r="Z675" s="16" t="n">
        <v>4</v>
      </c>
      <c r="AA675" s="10" t="inlineStr">
        <is>
          <t>Jaune</t>
        </is>
      </c>
      <c r="AB675" s="16" t="n">
        <v>3</v>
      </c>
      <c r="AC675" s="10" t="inlineStr">
        <is>
          <t>Berline</t>
        </is>
      </c>
      <c r="AD675" s="10" t="inlineStr">
        <is>
          <t>Factures disponibles, Réparations utiles déjà faites</t>
        </is>
      </c>
      <c r="AE675" s="10" t="n"/>
      <c r="AF675" s="10" t="inlineStr">
        <is>
          <t>Particulier</t>
        </is>
      </c>
      <c r="AG675" s="10" t="inlineStr">
        <is>
          <t>Meaux</t>
        </is>
      </c>
      <c r="AH675" s="10" t="inlineStr">
        <is>
          <t>77100</t>
        </is>
      </c>
      <c r="AI675" s="10" t="inlineStr">
        <is>
          <t>Seine-et-Marne</t>
        </is>
      </c>
      <c r="AJ675" s="10" t="inlineStr">
        <is>
          <t>Ile-de-France</t>
        </is>
      </c>
      <c r="AK675" s="16" t="n">
        <v>3</v>
      </c>
      <c r="AL675" s="10" t="n"/>
      <c r="AM675" s="10" t="inlineStr">
        <is>
          <t>Non</t>
        </is>
      </c>
      <c r="AN675" s="10" t="inlineStr">
        <is>
          <t>Twingo 1.2 60 cv hélios Toit ouvrant électrique Fermeture centralisé 3 clés avec le véhicule Même propriétaire depuis 2018 Plusieurs factures Distribution Embrayage fait Le moteur a été changer facture dispo Le vernis s’écaille un peu du à la couleur Propre dans l’ensemble Un collier d’échappement à prévoir</t>
        </is>
      </c>
      <c r="AO675" s="10" t="inlineStr">
        <is>
          <t>vehicle_technical_inspection_valid : Oui ; Dommages : Bon état général ; Sellerie : Tissu ; Équipements intérieurs : Toit ouvrant / Toit panoramique ; Permis : Avec permis ; Importé : false ; vehicle_history_report_status : visible</t>
        </is>
      </c>
      <c r="AP675" s="19" t="inlineStr">
        <is>
          <t>Voir</t>
        </is>
      </c>
      <c r="AQ675" s="10" t="inlineStr">
        <is>
          <t>3285167114</t>
        </is>
      </c>
    </row>
    <row r="676">
      <c r="A676" s="10" t="inlineStr">
        <is>
          <t>Renault Twingo 1 découvrable</t>
        </is>
      </c>
      <c r="B676" s="10" t="inlineStr">
        <is>
          <t>Twingo toit ouvrant électrique</t>
        </is>
      </c>
      <c r="C676" s="10" t="n"/>
      <c r="D676" s="10" t="n"/>
      <c r="E676" s="10" t="inlineStr">
        <is>
          <t>En vente</t>
        </is>
      </c>
      <c r="F676" s="18" t="n">
        <v>46304</v>
      </c>
      <c r="G676" s="18" t="n">
        <v>46304</v>
      </c>
      <c r="H676" s="18" t="n">
        <v>46310</v>
      </c>
      <c r="I676" s="18" t="n"/>
      <c r="J676" s="17">
        <f>IF(OR(ISNUMBER(F676),ISNUMBER(G676)),IF(ISNUMBER(I676),I676,H676)-IF(ISNUMBER(F676),F676,G676),"")</f>
        <v/>
      </c>
      <c r="K676" s="12" t="n">
        <v>2990</v>
      </c>
      <c r="L676" s="12" t="n">
        <v>2990</v>
      </c>
      <c r="M676" s="13">
        <f>IF(AND(ISNUMBER(K676),ISNUMBER(L676),K676&gt;0),1-L676/K676,"")</f>
        <v/>
      </c>
      <c r="N676" s="16" t="n">
        <v>0</v>
      </c>
      <c r="O676" s="12" t="n"/>
      <c r="P676" s="12" t="n"/>
      <c r="Q676" s="12" t="n"/>
      <c r="R676" s="14">
        <f>IF(AND(ISNUMBER(L676),ISNUMBER(P676),ISNUMBER(Q676)),L676/((P676+Q676)/2)-1,"")</f>
        <v/>
      </c>
      <c r="S676" s="10" t="n"/>
      <c r="T676" s="15" t="n">
        <v>190000</v>
      </c>
      <c r="U676" s="16" t="n">
        <v>1999</v>
      </c>
      <c r="V676" s="10" t="inlineStr">
        <is>
          <t>10/1999</t>
        </is>
      </c>
      <c r="W676" s="10" t="inlineStr">
        <is>
          <t>Essence</t>
        </is>
      </c>
      <c r="X676" s="10" t="inlineStr">
        <is>
          <t>Manuelle</t>
        </is>
      </c>
      <c r="Y676" s="16" t="n">
        <v>60</v>
      </c>
      <c r="Z676" s="16" t="n">
        <v>4</v>
      </c>
      <c r="AA676" s="10" t="inlineStr">
        <is>
          <t>Autre</t>
        </is>
      </c>
      <c r="AB676" s="16" t="n">
        <v>3</v>
      </c>
      <c r="AC676" s="10" t="inlineStr">
        <is>
          <t>Berline</t>
        </is>
      </c>
      <c r="AD676" s="10" t="n"/>
      <c r="AE676" s="10" t="n"/>
      <c r="AF676" s="10" t="inlineStr">
        <is>
          <t>Particulier</t>
        </is>
      </c>
      <c r="AG676" s="10" t="inlineStr">
        <is>
          <t>Saint-Nabord</t>
        </is>
      </c>
      <c r="AH676" s="10" t="inlineStr">
        <is>
          <t>88200</t>
        </is>
      </c>
      <c r="AI676" s="10" t="inlineStr">
        <is>
          <t>Vosges</t>
        </is>
      </c>
      <c r="AJ676" s="10" t="inlineStr">
        <is>
          <t>Lorraine</t>
        </is>
      </c>
      <c r="AK676" s="16" t="n">
        <v>3</v>
      </c>
      <c r="AL676" s="10" t="n"/>
      <c r="AM676" s="10" t="inlineStr">
        <is>
          <t>Non</t>
        </is>
      </c>
      <c r="AN676" s="10" t="inlineStr">
        <is>
          <t>À vendre Twingo 1 Phase 2 1.2i 60chv. Année 1999 , 190000 km au compteur. Viens d’être fait : Courroie de distribution, pompe à eau, freinage, vidange tout les filtres. Véhicule révisé, prêt à partir Rien à prévoir, aucun soucis mécanique. N’hésiter pas à me contacter pour plus d’informations ou pour convenir d’un essai. Véhicule visible 1 rue de la papeterie 88200 saint Nabord.</t>
        </is>
      </c>
      <c r="AO676" s="10" t="inlineStr">
        <is>
          <t>Permis : Avec permis ; Importé : false</t>
        </is>
      </c>
      <c r="AP676" s="19" t="inlineStr">
        <is>
          <t>Voir</t>
        </is>
      </c>
      <c r="AQ676" s="10" t="inlineStr">
        <is>
          <t>3285168601</t>
        </is>
      </c>
    </row>
    <row r="677">
      <c r="A677" s="10" t="inlineStr">
        <is>
          <t>Renault Twingo 1 découvrable</t>
        </is>
      </c>
      <c r="B677" s="10" t="inlineStr">
        <is>
          <t>Twingo 1.2 16 V initiale toit ouvrant,cuir</t>
        </is>
      </c>
      <c r="C677" s="10" t="n"/>
      <c r="D677" s="10" t="n"/>
      <c r="E677" s="10" t="inlineStr">
        <is>
          <t>En vente</t>
        </is>
      </c>
      <c r="F677" s="18" t="n">
        <v>46307</v>
      </c>
      <c r="G677" s="18" t="n">
        <v>46307</v>
      </c>
      <c r="H677" s="18" t="n">
        <v>46310</v>
      </c>
      <c r="I677" s="18" t="n"/>
      <c r="J677" s="17">
        <f>IF(OR(ISNUMBER(F677),ISNUMBER(G677)),IF(ISNUMBER(I677),I677,H677)-IF(ISNUMBER(F677),F677,G677),"")</f>
        <v/>
      </c>
      <c r="K677" s="12" t="n">
        <v>4990</v>
      </c>
      <c r="L677" s="12" t="n">
        <v>4990</v>
      </c>
      <c r="M677" s="13">
        <f>IF(AND(ISNUMBER(K677),ISNUMBER(L677),K677&gt;0),1-L677/K677,"")</f>
        <v/>
      </c>
      <c r="N677" s="16" t="n">
        <v>0</v>
      </c>
      <c r="O677" s="12" t="n"/>
      <c r="P677" s="12" t="n"/>
      <c r="Q677" s="12" t="n"/>
      <c r="R677" s="14">
        <f>IF(AND(ISNUMBER(L677),ISNUMBER(P677),ISNUMBER(Q677)),L677/((P677+Q677)/2)-1,"")</f>
        <v/>
      </c>
      <c r="S677" s="10" t="n"/>
      <c r="T677" s="15" t="n">
        <v>157500</v>
      </c>
      <c r="U677" s="16" t="n">
        <v>2002</v>
      </c>
      <c r="V677" s="10" t="inlineStr">
        <is>
          <t>07/2002</t>
        </is>
      </c>
      <c r="W677" s="10" t="inlineStr">
        <is>
          <t>Essence</t>
        </is>
      </c>
      <c r="X677" s="10" t="inlineStr">
        <is>
          <t>Manuelle</t>
        </is>
      </c>
      <c r="Y677" s="16" t="n">
        <v>75</v>
      </c>
      <c r="Z677" s="16" t="n"/>
      <c r="AA677" s="10" t="inlineStr">
        <is>
          <t>Beige</t>
        </is>
      </c>
      <c r="AB677" s="16" t="n">
        <v>3</v>
      </c>
      <c r="AC677" s="10" t="inlineStr">
        <is>
          <t>Citadine</t>
        </is>
      </c>
      <c r="AD677" s="10" t="inlineStr">
        <is>
          <t>Carnet d'entretien disponible, Factures disponibles</t>
        </is>
      </c>
      <c r="AE677" s="10" t="inlineStr">
        <is>
          <t>Première main, Véhicule importé</t>
        </is>
      </c>
      <c r="AF677" s="10" t="inlineStr">
        <is>
          <t>Particulier</t>
        </is>
      </c>
      <c r="AG677" s="10" t="inlineStr">
        <is>
          <t>Cranves-Sales</t>
        </is>
      </c>
      <c r="AH677" s="10" t="inlineStr">
        <is>
          <t>74380</t>
        </is>
      </c>
      <c r="AI677" s="10" t="inlineStr">
        <is>
          <t>Haute-Savoie</t>
        </is>
      </c>
      <c r="AJ677" s="10" t="inlineStr">
        <is>
          <t>Rhône-Alpes</t>
        </is>
      </c>
      <c r="AK677" s="16" t="n">
        <v>1</v>
      </c>
      <c r="AL677" s="10" t="n"/>
      <c r="AM677" s="10" t="inlineStr">
        <is>
          <t>Non</t>
        </is>
      </c>
      <c r="AN677" s="10" t="inlineStr">
        <is>
          <t>Bonjour Vend twingo 1.2 16v 75 ch initiale 07/2002 avec 157.500 km originale Options ABS Climatisation Direction assistée Airbag Vitre électrique Sièges en cuir Toit ouvrant Véhicule est très propre Carnet entretien disponible Contrôle technique sera passe avant la vente Pour plus d’informations n’hésitez pas me contacter…</t>
        </is>
      </c>
      <c r="AO677" s="10" t="inlineStr">
        <is>
          <t>vehicle_technical_inspection_valid : Non ; Dommages : Traces d’usure normales ; Sellerie : Tout cuir ; Équipements intérieurs : Climatisation, Jantes en alliage, Phares anti-brouillard, Roue de secours, Siège arrière rabattable, Siège réglable en hauteur, Sièges arrières coulissants, Sièges en cuir, Toit ouvrant / Toit panoramique ; Permis : Avec permis ; Importé : false</t>
        </is>
      </c>
      <c r="AP677" s="19" t="inlineStr">
        <is>
          <t>Voir</t>
        </is>
      </c>
      <c r="AQ677" s="10" t="inlineStr">
        <is>
          <t>3285782305</t>
        </is>
      </c>
    </row>
    <row r="678">
      <c r="A678" s="10" t="inlineStr">
        <is>
          <t>Renault Twingo 1 découvrable</t>
        </is>
      </c>
      <c r="B678" s="10" t="inlineStr">
        <is>
          <t>Twingo 1 1,2 essence toit ouvrant</t>
        </is>
      </c>
      <c r="C678" s="10" t="n"/>
      <c r="D678" s="10" t="n"/>
      <c r="E678" s="10" t="inlineStr">
        <is>
          <t>En vente</t>
        </is>
      </c>
      <c r="F678" s="18" t="n">
        <v>46305</v>
      </c>
      <c r="G678" s="18" t="n">
        <v>46305</v>
      </c>
      <c r="H678" s="18" t="n">
        <v>46310</v>
      </c>
      <c r="I678" s="18" t="n"/>
      <c r="J678" s="17">
        <f>IF(OR(ISNUMBER(F678),ISNUMBER(G678)),IF(ISNUMBER(I678),I678,H678)-IF(ISNUMBER(F678),F678,G678),"")</f>
        <v/>
      </c>
      <c r="K678" s="12" t="n">
        <v>1900</v>
      </c>
      <c r="L678" s="12" t="n">
        <v>1900</v>
      </c>
      <c r="M678" s="13">
        <f>IF(AND(ISNUMBER(K678),ISNUMBER(L678),K678&gt;0),1-L678/K678,"")</f>
        <v/>
      </c>
      <c r="N678" s="16" t="n">
        <v>0</v>
      </c>
      <c r="O678" s="12" t="n"/>
      <c r="P678" s="12" t="n"/>
      <c r="Q678" s="12" t="n"/>
      <c r="R678" s="14">
        <f>IF(AND(ISNUMBER(L678),ISNUMBER(P678),ISNUMBER(Q678)),L678/((P678+Q678)/2)-1,"")</f>
        <v/>
      </c>
      <c r="S678" s="10" t="n"/>
      <c r="T678" s="15" t="n">
        <v>211300</v>
      </c>
      <c r="U678" s="16" t="n">
        <v>1996</v>
      </c>
      <c r="V678" s="10" t="inlineStr">
        <is>
          <t>07/1996</t>
        </is>
      </c>
      <c r="W678" s="10" t="inlineStr">
        <is>
          <t>Essence</t>
        </is>
      </c>
      <c r="X678" s="10" t="inlineStr">
        <is>
          <t>Manuelle</t>
        </is>
      </c>
      <c r="Y678" s="16" t="n">
        <v>55</v>
      </c>
      <c r="Z678" s="16" t="n">
        <v>5</v>
      </c>
      <c r="AA678" s="10" t="inlineStr">
        <is>
          <t>Autre</t>
        </is>
      </c>
      <c r="AB678" s="16" t="n">
        <v>3</v>
      </c>
      <c r="AC678" s="10" t="inlineStr">
        <is>
          <t>Berline</t>
        </is>
      </c>
      <c r="AD678" s="10" t="n"/>
      <c r="AE678" s="10" t="n"/>
      <c r="AF678" s="10" t="inlineStr">
        <is>
          <t>Particulier</t>
        </is>
      </c>
      <c r="AG678" s="10" t="inlineStr">
        <is>
          <t>Montauban</t>
        </is>
      </c>
      <c r="AH678" s="10" t="inlineStr">
        <is>
          <t>82000</t>
        </is>
      </c>
      <c r="AI678" s="10" t="inlineStr">
        <is>
          <t>Tarn-et-Garonne</t>
        </is>
      </c>
      <c r="AJ678" s="10" t="inlineStr">
        <is>
          <t>Midi-Pyrénées</t>
        </is>
      </c>
      <c r="AK678" s="16" t="n">
        <v>3</v>
      </c>
      <c r="AL678" s="10" t="n"/>
      <c r="AM678" s="10" t="inlineStr">
        <is>
          <t>Non</t>
        </is>
      </c>
      <c r="AN678" s="10" t="inlineStr">
        <is>
          <t xml:space="preserve">Renault Twingo 1 – 1996 – 211 300 km Je mets en vente ma Renault Twingo prête à rouler, pneus et freins en très bon état Contrôle Technique ok ✅ Moteur essence avec distribution par chaîne ✅ Toit ouvrant étanche ✅ Contrôle technique OK ✅ Tous les consommables sont en bon état ✅ Démarre très bien ✅ Roule sans souci, prête à prendre la route Défauts : quelques défauts esthétiques au niveau de la carrosserie, visibles sur les photos. La voiture fonctionne bien et reste une petite citadine pratique </t>
        </is>
      </c>
      <c r="AO678" s="10" t="inlineStr">
        <is>
          <t>vehicle_technical_inspection_valid : Oui ; Contrôle technique : 2027 ; Permis : Avec permis ; Importé : false</t>
        </is>
      </c>
      <c r="AP678" s="19" t="inlineStr">
        <is>
          <t>Voir</t>
        </is>
      </c>
      <c r="AQ678" s="10" t="inlineStr">
        <is>
          <t>3285996576</t>
        </is>
      </c>
    </row>
    <row r="679">
      <c r="A679" s="10" t="inlineStr">
        <is>
          <t>Renault Twingo 1 découvrable</t>
        </is>
      </c>
      <c r="B679" s="10" t="inlineStr">
        <is>
          <t>Twingo 1</t>
        </is>
      </c>
      <c r="C679" s="10" t="n"/>
      <c r="D679" s="10" t="n"/>
      <c r="E679" s="10" t="inlineStr">
        <is>
          <t>En vente</t>
        </is>
      </c>
      <c r="F679" s="18" t="n">
        <v>46306</v>
      </c>
      <c r="G679" s="18" t="n">
        <v>46306</v>
      </c>
      <c r="H679" s="18" t="n">
        <v>46310</v>
      </c>
      <c r="I679" s="18" t="n"/>
      <c r="J679" s="17">
        <f>IF(OR(ISNUMBER(F679),ISNUMBER(G679)),IF(ISNUMBER(I679),I679,H679)-IF(ISNUMBER(F679),F679,G679),"")</f>
        <v/>
      </c>
      <c r="K679" s="12" t="n">
        <v>3500</v>
      </c>
      <c r="L679" s="12" t="n">
        <v>3500</v>
      </c>
      <c r="M679" s="13">
        <f>IF(AND(ISNUMBER(K679),ISNUMBER(L679),K679&gt;0),1-L679/K679,"")</f>
        <v/>
      </c>
      <c r="N679" s="16" t="n">
        <v>0</v>
      </c>
      <c r="O679" s="12" t="n"/>
      <c r="P679" s="12" t="n"/>
      <c r="Q679" s="12" t="n"/>
      <c r="R679" s="14">
        <f>IF(AND(ISNUMBER(L679),ISNUMBER(P679),ISNUMBER(Q679)),L679/((P679+Q679)/2)-1,"")</f>
        <v/>
      </c>
      <c r="S679" s="10" t="n"/>
      <c r="T679" s="15" t="n">
        <v>178000</v>
      </c>
      <c r="U679" s="16" t="n">
        <v>2002</v>
      </c>
      <c r="V679" s="10" t="inlineStr">
        <is>
          <t>03/2002</t>
        </is>
      </c>
      <c r="W679" s="10" t="inlineStr">
        <is>
          <t>Essence</t>
        </is>
      </c>
      <c r="X679" s="10" t="inlineStr">
        <is>
          <t>Automatique</t>
        </is>
      </c>
      <c r="Y679" s="16" t="n">
        <v>75</v>
      </c>
      <c r="Z679" s="16" t="n">
        <v>5</v>
      </c>
      <c r="AA679" s="10" t="inlineStr">
        <is>
          <t>Autre</t>
        </is>
      </c>
      <c r="AB679" s="16" t="n">
        <v>3</v>
      </c>
      <c r="AC679" s="10" t="inlineStr">
        <is>
          <t>Berline</t>
        </is>
      </c>
      <c r="AD679" s="10" t="inlineStr">
        <is>
          <t>Factures disponibles, Carnet d'entretien disponible, Véhicule non fumeur</t>
        </is>
      </c>
      <c r="AE679" s="10" t="n"/>
      <c r="AF679" s="10" t="inlineStr">
        <is>
          <t>Particulier</t>
        </is>
      </c>
      <c r="AG679" s="10" t="inlineStr">
        <is>
          <t>Pont-à-Mousson</t>
        </is>
      </c>
      <c r="AH679" s="10" t="inlineStr">
        <is>
          <t>54700</t>
        </is>
      </c>
      <c r="AI679" s="10" t="inlineStr">
        <is>
          <t>Meurthe-et-Moselle</t>
        </is>
      </c>
      <c r="AJ679" s="10" t="inlineStr">
        <is>
          <t>Lorraine</t>
        </is>
      </c>
      <c r="AK679" s="16" t="n">
        <v>3</v>
      </c>
      <c r="AL679" s="10" t="n"/>
      <c r="AM679" s="10" t="inlineStr">
        <is>
          <t>Non</t>
        </is>
      </c>
      <c r="AN679" s="10" t="inlineStr">
        <is>
          <t>À vendre Renault Twingo 1 16v 75 ch Quickshift – 178 000 km Je vends ma Renault Twingo 1 équipée de la boîte robotisée Quickshift, affichant 178 000 km. Véhicule avec historique connu, seulement 3 propriétaires depuis sa mise en circulation. Équipements : - Toit ouvrant panoramique - Climatisation - Vitres électriques - Verrouillage centralisé Entretien et frais récents : - Distribution remplacée l’année dernière - Entretien effectué, amortisseurs avant et 4 pneus neufs remplacés en début d’anné</t>
        </is>
      </c>
      <c r="AO679" s="10" t="inlineStr">
        <is>
          <t>vehicle_technical_inspection_valid : Oui ; Permis : Avec permis ; Importé : false ; vehicle_history_report_status : visible</t>
        </is>
      </c>
      <c r="AP679" s="19" t="inlineStr">
        <is>
          <t>Voir</t>
        </is>
      </c>
      <c r="AQ679" s="10" t="inlineStr">
        <is>
          <t>3286579626</t>
        </is>
      </c>
    </row>
    <row r="680">
      <c r="A680" s="10" t="inlineStr">
        <is>
          <t>Renault Twingo 1 découvrable</t>
        </is>
      </c>
      <c r="B680" s="10" t="inlineStr">
        <is>
          <t>Twingo 1</t>
        </is>
      </c>
      <c r="C680" s="10" t="n"/>
      <c r="D680" s="10" t="n"/>
      <c r="E680" s="10" t="inlineStr">
        <is>
          <t>En vente</t>
        </is>
      </c>
      <c r="F680" s="18" t="n">
        <v>46307</v>
      </c>
      <c r="G680" s="18" t="n">
        <v>46307</v>
      </c>
      <c r="H680" s="18" t="n">
        <v>46310</v>
      </c>
      <c r="I680" s="18" t="n"/>
      <c r="J680" s="17">
        <f>IF(OR(ISNUMBER(F680),ISNUMBER(G680)),IF(ISNUMBER(I680),I680,H680)-IF(ISNUMBER(F680),F680,G680),"")</f>
        <v/>
      </c>
      <c r="K680" s="12" t="n">
        <v>2500</v>
      </c>
      <c r="L680" s="12" t="n">
        <v>2500</v>
      </c>
      <c r="M680" s="13">
        <f>IF(AND(ISNUMBER(K680),ISNUMBER(L680),K680&gt;0),1-L680/K680,"")</f>
        <v/>
      </c>
      <c r="N680" s="16" t="n">
        <v>0</v>
      </c>
      <c r="O680" s="12" t="n"/>
      <c r="P680" s="12" t="n"/>
      <c r="Q680" s="12" t="n"/>
      <c r="R680" s="14">
        <f>IF(AND(ISNUMBER(L680),ISNUMBER(P680),ISNUMBER(Q680)),L680/((P680+Q680)/2)-1,"")</f>
        <v/>
      </c>
      <c r="S680" s="10" t="n"/>
      <c r="T680" s="15" t="n">
        <v>204000</v>
      </c>
      <c r="U680" s="16" t="n">
        <v>2005</v>
      </c>
      <c r="V680" s="10" t="inlineStr">
        <is>
          <t>06/2005</t>
        </is>
      </c>
      <c r="W680" s="10" t="inlineStr">
        <is>
          <t>Essence</t>
        </is>
      </c>
      <c r="X680" s="10" t="inlineStr">
        <is>
          <t>Manuelle</t>
        </is>
      </c>
      <c r="Y680" s="16" t="n">
        <v>60</v>
      </c>
      <c r="Z680" s="16" t="n">
        <v>4</v>
      </c>
      <c r="AA680" s="10" t="inlineStr">
        <is>
          <t>Gris</t>
        </is>
      </c>
      <c r="AB680" s="16" t="n">
        <v>3</v>
      </c>
      <c r="AC680" s="10" t="inlineStr">
        <is>
          <t>Berline</t>
        </is>
      </c>
      <c r="AD680" s="10" t="inlineStr">
        <is>
          <t>Factures disponibles, Véhicule non fumeur</t>
        </is>
      </c>
      <c r="AE680" s="10" t="inlineStr">
        <is>
          <t>Véhicule importé</t>
        </is>
      </c>
      <c r="AF680" s="10" t="inlineStr">
        <is>
          <t>Particulier</t>
        </is>
      </c>
      <c r="AG680" s="10" t="inlineStr">
        <is>
          <t>Tourcoing</t>
        </is>
      </c>
      <c r="AH680" s="10" t="inlineStr">
        <is>
          <t>59200</t>
        </is>
      </c>
      <c r="AI680" s="10" t="inlineStr">
        <is>
          <t>Nord</t>
        </is>
      </c>
      <c r="AJ680" s="10" t="inlineStr">
        <is>
          <t>Nord-Pas-de-Calais</t>
        </is>
      </c>
      <c r="AK680" s="16" t="n">
        <v>3</v>
      </c>
      <c r="AL680" s="10" t="n"/>
      <c r="AM680" s="10" t="inlineStr">
        <is>
          <t>Non</t>
        </is>
      </c>
      <c r="AN680" s="10" t="inlineStr">
        <is>
          <t>Renault Twingo 1.2 – 2005 – 2 500 € Vends Renault Twingo 1.2 de 2005, en bon état général pour son âge, avec plusieurs travaux d’entretien réalisés. - Toit ouvrant en verre, fonctionnel et parfaitement étanche, sans aucune infiltration. - Pneus changés récemment. - Vidange à jour. - Embrayage et boîte de vitesses remplacés. - Jantes en alliage. - Quelques défauts de carrosserie. - Un seul jeu de clés. - Contrôle technique fourni. Visible à Tourcoing. Contactez-moi pour plus d’informations ou pou</t>
        </is>
      </c>
      <c r="AO680" s="10" t="inlineStr">
        <is>
          <t>Dommages : Traces d’usure normales ; Sellerie : Tissu ; Équipements intérieurs : Jantes en alliage ; Permis : Avec permis ; Importé : false ; vehicle_history_teaser_critair : 2 ; vehicle_history_teaser_owners : 7 ; vehicle_history_teaser_expertises : false ; vehicle_history_teaser_special_uses : false ; vehicle_history_teaser_atypical_operations : true ; vehicle_history_teaser_importations : true</t>
        </is>
      </c>
      <c r="AP680" s="19" t="inlineStr">
        <is>
          <t>Voir</t>
        </is>
      </c>
      <c r="AQ680" s="10" t="inlineStr">
        <is>
          <t>3287201353</t>
        </is>
      </c>
    </row>
    <row r="681">
      <c r="A681" s="10" t="inlineStr">
        <is>
          <t>Renault Twingo 1 découvrable</t>
        </is>
      </c>
      <c r="B681" s="10" t="inlineStr">
        <is>
          <t>Renault Twingo 1 1,2i Open Air (toit ouvrant)</t>
        </is>
      </c>
      <c r="C681" s="10" t="n"/>
      <c r="D681" s="10" t="n"/>
      <c r="E681" s="10" t="inlineStr">
        <is>
          <t>En vente</t>
        </is>
      </c>
      <c r="F681" s="18" t="n">
        <v>46308</v>
      </c>
      <c r="G681" s="18" t="n">
        <v>46308</v>
      </c>
      <c r="H681" s="18" t="n">
        <v>46310</v>
      </c>
      <c r="I681" s="18" t="n"/>
      <c r="J681" s="17">
        <f>IF(OR(ISNUMBER(F681),ISNUMBER(G681)),IF(ISNUMBER(I681),I681,H681)-IF(ISNUMBER(F681),F681,G681),"")</f>
        <v/>
      </c>
      <c r="K681" s="12" t="n">
        <v>3700</v>
      </c>
      <c r="L681" s="12" t="n">
        <v>3700</v>
      </c>
      <c r="M681" s="13">
        <f>IF(AND(ISNUMBER(K681),ISNUMBER(L681),K681&gt;0),1-L681/K681,"")</f>
        <v/>
      </c>
      <c r="N681" s="16" t="n">
        <v>0</v>
      </c>
      <c r="O681" s="12" t="n"/>
      <c r="P681" s="12" t="n"/>
      <c r="Q681" s="12" t="n"/>
      <c r="R681" s="14">
        <f>IF(AND(ISNUMBER(L681),ISNUMBER(P681),ISNUMBER(Q681)),L681/((P681+Q681)/2)-1,"")</f>
        <v/>
      </c>
      <c r="S681" s="10" t="n"/>
      <c r="T681" s="15" t="n">
        <v>137000</v>
      </c>
      <c r="U681" s="16" t="n">
        <v>2004</v>
      </c>
      <c r="V681" s="10" t="inlineStr">
        <is>
          <t>02/2004</t>
        </is>
      </c>
      <c r="W681" s="10" t="inlineStr">
        <is>
          <t>Essence</t>
        </is>
      </c>
      <c r="X681" s="10" t="inlineStr">
        <is>
          <t>Manuelle</t>
        </is>
      </c>
      <c r="Y681" s="16" t="n">
        <v>60</v>
      </c>
      <c r="Z681" s="16" t="n">
        <v>4</v>
      </c>
      <c r="AA681" s="10" t="inlineStr">
        <is>
          <t>Autre</t>
        </is>
      </c>
      <c r="AB681" s="16" t="n">
        <v>3</v>
      </c>
      <c r="AC681" s="10" t="inlineStr">
        <is>
          <t>Berline</t>
        </is>
      </c>
      <c r="AD681" s="10" t="n"/>
      <c r="AE681" s="10" t="n"/>
      <c r="AF681" s="10" t="inlineStr">
        <is>
          <t>Particulier</t>
        </is>
      </c>
      <c r="AG681" s="10" t="inlineStr">
        <is>
          <t>Pluguffan</t>
        </is>
      </c>
      <c r="AH681" s="10" t="inlineStr">
        <is>
          <t>29700</t>
        </is>
      </c>
      <c r="AI681" s="10" t="inlineStr">
        <is>
          <t>Finistère</t>
        </is>
      </c>
      <c r="AJ681" s="10" t="inlineStr">
        <is>
          <t>Bretagne</t>
        </is>
      </c>
      <c r="AK681" s="16" t="n">
        <v>3</v>
      </c>
      <c r="AL681" s="10" t="n"/>
      <c r="AM681" s="10" t="inlineStr">
        <is>
          <t>Non</t>
        </is>
      </c>
      <c r="AN681" s="10" t="inlineStr">
        <is>
          <t>Vends Renault Twingo 1 1,2i 60cv Finition Open Air Toit ouvrant Le contrôle technique vient d’être passé Carte grise à jour La vidange vient d’être faite ainsi que le kit courroie de distribution. Rien à prévoir sur le véhicule Véhicule fiable, peu cher en entretien et assurance MERCI DE ME JOINDRE UNIQUEMENT PAR TÉLÉPHONE</t>
        </is>
      </c>
      <c r="AO681" s="10" t="inlineStr">
        <is>
          <t>Permis : Avec permis ; Importé : false</t>
        </is>
      </c>
      <c r="AP681" s="19" t="inlineStr">
        <is>
          <t>Voir</t>
        </is>
      </c>
      <c r="AQ681" s="10" t="inlineStr">
        <is>
          <t>3287724780</t>
        </is>
      </c>
    </row>
    <row r="682">
      <c r="A682" s="10" t="inlineStr">
        <is>
          <t>Renault Twingo 1 découvrable</t>
        </is>
      </c>
      <c r="B682" s="10" t="inlineStr">
        <is>
          <t>Renault Twingo Initiale Paris</t>
        </is>
      </c>
      <c r="C682" s="10" t="inlineStr">
        <is>
          <t>Initiale_Twingo 1.2 60ch Initiale BVA</t>
        </is>
      </c>
      <c r="D682" s="10" t="inlineStr">
        <is>
          <t>Initiale</t>
        </is>
      </c>
      <c r="E682" s="10" t="inlineStr">
        <is>
          <t>En vente</t>
        </is>
      </c>
      <c r="F682" s="18" t="n">
        <v>46309</v>
      </c>
      <c r="G682" s="18" t="n">
        <v>46309</v>
      </c>
      <c r="H682" s="18" t="n">
        <v>46310</v>
      </c>
      <c r="I682" s="18" t="n"/>
      <c r="J682" s="17">
        <f>IF(OR(ISNUMBER(F682),ISNUMBER(G682)),IF(ISNUMBER(I682),I682,H682)-IF(ISNUMBER(F682),F682,G682),"")</f>
        <v/>
      </c>
      <c r="K682" s="12" t="n">
        <v>3950</v>
      </c>
      <c r="L682" s="12" t="n">
        <v>3950</v>
      </c>
      <c r="M682" s="13">
        <f>IF(AND(ISNUMBER(K682),ISNUMBER(L682),K682&gt;0),1-L682/K682,"")</f>
        <v/>
      </c>
      <c r="N682" s="16" t="n">
        <v>0</v>
      </c>
      <c r="O682" s="12" t="n"/>
      <c r="P682" s="12" t="n"/>
      <c r="Q682" s="12" t="n"/>
      <c r="R682" s="14">
        <f>IF(AND(ISNUMBER(L682),ISNUMBER(P682),ISNUMBER(Q682)),L682/((P682+Q682)/2)-1,"")</f>
        <v/>
      </c>
      <c r="S682" s="10" t="n"/>
      <c r="T682" s="15" t="n">
        <v>145000</v>
      </c>
      <c r="U682" s="16" t="n">
        <v>2000</v>
      </c>
      <c r="V682" s="10" t="inlineStr">
        <is>
          <t>12/2000</t>
        </is>
      </c>
      <c r="W682" s="10" t="inlineStr">
        <is>
          <t>Essence</t>
        </is>
      </c>
      <c r="X682" s="10" t="inlineStr">
        <is>
          <t>Automatique</t>
        </is>
      </c>
      <c r="Y682" s="16" t="n">
        <v>75</v>
      </c>
      <c r="Z682" s="16" t="n">
        <v>5</v>
      </c>
      <c r="AA682" s="10" t="inlineStr">
        <is>
          <t>Autre</t>
        </is>
      </c>
      <c r="AB682" s="16" t="n">
        <v>3</v>
      </c>
      <c r="AC682" s="10" t="inlineStr">
        <is>
          <t>Berline</t>
        </is>
      </c>
      <c r="AD682" s="10" t="inlineStr">
        <is>
          <t>Carnet d'entretien disponible, Factures disponibles, Véhicule non fumeur, Réparations utiles déjà faites</t>
        </is>
      </c>
      <c r="AE682" s="10" t="n"/>
      <c r="AF682" s="10" t="inlineStr">
        <is>
          <t>Particulier</t>
        </is>
      </c>
      <c r="AG682" s="10" t="inlineStr">
        <is>
          <t>Louvroil</t>
        </is>
      </c>
      <c r="AH682" s="10" t="inlineStr">
        <is>
          <t>59720</t>
        </is>
      </c>
      <c r="AI682" s="10" t="inlineStr">
        <is>
          <t>Nord</t>
        </is>
      </c>
      <c r="AJ682" s="10" t="inlineStr">
        <is>
          <t>Nord-Pas-de-Calais</t>
        </is>
      </c>
      <c r="AK682" s="16" t="n">
        <v>3</v>
      </c>
      <c r="AL682" s="10" t="n"/>
      <c r="AM682" s="10" t="inlineStr">
        <is>
          <t>Non</t>
        </is>
      </c>
      <c r="AN682" s="10" t="inlineStr">
        <is>
          <t>Renault Twingo 1 Initiale Paris – 1.2 16V 75 ch – Automatique – Cuir – Toit ouvrant Prix : 3 950 € Contrôle technique valide jusqu'à septembre 2008 À vendre, Renault Twingo 1 Initiale Paris de décembre 2000, équipée du moteur essence 1.2 16V de 75 ch et de la boîte automatique. Une configuration particulièrement recherchée associant la finition haut de gamme Initiale Paris, l'intérieur cuir et le toit ouvrant électrique. Cette Twingo bénéficie d'un équipement particulièrement complet pour sa gén</t>
        </is>
      </c>
      <c r="AO682" s="10" t="inlineStr">
        <is>
          <t>Dommages : Bon état général ; Sellerie : Tout cuir ; Équipements intérieurs : Climatisation, Jantes en alliage, Phares anti-brouillard, Roue de secours, Siège arrière rabattable, Sièges arrières coulissants, Sièges en cuir, Toit ouvrant / Toit panoramique ; vehicle_euro_emissions_standard : Euro 2 ; Permis : Avec permis ; Importé : false</t>
        </is>
      </c>
      <c r="AP682" s="19" t="inlineStr">
        <is>
          <t>Voir</t>
        </is>
      </c>
      <c r="AQ682" s="10" t="inlineStr">
        <is>
          <t>3288007453</t>
        </is>
      </c>
    </row>
    <row r="683">
      <c r="A683" s="10" t="inlineStr">
        <is>
          <t>Renault Twingo 1 découvrable</t>
        </is>
      </c>
      <c r="B683" s="10" t="inlineStr">
        <is>
          <t>Renault Twingo1 Phase1 décapotable</t>
        </is>
      </c>
      <c r="C683" s="10" t="n"/>
      <c r="D683" s="10" t="n"/>
      <c r="E683" s="10" t="inlineStr">
        <is>
          <t>En vente</t>
        </is>
      </c>
      <c r="F683" s="18" t="n">
        <v>46309</v>
      </c>
      <c r="G683" s="18" t="n">
        <v>46309</v>
      </c>
      <c r="H683" s="18" t="n">
        <v>46310</v>
      </c>
      <c r="I683" s="18" t="n"/>
      <c r="J683" s="17">
        <f>IF(OR(ISNUMBER(F683),ISNUMBER(G683)),IF(ISNUMBER(I683),I683,H683)-IF(ISNUMBER(F683),F683,G683),"")</f>
        <v/>
      </c>
      <c r="K683" s="12" t="n">
        <v>3000</v>
      </c>
      <c r="L683" s="12" t="n">
        <v>3000</v>
      </c>
      <c r="M683" s="13">
        <f>IF(AND(ISNUMBER(K683),ISNUMBER(L683),K683&gt;0),1-L683/K683,"")</f>
        <v/>
      </c>
      <c r="N683" s="16" t="n">
        <v>0</v>
      </c>
      <c r="O683" s="12" t="n"/>
      <c r="P683" s="12" t="n"/>
      <c r="Q683" s="12" t="n"/>
      <c r="R683" s="14">
        <f>IF(AND(ISNUMBER(L683),ISNUMBER(P683),ISNUMBER(Q683)),L683/((P683+Q683)/2)-1,"")</f>
        <v/>
      </c>
      <c r="S683" s="10" t="n"/>
      <c r="T683" s="15" t="n">
        <v>189350</v>
      </c>
      <c r="U683" s="16" t="n">
        <v>1995</v>
      </c>
      <c r="V683" s="10" t="inlineStr">
        <is>
          <t>08/1995</t>
        </is>
      </c>
      <c r="W683" s="10" t="inlineStr">
        <is>
          <t>Essence</t>
        </is>
      </c>
      <c r="X683" s="10" t="inlineStr">
        <is>
          <t>Manuelle</t>
        </is>
      </c>
      <c r="Y683" s="16" t="n">
        <v>55</v>
      </c>
      <c r="Z683" s="16" t="n">
        <v>5</v>
      </c>
      <c r="AA683" s="10" t="inlineStr">
        <is>
          <t>Noir</t>
        </is>
      </c>
      <c r="AB683" s="16" t="n">
        <v>3</v>
      </c>
      <c r="AC683" s="10" t="inlineStr">
        <is>
          <t>Berline</t>
        </is>
      </c>
      <c r="AD683" s="10" t="inlineStr">
        <is>
          <t>Réparations utiles déjà faites</t>
        </is>
      </c>
      <c r="AE683" s="10" t="n"/>
      <c r="AF683" s="10" t="inlineStr">
        <is>
          <t>Particulier</t>
        </is>
      </c>
      <c r="AG683" s="10" t="inlineStr">
        <is>
          <t>Magnac-sur-Touvre</t>
        </is>
      </c>
      <c r="AH683" s="10" t="inlineStr">
        <is>
          <t>16600</t>
        </is>
      </c>
      <c r="AI683" s="10" t="inlineStr">
        <is>
          <t>Charente</t>
        </is>
      </c>
      <c r="AJ683" s="10" t="inlineStr">
        <is>
          <t>Poitou-Charentes</t>
        </is>
      </c>
      <c r="AK683" s="16" t="n">
        <v>3</v>
      </c>
      <c r="AL683" s="10" t="n"/>
      <c r="AM683" s="10" t="inlineStr">
        <is>
          <t>Non</t>
        </is>
      </c>
      <c r="AN683" s="10" t="inlineStr">
        <is>
          <t>- Modèle : Twingo 1 Phase 1 - Marque : Renault - Modèle : Twingo - Année : 1995 - Kilométrage : 189 350 km - Motorisation : 1.2 "Cléon Fonte" (C3G) 55 Cv Couple: 90 Nm - Carburant : Essence - Boîte de vitesses : Manuelle - Couleur : Noir nacré - Toit ouvrant en toile vinyl - Type de véhicule : Citadine - Contrôle technique : A refaire pour la vente</t>
        </is>
      </c>
      <c r="AO683" s="10" t="inlineStr">
        <is>
          <t>vehicle_technical_inspection_valid : Non ; Dommages : Traces d’usure normales ; Sellerie : Tissu ; Permis : Avec permis ; Importé : false</t>
        </is>
      </c>
      <c r="AP683" s="19" t="inlineStr">
        <is>
          <t>Voir</t>
        </is>
      </c>
      <c r="AQ683" s="10" t="inlineStr">
        <is>
          <t>3288029658</t>
        </is>
      </c>
    </row>
    <row r="684">
      <c r="A684" s="10" t="inlineStr">
        <is>
          <t>Renault Twingo 1 découvrable</t>
        </is>
      </c>
      <c r="B684" s="10" t="inlineStr">
        <is>
          <t>Twingo 1 cinetic</t>
        </is>
      </c>
      <c r="C684" s="10" t="inlineStr">
        <is>
          <t>Twingo 1.2 16v 75ch Cinetic</t>
        </is>
      </c>
      <c r="D684" s="10" t="inlineStr">
        <is>
          <t>Cinetic</t>
        </is>
      </c>
      <c r="E684" s="10" t="inlineStr">
        <is>
          <t>En vente</t>
        </is>
      </c>
      <c r="F684" s="18" t="n">
        <v>46309</v>
      </c>
      <c r="G684" s="18" t="n">
        <v>46309</v>
      </c>
      <c r="H684" s="18" t="n">
        <v>46310</v>
      </c>
      <c r="I684" s="18" t="n"/>
      <c r="J684" s="17">
        <f>IF(OR(ISNUMBER(F684),ISNUMBER(G684)),IF(ISNUMBER(I684),I684,H684)-IF(ISNUMBER(F684),F684,G684),"")</f>
        <v/>
      </c>
      <c r="K684" s="12" t="n">
        <v>3890</v>
      </c>
      <c r="L684" s="12" t="n">
        <v>3890</v>
      </c>
      <c r="M684" s="13">
        <f>IF(AND(ISNUMBER(K684),ISNUMBER(L684),K684&gt;0),1-L684/K684,"")</f>
        <v/>
      </c>
      <c r="N684" s="16" t="n">
        <v>0</v>
      </c>
      <c r="O684" s="12" t="n"/>
      <c r="P684" s="12" t="n"/>
      <c r="Q684" s="12" t="n"/>
      <c r="R684" s="14">
        <f>IF(AND(ISNUMBER(L684),ISNUMBER(P684),ISNUMBER(Q684)),L684/((P684+Q684)/2)-1,"")</f>
        <v/>
      </c>
      <c r="S684" s="10" t="n"/>
      <c r="T684" s="15" t="n">
        <v>165000</v>
      </c>
      <c r="U684" s="16" t="n">
        <v>2001</v>
      </c>
      <c r="V684" s="10" t="inlineStr">
        <is>
          <t>04/2001</t>
        </is>
      </c>
      <c r="W684" s="10" t="inlineStr">
        <is>
          <t>Essence</t>
        </is>
      </c>
      <c r="X684" s="10" t="inlineStr">
        <is>
          <t>Manuelle</t>
        </is>
      </c>
      <c r="Y684" s="16" t="n">
        <v>75</v>
      </c>
      <c r="Z684" s="16" t="n">
        <v>5</v>
      </c>
      <c r="AA684" s="10" t="inlineStr">
        <is>
          <t>Gris</t>
        </is>
      </c>
      <c r="AB684" s="16" t="n">
        <v>3</v>
      </c>
      <c r="AC684" s="10" t="inlineStr">
        <is>
          <t>Berline</t>
        </is>
      </c>
      <c r="AD684" s="10" t="n"/>
      <c r="AE684" s="10" t="n"/>
      <c r="AF684" s="10" t="inlineStr">
        <is>
          <t>Particulier</t>
        </is>
      </c>
      <c r="AG684" s="10" t="inlineStr">
        <is>
          <t>Ostricourt</t>
        </is>
      </c>
      <c r="AH684" s="10" t="inlineStr">
        <is>
          <t>59162</t>
        </is>
      </c>
      <c r="AI684" s="10" t="inlineStr">
        <is>
          <t>Nord</t>
        </is>
      </c>
      <c r="AJ684" s="10" t="inlineStr">
        <is>
          <t>Nord-Pas-de-Calais</t>
        </is>
      </c>
      <c r="AK684" s="16" t="n">
        <v>3</v>
      </c>
      <c r="AL684" s="10" t="n"/>
      <c r="AM684" s="10" t="inlineStr">
        <is>
          <t>Non</t>
        </is>
      </c>
      <c r="AN684" s="10" t="inlineStr">
        <is>
          <t xml:space="preserve">Je vends ma Renault Twingo 1 Cinetic de 2001, une petite citadine pratique et économique. - Marque : Renault - Modèle : Twingo - Année : 2001 - Kilométrage : 165 000 km - Motorisation : 1.2 16v 75 ch - Carburant : Essence - Finition : Cinetic - Boîte de vitesses : Manuelle - Couleur : Gris - Type de véhicule : Berline - Nombre de portes : 3 - Puissance fiscale : 5 Cv - Toit ouvrant - Contrôle technique -6 mois OK - Distribution neuf - Vidange avec filtre Ok - Boîtier papillon changé - Pneu neuf </t>
        </is>
      </c>
      <c r="AO684" s="10" t="inlineStr">
        <is>
          <t>Dommages : Bon état général ; Sellerie : Tissu ; Permis : Avec permis ; Importé : false</t>
        </is>
      </c>
      <c r="AP684" s="19" t="inlineStr">
        <is>
          <t>Voir</t>
        </is>
      </c>
      <c r="AQ684" s="10" t="inlineStr">
        <is>
          <t>3288055400</t>
        </is>
      </c>
    </row>
    <row r="685">
      <c r="A685" s="10" t="inlineStr">
        <is>
          <t>Renault Twingo 1 découvrable</t>
        </is>
      </c>
      <c r="B685" s="10" t="inlineStr">
        <is>
          <t>Renault Twingo phase 1</t>
        </is>
      </c>
      <c r="C685" s="10" t="n"/>
      <c r="D685" s="10" t="n"/>
      <c r="E685" s="10" t="inlineStr">
        <is>
          <t>En vente</t>
        </is>
      </c>
      <c r="F685" s="18" t="n">
        <v>46309</v>
      </c>
      <c r="G685" s="18" t="n">
        <v>46309</v>
      </c>
      <c r="H685" s="18" t="n">
        <v>46310</v>
      </c>
      <c r="I685" s="18" t="n"/>
      <c r="J685" s="17">
        <f>IF(OR(ISNUMBER(F685),ISNUMBER(G685)),IF(ISNUMBER(I685),I685,H685)-IF(ISNUMBER(F685),F685,G685),"")</f>
        <v/>
      </c>
      <c r="K685" s="12" t="n">
        <v>3500</v>
      </c>
      <c r="L685" s="12" t="n">
        <v>3500</v>
      </c>
      <c r="M685" s="13">
        <f>IF(AND(ISNUMBER(K685),ISNUMBER(L685),K685&gt;0),1-L685/K685,"")</f>
        <v/>
      </c>
      <c r="N685" s="16" t="n">
        <v>0</v>
      </c>
      <c r="O685" s="12" t="n"/>
      <c r="P685" s="12" t="n"/>
      <c r="Q685" s="12" t="n"/>
      <c r="R685" s="14">
        <f>IF(AND(ISNUMBER(L685),ISNUMBER(P685),ISNUMBER(Q685)),L685/((P685+Q685)/2)-1,"")</f>
        <v/>
      </c>
      <c r="S685" s="10" t="n"/>
      <c r="T685" s="15" t="n">
        <v>222250</v>
      </c>
      <c r="U685" s="16" t="n">
        <v>1996</v>
      </c>
      <c r="V685" s="10" t="inlineStr">
        <is>
          <t>01/1996</t>
        </is>
      </c>
      <c r="W685" s="10" t="inlineStr">
        <is>
          <t>Essence</t>
        </is>
      </c>
      <c r="X685" s="10" t="inlineStr">
        <is>
          <t>Manuelle</t>
        </is>
      </c>
      <c r="Y685" s="16" t="n">
        <v>58</v>
      </c>
      <c r="Z685" s="16" t="n">
        <v>5</v>
      </c>
      <c r="AA685" s="10" t="inlineStr">
        <is>
          <t>Blanc</t>
        </is>
      </c>
      <c r="AB685" s="16" t="n">
        <v>3</v>
      </c>
      <c r="AC685" s="10" t="inlineStr">
        <is>
          <t>Berline</t>
        </is>
      </c>
      <c r="AD685" s="10" t="n"/>
      <c r="AE685" s="10" t="n"/>
      <c r="AF685" s="10" t="inlineStr">
        <is>
          <t>Particulier</t>
        </is>
      </c>
      <c r="AG685" s="10" t="inlineStr">
        <is>
          <t>Épône</t>
        </is>
      </c>
      <c r="AH685" s="10" t="inlineStr">
        <is>
          <t>78680</t>
        </is>
      </c>
      <c r="AI685" s="10" t="inlineStr">
        <is>
          <t>Yvelines</t>
        </is>
      </c>
      <c r="AJ685" s="10" t="inlineStr">
        <is>
          <t>Ile-de-France</t>
        </is>
      </c>
      <c r="AK685" s="16" t="n">
        <v>3</v>
      </c>
      <c r="AL685" s="10" t="n"/>
      <c r="AM685" s="10" t="inlineStr">
        <is>
          <t>Non</t>
        </is>
      </c>
      <c r="AN685" s="10" t="inlineStr">
        <is>
          <t>Renault twingo phase 1. Véhicule en très bon état. Rien à prévoir. Toit ouvrant en toile.</t>
        </is>
      </c>
      <c r="AO685" s="10" t="inlineStr">
        <is>
          <t>Dommages : Bon état général ; Sellerie : Tissu ; Permis : Avec permis ; Importé : false</t>
        </is>
      </c>
      <c r="AP685" s="19" t="inlineStr">
        <is>
          <t>Voir</t>
        </is>
      </c>
      <c r="AQ685" s="10" t="inlineStr">
        <is>
          <t>3288098887</t>
        </is>
      </c>
    </row>
    <row r="686">
      <c r="A686" s="10" t="inlineStr">
        <is>
          <t>Renault Twingo 1 découvrable</t>
        </is>
      </c>
      <c r="B686" s="10" t="inlineStr">
        <is>
          <t>Renault twingo initiale 2999 euros</t>
        </is>
      </c>
      <c r="C686" s="10" t="inlineStr">
        <is>
          <t>Twingo 1.2 16v 75ch Initiale</t>
        </is>
      </c>
      <c r="D686" s="10" t="inlineStr">
        <is>
          <t>Initiale</t>
        </is>
      </c>
      <c r="E686" s="10" t="inlineStr">
        <is>
          <t>En vente</t>
        </is>
      </c>
      <c r="F686" s="18" t="n">
        <v>46309</v>
      </c>
      <c r="G686" s="18" t="n">
        <v>46309</v>
      </c>
      <c r="H686" s="18" t="n">
        <v>46310</v>
      </c>
      <c r="I686" s="18" t="n"/>
      <c r="J686" s="17">
        <f>IF(OR(ISNUMBER(F686),ISNUMBER(G686)),IF(ISNUMBER(I686),I686,H686)-IF(ISNUMBER(F686),F686,G686),"")</f>
        <v/>
      </c>
      <c r="K686" s="12" t="n">
        <v>2999</v>
      </c>
      <c r="L686" s="12" t="n">
        <v>2999</v>
      </c>
      <c r="M686" s="13">
        <f>IF(AND(ISNUMBER(K686),ISNUMBER(L686),K686&gt;0),1-L686/K686,"")</f>
        <v/>
      </c>
      <c r="N686" s="16" t="n">
        <v>0</v>
      </c>
      <c r="O686" s="12" t="n"/>
      <c r="P686" s="12" t="n"/>
      <c r="Q686" s="12" t="n"/>
      <c r="R686" s="14">
        <f>IF(AND(ISNUMBER(L686),ISNUMBER(P686),ISNUMBER(Q686)),L686/((P686+Q686)/2)-1,"")</f>
        <v/>
      </c>
      <c r="S686" s="10" t="n"/>
      <c r="T686" s="15" t="n">
        <v>139000</v>
      </c>
      <c r="U686" s="16" t="n">
        <v>2001</v>
      </c>
      <c r="V686" s="10" t="inlineStr">
        <is>
          <t>04/2001</t>
        </is>
      </c>
      <c r="W686" s="10" t="inlineStr">
        <is>
          <t>Essence</t>
        </is>
      </c>
      <c r="X686" s="10" t="inlineStr">
        <is>
          <t>Manuelle</t>
        </is>
      </c>
      <c r="Y686" s="16" t="n">
        <v>75</v>
      </c>
      <c r="Z686" s="16" t="n">
        <v>5</v>
      </c>
      <c r="AA686" s="10" t="inlineStr">
        <is>
          <t>Beige</t>
        </is>
      </c>
      <c r="AB686" s="16" t="n">
        <v>3</v>
      </c>
      <c r="AC686" s="10" t="inlineStr">
        <is>
          <t>Berline</t>
        </is>
      </c>
      <c r="AD686" s="10" t="n"/>
      <c r="AE686" s="10" t="n"/>
      <c r="AF686" s="10" t="inlineStr">
        <is>
          <t>Particulier</t>
        </is>
      </c>
      <c r="AG686" s="10" t="inlineStr">
        <is>
          <t>Avignon</t>
        </is>
      </c>
      <c r="AH686" s="10" t="inlineStr">
        <is>
          <t>84000</t>
        </is>
      </c>
      <c r="AI686" s="10" t="inlineStr">
        <is>
          <t>Vaucluse</t>
        </is>
      </c>
      <c r="AJ686" s="10" t="inlineStr">
        <is>
          <t>Provence-Alpes-Côte d'Azur</t>
        </is>
      </c>
      <c r="AK686" s="16" t="n">
        <v>3</v>
      </c>
      <c r="AL686" s="10" t="n"/>
      <c r="AM686" s="10" t="inlineStr">
        <is>
          <t>Non</t>
        </is>
      </c>
      <c r="AN686" s="10" t="inlineStr">
        <is>
          <t>Vend Renault twingo 1 phase 2 1.2 75 cv initiale Contrôle technique ok Options : Toit ouvrant panoramique Clim Poste cd avec commande au volant Anti brouillard avant arrière Vitres électriques Rétroviseur électrique</t>
        </is>
      </c>
      <c r="AO686" s="10" t="inlineStr">
        <is>
          <t>Sellerie : Tout cuir ; Permis : Avec permis ; Importé : false</t>
        </is>
      </c>
      <c r="AP686" s="19" t="inlineStr">
        <is>
          <t>Voir</t>
        </is>
      </c>
      <c r="AQ686" s="10" t="inlineStr">
        <is>
          <t>3288361415</t>
        </is>
      </c>
    </row>
    <row r="687">
      <c r="A687" s="10" t="inlineStr">
        <is>
          <t>Renault Twingo 1 découvrable</t>
        </is>
      </c>
      <c r="B687" s="10" t="inlineStr">
        <is>
          <t>Renault Twingo Kenzo 1.2</t>
        </is>
      </c>
      <c r="C687" s="10" t="n"/>
      <c r="D687" s="10" t="n"/>
      <c r="E687" s="10" t="inlineStr">
        <is>
          <t>En vente</t>
        </is>
      </c>
      <c r="F687" s="18" t="n">
        <v>46309</v>
      </c>
      <c r="G687" s="18" t="n">
        <v>46309</v>
      </c>
      <c r="H687" s="18" t="n">
        <v>46310</v>
      </c>
      <c r="I687" s="18" t="n"/>
      <c r="J687" s="17">
        <f>IF(OR(ISNUMBER(F687),ISNUMBER(G687)),IF(ISNUMBER(I687),I687,H687)-IF(ISNUMBER(F687),F687,G687),"")</f>
        <v/>
      </c>
      <c r="K687" s="12" t="n">
        <v>3000</v>
      </c>
      <c r="L687" s="12" t="n">
        <v>3000</v>
      </c>
      <c r="M687" s="13">
        <f>IF(AND(ISNUMBER(K687),ISNUMBER(L687),K687&gt;0),1-L687/K687,"")</f>
        <v/>
      </c>
      <c r="N687" s="16" t="n">
        <v>0</v>
      </c>
      <c r="O687" s="12" t="n"/>
      <c r="P687" s="12" t="n"/>
      <c r="Q687" s="12" t="n"/>
      <c r="R687" s="14">
        <f>IF(AND(ISNUMBER(L687),ISNUMBER(P687),ISNUMBER(Q687)),L687/((P687+Q687)/2)-1,"")</f>
        <v/>
      </c>
      <c r="S687" s="10" t="n"/>
      <c r="T687" s="15" t="n">
        <v>180000</v>
      </c>
      <c r="U687" s="16" t="n">
        <v>1996</v>
      </c>
      <c r="V687" s="10" t="inlineStr">
        <is>
          <t>06/1996</t>
        </is>
      </c>
      <c r="W687" s="10" t="inlineStr">
        <is>
          <t>Essence</t>
        </is>
      </c>
      <c r="X687" s="10" t="inlineStr">
        <is>
          <t>Manuelle</t>
        </is>
      </c>
      <c r="Y687" s="16" t="n">
        <v>55</v>
      </c>
      <c r="Z687" s="16" t="n">
        <v>5</v>
      </c>
      <c r="AA687" s="10" t="inlineStr">
        <is>
          <t>Bleu</t>
        </is>
      </c>
      <c r="AB687" s="16" t="n">
        <v>3</v>
      </c>
      <c r="AC687" s="10" t="inlineStr">
        <is>
          <t>Berline</t>
        </is>
      </c>
      <c r="AD687" s="10" t="inlineStr">
        <is>
          <t>Factures disponibles, Véhicule non fumeur, Réparations utiles déjà faites</t>
        </is>
      </c>
      <c r="AE687" s="10" t="n"/>
      <c r="AF687" s="10" t="inlineStr">
        <is>
          <t>Particulier</t>
        </is>
      </c>
      <c r="AG687" s="10" t="inlineStr">
        <is>
          <t>Nantes</t>
        </is>
      </c>
      <c r="AH687" s="10" t="inlineStr">
        <is>
          <t>44300</t>
        </is>
      </c>
      <c r="AI687" s="10" t="inlineStr">
        <is>
          <t>Loire-Atlantique</t>
        </is>
      </c>
      <c r="AJ687" s="10" t="inlineStr">
        <is>
          <t>Pays de la Loire</t>
        </is>
      </c>
      <c r="AK687" s="16" t="n">
        <v>3</v>
      </c>
      <c r="AL687" s="10" t="n"/>
      <c r="AM687" s="10" t="inlineStr">
        <is>
          <t>Non</t>
        </is>
      </c>
      <c r="AN687" s="10" t="inlineStr">
        <is>
          <t>Renault Twingo Kenzo 1.2 – 1996 – 180 000 km – Idéale collectionneur ! À vendre, Renault Twingo Kenzo 1.2 essence de 1996, une petite voiture emblématique des années 90, pleine de charme et au style intemporel. 💙 Une Twingo authentique qui a conservé ses équipements d’origine ! * Année : 1996 * Motorisation : 1.2 essence * Kilométrage : 180 000 km * Boîte de vitesses : d’origine * Jantes : d’origine * Sellerie et intérieur : d’origine * Toit ouvrant : présent ✨ État irréprochable, avec une prés</t>
        </is>
      </c>
      <c r="AO687" s="10" t="inlineStr">
        <is>
          <t>vehicle_technical_inspection_valid : Oui ; Contrôle technique : 2028 ; Dommages : Non roulant ; Sellerie : Velours ; Équipements intérieurs : Jantes en alliage, Phares LED / Xenon, Toit ouvrant / Toit panoramique ; vehicle_euro_emissions_standard : Euro 3 ; Permis : Avec permis ; Importé : false</t>
        </is>
      </c>
      <c r="AP687" s="19" t="inlineStr">
        <is>
          <t>Voir</t>
        </is>
      </c>
      <c r="AQ687" s="10" t="inlineStr">
        <is>
          <t>3288442729</t>
        </is>
      </c>
    </row>
    <row r="688">
      <c r="A688" s="10" t="inlineStr">
        <is>
          <t>Renault Twingo 1 découvrable</t>
        </is>
      </c>
      <c r="B688" s="10" t="inlineStr">
        <is>
          <t>Renault Twingo 1.2 HELIOS TOIT OUVRANT ELECTRIQUE</t>
        </is>
      </c>
      <c r="C688" s="10" t="n"/>
      <c r="D688" s="10" t="n"/>
      <c r="E688" s="10" t="inlineStr">
        <is>
          <t>En vente</t>
        </is>
      </c>
      <c r="F688" s="18" t="n">
        <v>46209</v>
      </c>
      <c r="G688" s="18" t="n">
        <v>46209</v>
      </c>
      <c r="H688" s="18" t="n">
        <v>46296</v>
      </c>
      <c r="I688" s="18" t="n"/>
      <c r="J688" s="17">
        <f>IF(OR(ISNUMBER(F688),ISNUMBER(G688)),IF(ISNUMBER(I688),I688,H688)-IF(ISNUMBER(F688),F688,G688),"")</f>
        <v/>
      </c>
      <c r="K688" s="12" t="n">
        <v>3490</v>
      </c>
      <c r="L688" s="12" t="n">
        <v>3490</v>
      </c>
      <c r="M688" s="13">
        <f>IF(AND(ISNUMBER(K688),ISNUMBER(L688),K688&gt;0),1-L688/K688,"")</f>
        <v/>
      </c>
      <c r="N688" s="16" t="n">
        <v>0</v>
      </c>
      <c r="O688" s="12" t="n"/>
      <c r="P688" s="12" t="n"/>
      <c r="Q688" s="12" t="n"/>
      <c r="R688" s="14">
        <f>IF(AND(ISNUMBER(L688),ISNUMBER(P688),ISNUMBER(Q688)),L688/((P688+Q688)/2)-1,"")</f>
        <v/>
      </c>
      <c r="S688" s="10" t="n"/>
      <c r="T688" s="15" t="n">
        <v>159000</v>
      </c>
      <c r="U688" s="16" t="n">
        <v>2000</v>
      </c>
      <c r="V688" s="10" t="n"/>
      <c r="W688" s="10" t="inlineStr">
        <is>
          <t>Essence</t>
        </is>
      </c>
      <c r="X688" s="10" t="inlineStr">
        <is>
          <t>Manuelle</t>
        </is>
      </c>
      <c r="Y688" s="16" t="n">
        <v>58</v>
      </c>
      <c r="Z688" s="16" t="n">
        <v>4</v>
      </c>
      <c r="AA688" s="10" t="inlineStr">
        <is>
          <t>Bleu</t>
        </is>
      </c>
      <c r="AB688" s="16" t="n">
        <v>3</v>
      </c>
      <c r="AC688" s="10" t="inlineStr">
        <is>
          <t>Berline</t>
        </is>
      </c>
      <c r="AD688" s="10" t="n"/>
      <c r="AE688" s="10" t="n"/>
      <c r="AF688" s="10" t="inlineStr">
        <is>
          <t>Pro</t>
        </is>
      </c>
      <c r="AG688" s="10" t="inlineStr">
        <is>
          <t>Craponne</t>
        </is>
      </c>
      <c r="AH688" s="10" t="inlineStr">
        <is>
          <t>69290</t>
        </is>
      </c>
      <c r="AI688" s="10" t="inlineStr">
        <is>
          <t>Rhône</t>
        </is>
      </c>
      <c r="AJ688" s="10" t="inlineStr">
        <is>
          <t>Rhône-Alpes</t>
        </is>
      </c>
      <c r="AK688" s="16" t="n"/>
      <c r="AL688" s="10" t="n"/>
      <c r="AM688" s="10" t="n"/>
      <c r="AN688" s="10" t="n"/>
      <c r="AO688" s="10" t="n"/>
      <c r="AP688" s="19" t="inlineStr">
        <is>
          <t>Voir</t>
        </is>
      </c>
      <c r="AQ688" s="10" t="inlineStr">
        <is>
          <t>3228654929</t>
        </is>
      </c>
    </row>
    <row r="689">
      <c r="A689" s="10" t="inlineStr">
        <is>
          <t>Renault Twingo 1 découvrable</t>
        </is>
      </c>
      <c r="B689" s="10" t="inlineStr">
        <is>
          <t>Twingo série 1 avec toit ouvrant decouvrable</t>
        </is>
      </c>
      <c r="C689" s="10" t="n"/>
      <c r="D689" s="10" t="n"/>
      <c r="E689" s="10" t="inlineStr">
        <is>
          <t>En vente</t>
        </is>
      </c>
      <c r="F689" s="18" t="n">
        <v>46280</v>
      </c>
      <c r="G689" s="18" t="n">
        <v>46280</v>
      </c>
      <c r="H689" s="18" t="n">
        <v>46296</v>
      </c>
      <c r="I689" s="18" t="n"/>
      <c r="J689" s="17">
        <f>IF(OR(ISNUMBER(F689),ISNUMBER(G689)),IF(ISNUMBER(I689),I689,H689)-IF(ISNUMBER(F689),F689,G689),"")</f>
        <v/>
      </c>
      <c r="K689" s="12" t="n">
        <v>5490</v>
      </c>
      <c r="L689" s="12" t="n">
        <v>5490</v>
      </c>
      <c r="M689" s="13">
        <f>IF(AND(ISNUMBER(K689),ISNUMBER(L689),K689&gt;0),1-L689/K689,"")</f>
        <v/>
      </c>
      <c r="N689" s="16" t="n">
        <v>0</v>
      </c>
      <c r="O689" s="12" t="n"/>
      <c r="P689" s="12" t="n"/>
      <c r="Q689" s="12" t="n"/>
      <c r="R689" s="14">
        <f>IF(AND(ISNUMBER(L689),ISNUMBER(P689),ISNUMBER(Q689)),L689/((P689+Q689)/2)-1,"")</f>
        <v/>
      </c>
      <c r="S689" s="10" t="n"/>
      <c r="T689" s="15" t="n">
        <v>95000</v>
      </c>
      <c r="U689" s="16" t="n">
        <v>2006</v>
      </c>
      <c r="V689" s="10" t="n"/>
      <c r="W689" s="10" t="inlineStr">
        <is>
          <t>Essence</t>
        </is>
      </c>
      <c r="X689" s="10" t="inlineStr">
        <is>
          <t>Manuelle</t>
        </is>
      </c>
      <c r="Y689" s="16" t="n">
        <v>60</v>
      </c>
      <c r="Z689" s="16" t="n">
        <v>4</v>
      </c>
      <c r="AA689" s="10" t="inlineStr">
        <is>
          <t>Rouge</t>
        </is>
      </c>
      <c r="AB689" s="16" t="n">
        <v>3</v>
      </c>
      <c r="AC689" s="10" t="inlineStr">
        <is>
          <t>Berline</t>
        </is>
      </c>
      <c r="AD689" s="10" t="n"/>
      <c r="AE689" s="10" t="n"/>
      <c r="AF689" s="10" t="inlineStr">
        <is>
          <t>Particulier</t>
        </is>
      </c>
      <c r="AG689" s="10" t="inlineStr">
        <is>
          <t>Mandelieu-la-Napoule</t>
        </is>
      </c>
      <c r="AH689" s="10" t="inlineStr">
        <is>
          <t>06210</t>
        </is>
      </c>
      <c r="AI689" s="10" t="inlineStr">
        <is>
          <t>Alpes-Maritimes</t>
        </is>
      </c>
      <c r="AJ689" s="10" t="inlineStr">
        <is>
          <t>Provence-Alpes-Côte d'Azur</t>
        </is>
      </c>
      <c r="AK689" s="16" t="n"/>
      <c r="AL689" s="10" t="n"/>
      <c r="AM689" s="10" t="n"/>
      <c r="AN689" s="10" t="n"/>
      <c r="AO689" s="10" t="n"/>
      <c r="AP689" s="19" t="inlineStr">
        <is>
          <t>Voir</t>
        </is>
      </c>
      <c r="AQ689" s="10" t="inlineStr">
        <is>
          <t>3232797806</t>
        </is>
      </c>
    </row>
    <row r="690">
      <c r="A690" s="10" t="inlineStr">
        <is>
          <t>Renault Twingo 1 découvrable</t>
        </is>
      </c>
      <c r="B690" s="10" t="inlineStr">
        <is>
          <t>Renault Twingo Wind 1.2 Essence – Toit ouvrant – Très bon état – CT OK</t>
        </is>
      </c>
      <c r="C690" s="10" t="n"/>
      <c r="D690" s="10" t="n"/>
      <c r="E690" s="10" t="inlineStr">
        <is>
          <t>En vente</t>
        </is>
      </c>
      <c r="F690" s="18" t="n">
        <v>46285</v>
      </c>
      <c r="G690" s="18" t="n">
        <v>46285</v>
      </c>
      <c r="H690" s="18" t="n">
        <v>46296</v>
      </c>
      <c r="I690" s="18" t="n"/>
      <c r="J690" s="17">
        <f>IF(OR(ISNUMBER(F690),ISNUMBER(G690)),IF(ISNUMBER(I690),I690,H690)-IF(ISNUMBER(F690),F690,G690),"")</f>
        <v/>
      </c>
      <c r="K690" s="12" t="n">
        <v>2800</v>
      </c>
      <c r="L690" s="12" t="n">
        <v>2800</v>
      </c>
      <c r="M690" s="13">
        <f>IF(AND(ISNUMBER(K690),ISNUMBER(L690),K690&gt;0),1-L690/K690,"")</f>
        <v/>
      </c>
      <c r="N690" s="16" t="n">
        <v>0</v>
      </c>
      <c r="O690" s="12" t="n"/>
      <c r="P690" s="12" t="n"/>
      <c r="Q690" s="12" t="n"/>
      <c r="R690" s="14">
        <f>IF(AND(ISNUMBER(L690),ISNUMBER(P690),ISNUMBER(Q690)),L690/((P690+Q690)/2)-1,"")</f>
        <v/>
      </c>
      <c r="S690" s="10" t="n"/>
      <c r="T690" s="15" t="n">
        <v>233000</v>
      </c>
      <c r="U690" s="16" t="n">
        <v>1996</v>
      </c>
      <c r="V690" s="10" t="n"/>
      <c r="W690" s="10" t="inlineStr">
        <is>
          <t>Essence</t>
        </is>
      </c>
      <c r="X690" s="10" t="inlineStr">
        <is>
          <t>Manuelle</t>
        </is>
      </c>
      <c r="Y690" s="16" t="n">
        <v>60</v>
      </c>
      <c r="Z690" s="16" t="n">
        <v>4</v>
      </c>
      <c r="AA690" s="10" t="inlineStr">
        <is>
          <t>Bleu</t>
        </is>
      </c>
      <c r="AB690" s="16" t="n">
        <v>3</v>
      </c>
      <c r="AC690" s="10" t="inlineStr">
        <is>
          <t>Citadine</t>
        </is>
      </c>
      <c r="AD690" s="10" t="n"/>
      <c r="AE690" s="10" t="n"/>
      <c r="AF690" s="10" t="inlineStr">
        <is>
          <t>Particulier</t>
        </is>
      </c>
      <c r="AG690" s="10" t="inlineStr">
        <is>
          <t>Orléans</t>
        </is>
      </c>
      <c r="AH690" s="10" t="inlineStr">
        <is>
          <t>45000</t>
        </is>
      </c>
      <c r="AI690" s="10" t="inlineStr">
        <is>
          <t>Loiret</t>
        </is>
      </c>
      <c r="AJ690" s="10" t="inlineStr">
        <is>
          <t>Centre</t>
        </is>
      </c>
      <c r="AK690" s="16" t="n"/>
      <c r="AL690" s="10" t="n"/>
      <c r="AM690" s="10" t="n"/>
      <c r="AN690" s="10" t="n"/>
      <c r="AO690" s="10" t="n"/>
      <c r="AP690" s="19" t="inlineStr">
        <is>
          <t>Voir</t>
        </is>
      </c>
      <c r="AQ690" s="10" t="inlineStr">
        <is>
          <t>3235601533</t>
        </is>
      </c>
    </row>
    <row r="691">
      <c r="A691" s="10" t="inlineStr">
        <is>
          <t>Renault Twingo 1 découvrable</t>
        </is>
      </c>
      <c r="B691" s="10" t="inlineStr">
        <is>
          <t>Twingo I Matic toit ouvrant</t>
        </is>
      </c>
      <c r="C691" s="10" t="n"/>
      <c r="D691" s="10" t="n"/>
      <c r="E691" s="10" t="inlineStr">
        <is>
          <t>En vente</t>
        </is>
      </c>
      <c r="F691" s="18" t="n">
        <v>46242</v>
      </c>
      <c r="G691" s="18" t="n">
        <v>46242</v>
      </c>
      <c r="H691" s="18" t="n">
        <v>46296</v>
      </c>
      <c r="I691" s="18" t="n"/>
      <c r="J691" s="17">
        <f>IF(OR(ISNUMBER(F691),ISNUMBER(G691)),IF(ISNUMBER(I691),I691,H691)-IF(ISNUMBER(F691),F691,G691),"")</f>
        <v/>
      </c>
      <c r="K691" s="12" t="n">
        <v>699</v>
      </c>
      <c r="L691" s="12" t="n">
        <v>699</v>
      </c>
      <c r="M691" s="13">
        <f>IF(AND(ISNUMBER(K691),ISNUMBER(L691),K691&gt;0),1-L691/K691,"")</f>
        <v/>
      </c>
      <c r="N691" s="16" t="n">
        <v>0</v>
      </c>
      <c r="O691" s="12" t="n"/>
      <c r="P691" s="12" t="n"/>
      <c r="Q691" s="12" t="n"/>
      <c r="R691" s="14">
        <f>IF(AND(ISNUMBER(L691),ISNUMBER(P691),ISNUMBER(Q691)),L691/((P691+Q691)/2)-1,"")</f>
        <v/>
      </c>
      <c r="S691" s="10" t="n"/>
      <c r="T691" s="15" t="n">
        <v>194000</v>
      </c>
      <c r="U691" s="16" t="n">
        <v>1997</v>
      </c>
      <c r="V691" s="10" t="n"/>
      <c r="W691" s="10" t="inlineStr">
        <is>
          <t>Essence</t>
        </is>
      </c>
      <c r="X691" s="10" t="inlineStr">
        <is>
          <t>Automatique</t>
        </is>
      </c>
      <c r="Y691" s="16" t="n">
        <v>60</v>
      </c>
      <c r="Z691" s="16" t="n">
        <v>5</v>
      </c>
      <c r="AA691" s="10" t="inlineStr">
        <is>
          <t>Noir</t>
        </is>
      </c>
      <c r="AB691" s="16" t="n">
        <v>3</v>
      </c>
      <c r="AC691" s="10" t="inlineStr">
        <is>
          <t>Berline</t>
        </is>
      </c>
      <c r="AD691" s="10" t="n"/>
      <c r="AE691" s="10" t="n"/>
      <c r="AF691" s="10" t="inlineStr">
        <is>
          <t>Particulier</t>
        </is>
      </c>
      <c r="AG691" s="10" t="inlineStr">
        <is>
          <t>Cahors</t>
        </is>
      </c>
      <c r="AH691" s="10" t="inlineStr">
        <is>
          <t>46000</t>
        </is>
      </c>
      <c r="AI691" s="10" t="inlineStr">
        <is>
          <t>Lot</t>
        </is>
      </c>
      <c r="AJ691" s="10" t="inlineStr">
        <is>
          <t>Midi-Pyrénées</t>
        </is>
      </c>
      <c r="AK691" s="16" t="n"/>
      <c r="AL691" s="10" t="n"/>
      <c r="AM691" s="10" t="n"/>
      <c r="AN691" s="10" t="n"/>
      <c r="AO691" s="10" t="n"/>
      <c r="AP691" s="19" t="inlineStr">
        <is>
          <t>Voir</t>
        </is>
      </c>
      <c r="AQ691" s="10" t="inlineStr">
        <is>
          <t>3246605855</t>
        </is>
      </c>
    </row>
    <row r="692">
      <c r="A692" s="10" t="inlineStr">
        <is>
          <t>Renault Twingo 1 découvrable</t>
        </is>
      </c>
      <c r="B692" s="10" t="inlineStr">
        <is>
          <t>Renault Twingo 1.2 16V 75 ch – Climatisation – Toit ouvrant</t>
        </is>
      </c>
      <c r="C692" s="10" t="n"/>
      <c r="D692" s="10" t="n"/>
      <c r="E692" s="10" t="inlineStr">
        <is>
          <t>En vente</t>
        </is>
      </c>
      <c r="F692" s="18" t="n">
        <v>46255</v>
      </c>
      <c r="G692" s="18" t="n">
        <v>46255</v>
      </c>
      <c r="H692" s="18" t="n">
        <v>46296</v>
      </c>
      <c r="I692" s="18" t="n"/>
      <c r="J692" s="17">
        <f>IF(OR(ISNUMBER(F692),ISNUMBER(G692)),IF(ISNUMBER(I692),I692,H692)-IF(ISNUMBER(F692),F692,G692),"")</f>
        <v/>
      </c>
      <c r="K692" s="12" t="n">
        <v>3500</v>
      </c>
      <c r="L692" s="12" t="n">
        <v>3500</v>
      </c>
      <c r="M692" s="13">
        <f>IF(AND(ISNUMBER(K692),ISNUMBER(L692),K692&gt;0),1-L692/K692,"")</f>
        <v/>
      </c>
      <c r="N692" s="16" t="n">
        <v>0</v>
      </c>
      <c r="O692" s="12" t="n"/>
      <c r="P692" s="12" t="n"/>
      <c r="Q692" s="12" t="n"/>
      <c r="R692" s="14">
        <f>IF(AND(ISNUMBER(L692),ISNUMBER(P692),ISNUMBER(Q692)),L692/((P692+Q692)/2)-1,"")</f>
        <v/>
      </c>
      <c r="S692" s="10" t="n"/>
      <c r="T692" s="15" t="n">
        <v>167000</v>
      </c>
      <c r="U692" s="16" t="n">
        <v>2003</v>
      </c>
      <c r="V692" s="10" t="n"/>
      <c r="W692" s="10" t="inlineStr">
        <is>
          <t>Essence</t>
        </is>
      </c>
      <c r="X692" s="10" t="inlineStr">
        <is>
          <t>Manuelle</t>
        </is>
      </c>
      <c r="Y692" s="16" t="n">
        <v>75</v>
      </c>
      <c r="Z692" s="16" t="n">
        <v>5</v>
      </c>
      <c r="AA692" s="10" t="inlineStr">
        <is>
          <t>Gris</t>
        </is>
      </c>
      <c r="AB692" s="16" t="n">
        <v>3</v>
      </c>
      <c r="AC692" s="10" t="inlineStr">
        <is>
          <t>Berline</t>
        </is>
      </c>
      <c r="AD692" s="10" t="n"/>
      <c r="AE692" s="10" t="n"/>
      <c r="AF692" s="10" t="inlineStr">
        <is>
          <t>Particulier</t>
        </is>
      </c>
      <c r="AG692" s="10" t="inlineStr">
        <is>
          <t>Montbrison</t>
        </is>
      </c>
      <c r="AH692" s="10" t="inlineStr">
        <is>
          <t>42600</t>
        </is>
      </c>
      <c r="AI692" s="10" t="inlineStr">
        <is>
          <t>Loire</t>
        </is>
      </c>
      <c r="AJ692" s="10" t="inlineStr">
        <is>
          <t>Rhône-Alpes</t>
        </is>
      </c>
      <c r="AK692" s="16" t="n"/>
      <c r="AL692" s="10" t="n"/>
      <c r="AM692" s="10" t="n"/>
      <c r="AN692" s="10" t="n"/>
      <c r="AO692" s="10" t="n"/>
      <c r="AP692" s="19" t="inlineStr">
        <is>
          <t>Voir</t>
        </is>
      </c>
      <c r="AQ692" s="10" t="inlineStr">
        <is>
          <t>3254091933</t>
        </is>
      </c>
    </row>
    <row r="693">
      <c r="A693" s="10" t="inlineStr">
        <is>
          <t>Renault Twingo 1 découvrable</t>
        </is>
      </c>
      <c r="B693" s="10" t="inlineStr">
        <is>
          <t>Renault Twingo 1.2 16V - Toit ouvrant - CT OK</t>
        </is>
      </c>
      <c r="C693" s="10" t="n"/>
      <c r="D693" s="10" t="n"/>
      <c r="E693" s="10" t="inlineStr">
        <is>
          <t>En vente</t>
        </is>
      </c>
      <c r="F693" s="18" t="n">
        <v>46271</v>
      </c>
      <c r="G693" s="18" t="n">
        <v>46271</v>
      </c>
      <c r="H693" s="18" t="n">
        <v>46296</v>
      </c>
      <c r="I693" s="18" t="n"/>
      <c r="J693" s="17">
        <f>IF(OR(ISNUMBER(F693),ISNUMBER(G693)),IF(ISNUMBER(I693),I693,H693)-IF(ISNUMBER(F693),F693,G693),"")</f>
        <v/>
      </c>
      <c r="K693" s="12" t="n">
        <v>3100</v>
      </c>
      <c r="L693" s="12" t="n">
        <v>3100</v>
      </c>
      <c r="M693" s="13">
        <f>IF(AND(ISNUMBER(K693),ISNUMBER(L693),K693&gt;0),1-L693/K693,"")</f>
        <v/>
      </c>
      <c r="N693" s="16" t="n">
        <v>0</v>
      </c>
      <c r="O693" s="12" t="n"/>
      <c r="P693" s="12" t="n"/>
      <c r="Q693" s="12" t="n"/>
      <c r="R693" s="14">
        <f>IF(AND(ISNUMBER(L693),ISNUMBER(P693),ISNUMBER(Q693)),L693/((P693+Q693)/2)-1,"")</f>
        <v/>
      </c>
      <c r="S693" s="10" t="n"/>
      <c r="T693" s="15" t="n">
        <v>147790</v>
      </c>
      <c r="U693" s="16" t="n">
        <v>2003</v>
      </c>
      <c r="V693" s="10" t="n"/>
      <c r="W693" s="10" t="inlineStr">
        <is>
          <t>Essence</t>
        </is>
      </c>
      <c r="X693" s="10" t="inlineStr">
        <is>
          <t>Manuelle</t>
        </is>
      </c>
      <c r="Y693" s="16" t="n">
        <v>75</v>
      </c>
      <c r="Z693" s="16" t="n">
        <v>5</v>
      </c>
      <c r="AA693" s="10" t="inlineStr">
        <is>
          <t>Bleu</t>
        </is>
      </c>
      <c r="AB693" s="16" t="n">
        <v>3</v>
      </c>
      <c r="AC693" s="10" t="inlineStr">
        <is>
          <t>Citadine</t>
        </is>
      </c>
      <c r="AD693" s="10" t="n"/>
      <c r="AE693" s="10" t="n"/>
      <c r="AF693" s="10" t="inlineStr">
        <is>
          <t>Particulier</t>
        </is>
      </c>
      <c r="AG693" s="10" t="inlineStr">
        <is>
          <t>Noyal-Châtillon-sur-Seiche</t>
        </is>
      </c>
      <c r="AH693" s="10" t="inlineStr">
        <is>
          <t>35230</t>
        </is>
      </c>
      <c r="AI693" s="10" t="inlineStr">
        <is>
          <t>Ille-et-Vilaine</t>
        </is>
      </c>
      <c r="AJ693" s="10" t="inlineStr">
        <is>
          <t>Bretagne</t>
        </is>
      </c>
      <c r="AK693" s="16" t="n"/>
      <c r="AL693" s="10" t="n"/>
      <c r="AM693" s="10" t="n"/>
      <c r="AN693" s="10" t="n"/>
      <c r="AO693" s="10" t="n"/>
      <c r="AP693" s="19" t="inlineStr">
        <is>
          <t>Voir</t>
        </is>
      </c>
      <c r="AQ693" s="10" t="inlineStr">
        <is>
          <t>3264401233</t>
        </is>
      </c>
    </row>
    <row r="694">
      <c r="A694" s="10" t="inlineStr">
        <is>
          <t>Renault Twingo 1 découvrable</t>
        </is>
      </c>
      <c r="B694" s="10" t="inlineStr">
        <is>
          <t>Twingo 1 toit ouvrant</t>
        </is>
      </c>
      <c r="C694" s="10" t="n"/>
      <c r="D694" s="10" t="n"/>
      <c r="E694" s="10" t="inlineStr">
        <is>
          <t>En vente</t>
        </is>
      </c>
      <c r="F694" s="18" t="n">
        <v>46272</v>
      </c>
      <c r="G694" s="18" t="n">
        <v>46272</v>
      </c>
      <c r="H694" s="18" t="n">
        <v>46296</v>
      </c>
      <c r="I694" s="18" t="n"/>
      <c r="J694" s="17">
        <f>IF(OR(ISNUMBER(F694),ISNUMBER(G694)),IF(ISNUMBER(I694),I694,H694)-IF(ISNUMBER(F694),F694,G694),"")</f>
        <v/>
      </c>
      <c r="K694" s="12" t="n">
        <v>1200</v>
      </c>
      <c r="L694" s="12" t="n">
        <v>1200</v>
      </c>
      <c r="M694" s="13">
        <f>IF(AND(ISNUMBER(K694),ISNUMBER(L694),K694&gt;0),1-L694/K694,"")</f>
        <v/>
      </c>
      <c r="N694" s="16" t="n">
        <v>0</v>
      </c>
      <c r="O694" s="12" t="n"/>
      <c r="P694" s="12" t="n"/>
      <c r="Q694" s="12" t="n"/>
      <c r="R694" s="14">
        <f>IF(AND(ISNUMBER(L694),ISNUMBER(P694),ISNUMBER(Q694)),L694/((P694+Q694)/2)-1,"")</f>
        <v/>
      </c>
      <c r="S694" s="10" t="n"/>
      <c r="T694" s="15" t="n">
        <v>202000</v>
      </c>
      <c r="U694" s="16" t="n">
        <v>1998</v>
      </c>
      <c r="V694" s="10" t="n"/>
      <c r="W694" s="10" t="inlineStr">
        <is>
          <t>Essence</t>
        </is>
      </c>
      <c r="X694" s="10" t="inlineStr">
        <is>
          <t>Manuelle</t>
        </is>
      </c>
      <c r="Y694" s="16" t="n">
        <v>60</v>
      </c>
      <c r="Z694" s="16" t="n">
        <v>4</v>
      </c>
      <c r="AA694" s="10" t="inlineStr">
        <is>
          <t>Jaune</t>
        </is>
      </c>
      <c r="AB694" s="16" t="n">
        <v>3</v>
      </c>
      <c r="AC694" s="10" t="inlineStr">
        <is>
          <t>Berline</t>
        </is>
      </c>
      <c r="AD694" s="10" t="n"/>
      <c r="AE694" s="10" t="n"/>
      <c r="AF694" s="10" t="inlineStr">
        <is>
          <t>Particulier</t>
        </is>
      </c>
      <c r="AG694" s="10" t="inlineStr">
        <is>
          <t>Crest</t>
        </is>
      </c>
      <c r="AH694" s="10" t="inlineStr">
        <is>
          <t>26400</t>
        </is>
      </c>
      <c r="AI694" s="10" t="inlineStr">
        <is>
          <t>Drôme</t>
        </is>
      </c>
      <c r="AJ694" s="10" t="inlineStr">
        <is>
          <t>Rhône-Alpes</t>
        </is>
      </c>
      <c r="AK694" s="16" t="n"/>
      <c r="AL694" s="10" t="n"/>
      <c r="AM694" s="10" t="n"/>
      <c r="AN694" s="10" t="n"/>
      <c r="AO694" s="10" t="n"/>
      <c r="AP694" s="19" t="inlineStr">
        <is>
          <t>Voir</t>
        </is>
      </c>
      <c r="AQ694" s="10" t="inlineStr">
        <is>
          <t>3265418338</t>
        </is>
      </c>
    </row>
    <row r="695">
      <c r="A695" s="10" t="inlineStr">
        <is>
          <t>Renault Twingo 1 découvrable</t>
        </is>
      </c>
      <c r="B695" s="10" t="inlineStr">
        <is>
          <t>Twingo 1 Phase 2 – Toit ouvrant – 1.2 essence – Fiable</t>
        </is>
      </c>
      <c r="C695" s="10" t="n"/>
      <c r="D695" s="10" t="n"/>
      <c r="E695" s="10" t="inlineStr">
        <is>
          <t>En vente</t>
        </is>
      </c>
      <c r="F695" s="18" t="n">
        <v>46278</v>
      </c>
      <c r="G695" s="18" t="n">
        <v>46278</v>
      </c>
      <c r="H695" s="18" t="n">
        <v>46296</v>
      </c>
      <c r="I695" s="18" t="n"/>
      <c r="J695" s="17">
        <f>IF(OR(ISNUMBER(F695),ISNUMBER(G695)),IF(ISNUMBER(I695),I695,H695)-IF(ISNUMBER(F695),F695,G695),"")</f>
        <v/>
      </c>
      <c r="K695" s="12" t="n">
        <v>1800</v>
      </c>
      <c r="L695" s="12" t="n">
        <v>1800</v>
      </c>
      <c r="M695" s="13">
        <f>IF(AND(ISNUMBER(K695),ISNUMBER(L695),K695&gt;0),1-L695/K695,"")</f>
        <v/>
      </c>
      <c r="N695" s="16" t="n">
        <v>0</v>
      </c>
      <c r="O695" s="12" t="n"/>
      <c r="P695" s="12" t="n"/>
      <c r="Q695" s="12" t="n"/>
      <c r="R695" s="14">
        <f>IF(AND(ISNUMBER(L695),ISNUMBER(P695),ISNUMBER(Q695)),L695/((P695+Q695)/2)-1,"")</f>
        <v/>
      </c>
      <c r="S695" s="10" t="n"/>
      <c r="T695" s="15" t="n">
        <v>218000</v>
      </c>
      <c r="U695" s="16" t="n">
        <v>2003</v>
      </c>
      <c r="V695" s="10" t="n"/>
      <c r="W695" s="10" t="inlineStr">
        <is>
          <t>Essence</t>
        </is>
      </c>
      <c r="X695" s="10" t="inlineStr">
        <is>
          <t>Manuelle</t>
        </is>
      </c>
      <c r="Y695" s="16" t="n">
        <v>75</v>
      </c>
      <c r="Z695" s="16" t="n">
        <v>5</v>
      </c>
      <c r="AA695" s="10" t="inlineStr">
        <is>
          <t>Autre</t>
        </is>
      </c>
      <c r="AB695" s="16" t="n">
        <v>3</v>
      </c>
      <c r="AC695" s="10" t="inlineStr">
        <is>
          <t>Berline</t>
        </is>
      </c>
      <c r="AD695" s="10" t="n"/>
      <c r="AE695" s="10" t="n"/>
      <c r="AF695" s="10" t="inlineStr">
        <is>
          <t>Particulier</t>
        </is>
      </c>
      <c r="AG695" s="10" t="inlineStr">
        <is>
          <t>Chécy</t>
        </is>
      </c>
      <c r="AH695" s="10" t="inlineStr">
        <is>
          <t>45430</t>
        </is>
      </c>
      <c r="AI695" s="10" t="inlineStr">
        <is>
          <t>Loiret</t>
        </is>
      </c>
      <c r="AJ695" s="10" t="inlineStr">
        <is>
          <t>Centre</t>
        </is>
      </c>
      <c r="AK695" s="16" t="n"/>
      <c r="AL695" s="10" t="n"/>
      <c r="AM695" s="10" t="n"/>
      <c r="AN695" s="10" t="n"/>
      <c r="AO695" s="10" t="n"/>
      <c r="AP695" s="19" t="inlineStr">
        <is>
          <t>Voir</t>
        </is>
      </c>
      <c r="AQ695" s="10" t="inlineStr">
        <is>
          <t>3269220561</t>
        </is>
      </c>
    </row>
    <row r="696">
      <c r="A696" s="10" t="inlineStr">
        <is>
          <t>Renault Twingo 1 découvrable</t>
        </is>
      </c>
      <c r="B696" s="10" t="inlineStr">
        <is>
          <t>TWINGO I, toit ouvrant</t>
        </is>
      </c>
      <c r="C696" s="10" t="n"/>
      <c r="D696" s="10" t="n"/>
      <c r="E696" s="10" t="inlineStr">
        <is>
          <t>En vente</t>
        </is>
      </c>
      <c r="F696" s="18" t="n">
        <v>46279</v>
      </c>
      <c r="G696" s="18" t="n">
        <v>46279</v>
      </c>
      <c r="H696" s="18" t="n">
        <v>46296</v>
      </c>
      <c r="I696" s="18" t="n"/>
      <c r="J696" s="17">
        <f>IF(OR(ISNUMBER(F696),ISNUMBER(G696)),IF(ISNUMBER(I696),I696,H696)-IF(ISNUMBER(F696),F696,G696),"")</f>
        <v/>
      </c>
      <c r="K696" s="12" t="n">
        <v>2900</v>
      </c>
      <c r="L696" s="12" t="n">
        <v>2900</v>
      </c>
      <c r="M696" s="13">
        <f>IF(AND(ISNUMBER(K696),ISNUMBER(L696),K696&gt;0),1-L696/K696,"")</f>
        <v/>
      </c>
      <c r="N696" s="16" t="n">
        <v>0</v>
      </c>
      <c r="O696" s="12" t="n"/>
      <c r="P696" s="12" t="n"/>
      <c r="Q696" s="12" t="n"/>
      <c r="R696" s="14">
        <f>IF(AND(ISNUMBER(L696),ISNUMBER(P696),ISNUMBER(Q696)),L696/((P696+Q696)/2)-1,"")</f>
        <v/>
      </c>
      <c r="S696" s="10" t="n"/>
      <c r="T696" s="15" t="n">
        <v>213000</v>
      </c>
      <c r="U696" s="16" t="n">
        <v>2003</v>
      </c>
      <c r="V696" s="10" t="n"/>
      <c r="W696" s="10" t="inlineStr">
        <is>
          <t>Essence</t>
        </is>
      </c>
      <c r="X696" s="10" t="inlineStr">
        <is>
          <t>Manuelle</t>
        </is>
      </c>
      <c r="Y696" s="16" t="n">
        <v>75</v>
      </c>
      <c r="Z696" s="16" t="n">
        <v>5</v>
      </c>
      <c r="AA696" s="10" t="inlineStr">
        <is>
          <t>Gris</t>
        </is>
      </c>
      <c r="AB696" s="16" t="n">
        <v>3</v>
      </c>
      <c r="AC696" s="10" t="inlineStr">
        <is>
          <t>Berline</t>
        </is>
      </c>
      <c r="AD696" s="10" t="n"/>
      <c r="AE696" s="10" t="n"/>
      <c r="AF696" s="10" t="inlineStr">
        <is>
          <t>Particulier</t>
        </is>
      </c>
      <c r="AG696" s="10" t="inlineStr">
        <is>
          <t>Dijon</t>
        </is>
      </c>
      <c r="AH696" s="10" t="inlineStr">
        <is>
          <t>21000</t>
        </is>
      </c>
      <c r="AI696" s="10" t="inlineStr">
        <is>
          <t>Côte-d'Or</t>
        </is>
      </c>
      <c r="AJ696" s="10" t="inlineStr">
        <is>
          <t>Bourgogne</t>
        </is>
      </c>
      <c r="AK696" s="16" t="n"/>
      <c r="AL696" s="10" t="n"/>
      <c r="AM696" s="10" t="n"/>
      <c r="AN696" s="10" t="n"/>
      <c r="AO696" s="10" t="n"/>
      <c r="AP696" s="19" t="inlineStr">
        <is>
          <t>Voir</t>
        </is>
      </c>
      <c r="AQ696" s="10" t="inlineStr">
        <is>
          <t>3269820668</t>
        </is>
      </c>
    </row>
    <row r="697">
      <c r="A697" s="10" t="inlineStr">
        <is>
          <t>Renault Twingo 1 découvrable</t>
        </is>
      </c>
      <c r="B697" s="10" t="inlineStr">
        <is>
          <t>Twingo 2003 toit ouvrant</t>
        </is>
      </c>
      <c r="C697" s="10" t="n"/>
      <c r="D697" s="10" t="n"/>
      <c r="E697" s="10" t="inlineStr">
        <is>
          <t>En vente</t>
        </is>
      </c>
      <c r="F697" s="18" t="n">
        <v>46282</v>
      </c>
      <c r="G697" s="18" t="n">
        <v>46282</v>
      </c>
      <c r="H697" s="18" t="n">
        <v>46296</v>
      </c>
      <c r="I697" s="18" t="n"/>
      <c r="J697" s="17">
        <f>IF(OR(ISNUMBER(F697),ISNUMBER(G697)),IF(ISNUMBER(I697),I697,H697)-IF(ISNUMBER(F697),F697,G697),"")</f>
        <v/>
      </c>
      <c r="K697" s="12" t="n">
        <v>1750</v>
      </c>
      <c r="L697" s="12" t="n">
        <v>1750</v>
      </c>
      <c r="M697" s="13">
        <f>IF(AND(ISNUMBER(K697),ISNUMBER(L697),K697&gt;0),1-L697/K697,"")</f>
        <v/>
      </c>
      <c r="N697" s="16" t="n">
        <v>0</v>
      </c>
      <c r="O697" s="12" t="n"/>
      <c r="P697" s="12" t="n"/>
      <c r="Q697" s="12" t="n"/>
      <c r="R697" s="14">
        <f>IF(AND(ISNUMBER(L697),ISNUMBER(P697),ISNUMBER(Q697)),L697/((P697+Q697)/2)-1,"")</f>
        <v/>
      </c>
      <c r="S697" s="10" t="n"/>
      <c r="T697" s="15" t="n">
        <v>150000</v>
      </c>
      <c r="U697" s="16" t="n">
        <v>2003</v>
      </c>
      <c r="V697" s="10" t="n"/>
      <c r="W697" s="10" t="inlineStr">
        <is>
          <t>Essence</t>
        </is>
      </c>
      <c r="X697" s="10" t="inlineStr">
        <is>
          <t>Manuelle</t>
        </is>
      </c>
      <c r="Y697" s="16" t="n">
        <v>60</v>
      </c>
      <c r="Z697" s="16" t="n">
        <v>4</v>
      </c>
      <c r="AA697" s="10" t="inlineStr">
        <is>
          <t>Autre</t>
        </is>
      </c>
      <c r="AB697" s="16" t="n">
        <v>3</v>
      </c>
      <c r="AC697" s="10" t="inlineStr">
        <is>
          <t>Berline</t>
        </is>
      </c>
      <c r="AD697" s="10" t="n"/>
      <c r="AE697" s="10" t="n"/>
      <c r="AF697" s="10" t="inlineStr">
        <is>
          <t>Particulier</t>
        </is>
      </c>
      <c r="AG697" s="10" t="inlineStr">
        <is>
          <t>Réguisheim</t>
        </is>
      </c>
      <c r="AH697" s="10" t="inlineStr">
        <is>
          <t>68890</t>
        </is>
      </c>
      <c r="AI697" s="10" t="inlineStr">
        <is>
          <t>Haut-Rhin</t>
        </is>
      </c>
      <c r="AJ697" s="10" t="inlineStr">
        <is>
          <t>Alsace</t>
        </is>
      </c>
      <c r="AK697" s="16" t="n"/>
      <c r="AL697" s="10" t="n"/>
      <c r="AM697" s="10" t="n"/>
      <c r="AN697" s="10" t="n"/>
      <c r="AO697" s="10" t="n"/>
      <c r="AP697" s="19" t="inlineStr">
        <is>
          <t>Voir</t>
        </is>
      </c>
      <c r="AQ697" s="10" t="inlineStr">
        <is>
          <t>3271251775</t>
        </is>
      </c>
    </row>
    <row r="698">
      <c r="A698" s="10" t="inlineStr">
        <is>
          <t>Renault Twingo 1 découvrable</t>
        </is>
      </c>
      <c r="B698" s="10" t="inlineStr">
        <is>
          <t>Twingo Campus 1.2 - Toit ouvrant panoramique</t>
        </is>
      </c>
      <c r="C698" s="10" t="n"/>
      <c r="D698" s="10" t="n"/>
      <c r="E698" s="10" t="inlineStr">
        <is>
          <t>En vente</t>
        </is>
      </c>
      <c r="F698" s="18" t="n">
        <v>46282</v>
      </c>
      <c r="G698" s="18" t="n">
        <v>46282</v>
      </c>
      <c r="H698" s="18" t="n">
        <v>46296</v>
      </c>
      <c r="I698" s="18" t="n"/>
      <c r="J698" s="17">
        <f>IF(OR(ISNUMBER(F698),ISNUMBER(G698)),IF(ISNUMBER(I698),I698,H698)-IF(ISNUMBER(F698),F698,G698),"")</f>
        <v/>
      </c>
      <c r="K698" s="12" t="n">
        <v>3500</v>
      </c>
      <c r="L698" s="12" t="n">
        <v>3500</v>
      </c>
      <c r="M698" s="13">
        <f>IF(AND(ISNUMBER(K698),ISNUMBER(L698),K698&gt;0),1-L698/K698,"")</f>
        <v/>
      </c>
      <c r="N698" s="16" t="n">
        <v>0</v>
      </c>
      <c r="O698" s="12" t="n"/>
      <c r="P698" s="12" t="n"/>
      <c r="Q698" s="12" t="n"/>
      <c r="R698" s="14">
        <f>IF(AND(ISNUMBER(L698),ISNUMBER(P698),ISNUMBER(Q698)),L698/((P698+Q698)/2)-1,"")</f>
        <v/>
      </c>
      <c r="S698" s="10" t="n"/>
      <c r="T698" s="15" t="n">
        <v>117600</v>
      </c>
      <c r="U698" s="16" t="n">
        <v>2003</v>
      </c>
      <c r="V698" s="10" t="n"/>
      <c r="W698" s="10" t="inlineStr">
        <is>
          <t>Essence</t>
        </is>
      </c>
      <c r="X698" s="10" t="inlineStr">
        <is>
          <t>Manuelle</t>
        </is>
      </c>
      <c r="Y698" s="16" t="n">
        <v>60</v>
      </c>
      <c r="Z698" s="16" t="n">
        <v>4</v>
      </c>
      <c r="AA698" s="10" t="inlineStr">
        <is>
          <t>Autre</t>
        </is>
      </c>
      <c r="AB698" s="16" t="n">
        <v>3</v>
      </c>
      <c r="AC698" s="10" t="inlineStr">
        <is>
          <t>Berline</t>
        </is>
      </c>
      <c r="AD698" s="10" t="n"/>
      <c r="AE698" s="10" t="n"/>
      <c r="AF698" s="10" t="inlineStr">
        <is>
          <t>Particulier</t>
        </is>
      </c>
      <c r="AG698" s="10" t="inlineStr">
        <is>
          <t>Boulogne-Billancourt</t>
        </is>
      </c>
      <c r="AH698" s="10" t="inlineStr">
        <is>
          <t>92100</t>
        </is>
      </c>
      <c r="AI698" s="10" t="inlineStr">
        <is>
          <t>Hauts-de-Seine</t>
        </is>
      </c>
      <c r="AJ698" s="10" t="inlineStr">
        <is>
          <t>Ile-de-France</t>
        </is>
      </c>
      <c r="AK698" s="16" t="n"/>
      <c r="AL698" s="10" t="n"/>
      <c r="AM698" s="10" t="n"/>
      <c r="AN698" s="10" t="n"/>
      <c r="AO698" s="10" t="n"/>
      <c r="AP698" s="19" t="inlineStr">
        <is>
          <t>Voir</t>
        </is>
      </c>
      <c r="AQ698" s="10" t="inlineStr">
        <is>
          <t>3271536730</t>
        </is>
      </c>
    </row>
    <row r="699">
      <c r="A699" s="10" t="inlineStr">
        <is>
          <t>Renault Twingo 1 découvrable</t>
        </is>
      </c>
      <c r="B699" s="10" t="inlineStr">
        <is>
          <t>Twingo 1 toit ouvrant</t>
        </is>
      </c>
      <c r="C699" s="10" t="n"/>
      <c r="D699" s="10" t="n"/>
      <c r="E699" s="10" t="inlineStr">
        <is>
          <t>En vente</t>
        </is>
      </c>
      <c r="F699" s="18" t="n">
        <v>46294</v>
      </c>
      <c r="G699" s="18" t="n">
        <v>46294</v>
      </c>
      <c r="H699" s="18" t="n">
        <v>46296</v>
      </c>
      <c r="I699" s="18" t="n"/>
      <c r="J699" s="17">
        <f>IF(OR(ISNUMBER(F699),ISNUMBER(G699)),IF(ISNUMBER(I699),I699,H699)-IF(ISNUMBER(F699),F699,G699),"")</f>
        <v/>
      </c>
      <c r="K699" s="12" t="n">
        <v>3800</v>
      </c>
      <c r="L699" s="12" t="n">
        <v>3800</v>
      </c>
      <c r="M699" s="13">
        <f>IF(AND(ISNUMBER(K699),ISNUMBER(L699),K699&gt;0),1-L699/K699,"")</f>
        <v/>
      </c>
      <c r="N699" s="16" t="n">
        <v>0</v>
      </c>
      <c r="O699" s="12" t="n"/>
      <c r="P699" s="12" t="n"/>
      <c r="Q699" s="12" t="n"/>
      <c r="R699" s="14">
        <f>IF(AND(ISNUMBER(L699),ISNUMBER(P699),ISNUMBER(Q699)),L699/((P699+Q699)/2)-1,"")</f>
        <v/>
      </c>
      <c r="S699" s="10" t="n"/>
      <c r="T699" s="15" t="n">
        <v>80000</v>
      </c>
      <c r="U699" s="16" t="n">
        <v>2004</v>
      </c>
      <c r="V699" s="10" t="n"/>
      <c r="W699" s="10" t="inlineStr">
        <is>
          <t>Essence</t>
        </is>
      </c>
      <c r="X699" s="10" t="inlineStr">
        <is>
          <t>Manuelle</t>
        </is>
      </c>
      <c r="Y699" s="16" t="n">
        <v>60</v>
      </c>
      <c r="Z699" s="16" t="n">
        <v>4</v>
      </c>
      <c r="AA699" s="10" t="inlineStr">
        <is>
          <t>Rouge</t>
        </is>
      </c>
      <c r="AB699" s="16" t="n">
        <v>3</v>
      </c>
      <c r="AC699" s="10" t="inlineStr">
        <is>
          <t>Berline</t>
        </is>
      </c>
      <c r="AD699" s="10" t="n"/>
      <c r="AE699" s="10" t="n"/>
      <c r="AF699" s="10" t="inlineStr">
        <is>
          <t>Particulier</t>
        </is>
      </c>
      <c r="AG699" s="10" t="inlineStr">
        <is>
          <t>Lille</t>
        </is>
      </c>
      <c r="AH699" s="10" t="inlineStr">
        <is>
          <t>59000</t>
        </is>
      </c>
      <c r="AI699" s="10" t="inlineStr">
        <is>
          <t>Nord</t>
        </is>
      </c>
      <c r="AJ699" s="10" t="inlineStr">
        <is>
          <t>Nord-Pas-de-Calais</t>
        </is>
      </c>
      <c r="AK699" s="16" t="n"/>
      <c r="AL699" s="10" t="n"/>
      <c r="AM699" s="10" t="n"/>
      <c r="AN699" s="10" t="n"/>
      <c r="AO699" s="10" t="n"/>
      <c r="AP699" s="19" t="inlineStr">
        <is>
          <t>Voir</t>
        </is>
      </c>
      <c r="AQ699" s="10" t="inlineStr">
        <is>
          <t>3279265139</t>
        </is>
      </c>
    </row>
    <row r="700">
      <c r="A700" s="10" t="inlineStr">
        <is>
          <t>Renault Twingo 1 découvrable</t>
        </is>
      </c>
      <c r="B700" s="10" t="inlineStr">
        <is>
          <t>RENAULT TWINGO 1.2 16v 75 CH INITIALE boite automatique TOIT OUVRANT FAIBLE KILOMETRAGE 68 201 KM ETAT RARE TRES BI</t>
        </is>
      </c>
      <c r="C700" s="10" t="n"/>
      <c r="D700" s="10" t="n"/>
      <c r="E700" s="10" t="inlineStr">
        <is>
          <t>En vente</t>
        </is>
      </c>
      <c r="F700" s="18" t="n">
        <v>46296</v>
      </c>
      <c r="G700" s="18" t="n">
        <v>46296</v>
      </c>
      <c r="H700" s="18" t="n">
        <v>46296</v>
      </c>
      <c r="I700" s="18" t="n"/>
      <c r="J700" s="17">
        <f>IF(OR(ISNUMBER(F700),ISNUMBER(G700)),IF(ISNUMBER(I700),I700,H700)-IF(ISNUMBER(F700),F700,G700),"")</f>
        <v/>
      </c>
      <c r="K700" s="12" t="n">
        <v>5990</v>
      </c>
      <c r="L700" s="12" t="n">
        <v>5990</v>
      </c>
      <c r="M700" s="13">
        <f>IF(AND(ISNUMBER(K700),ISNUMBER(L700),K700&gt;0),1-L700/K700,"")</f>
        <v/>
      </c>
      <c r="N700" s="16" t="n">
        <v>0</v>
      </c>
      <c r="O700" s="12" t="n"/>
      <c r="P700" s="12" t="n"/>
      <c r="Q700" s="12" t="n"/>
      <c r="R700" s="14">
        <f>IF(AND(ISNUMBER(L700),ISNUMBER(P700),ISNUMBER(Q700)),L700/((P700+Q700)/2)-1,"")</f>
        <v/>
      </c>
      <c r="S700" s="10" t="n"/>
      <c r="T700" s="15" t="n">
        <v>68189</v>
      </c>
      <c r="U700" s="16" t="n">
        <v>2007</v>
      </c>
      <c r="V700" s="10" t="n"/>
      <c r="W700" s="10" t="inlineStr">
        <is>
          <t>Essence</t>
        </is>
      </c>
      <c r="X700" s="10" t="inlineStr">
        <is>
          <t>Automatique</t>
        </is>
      </c>
      <c r="Y700" s="16" t="n">
        <v>75</v>
      </c>
      <c r="Z700" s="16" t="n">
        <v>5</v>
      </c>
      <c r="AA700" s="10" t="inlineStr">
        <is>
          <t>Autre</t>
        </is>
      </c>
      <c r="AB700" s="16" t="n">
        <v>3</v>
      </c>
      <c r="AC700" s="10" t="inlineStr">
        <is>
          <t>Berline</t>
        </is>
      </c>
      <c r="AD700" s="10" t="n"/>
      <c r="AE700" s="10" t="n"/>
      <c r="AF700" s="10" t="inlineStr">
        <is>
          <t>Pro</t>
        </is>
      </c>
      <c r="AG700" s="10" t="inlineStr">
        <is>
          <t>Versailles</t>
        </is>
      </c>
      <c r="AH700" s="10" t="inlineStr">
        <is>
          <t>78000</t>
        </is>
      </c>
      <c r="AI700" s="10" t="inlineStr">
        <is>
          <t>Yvelines</t>
        </is>
      </c>
      <c r="AJ700" s="10" t="inlineStr">
        <is>
          <t>Ile-de-France</t>
        </is>
      </c>
      <c r="AK700" s="16" t="n"/>
      <c r="AL700" s="10" t="n"/>
      <c r="AM700" s="10" t="n"/>
      <c r="AN700" s="10" t="n"/>
      <c r="AO700" s="10" t="n"/>
      <c r="AP700" s="19" t="inlineStr">
        <is>
          <t>Voir</t>
        </is>
      </c>
      <c r="AQ700" s="10" t="inlineStr">
        <is>
          <t>3280012848</t>
        </is>
      </c>
    </row>
    <row r="701">
      <c r="A701" s="10" t="inlineStr">
        <is>
          <t>Volkswagen Golf IV GTI 25th Anniversary</t>
        </is>
      </c>
      <c r="B701" s="10" t="inlineStr">
        <is>
          <t>Golf 4 gti 25</t>
        </is>
      </c>
      <c r="C701" s="10" t="n"/>
      <c r="D701" s="10" t="n"/>
      <c r="E701" s="10" t="inlineStr">
        <is>
          <t>En vente</t>
        </is>
      </c>
      <c r="F701" s="18" t="n">
        <v>46303</v>
      </c>
      <c r="G701" s="18" t="n">
        <v>46303</v>
      </c>
      <c r="H701" s="18" t="n">
        <v>46310</v>
      </c>
      <c r="I701" s="18" t="n"/>
      <c r="J701" s="17">
        <f>IF(OR(ISNUMBER(F701),ISNUMBER(G701)),IF(ISNUMBER(I701),I701,H701)-IF(ISNUMBER(F701),F701,G701),"")</f>
        <v/>
      </c>
      <c r="K701" s="12" t="n">
        <v>11000</v>
      </c>
      <c r="L701" s="12" t="n">
        <v>11000</v>
      </c>
      <c r="M701" s="13">
        <f>IF(AND(ISNUMBER(K701),ISNUMBER(L701),K701&gt;0),1-L701/K701,"")</f>
        <v/>
      </c>
      <c r="N701" s="16" t="n">
        <v>0</v>
      </c>
      <c r="O701" s="12" t="n"/>
      <c r="P701" s="12" t="n"/>
      <c r="Q701" s="12" t="n"/>
      <c r="R701" s="14">
        <f>IF(AND(ISNUMBER(L701),ISNUMBER(P701),ISNUMBER(Q701)),L701/((P701+Q701)/2)-1,"")</f>
        <v/>
      </c>
      <c r="S701" s="10" t="n"/>
      <c r="T701" s="15" t="n">
        <v>195000</v>
      </c>
      <c r="U701" s="16" t="n">
        <v>2001</v>
      </c>
      <c r="V701" s="10" t="inlineStr">
        <is>
          <t>12/2001</t>
        </is>
      </c>
      <c r="W701" s="10" t="inlineStr">
        <is>
          <t>Essence</t>
        </is>
      </c>
      <c r="X701" s="10" t="inlineStr">
        <is>
          <t>Manuelle</t>
        </is>
      </c>
      <c r="Y701" s="16" t="n">
        <v>180</v>
      </c>
      <c r="Z701" s="16" t="n">
        <v>11</v>
      </c>
      <c r="AA701" s="10" t="inlineStr">
        <is>
          <t>Noir</t>
        </is>
      </c>
      <c r="AB701" s="16" t="n">
        <v>3</v>
      </c>
      <c r="AC701" s="10" t="inlineStr">
        <is>
          <t>Berline</t>
        </is>
      </c>
      <c r="AD701" s="10" t="inlineStr">
        <is>
          <t>Carnet d'entretien disponible, Factures disponibles, Véhicule non fumeur</t>
        </is>
      </c>
      <c r="AE701" s="10" t="n"/>
      <c r="AF701" s="10" t="inlineStr">
        <is>
          <t>Particulier</t>
        </is>
      </c>
      <c r="AG701" s="10" t="inlineStr">
        <is>
          <t>Laval</t>
        </is>
      </c>
      <c r="AH701" s="10" t="inlineStr">
        <is>
          <t>53000</t>
        </is>
      </c>
      <c r="AI701" s="10" t="inlineStr">
        <is>
          <t>Mayenne</t>
        </is>
      </c>
      <c r="AJ701" s="10" t="inlineStr">
        <is>
          <t>Pays de la Loire</t>
        </is>
      </c>
      <c r="AK701" s="16" t="n">
        <v>3</v>
      </c>
      <c r="AL701" s="10" t="n"/>
      <c r="AM701" s="10" t="inlineStr">
        <is>
          <t>Non</t>
        </is>
      </c>
      <c r="AN701" s="10" t="inlineStr">
        <is>
          <t>Golf 4 gti 25 anniversaire gti 25th Origine juste un kit admission de rajouter Batterie neuve Ne roule plus car véhicule de fonction 4 pneus neufs pour la vente avec Contrôle technique. Reste à faire : distribution, vidange et panneaux de portes qui se décolle . Carnet d’entretien 3 clefs Factures</t>
        </is>
      </c>
      <c r="AO701" s="10" t="inlineStr">
        <is>
          <t>vehicle_technical_inspection_valid : Oui ; Contrôle technique : 2026 ; Dommages : Traces d’usure normales ; Sellerie : Tissu ; Permis : Avec permis ; Importé : false</t>
        </is>
      </c>
      <c r="AP701" s="19" t="inlineStr">
        <is>
          <t>Voir</t>
        </is>
      </c>
      <c r="AQ701" s="10" t="inlineStr">
        <is>
          <t>3284612097</t>
        </is>
      </c>
    </row>
  </sheetData>
  <autoFilter ref="A1:AQ701"/>
  <hyperlinks>
    <hyperlink xmlns:r="http://schemas.openxmlformats.org/officeDocument/2006/relationships" ref="AP2" r:id="rId1"/>
    <hyperlink xmlns:r="http://schemas.openxmlformats.org/officeDocument/2006/relationships" ref="AP3" r:id="rId2"/>
    <hyperlink xmlns:r="http://schemas.openxmlformats.org/officeDocument/2006/relationships" ref="AP4" r:id="rId3"/>
    <hyperlink xmlns:r="http://schemas.openxmlformats.org/officeDocument/2006/relationships" ref="AP5" r:id="rId4"/>
    <hyperlink xmlns:r="http://schemas.openxmlformats.org/officeDocument/2006/relationships" ref="AP6" r:id="rId5"/>
    <hyperlink xmlns:r="http://schemas.openxmlformats.org/officeDocument/2006/relationships" ref="AP7" r:id="rId6"/>
    <hyperlink xmlns:r="http://schemas.openxmlformats.org/officeDocument/2006/relationships" ref="AP8" r:id="rId7"/>
    <hyperlink xmlns:r="http://schemas.openxmlformats.org/officeDocument/2006/relationships" ref="AP9" r:id="rId8"/>
    <hyperlink xmlns:r="http://schemas.openxmlformats.org/officeDocument/2006/relationships" ref="AP10" r:id="rId9"/>
    <hyperlink xmlns:r="http://schemas.openxmlformats.org/officeDocument/2006/relationships" ref="AP11" r:id="rId10"/>
    <hyperlink xmlns:r="http://schemas.openxmlformats.org/officeDocument/2006/relationships" ref="AP12" r:id="rId11"/>
    <hyperlink xmlns:r="http://schemas.openxmlformats.org/officeDocument/2006/relationships" ref="AP13" r:id="rId12"/>
    <hyperlink xmlns:r="http://schemas.openxmlformats.org/officeDocument/2006/relationships" ref="AP14" r:id="rId13"/>
    <hyperlink xmlns:r="http://schemas.openxmlformats.org/officeDocument/2006/relationships" ref="AP15" r:id="rId14"/>
    <hyperlink xmlns:r="http://schemas.openxmlformats.org/officeDocument/2006/relationships" ref="AP16" r:id="rId15"/>
    <hyperlink xmlns:r="http://schemas.openxmlformats.org/officeDocument/2006/relationships" ref="AP17" r:id="rId16"/>
    <hyperlink xmlns:r="http://schemas.openxmlformats.org/officeDocument/2006/relationships" ref="AP18" r:id="rId17"/>
    <hyperlink xmlns:r="http://schemas.openxmlformats.org/officeDocument/2006/relationships" ref="AP19" r:id="rId18"/>
    <hyperlink xmlns:r="http://schemas.openxmlformats.org/officeDocument/2006/relationships" ref="AP20" r:id="rId19"/>
    <hyperlink xmlns:r="http://schemas.openxmlformats.org/officeDocument/2006/relationships" ref="AP21" r:id="rId20"/>
    <hyperlink xmlns:r="http://schemas.openxmlformats.org/officeDocument/2006/relationships" ref="AP22" r:id="rId21"/>
    <hyperlink xmlns:r="http://schemas.openxmlformats.org/officeDocument/2006/relationships" ref="AP23" r:id="rId22"/>
    <hyperlink xmlns:r="http://schemas.openxmlformats.org/officeDocument/2006/relationships" ref="AP24" r:id="rId23"/>
    <hyperlink xmlns:r="http://schemas.openxmlformats.org/officeDocument/2006/relationships" ref="AP25" r:id="rId24"/>
    <hyperlink xmlns:r="http://schemas.openxmlformats.org/officeDocument/2006/relationships" ref="AP26" r:id="rId25"/>
    <hyperlink xmlns:r="http://schemas.openxmlformats.org/officeDocument/2006/relationships" ref="AP27" r:id="rId26"/>
    <hyperlink xmlns:r="http://schemas.openxmlformats.org/officeDocument/2006/relationships" ref="AP28" r:id="rId27"/>
    <hyperlink xmlns:r="http://schemas.openxmlformats.org/officeDocument/2006/relationships" ref="AP29" r:id="rId28"/>
    <hyperlink xmlns:r="http://schemas.openxmlformats.org/officeDocument/2006/relationships" ref="AP30" r:id="rId29"/>
    <hyperlink xmlns:r="http://schemas.openxmlformats.org/officeDocument/2006/relationships" ref="AP31" r:id="rId30"/>
    <hyperlink xmlns:r="http://schemas.openxmlformats.org/officeDocument/2006/relationships" ref="AP32" r:id="rId31"/>
    <hyperlink xmlns:r="http://schemas.openxmlformats.org/officeDocument/2006/relationships" ref="AP33" r:id="rId32"/>
    <hyperlink xmlns:r="http://schemas.openxmlformats.org/officeDocument/2006/relationships" ref="AP34" r:id="rId33"/>
    <hyperlink xmlns:r="http://schemas.openxmlformats.org/officeDocument/2006/relationships" ref="AP35" r:id="rId34"/>
    <hyperlink xmlns:r="http://schemas.openxmlformats.org/officeDocument/2006/relationships" ref="AP36" r:id="rId35"/>
    <hyperlink xmlns:r="http://schemas.openxmlformats.org/officeDocument/2006/relationships" ref="AP37" r:id="rId36"/>
    <hyperlink xmlns:r="http://schemas.openxmlformats.org/officeDocument/2006/relationships" ref="AP38" r:id="rId37"/>
    <hyperlink xmlns:r="http://schemas.openxmlformats.org/officeDocument/2006/relationships" ref="AP39" r:id="rId38"/>
    <hyperlink xmlns:r="http://schemas.openxmlformats.org/officeDocument/2006/relationships" ref="AP40" r:id="rId39"/>
    <hyperlink xmlns:r="http://schemas.openxmlformats.org/officeDocument/2006/relationships" ref="AP41" r:id="rId40"/>
    <hyperlink xmlns:r="http://schemas.openxmlformats.org/officeDocument/2006/relationships" ref="AP42" r:id="rId41"/>
    <hyperlink xmlns:r="http://schemas.openxmlformats.org/officeDocument/2006/relationships" ref="AP43" r:id="rId42"/>
    <hyperlink xmlns:r="http://schemas.openxmlformats.org/officeDocument/2006/relationships" ref="AP44" r:id="rId43"/>
    <hyperlink xmlns:r="http://schemas.openxmlformats.org/officeDocument/2006/relationships" ref="AP45" r:id="rId44"/>
    <hyperlink xmlns:r="http://schemas.openxmlformats.org/officeDocument/2006/relationships" ref="AP46" r:id="rId45"/>
    <hyperlink xmlns:r="http://schemas.openxmlformats.org/officeDocument/2006/relationships" ref="AP47" r:id="rId46"/>
    <hyperlink xmlns:r="http://schemas.openxmlformats.org/officeDocument/2006/relationships" ref="AP48" r:id="rId47"/>
    <hyperlink xmlns:r="http://schemas.openxmlformats.org/officeDocument/2006/relationships" ref="AP49" r:id="rId48"/>
    <hyperlink xmlns:r="http://schemas.openxmlformats.org/officeDocument/2006/relationships" ref="AP50" r:id="rId49"/>
    <hyperlink xmlns:r="http://schemas.openxmlformats.org/officeDocument/2006/relationships" ref="AP51" r:id="rId50"/>
    <hyperlink xmlns:r="http://schemas.openxmlformats.org/officeDocument/2006/relationships" ref="AP52" r:id="rId51"/>
    <hyperlink xmlns:r="http://schemas.openxmlformats.org/officeDocument/2006/relationships" ref="AP53" r:id="rId52"/>
    <hyperlink xmlns:r="http://schemas.openxmlformats.org/officeDocument/2006/relationships" ref="AP54" r:id="rId53"/>
    <hyperlink xmlns:r="http://schemas.openxmlformats.org/officeDocument/2006/relationships" ref="AP55" r:id="rId54"/>
    <hyperlink xmlns:r="http://schemas.openxmlformats.org/officeDocument/2006/relationships" ref="AP56" r:id="rId55"/>
    <hyperlink xmlns:r="http://schemas.openxmlformats.org/officeDocument/2006/relationships" ref="AP57" r:id="rId56"/>
    <hyperlink xmlns:r="http://schemas.openxmlformats.org/officeDocument/2006/relationships" ref="AP58" r:id="rId57"/>
    <hyperlink xmlns:r="http://schemas.openxmlformats.org/officeDocument/2006/relationships" ref="AP59" r:id="rId58"/>
    <hyperlink xmlns:r="http://schemas.openxmlformats.org/officeDocument/2006/relationships" ref="AP60" r:id="rId59"/>
    <hyperlink xmlns:r="http://schemas.openxmlformats.org/officeDocument/2006/relationships" ref="AP61" r:id="rId60"/>
    <hyperlink xmlns:r="http://schemas.openxmlformats.org/officeDocument/2006/relationships" ref="AP62" r:id="rId61"/>
    <hyperlink xmlns:r="http://schemas.openxmlformats.org/officeDocument/2006/relationships" ref="AP63" r:id="rId62"/>
    <hyperlink xmlns:r="http://schemas.openxmlformats.org/officeDocument/2006/relationships" ref="AP64" r:id="rId63"/>
    <hyperlink xmlns:r="http://schemas.openxmlformats.org/officeDocument/2006/relationships" ref="AP65" r:id="rId64"/>
    <hyperlink xmlns:r="http://schemas.openxmlformats.org/officeDocument/2006/relationships" ref="AP66" r:id="rId65"/>
    <hyperlink xmlns:r="http://schemas.openxmlformats.org/officeDocument/2006/relationships" ref="AP67" r:id="rId66"/>
    <hyperlink xmlns:r="http://schemas.openxmlformats.org/officeDocument/2006/relationships" ref="AP68" r:id="rId67"/>
    <hyperlink xmlns:r="http://schemas.openxmlformats.org/officeDocument/2006/relationships" ref="AP69" r:id="rId68"/>
    <hyperlink xmlns:r="http://schemas.openxmlformats.org/officeDocument/2006/relationships" ref="AP70" r:id="rId69"/>
    <hyperlink xmlns:r="http://schemas.openxmlformats.org/officeDocument/2006/relationships" ref="AP71" r:id="rId70"/>
    <hyperlink xmlns:r="http://schemas.openxmlformats.org/officeDocument/2006/relationships" ref="AP72" r:id="rId71"/>
    <hyperlink xmlns:r="http://schemas.openxmlformats.org/officeDocument/2006/relationships" ref="AP73" r:id="rId72"/>
    <hyperlink xmlns:r="http://schemas.openxmlformats.org/officeDocument/2006/relationships" ref="AP74" r:id="rId73"/>
    <hyperlink xmlns:r="http://schemas.openxmlformats.org/officeDocument/2006/relationships" ref="AP75" r:id="rId74"/>
    <hyperlink xmlns:r="http://schemas.openxmlformats.org/officeDocument/2006/relationships" ref="AP76" r:id="rId75"/>
    <hyperlink xmlns:r="http://schemas.openxmlformats.org/officeDocument/2006/relationships" ref="AP77" r:id="rId76"/>
    <hyperlink xmlns:r="http://schemas.openxmlformats.org/officeDocument/2006/relationships" ref="AP78" r:id="rId77"/>
    <hyperlink xmlns:r="http://schemas.openxmlformats.org/officeDocument/2006/relationships" ref="AP79" r:id="rId78"/>
    <hyperlink xmlns:r="http://schemas.openxmlformats.org/officeDocument/2006/relationships" ref="AP80" r:id="rId79"/>
    <hyperlink xmlns:r="http://schemas.openxmlformats.org/officeDocument/2006/relationships" ref="AP81" r:id="rId80"/>
    <hyperlink xmlns:r="http://schemas.openxmlformats.org/officeDocument/2006/relationships" ref="AP82" r:id="rId81"/>
    <hyperlink xmlns:r="http://schemas.openxmlformats.org/officeDocument/2006/relationships" ref="AP83" r:id="rId82"/>
    <hyperlink xmlns:r="http://schemas.openxmlformats.org/officeDocument/2006/relationships" ref="AP84" r:id="rId83"/>
    <hyperlink xmlns:r="http://schemas.openxmlformats.org/officeDocument/2006/relationships" ref="AP85" r:id="rId84"/>
    <hyperlink xmlns:r="http://schemas.openxmlformats.org/officeDocument/2006/relationships" ref="AP86" r:id="rId85"/>
    <hyperlink xmlns:r="http://schemas.openxmlformats.org/officeDocument/2006/relationships" ref="AP87" r:id="rId86"/>
    <hyperlink xmlns:r="http://schemas.openxmlformats.org/officeDocument/2006/relationships" ref="AP88" r:id="rId87"/>
    <hyperlink xmlns:r="http://schemas.openxmlformats.org/officeDocument/2006/relationships" ref="AP89" r:id="rId88"/>
    <hyperlink xmlns:r="http://schemas.openxmlformats.org/officeDocument/2006/relationships" ref="AP90" r:id="rId89"/>
    <hyperlink xmlns:r="http://schemas.openxmlformats.org/officeDocument/2006/relationships" ref="AP91" r:id="rId90"/>
    <hyperlink xmlns:r="http://schemas.openxmlformats.org/officeDocument/2006/relationships" ref="AP92" r:id="rId91"/>
    <hyperlink xmlns:r="http://schemas.openxmlformats.org/officeDocument/2006/relationships" ref="AP93" r:id="rId92"/>
    <hyperlink xmlns:r="http://schemas.openxmlformats.org/officeDocument/2006/relationships" ref="AP94" r:id="rId93"/>
    <hyperlink xmlns:r="http://schemas.openxmlformats.org/officeDocument/2006/relationships" ref="AP95" r:id="rId94"/>
    <hyperlink xmlns:r="http://schemas.openxmlformats.org/officeDocument/2006/relationships" ref="AP96" r:id="rId95"/>
    <hyperlink xmlns:r="http://schemas.openxmlformats.org/officeDocument/2006/relationships" ref="AP97" r:id="rId96"/>
    <hyperlink xmlns:r="http://schemas.openxmlformats.org/officeDocument/2006/relationships" ref="AP98" r:id="rId97"/>
    <hyperlink xmlns:r="http://schemas.openxmlformats.org/officeDocument/2006/relationships" ref="AP99" r:id="rId98"/>
    <hyperlink xmlns:r="http://schemas.openxmlformats.org/officeDocument/2006/relationships" ref="AP100" r:id="rId99"/>
    <hyperlink xmlns:r="http://schemas.openxmlformats.org/officeDocument/2006/relationships" ref="AP101" r:id="rId100"/>
    <hyperlink xmlns:r="http://schemas.openxmlformats.org/officeDocument/2006/relationships" ref="AP102" r:id="rId101"/>
    <hyperlink xmlns:r="http://schemas.openxmlformats.org/officeDocument/2006/relationships" ref="AP103" r:id="rId102"/>
    <hyperlink xmlns:r="http://schemas.openxmlformats.org/officeDocument/2006/relationships" ref="AP104" r:id="rId103"/>
    <hyperlink xmlns:r="http://schemas.openxmlformats.org/officeDocument/2006/relationships" ref="AP105" r:id="rId104"/>
    <hyperlink xmlns:r="http://schemas.openxmlformats.org/officeDocument/2006/relationships" ref="AP106" r:id="rId105"/>
    <hyperlink xmlns:r="http://schemas.openxmlformats.org/officeDocument/2006/relationships" ref="AP107" r:id="rId106"/>
    <hyperlink xmlns:r="http://schemas.openxmlformats.org/officeDocument/2006/relationships" ref="AP108" r:id="rId107"/>
    <hyperlink xmlns:r="http://schemas.openxmlformats.org/officeDocument/2006/relationships" ref="AP109" r:id="rId108"/>
    <hyperlink xmlns:r="http://schemas.openxmlformats.org/officeDocument/2006/relationships" ref="AP110" r:id="rId109"/>
    <hyperlink xmlns:r="http://schemas.openxmlformats.org/officeDocument/2006/relationships" ref="AP111" r:id="rId110"/>
    <hyperlink xmlns:r="http://schemas.openxmlformats.org/officeDocument/2006/relationships" ref="AP112" r:id="rId111"/>
    <hyperlink xmlns:r="http://schemas.openxmlformats.org/officeDocument/2006/relationships" ref="AP113" r:id="rId112"/>
    <hyperlink xmlns:r="http://schemas.openxmlformats.org/officeDocument/2006/relationships" ref="AP114" r:id="rId113"/>
    <hyperlink xmlns:r="http://schemas.openxmlformats.org/officeDocument/2006/relationships" ref="AP115" r:id="rId114"/>
    <hyperlink xmlns:r="http://schemas.openxmlformats.org/officeDocument/2006/relationships" ref="AP116" r:id="rId115"/>
    <hyperlink xmlns:r="http://schemas.openxmlformats.org/officeDocument/2006/relationships" ref="AP117" r:id="rId116"/>
    <hyperlink xmlns:r="http://schemas.openxmlformats.org/officeDocument/2006/relationships" ref="AP118" r:id="rId117"/>
    <hyperlink xmlns:r="http://schemas.openxmlformats.org/officeDocument/2006/relationships" ref="AP119" r:id="rId118"/>
    <hyperlink xmlns:r="http://schemas.openxmlformats.org/officeDocument/2006/relationships" ref="AP120" r:id="rId119"/>
    <hyperlink xmlns:r="http://schemas.openxmlformats.org/officeDocument/2006/relationships" ref="AP121" r:id="rId120"/>
    <hyperlink xmlns:r="http://schemas.openxmlformats.org/officeDocument/2006/relationships" ref="AP122" r:id="rId121"/>
    <hyperlink xmlns:r="http://schemas.openxmlformats.org/officeDocument/2006/relationships" ref="AP123" r:id="rId122"/>
    <hyperlink xmlns:r="http://schemas.openxmlformats.org/officeDocument/2006/relationships" ref="AP124" r:id="rId123"/>
    <hyperlink xmlns:r="http://schemas.openxmlformats.org/officeDocument/2006/relationships" ref="AP125" r:id="rId124"/>
    <hyperlink xmlns:r="http://schemas.openxmlformats.org/officeDocument/2006/relationships" ref="AP126" r:id="rId125"/>
    <hyperlink xmlns:r="http://schemas.openxmlformats.org/officeDocument/2006/relationships" ref="AP127" r:id="rId126"/>
    <hyperlink xmlns:r="http://schemas.openxmlformats.org/officeDocument/2006/relationships" ref="AP128" r:id="rId127"/>
    <hyperlink xmlns:r="http://schemas.openxmlformats.org/officeDocument/2006/relationships" ref="AP129" r:id="rId128"/>
    <hyperlink xmlns:r="http://schemas.openxmlformats.org/officeDocument/2006/relationships" ref="AP130" r:id="rId129"/>
    <hyperlink xmlns:r="http://schemas.openxmlformats.org/officeDocument/2006/relationships" ref="AP131" r:id="rId130"/>
    <hyperlink xmlns:r="http://schemas.openxmlformats.org/officeDocument/2006/relationships" ref="AP132" r:id="rId131"/>
    <hyperlink xmlns:r="http://schemas.openxmlformats.org/officeDocument/2006/relationships" ref="AP133" r:id="rId132"/>
    <hyperlink xmlns:r="http://schemas.openxmlformats.org/officeDocument/2006/relationships" ref="AP134" r:id="rId133"/>
    <hyperlink xmlns:r="http://schemas.openxmlformats.org/officeDocument/2006/relationships" ref="AP135" r:id="rId134"/>
    <hyperlink xmlns:r="http://schemas.openxmlformats.org/officeDocument/2006/relationships" ref="AP136" r:id="rId135"/>
    <hyperlink xmlns:r="http://schemas.openxmlformats.org/officeDocument/2006/relationships" ref="AP137" r:id="rId136"/>
    <hyperlink xmlns:r="http://schemas.openxmlformats.org/officeDocument/2006/relationships" ref="AP138" r:id="rId137"/>
    <hyperlink xmlns:r="http://schemas.openxmlformats.org/officeDocument/2006/relationships" ref="AP139" r:id="rId138"/>
    <hyperlink xmlns:r="http://schemas.openxmlformats.org/officeDocument/2006/relationships" ref="AP140" r:id="rId139"/>
    <hyperlink xmlns:r="http://schemas.openxmlformats.org/officeDocument/2006/relationships" ref="AP141" r:id="rId140"/>
    <hyperlink xmlns:r="http://schemas.openxmlformats.org/officeDocument/2006/relationships" ref="AP142" r:id="rId141"/>
    <hyperlink xmlns:r="http://schemas.openxmlformats.org/officeDocument/2006/relationships" ref="AP143" r:id="rId142"/>
    <hyperlink xmlns:r="http://schemas.openxmlformats.org/officeDocument/2006/relationships" ref="AP144" r:id="rId143"/>
    <hyperlink xmlns:r="http://schemas.openxmlformats.org/officeDocument/2006/relationships" ref="AP145" r:id="rId144"/>
    <hyperlink xmlns:r="http://schemas.openxmlformats.org/officeDocument/2006/relationships" ref="AP146" r:id="rId145"/>
    <hyperlink xmlns:r="http://schemas.openxmlformats.org/officeDocument/2006/relationships" ref="AP147" r:id="rId146"/>
    <hyperlink xmlns:r="http://schemas.openxmlformats.org/officeDocument/2006/relationships" ref="AP148" r:id="rId147"/>
    <hyperlink xmlns:r="http://schemas.openxmlformats.org/officeDocument/2006/relationships" ref="AP149" r:id="rId148"/>
    <hyperlink xmlns:r="http://schemas.openxmlformats.org/officeDocument/2006/relationships" ref="AP150" r:id="rId149"/>
    <hyperlink xmlns:r="http://schemas.openxmlformats.org/officeDocument/2006/relationships" ref="AP151" r:id="rId150"/>
    <hyperlink xmlns:r="http://schemas.openxmlformats.org/officeDocument/2006/relationships" ref="AP152" r:id="rId151"/>
    <hyperlink xmlns:r="http://schemas.openxmlformats.org/officeDocument/2006/relationships" ref="AP153" r:id="rId152"/>
    <hyperlink xmlns:r="http://schemas.openxmlformats.org/officeDocument/2006/relationships" ref="AP154" r:id="rId153"/>
    <hyperlink xmlns:r="http://schemas.openxmlformats.org/officeDocument/2006/relationships" ref="AP155" r:id="rId154"/>
    <hyperlink xmlns:r="http://schemas.openxmlformats.org/officeDocument/2006/relationships" ref="AP156" r:id="rId155"/>
    <hyperlink xmlns:r="http://schemas.openxmlformats.org/officeDocument/2006/relationships" ref="AP157" r:id="rId156"/>
    <hyperlink xmlns:r="http://schemas.openxmlformats.org/officeDocument/2006/relationships" ref="AP158" r:id="rId157"/>
    <hyperlink xmlns:r="http://schemas.openxmlformats.org/officeDocument/2006/relationships" ref="AP159" r:id="rId158"/>
    <hyperlink xmlns:r="http://schemas.openxmlformats.org/officeDocument/2006/relationships" ref="AP160" r:id="rId159"/>
    <hyperlink xmlns:r="http://schemas.openxmlformats.org/officeDocument/2006/relationships" ref="AP161" r:id="rId160"/>
    <hyperlink xmlns:r="http://schemas.openxmlformats.org/officeDocument/2006/relationships" ref="AP162" r:id="rId161"/>
    <hyperlink xmlns:r="http://schemas.openxmlformats.org/officeDocument/2006/relationships" ref="AP163" r:id="rId162"/>
    <hyperlink xmlns:r="http://schemas.openxmlformats.org/officeDocument/2006/relationships" ref="AP164" r:id="rId163"/>
    <hyperlink xmlns:r="http://schemas.openxmlformats.org/officeDocument/2006/relationships" ref="AP165" r:id="rId164"/>
    <hyperlink xmlns:r="http://schemas.openxmlformats.org/officeDocument/2006/relationships" ref="AP166" r:id="rId165"/>
    <hyperlink xmlns:r="http://schemas.openxmlformats.org/officeDocument/2006/relationships" ref="AP167" r:id="rId166"/>
    <hyperlink xmlns:r="http://schemas.openxmlformats.org/officeDocument/2006/relationships" ref="AP168" r:id="rId167"/>
    <hyperlink xmlns:r="http://schemas.openxmlformats.org/officeDocument/2006/relationships" ref="AP169" r:id="rId168"/>
    <hyperlink xmlns:r="http://schemas.openxmlformats.org/officeDocument/2006/relationships" ref="AP170" r:id="rId169"/>
    <hyperlink xmlns:r="http://schemas.openxmlformats.org/officeDocument/2006/relationships" ref="AP171" r:id="rId170"/>
    <hyperlink xmlns:r="http://schemas.openxmlformats.org/officeDocument/2006/relationships" ref="AP172" r:id="rId171"/>
    <hyperlink xmlns:r="http://schemas.openxmlformats.org/officeDocument/2006/relationships" ref="AP173" r:id="rId172"/>
    <hyperlink xmlns:r="http://schemas.openxmlformats.org/officeDocument/2006/relationships" ref="AP174" r:id="rId173"/>
    <hyperlink xmlns:r="http://schemas.openxmlformats.org/officeDocument/2006/relationships" ref="AP175" r:id="rId174"/>
    <hyperlink xmlns:r="http://schemas.openxmlformats.org/officeDocument/2006/relationships" ref="AP176" r:id="rId175"/>
    <hyperlink xmlns:r="http://schemas.openxmlformats.org/officeDocument/2006/relationships" ref="AP177" r:id="rId176"/>
    <hyperlink xmlns:r="http://schemas.openxmlformats.org/officeDocument/2006/relationships" ref="AP178" r:id="rId177"/>
    <hyperlink xmlns:r="http://schemas.openxmlformats.org/officeDocument/2006/relationships" ref="AP179" r:id="rId178"/>
    <hyperlink xmlns:r="http://schemas.openxmlformats.org/officeDocument/2006/relationships" ref="AP180" r:id="rId179"/>
    <hyperlink xmlns:r="http://schemas.openxmlformats.org/officeDocument/2006/relationships" ref="AP181" r:id="rId180"/>
    <hyperlink xmlns:r="http://schemas.openxmlformats.org/officeDocument/2006/relationships" ref="AP182" r:id="rId181"/>
    <hyperlink xmlns:r="http://schemas.openxmlformats.org/officeDocument/2006/relationships" ref="AP183" r:id="rId182"/>
    <hyperlink xmlns:r="http://schemas.openxmlformats.org/officeDocument/2006/relationships" ref="AP184" r:id="rId183"/>
    <hyperlink xmlns:r="http://schemas.openxmlformats.org/officeDocument/2006/relationships" ref="AP185" r:id="rId184"/>
    <hyperlink xmlns:r="http://schemas.openxmlformats.org/officeDocument/2006/relationships" ref="AP186" r:id="rId185"/>
    <hyperlink xmlns:r="http://schemas.openxmlformats.org/officeDocument/2006/relationships" ref="AP187" r:id="rId186"/>
    <hyperlink xmlns:r="http://schemas.openxmlformats.org/officeDocument/2006/relationships" ref="AP188" r:id="rId187"/>
    <hyperlink xmlns:r="http://schemas.openxmlformats.org/officeDocument/2006/relationships" ref="AP189" r:id="rId188"/>
    <hyperlink xmlns:r="http://schemas.openxmlformats.org/officeDocument/2006/relationships" ref="AP190" r:id="rId189"/>
    <hyperlink xmlns:r="http://schemas.openxmlformats.org/officeDocument/2006/relationships" ref="AP191" r:id="rId190"/>
    <hyperlink xmlns:r="http://schemas.openxmlformats.org/officeDocument/2006/relationships" ref="AP192" r:id="rId191"/>
    <hyperlink xmlns:r="http://schemas.openxmlformats.org/officeDocument/2006/relationships" ref="AP193" r:id="rId192"/>
    <hyperlink xmlns:r="http://schemas.openxmlformats.org/officeDocument/2006/relationships" ref="AP194" r:id="rId193"/>
    <hyperlink xmlns:r="http://schemas.openxmlformats.org/officeDocument/2006/relationships" ref="AP195" r:id="rId194"/>
    <hyperlink xmlns:r="http://schemas.openxmlformats.org/officeDocument/2006/relationships" ref="AP196" r:id="rId195"/>
    <hyperlink xmlns:r="http://schemas.openxmlformats.org/officeDocument/2006/relationships" ref="AP197" r:id="rId196"/>
    <hyperlink xmlns:r="http://schemas.openxmlformats.org/officeDocument/2006/relationships" ref="AP198" r:id="rId197"/>
    <hyperlink xmlns:r="http://schemas.openxmlformats.org/officeDocument/2006/relationships" ref="AP199" r:id="rId198"/>
    <hyperlink xmlns:r="http://schemas.openxmlformats.org/officeDocument/2006/relationships" ref="AP200" r:id="rId199"/>
    <hyperlink xmlns:r="http://schemas.openxmlformats.org/officeDocument/2006/relationships" ref="AP201" r:id="rId200"/>
    <hyperlink xmlns:r="http://schemas.openxmlformats.org/officeDocument/2006/relationships" ref="AP202" r:id="rId201"/>
    <hyperlink xmlns:r="http://schemas.openxmlformats.org/officeDocument/2006/relationships" ref="AP203" r:id="rId202"/>
    <hyperlink xmlns:r="http://schemas.openxmlformats.org/officeDocument/2006/relationships" ref="AP204" r:id="rId203"/>
    <hyperlink xmlns:r="http://schemas.openxmlformats.org/officeDocument/2006/relationships" ref="AP205" r:id="rId204"/>
    <hyperlink xmlns:r="http://schemas.openxmlformats.org/officeDocument/2006/relationships" ref="AP206" r:id="rId205"/>
    <hyperlink xmlns:r="http://schemas.openxmlformats.org/officeDocument/2006/relationships" ref="AP207" r:id="rId206"/>
    <hyperlink xmlns:r="http://schemas.openxmlformats.org/officeDocument/2006/relationships" ref="AP208" r:id="rId207"/>
    <hyperlink xmlns:r="http://schemas.openxmlformats.org/officeDocument/2006/relationships" ref="AP209" r:id="rId208"/>
    <hyperlink xmlns:r="http://schemas.openxmlformats.org/officeDocument/2006/relationships" ref="AP210" r:id="rId209"/>
    <hyperlink xmlns:r="http://schemas.openxmlformats.org/officeDocument/2006/relationships" ref="AP211" r:id="rId210"/>
    <hyperlink xmlns:r="http://schemas.openxmlformats.org/officeDocument/2006/relationships" ref="AP212" r:id="rId211"/>
    <hyperlink xmlns:r="http://schemas.openxmlformats.org/officeDocument/2006/relationships" ref="AP213" r:id="rId212"/>
    <hyperlink xmlns:r="http://schemas.openxmlformats.org/officeDocument/2006/relationships" ref="AP214" r:id="rId213"/>
    <hyperlink xmlns:r="http://schemas.openxmlformats.org/officeDocument/2006/relationships" ref="AP215" r:id="rId214"/>
    <hyperlink xmlns:r="http://schemas.openxmlformats.org/officeDocument/2006/relationships" ref="AP216" r:id="rId215"/>
    <hyperlink xmlns:r="http://schemas.openxmlformats.org/officeDocument/2006/relationships" ref="AP217" r:id="rId216"/>
    <hyperlink xmlns:r="http://schemas.openxmlformats.org/officeDocument/2006/relationships" ref="AP218" r:id="rId217"/>
    <hyperlink xmlns:r="http://schemas.openxmlformats.org/officeDocument/2006/relationships" ref="AP219" r:id="rId218"/>
    <hyperlink xmlns:r="http://schemas.openxmlformats.org/officeDocument/2006/relationships" ref="AP220" r:id="rId219"/>
    <hyperlink xmlns:r="http://schemas.openxmlformats.org/officeDocument/2006/relationships" ref="AP221" r:id="rId220"/>
    <hyperlink xmlns:r="http://schemas.openxmlformats.org/officeDocument/2006/relationships" ref="AP222" r:id="rId221"/>
    <hyperlink xmlns:r="http://schemas.openxmlformats.org/officeDocument/2006/relationships" ref="AP223" r:id="rId222"/>
    <hyperlink xmlns:r="http://schemas.openxmlformats.org/officeDocument/2006/relationships" ref="AP224" r:id="rId223"/>
    <hyperlink xmlns:r="http://schemas.openxmlformats.org/officeDocument/2006/relationships" ref="AP225" r:id="rId224"/>
    <hyperlink xmlns:r="http://schemas.openxmlformats.org/officeDocument/2006/relationships" ref="AP226" r:id="rId225"/>
    <hyperlink xmlns:r="http://schemas.openxmlformats.org/officeDocument/2006/relationships" ref="AP227" r:id="rId226"/>
    <hyperlink xmlns:r="http://schemas.openxmlformats.org/officeDocument/2006/relationships" ref="AP228" r:id="rId227"/>
    <hyperlink xmlns:r="http://schemas.openxmlformats.org/officeDocument/2006/relationships" ref="AP229" r:id="rId228"/>
    <hyperlink xmlns:r="http://schemas.openxmlformats.org/officeDocument/2006/relationships" ref="AP230" r:id="rId229"/>
    <hyperlink xmlns:r="http://schemas.openxmlformats.org/officeDocument/2006/relationships" ref="AP231" r:id="rId230"/>
    <hyperlink xmlns:r="http://schemas.openxmlformats.org/officeDocument/2006/relationships" ref="AP232" r:id="rId231"/>
    <hyperlink xmlns:r="http://schemas.openxmlformats.org/officeDocument/2006/relationships" ref="AP233" r:id="rId232"/>
    <hyperlink xmlns:r="http://schemas.openxmlformats.org/officeDocument/2006/relationships" ref="AP234" r:id="rId233"/>
    <hyperlink xmlns:r="http://schemas.openxmlformats.org/officeDocument/2006/relationships" ref="AP235" r:id="rId234"/>
    <hyperlink xmlns:r="http://schemas.openxmlformats.org/officeDocument/2006/relationships" ref="AP236" r:id="rId235"/>
    <hyperlink xmlns:r="http://schemas.openxmlformats.org/officeDocument/2006/relationships" ref="AP237" r:id="rId236"/>
    <hyperlink xmlns:r="http://schemas.openxmlformats.org/officeDocument/2006/relationships" ref="AP238" r:id="rId237"/>
    <hyperlink xmlns:r="http://schemas.openxmlformats.org/officeDocument/2006/relationships" ref="AP239" r:id="rId238"/>
    <hyperlink xmlns:r="http://schemas.openxmlformats.org/officeDocument/2006/relationships" ref="AP240" r:id="rId239"/>
    <hyperlink xmlns:r="http://schemas.openxmlformats.org/officeDocument/2006/relationships" ref="AP241" r:id="rId240"/>
    <hyperlink xmlns:r="http://schemas.openxmlformats.org/officeDocument/2006/relationships" ref="AP242" r:id="rId241"/>
    <hyperlink xmlns:r="http://schemas.openxmlformats.org/officeDocument/2006/relationships" ref="AP243" r:id="rId242"/>
    <hyperlink xmlns:r="http://schemas.openxmlformats.org/officeDocument/2006/relationships" ref="AP244" r:id="rId243"/>
    <hyperlink xmlns:r="http://schemas.openxmlformats.org/officeDocument/2006/relationships" ref="AP245" r:id="rId244"/>
    <hyperlink xmlns:r="http://schemas.openxmlformats.org/officeDocument/2006/relationships" ref="AP246" r:id="rId245"/>
    <hyperlink xmlns:r="http://schemas.openxmlformats.org/officeDocument/2006/relationships" ref="AP247" r:id="rId246"/>
    <hyperlink xmlns:r="http://schemas.openxmlformats.org/officeDocument/2006/relationships" ref="AP248" r:id="rId247"/>
    <hyperlink xmlns:r="http://schemas.openxmlformats.org/officeDocument/2006/relationships" ref="AP249" r:id="rId248"/>
    <hyperlink xmlns:r="http://schemas.openxmlformats.org/officeDocument/2006/relationships" ref="AP250" r:id="rId249"/>
    <hyperlink xmlns:r="http://schemas.openxmlformats.org/officeDocument/2006/relationships" ref="AP251" r:id="rId250"/>
    <hyperlink xmlns:r="http://schemas.openxmlformats.org/officeDocument/2006/relationships" ref="AP252" r:id="rId251"/>
    <hyperlink xmlns:r="http://schemas.openxmlformats.org/officeDocument/2006/relationships" ref="AP253" r:id="rId252"/>
    <hyperlink xmlns:r="http://schemas.openxmlformats.org/officeDocument/2006/relationships" ref="AP254" r:id="rId253"/>
    <hyperlink xmlns:r="http://schemas.openxmlformats.org/officeDocument/2006/relationships" ref="AP255" r:id="rId254"/>
    <hyperlink xmlns:r="http://schemas.openxmlformats.org/officeDocument/2006/relationships" ref="AP256" r:id="rId255"/>
    <hyperlink xmlns:r="http://schemas.openxmlformats.org/officeDocument/2006/relationships" ref="AP257" r:id="rId256"/>
    <hyperlink xmlns:r="http://schemas.openxmlformats.org/officeDocument/2006/relationships" ref="AP258" r:id="rId257"/>
    <hyperlink xmlns:r="http://schemas.openxmlformats.org/officeDocument/2006/relationships" ref="AP259" r:id="rId258"/>
    <hyperlink xmlns:r="http://schemas.openxmlformats.org/officeDocument/2006/relationships" ref="AP260" r:id="rId259"/>
    <hyperlink xmlns:r="http://schemas.openxmlformats.org/officeDocument/2006/relationships" ref="AP261" r:id="rId260"/>
    <hyperlink xmlns:r="http://schemas.openxmlformats.org/officeDocument/2006/relationships" ref="AP262" r:id="rId261"/>
    <hyperlink xmlns:r="http://schemas.openxmlformats.org/officeDocument/2006/relationships" ref="AP263" r:id="rId262"/>
    <hyperlink xmlns:r="http://schemas.openxmlformats.org/officeDocument/2006/relationships" ref="AP264" r:id="rId263"/>
    <hyperlink xmlns:r="http://schemas.openxmlformats.org/officeDocument/2006/relationships" ref="AP265" r:id="rId264"/>
    <hyperlink xmlns:r="http://schemas.openxmlformats.org/officeDocument/2006/relationships" ref="AP266" r:id="rId265"/>
    <hyperlink xmlns:r="http://schemas.openxmlformats.org/officeDocument/2006/relationships" ref="AP267" r:id="rId266"/>
    <hyperlink xmlns:r="http://schemas.openxmlformats.org/officeDocument/2006/relationships" ref="AP268" r:id="rId267"/>
    <hyperlink xmlns:r="http://schemas.openxmlformats.org/officeDocument/2006/relationships" ref="AP269" r:id="rId268"/>
    <hyperlink xmlns:r="http://schemas.openxmlformats.org/officeDocument/2006/relationships" ref="AP270" r:id="rId269"/>
    <hyperlink xmlns:r="http://schemas.openxmlformats.org/officeDocument/2006/relationships" ref="AP271" r:id="rId270"/>
    <hyperlink xmlns:r="http://schemas.openxmlformats.org/officeDocument/2006/relationships" ref="AP272" r:id="rId271"/>
    <hyperlink xmlns:r="http://schemas.openxmlformats.org/officeDocument/2006/relationships" ref="AP273" r:id="rId272"/>
    <hyperlink xmlns:r="http://schemas.openxmlformats.org/officeDocument/2006/relationships" ref="AP274" r:id="rId273"/>
    <hyperlink xmlns:r="http://schemas.openxmlformats.org/officeDocument/2006/relationships" ref="AP275" r:id="rId274"/>
    <hyperlink xmlns:r="http://schemas.openxmlformats.org/officeDocument/2006/relationships" ref="AP276" r:id="rId275"/>
    <hyperlink xmlns:r="http://schemas.openxmlformats.org/officeDocument/2006/relationships" ref="AP277" r:id="rId276"/>
    <hyperlink xmlns:r="http://schemas.openxmlformats.org/officeDocument/2006/relationships" ref="AP278" r:id="rId277"/>
    <hyperlink xmlns:r="http://schemas.openxmlformats.org/officeDocument/2006/relationships" ref="AP279" r:id="rId278"/>
    <hyperlink xmlns:r="http://schemas.openxmlformats.org/officeDocument/2006/relationships" ref="AP280" r:id="rId279"/>
    <hyperlink xmlns:r="http://schemas.openxmlformats.org/officeDocument/2006/relationships" ref="AP281" r:id="rId280"/>
    <hyperlink xmlns:r="http://schemas.openxmlformats.org/officeDocument/2006/relationships" ref="AP282" r:id="rId281"/>
    <hyperlink xmlns:r="http://schemas.openxmlformats.org/officeDocument/2006/relationships" ref="AP283" r:id="rId282"/>
    <hyperlink xmlns:r="http://schemas.openxmlformats.org/officeDocument/2006/relationships" ref="AP284" r:id="rId283"/>
    <hyperlink xmlns:r="http://schemas.openxmlformats.org/officeDocument/2006/relationships" ref="AP285" r:id="rId284"/>
    <hyperlink xmlns:r="http://schemas.openxmlformats.org/officeDocument/2006/relationships" ref="AP286" r:id="rId285"/>
    <hyperlink xmlns:r="http://schemas.openxmlformats.org/officeDocument/2006/relationships" ref="AP287" r:id="rId286"/>
    <hyperlink xmlns:r="http://schemas.openxmlformats.org/officeDocument/2006/relationships" ref="AP288" r:id="rId287"/>
    <hyperlink xmlns:r="http://schemas.openxmlformats.org/officeDocument/2006/relationships" ref="AP289" r:id="rId288"/>
    <hyperlink xmlns:r="http://schemas.openxmlformats.org/officeDocument/2006/relationships" ref="AP290" r:id="rId289"/>
    <hyperlink xmlns:r="http://schemas.openxmlformats.org/officeDocument/2006/relationships" ref="AP291" r:id="rId290"/>
    <hyperlink xmlns:r="http://schemas.openxmlformats.org/officeDocument/2006/relationships" ref="AP292" r:id="rId291"/>
    <hyperlink xmlns:r="http://schemas.openxmlformats.org/officeDocument/2006/relationships" ref="AP293" r:id="rId292"/>
    <hyperlink xmlns:r="http://schemas.openxmlformats.org/officeDocument/2006/relationships" ref="AP294" r:id="rId293"/>
    <hyperlink xmlns:r="http://schemas.openxmlformats.org/officeDocument/2006/relationships" ref="AP295" r:id="rId294"/>
    <hyperlink xmlns:r="http://schemas.openxmlformats.org/officeDocument/2006/relationships" ref="AP296" r:id="rId295"/>
    <hyperlink xmlns:r="http://schemas.openxmlformats.org/officeDocument/2006/relationships" ref="AP297" r:id="rId296"/>
    <hyperlink xmlns:r="http://schemas.openxmlformats.org/officeDocument/2006/relationships" ref="AP298" r:id="rId297"/>
    <hyperlink xmlns:r="http://schemas.openxmlformats.org/officeDocument/2006/relationships" ref="AP299" r:id="rId298"/>
    <hyperlink xmlns:r="http://schemas.openxmlformats.org/officeDocument/2006/relationships" ref="AP300" r:id="rId299"/>
    <hyperlink xmlns:r="http://schemas.openxmlformats.org/officeDocument/2006/relationships" ref="AP301" r:id="rId300"/>
    <hyperlink xmlns:r="http://schemas.openxmlformats.org/officeDocument/2006/relationships" ref="AP302" r:id="rId301"/>
    <hyperlink xmlns:r="http://schemas.openxmlformats.org/officeDocument/2006/relationships" ref="AP303" r:id="rId302"/>
    <hyperlink xmlns:r="http://schemas.openxmlformats.org/officeDocument/2006/relationships" ref="AP304" r:id="rId303"/>
    <hyperlink xmlns:r="http://schemas.openxmlformats.org/officeDocument/2006/relationships" ref="AP305" r:id="rId304"/>
    <hyperlink xmlns:r="http://schemas.openxmlformats.org/officeDocument/2006/relationships" ref="AP306" r:id="rId305"/>
    <hyperlink xmlns:r="http://schemas.openxmlformats.org/officeDocument/2006/relationships" ref="AP307" r:id="rId306"/>
    <hyperlink xmlns:r="http://schemas.openxmlformats.org/officeDocument/2006/relationships" ref="AP308" r:id="rId307"/>
    <hyperlink xmlns:r="http://schemas.openxmlformats.org/officeDocument/2006/relationships" ref="AP309" r:id="rId308"/>
    <hyperlink xmlns:r="http://schemas.openxmlformats.org/officeDocument/2006/relationships" ref="AP310" r:id="rId309"/>
    <hyperlink xmlns:r="http://schemas.openxmlformats.org/officeDocument/2006/relationships" ref="AP311" r:id="rId310"/>
    <hyperlink xmlns:r="http://schemas.openxmlformats.org/officeDocument/2006/relationships" ref="AP312" r:id="rId311"/>
    <hyperlink xmlns:r="http://schemas.openxmlformats.org/officeDocument/2006/relationships" ref="AP313" r:id="rId312"/>
    <hyperlink xmlns:r="http://schemas.openxmlformats.org/officeDocument/2006/relationships" ref="AP314" r:id="rId313"/>
    <hyperlink xmlns:r="http://schemas.openxmlformats.org/officeDocument/2006/relationships" ref="AP315" r:id="rId314"/>
    <hyperlink xmlns:r="http://schemas.openxmlformats.org/officeDocument/2006/relationships" ref="AP316" r:id="rId315"/>
    <hyperlink xmlns:r="http://schemas.openxmlformats.org/officeDocument/2006/relationships" ref="AP317" r:id="rId316"/>
    <hyperlink xmlns:r="http://schemas.openxmlformats.org/officeDocument/2006/relationships" ref="AP318" r:id="rId317"/>
    <hyperlink xmlns:r="http://schemas.openxmlformats.org/officeDocument/2006/relationships" ref="AP319" r:id="rId318"/>
    <hyperlink xmlns:r="http://schemas.openxmlformats.org/officeDocument/2006/relationships" ref="AP320" r:id="rId319"/>
    <hyperlink xmlns:r="http://schemas.openxmlformats.org/officeDocument/2006/relationships" ref="AP321" r:id="rId320"/>
    <hyperlink xmlns:r="http://schemas.openxmlformats.org/officeDocument/2006/relationships" ref="AP322" r:id="rId321"/>
    <hyperlink xmlns:r="http://schemas.openxmlformats.org/officeDocument/2006/relationships" ref="AP323" r:id="rId322"/>
    <hyperlink xmlns:r="http://schemas.openxmlformats.org/officeDocument/2006/relationships" ref="AP324" r:id="rId323"/>
    <hyperlink xmlns:r="http://schemas.openxmlformats.org/officeDocument/2006/relationships" ref="AP325" r:id="rId324"/>
    <hyperlink xmlns:r="http://schemas.openxmlformats.org/officeDocument/2006/relationships" ref="AP326" r:id="rId325"/>
    <hyperlink xmlns:r="http://schemas.openxmlformats.org/officeDocument/2006/relationships" ref="AP327" r:id="rId326"/>
    <hyperlink xmlns:r="http://schemas.openxmlformats.org/officeDocument/2006/relationships" ref="AP328" r:id="rId327"/>
    <hyperlink xmlns:r="http://schemas.openxmlformats.org/officeDocument/2006/relationships" ref="AP329" r:id="rId328"/>
    <hyperlink xmlns:r="http://schemas.openxmlformats.org/officeDocument/2006/relationships" ref="AP330" r:id="rId329"/>
    <hyperlink xmlns:r="http://schemas.openxmlformats.org/officeDocument/2006/relationships" ref="AP331" r:id="rId330"/>
    <hyperlink xmlns:r="http://schemas.openxmlformats.org/officeDocument/2006/relationships" ref="AP332" r:id="rId331"/>
    <hyperlink xmlns:r="http://schemas.openxmlformats.org/officeDocument/2006/relationships" ref="AP333" r:id="rId332"/>
    <hyperlink xmlns:r="http://schemas.openxmlformats.org/officeDocument/2006/relationships" ref="AP334" r:id="rId333"/>
    <hyperlink xmlns:r="http://schemas.openxmlformats.org/officeDocument/2006/relationships" ref="AP335" r:id="rId334"/>
    <hyperlink xmlns:r="http://schemas.openxmlformats.org/officeDocument/2006/relationships" ref="AP336" r:id="rId335"/>
    <hyperlink xmlns:r="http://schemas.openxmlformats.org/officeDocument/2006/relationships" ref="AP337" r:id="rId336"/>
    <hyperlink xmlns:r="http://schemas.openxmlformats.org/officeDocument/2006/relationships" ref="AP338" r:id="rId337"/>
    <hyperlink xmlns:r="http://schemas.openxmlformats.org/officeDocument/2006/relationships" ref="AP339" r:id="rId338"/>
    <hyperlink xmlns:r="http://schemas.openxmlformats.org/officeDocument/2006/relationships" ref="AP340" r:id="rId339"/>
    <hyperlink xmlns:r="http://schemas.openxmlformats.org/officeDocument/2006/relationships" ref="AP341" r:id="rId340"/>
    <hyperlink xmlns:r="http://schemas.openxmlformats.org/officeDocument/2006/relationships" ref="AP342" r:id="rId341"/>
    <hyperlink xmlns:r="http://schemas.openxmlformats.org/officeDocument/2006/relationships" ref="AP343" r:id="rId342"/>
    <hyperlink xmlns:r="http://schemas.openxmlformats.org/officeDocument/2006/relationships" ref="AP344" r:id="rId343"/>
    <hyperlink xmlns:r="http://schemas.openxmlformats.org/officeDocument/2006/relationships" ref="AP345" r:id="rId344"/>
    <hyperlink xmlns:r="http://schemas.openxmlformats.org/officeDocument/2006/relationships" ref="AP346" r:id="rId345"/>
    <hyperlink xmlns:r="http://schemas.openxmlformats.org/officeDocument/2006/relationships" ref="AP347" r:id="rId346"/>
    <hyperlink xmlns:r="http://schemas.openxmlformats.org/officeDocument/2006/relationships" ref="AP348" r:id="rId347"/>
    <hyperlink xmlns:r="http://schemas.openxmlformats.org/officeDocument/2006/relationships" ref="AP349" r:id="rId348"/>
    <hyperlink xmlns:r="http://schemas.openxmlformats.org/officeDocument/2006/relationships" ref="AP350" r:id="rId349"/>
    <hyperlink xmlns:r="http://schemas.openxmlformats.org/officeDocument/2006/relationships" ref="AP351" r:id="rId350"/>
    <hyperlink xmlns:r="http://schemas.openxmlformats.org/officeDocument/2006/relationships" ref="AP352" r:id="rId351"/>
    <hyperlink xmlns:r="http://schemas.openxmlformats.org/officeDocument/2006/relationships" ref="AP353" r:id="rId352"/>
    <hyperlink xmlns:r="http://schemas.openxmlformats.org/officeDocument/2006/relationships" ref="AP354" r:id="rId353"/>
    <hyperlink xmlns:r="http://schemas.openxmlformats.org/officeDocument/2006/relationships" ref="AP355" r:id="rId354"/>
    <hyperlink xmlns:r="http://schemas.openxmlformats.org/officeDocument/2006/relationships" ref="AP356" r:id="rId355"/>
    <hyperlink xmlns:r="http://schemas.openxmlformats.org/officeDocument/2006/relationships" ref="AP357" r:id="rId356"/>
    <hyperlink xmlns:r="http://schemas.openxmlformats.org/officeDocument/2006/relationships" ref="AP358" r:id="rId357"/>
    <hyperlink xmlns:r="http://schemas.openxmlformats.org/officeDocument/2006/relationships" ref="AP359" r:id="rId358"/>
    <hyperlink xmlns:r="http://schemas.openxmlformats.org/officeDocument/2006/relationships" ref="AP360" r:id="rId359"/>
    <hyperlink xmlns:r="http://schemas.openxmlformats.org/officeDocument/2006/relationships" ref="AP361" r:id="rId360"/>
    <hyperlink xmlns:r="http://schemas.openxmlformats.org/officeDocument/2006/relationships" ref="AP362" r:id="rId361"/>
    <hyperlink xmlns:r="http://schemas.openxmlformats.org/officeDocument/2006/relationships" ref="AP363" r:id="rId362"/>
    <hyperlink xmlns:r="http://schemas.openxmlformats.org/officeDocument/2006/relationships" ref="AP364" r:id="rId363"/>
    <hyperlink xmlns:r="http://schemas.openxmlformats.org/officeDocument/2006/relationships" ref="AP365" r:id="rId364"/>
    <hyperlink xmlns:r="http://schemas.openxmlformats.org/officeDocument/2006/relationships" ref="AP366" r:id="rId365"/>
    <hyperlink xmlns:r="http://schemas.openxmlformats.org/officeDocument/2006/relationships" ref="AP367" r:id="rId366"/>
    <hyperlink xmlns:r="http://schemas.openxmlformats.org/officeDocument/2006/relationships" ref="AP368" r:id="rId367"/>
    <hyperlink xmlns:r="http://schemas.openxmlformats.org/officeDocument/2006/relationships" ref="AP369" r:id="rId368"/>
    <hyperlink xmlns:r="http://schemas.openxmlformats.org/officeDocument/2006/relationships" ref="AP370" r:id="rId369"/>
    <hyperlink xmlns:r="http://schemas.openxmlformats.org/officeDocument/2006/relationships" ref="AP371" r:id="rId370"/>
    <hyperlink xmlns:r="http://schemas.openxmlformats.org/officeDocument/2006/relationships" ref="AP372" r:id="rId371"/>
    <hyperlink xmlns:r="http://schemas.openxmlformats.org/officeDocument/2006/relationships" ref="AP373" r:id="rId372"/>
    <hyperlink xmlns:r="http://schemas.openxmlformats.org/officeDocument/2006/relationships" ref="AP374" r:id="rId373"/>
    <hyperlink xmlns:r="http://schemas.openxmlformats.org/officeDocument/2006/relationships" ref="AP375" r:id="rId374"/>
    <hyperlink xmlns:r="http://schemas.openxmlformats.org/officeDocument/2006/relationships" ref="AP376" r:id="rId375"/>
    <hyperlink xmlns:r="http://schemas.openxmlformats.org/officeDocument/2006/relationships" ref="AP377" r:id="rId376"/>
    <hyperlink xmlns:r="http://schemas.openxmlformats.org/officeDocument/2006/relationships" ref="AP378" r:id="rId377"/>
    <hyperlink xmlns:r="http://schemas.openxmlformats.org/officeDocument/2006/relationships" ref="AP379" r:id="rId378"/>
    <hyperlink xmlns:r="http://schemas.openxmlformats.org/officeDocument/2006/relationships" ref="AP380" r:id="rId379"/>
    <hyperlink xmlns:r="http://schemas.openxmlformats.org/officeDocument/2006/relationships" ref="AP381" r:id="rId380"/>
    <hyperlink xmlns:r="http://schemas.openxmlformats.org/officeDocument/2006/relationships" ref="AP382" r:id="rId381"/>
    <hyperlink xmlns:r="http://schemas.openxmlformats.org/officeDocument/2006/relationships" ref="AP383" r:id="rId382"/>
    <hyperlink xmlns:r="http://schemas.openxmlformats.org/officeDocument/2006/relationships" ref="AP384" r:id="rId383"/>
    <hyperlink xmlns:r="http://schemas.openxmlformats.org/officeDocument/2006/relationships" ref="AP385" r:id="rId384"/>
    <hyperlink xmlns:r="http://schemas.openxmlformats.org/officeDocument/2006/relationships" ref="AP386" r:id="rId385"/>
    <hyperlink xmlns:r="http://schemas.openxmlformats.org/officeDocument/2006/relationships" ref="AP387" r:id="rId386"/>
    <hyperlink xmlns:r="http://schemas.openxmlformats.org/officeDocument/2006/relationships" ref="AP388" r:id="rId387"/>
    <hyperlink xmlns:r="http://schemas.openxmlformats.org/officeDocument/2006/relationships" ref="AP389" r:id="rId388"/>
    <hyperlink xmlns:r="http://schemas.openxmlformats.org/officeDocument/2006/relationships" ref="AP390" r:id="rId389"/>
    <hyperlink xmlns:r="http://schemas.openxmlformats.org/officeDocument/2006/relationships" ref="AP391" r:id="rId390"/>
    <hyperlink xmlns:r="http://schemas.openxmlformats.org/officeDocument/2006/relationships" ref="AP392" r:id="rId391"/>
    <hyperlink xmlns:r="http://schemas.openxmlformats.org/officeDocument/2006/relationships" ref="AP393" r:id="rId392"/>
    <hyperlink xmlns:r="http://schemas.openxmlformats.org/officeDocument/2006/relationships" ref="AP394" r:id="rId393"/>
    <hyperlink xmlns:r="http://schemas.openxmlformats.org/officeDocument/2006/relationships" ref="AP395" r:id="rId394"/>
    <hyperlink xmlns:r="http://schemas.openxmlformats.org/officeDocument/2006/relationships" ref="AP396" r:id="rId395"/>
    <hyperlink xmlns:r="http://schemas.openxmlformats.org/officeDocument/2006/relationships" ref="AP397" r:id="rId396"/>
    <hyperlink xmlns:r="http://schemas.openxmlformats.org/officeDocument/2006/relationships" ref="AP398" r:id="rId397"/>
    <hyperlink xmlns:r="http://schemas.openxmlformats.org/officeDocument/2006/relationships" ref="AP399" r:id="rId398"/>
    <hyperlink xmlns:r="http://schemas.openxmlformats.org/officeDocument/2006/relationships" ref="AP400" r:id="rId399"/>
    <hyperlink xmlns:r="http://schemas.openxmlformats.org/officeDocument/2006/relationships" ref="AP401" r:id="rId400"/>
    <hyperlink xmlns:r="http://schemas.openxmlformats.org/officeDocument/2006/relationships" ref="AP402" r:id="rId401"/>
    <hyperlink xmlns:r="http://schemas.openxmlformats.org/officeDocument/2006/relationships" ref="AP403" r:id="rId402"/>
    <hyperlink xmlns:r="http://schemas.openxmlformats.org/officeDocument/2006/relationships" ref="AP404" r:id="rId403"/>
    <hyperlink xmlns:r="http://schemas.openxmlformats.org/officeDocument/2006/relationships" ref="AP405" r:id="rId404"/>
    <hyperlink xmlns:r="http://schemas.openxmlformats.org/officeDocument/2006/relationships" ref="AP406" r:id="rId405"/>
    <hyperlink xmlns:r="http://schemas.openxmlformats.org/officeDocument/2006/relationships" ref="AP407" r:id="rId406"/>
    <hyperlink xmlns:r="http://schemas.openxmlformats.org/officeDocument/2006/relationships" ref="AP408" r:id="rId407"/>
    <hyperlink xmlns:r="http://schemas.openxmlformats.org/officeDocument/2006/relationships" ref="AP409" r:id="rId408"/>
    <hyperlink xmlns:r="http://schemas.openxmlformats.org/officeDocument/2006/relationships" ref="AP410" r:id="rId409"/>
    <hyperlink xmlns:r="http://schemas.openxmlformats.org/officeDocument/2006/relationships" ref="AP411" r:id="rId410"/>
    <hyperlink xmlns:r="http://schemas.openxmlformats.org/officeDocument/2006/relationships" ref="AP412" r:id="rId411"/>
    <hyperlink xmlns:r="http://schemas.openxmlformats.org/officeDocument/2006/relationships" ref="AP413" r:id="rId412"/>
    <hyperlink xmlns:r="http://schemas.openxmlformats.org/officeDocument/2006/relationships" ref="AP414" r:id="rId413"/>
    <hyperlink xmlns:r="http://schemas.openxmlformats.org/officeDocument/2006/relationships" ref="AP415" r:id="rId414"/>
    <hyperlink xmlns:r="http://schemas.openxmlformats.org/officeDocument/2006/relationships" ref="AP416" r:id="rId415"/>
    <hyperlink xmlns:r="http://schemas.openxmlformats.org/officeDocument/2006/relationships" ref="AP417" r:id="rId416"/>
    <hyperlink xmlns:r="http://schemas.openxmlformats.org/officeDocument/2006/relationships" ref="AP418" r:id="rId417"/>
    <hyperlink xmlns:r="http://schemas.openxmlformats.org/officeDocument/2006/relationships" ref="AP419" r:id="rId418"/>
    <hyperlink xmlns:r="http://schemas.openxmlformats.org/officeDocument/2006/relationships" ref="AP420" r:id="rId419"/>
    <hyperlink xmlns:r="http://schemas.openxmlformats.org/officeDocument/2006/relationships" ref="AP421" r:id="rId420"/>
    <hyperlink xmlns:r="http://schemas.openxmlformats.org/officeDocument/2006/relationships" ref="AP422" r:id="rId421"/>
    <hyperlink xmlns:r="http://schemas.openxmlformats.org/officeDocument/2006/relationships" ref="AP423" r:id="rId422"/>
    <hyperlink xmlns:r="http://schemas.openxmlformats.org/officeDocument/2006/relationships" ref="AP424" r:id="rId423"/>
    <hyperlink xmlns:r="http://schemas.openxmlformats.org/officeDocument/2006/relationships" ref="AP425" r:id="rId424"/>
    <hyperlink xmlns:r="http://schemas.openxmlformats.org/officeDocument/2006/relationships" ref="AP426" r:id="rId425"/>
    <hyperlink xmlns:r="http://schemas.openxmlformats.org/officeDocument/2006/relationships" ref="AP427" r:id="rId426"/>
    <hyperlink xmlns:r="http://schemas.openxmlformats.org/officeDocument/2006/relationships" ref="AP428" r:id="rId427"/>
    <hyperlink xmlns:r="http://schemas.openxmlformats.org/officeDocument/2006/relationships" ref="AP429" r:id="rId428"/>
    <hyperlink xmlns:r="http://schemas.openxmlformats.org/officeDocument/2006/relationships" ref="AP430" r:id="rId429"/>
    <hyperlink xmlns:r="http://schemas.openxmlformats.org/officeDocument/2006/relationships" ref="AP431" r:id="rId430"/>
    <hyperlink xmlns:r="http://schemas.openxmlformats.org/officeDocument/2006/relationships" ref="AP432" r:id="rId431"/>
    <hyperlink xmlns:r="http://schemas.openxmlformats.org/officeDocument/2006/relationships" ref="AP433" r:id="rId432"/>
    <hyperlink xmlns:r="http://schemas.openxmlformats.org/officeDocument/2006/relationships" ref="AP434" r:id="rId433"/>
    <hyperlink xmlns:r="http://schemas.openxmlformats.org/officeDocument/2006/relationships" ref="AP435" r:id="rId434"/>
    <hyperlink xmlns:r="http://schemas.openxmlformats.org/officeDocument/2006/relationships" ref="AP436" r:id="rId435"/>
    <hyperlink xmlns:r="http://schemas.openxmlformats.org/officeDocument/2006/relationships" ref="AP437" r:id="rId436"/>
    <hyperlink xmlns:r="http://schemas.openxmlformats.org/officeDocument/2006/relationships" ref="AP438" r:id="rId437"/>
    <hyperlink xmlns:r="http://schemas.openxmlformats.org/officeDocument/2006/relationships" ref="AP439" r:id="rId438"/>
    <hyperlink xmlns:r="http://schemas.openxmlformats.org/officeDocument/2006/relationships" ref="AP440" r:id="rId439"/>
    <hyperlink xmlns:r="http://schemas.openxmlformats.org/officeDocument/2006/relationships" ref="AP441" r:id="rId440"/>
    <hyperlink xmlns:r="http://schemas.openxmlformats.org/officeDocument/2006/relationships" ref="AP442" r:id="rId441"/>
    <hyperlink xmlns:r="http://schemas.openxmlformats.org/officeDocument/2006/relationships" ref="AP443" r:id="rId442"/>
    <hyperlink xmlns:r="http://schemas.openxmlformats.org/officeDocument/2006/relationships" ref="AP444" r:id="rId443"/>
    <hyperlink xmlns:r="http://schemas.openxmlformats.org/officeDocument/2006/relationships" ref="AP445" r:id="rId444"/>
    <hyperlink xmlns:r="http://schemas.openxmlformats.org/officeDocument/2006/relationships" ref="AP446" r:id="rId445"/>
    <hyperlink xmlns:r="http://schemas.openxmlformats.org/officeDocument/2006/relationships" ref="AP447" r:id="rId446"/>
    <hyperlink xmlns:r="http://schemas.openxmlformats.org/officeDocument/2006/relationships" ref="AP448" r:id="rId447"/>
    <hyperlink xmlns:r="http://schemas.openxmlformats.org/officeDocument/2006/relationships" ref="AP449" r:id="rId448"/>
    <hyperlink xmlns:r="http://schemas.openxmlformats.org/officeDocument/2006/relationships" ref="AP450" r:id="rId449"/>
    <hyperlink xmlns:r="http://schemas.openxmlformats.org/officeDocument/2006/relationships" ref="AP451" r:id="rId450"/>
    <hyperlink xmlns:r="http://schemas.openxmlformats.org/officeDocument/2006/relationships" ref="AP452" r:id="rId451"/>
    <hyperlink xmlns:r="http://schemas.openxmlformats.org/officeDocument/2006/relationships" ref="AP453" r:id="rId452"/>
    <hyperlink xmlns:r="http://schemas.openxmlformats.org/officeDocument/2006/relationships" ref="AP454" r:id="rId453"/>
    <hyperlink xmlns:r="http://schemas.openxmlformats.org/officeDocument/2006/relationships" ref="AP455" r:id="rId454"/>
    <hyperlink xmlns:r="http://schemas.openxmlformats.org/officeDocument/2006/relationships" ref="AP456" r:id="rId455"/>
    <hyperlink xmlns:r="http://schemas.openxmlformats.org/officeDocument/2006/relationships" ref="AP457" r:id="rId456"/>
    <hyperlink xmlns:r="http://schemas.openxmlformats.org/officeDocument/2006/relationships" ref="AP458" r:id="rId457"/>
    <hyperlink xmlns:r="http://schemas.openxmlformats.org/officeDocument/2006/relationships" ref="AP459" r:id="rId458"/>
    <hyperlink xmlns:r="http://schemas.openxmlformats.org/officeDocument/2006/relationships" ref="AP460" r:id="rId459"/>
    <hyperlink xmlns:r="http://schemas.openxmlformats.org/officeDocument/2006/relationships" ref="AP461" r:id="rId460"/>
    <hyperlink xmlns:r="http://schemas.openxmlformats.org/officeDocument/2006/relationships" ref="AP462" r:id="rId461"/>
    <hyperlink xmlns:r="http://schemas.openxmlformats.org/officeDocument/2006/relationships" ref="AP463" r:id="rId462"/>
    <hyperlink xmlns:r="http://schemas.openxmlformats.org/officeDocument/2006/relationships" ref="AP464" r:id="rId463"/>
    <hyperlink xmlns:r="http://schemas.openxmlformats.org/officeDocument/2006/relationships" ref="AP465" r:id="rId464"/>
    <hyperlink xmlns:r="http://schemas.openxmlformats.org/officeDocument/2006/relationships" ref="AP466" r:id="rId465"/>
    <hyperlink xmlns:r="http://schemas.openxmlformats.org/officeDocument/2006/relationships" ref="AP467" r:id="rId466"/>
    <hyperlink xmlns:r="http://schemas.openxmlformats.org/officeDocument/2006/relationships" ref="AP468" r:id="rId467"/>
    <hyperlink xmlns:r="http://schemas.openxmlformats.org/officeDocument/2006/relationships" ref="AP469" r:id="rId468"/>
    <hyperlink xmlns:r="http://schemas.openxmlformats.org/officeDocument/2006/relationships" ref="AP470" r:id="rId469"/>
    <hyperlink xmlns:r="http://schemas.openxmlformats.org/officeDocument/2006/relationships" ref="AP471" r:id="rId470"/>
    <hyperlink xmlns:r="http://schemas.openxmlformats.org/officeDocument/2006/relationships" ref="AP472" r:id="rId471"/>
    <hyperlink xmlns:r="http://schemas.openxmlformats.org/officeDocument/2006/relationships" ref="AP473" r:id="rId472"/>
    <hyperlink xmlns:r="http://schemas.openxmlformats.org/officeDocument/2006/relationships" ref="AP474" r:id="rId473"/>
    <hyperlink xmlns:r="http://schemas.openxmlformats.org/officeDocument/2006/relationships" ref="AP475" r:id="rId474"/>
    <hyperlink xmlns:r="http://schemas.openxmlformats.org/officeDocument/2006/relationships" ref="AP476" r:id="rId475"/>
    <hyperlink xmlns:r="http://schemas.openxmlformats.org/officeDocument/2006/relationships" ref="AP477" r:id="rId476"/>
    <hyperlink xmlns:r="http://schemas.openxmlformats.org/officeDocument/2006/relationships" ref="AP478" r:id="rId477"/>
    <hyperlink xmlns:r="http://schemas.openxmlformats.org/officeDocument/2006/relationships" ref="AP479" r:id="rId478"/>
    <hyperlink xmlns:r="http://schemas.openxmlformats.org/officeDocument/2006/relationships" ref="AP480" r:id="rId479"/>
    <hyperlink xmlns:r="http://schemas.openxmlformats.org/officeDocument/2006/relationships" ref="AP481" r:id="rId480"/>
    <hyperlink xmlns:r="http://schemas.openxmlformats.org/officeDocument/2006/relationships" ref="AP482" r:id="rId481"/>
    <hyperlink xmlns:r="http://schemas.openxmlformats.org/officeDocument/2006/relationships" ref="AP483" r:id="rId482"/>
    <hyperlink xmlns:r="http://schemas.openxmlformats.org/officeDocument/2006/relationships" ref="AP484" r:id="rId483"/>
    <hyperlink xmlns:r="http://schemas.openxmlformats.org/officeDocument/2006/relationships" ref="AP485" r:id="rId484"/>
    <hyperlink xmlns:r="http://schemas.openxmlformats.org/officeDocument/2006/relationships" ref="AP486" r:id="rId485"/>
    <hyperlink xmlns:r="http://schemas.openxmlformats.org/officeDocument/2006/relationships" ref="AP487" r:id="rId486"/>
    <hyperlink xmlns:r="http://schemas.openxmlformats.org/officeDocument/2006/relationships" ref="AP488" r:id="rId487"/>
    <hyperlink xmlns:r="http://schemas.openxmlformats.org/officeDocument/2006/relationships" ref="AP489" r:id="rId488"/>
    <hyperlink xmlns:r="http://schemas.openxmlformats.org/officeDocument/2006/relationships" ref="AP490" r:id="rId489"/>
    <hyperlink xmlns:r="http://schemas.openxmlformats.org/officeDocument/2006/relationships" ref="AP491" r:id="rId490"/>
    <hyperlink xmlns:r="http://schemas.openxmlformats.org/officeDocument/2006/relationships" ref="AP492" r:id="rId491"/>
    <hyperlink xmlns:r="http://schemas.openxmlformats.org/officeDocument/2006/relationships" ref="AP493" r:id="rId492"/>
    <hyperlink xmlns:r="http://schemas.openxmlformats.org/officeDocument/2006/relationships" ref="AP494" r:id="rId493"/>
    <hyperlink xmlns:r="http://schemas.openxmlformats.org/officeDocument/2006/relationships" ref="AP495" r:id="rId494"/>
    <hyperlink xmlns:r="http://schemas.openxmlformats.org/officeDocument/2006/relationships" ref="AP496" r:id="rId495"/>
    <hyperlink xmlns:r="http://schemas.openxmlformats.org/officeDocument/2006/relationships" ref="AP497" r:id="rId496"/>
    <hyperlink xmlns:r="http://schemas.openxmlformats.org/officeDocument/2006/relationships" ref="AP498" r:id="rId497"/>
    <hyperlink xmlns:r="http://schemas.openxmlformats.org/officeDocument/2006/relationships" ref="AP499" r:id="rId498"/>
    <hyperlink xmlns:r="http://schemas.openxmlformats.org/officeDocument/2006/relationships" ref="AP500" r:id="rId499"/>
    <hyperlink xmlns:r="http://schemas.openxmlformats.org/officeDocument/2006/relationships" ref="AP501" r:id="rId500"/>
    <hyperlink xmlns:r="http://schemas.openxmlformats.org/officeDocument/2006/relationships" ref="AP502" r:id="rId501"/>
    <hyperlink xmlns:r="http://schemas.openxmlformats.org/officeDocument/2006/relationships" ref="AP503" r:id="rId502"/>
    <hyperlink xmlns:r="http://schemas.openxmlformats.org/officeDocument/2006/relationships" ref="AP504" r:id="rId503"/>
    <hyperlink xmlns:r="http://schemas.openxmlformats.org/officeDocument/2006/relationships" ref="AP505" r:id="rId504"/>
    <hyperlink xmlns:r="http://schemas.openxmlformats.org/officeDocument/2006/relationships" ref="AP506" r:id="rId505"/>
    <hyperlink xmlns:r="http://schemas.openxmlformats.org/officeDocument/2006/relationships" ref="AP507" r:id="rId506"/>
    <hyperlink xmlns:r="http://schemas.openxmlformats.org/officeDocument/2006/relationships" ref="AP508" r:id="rId507"/>
    <hyperlink xmlns:r="http://schemas.openxmlformats.org/officeDocument/2006/relationships" ref="AP509" r:id="rId508"/>
    <hyperlink xmlns:r="http://schemas.openxmlformats.org/officeDocument/2006/relationships" ref="AP510" r:id="rId509"/>
    <hyperlink xmlns:r="http://schemas.openxmlformats.org/officeDocument/2006/relationships" ref="AP511" r:id="rId510"/>
    <hyperlink xmlns:r="http://schemas.openxmlformats.org/officeDocument/2006/relationships" ref="AP512" r:id="rId511"/>
    <hyperlink xmlns:r="http://schemas.openxmlformats.org/officeDocument/2006/relationships" ref="AP513" r:id="rId512"/>
    <hyperlink xmlns:r="http://schemas.openxmlformats.org/officeDocument/2006/relationships" ref="AP514" r:id="rId513"/>
    <hyperlink xmlns:r="http://schemas.openxmlformats.org/officeDocument/2006/relationships" ref="AP515" r:id="rId514"/>
    <hyperlink xmlns:r="http://schemas.openxmlformats.org/officeDocument/2006/relationships" ref="AP516" r:id="rId515"/>
    <hyperlink xmlns:r="http://schemas.openxmlformats.org/officeDocument/2006/relationships" ref="AP517" r:id="rId516"/>
    <hyperlink xmlns:r="http://schemas.openxmlformats.org/officeDocument/2006/relationships" ref="AP518" r:id="rId517"/>
    <hyperlink xmlns:r="http://schemas.openxmlformats.org/officeDocument/2006/relationships" ref="AP519" r:id="rId518"/>
    <hyperlink xmlns:r="http://schemas.openxmlformats.org/officeDocument/2006/relationships" ref="AP520" r:id="rId519"/>
    <hyperlink xmlns:r="http://schemas.openxmlformats.org/officeDocument/2006/relationships" ref="AP521" r:id="rId520"/>
    <hyperlink xmlns:r="http://schemas.openxmlformats.org/officeDocument/2006/relationships" ref="AP522" r:id="rId521"/>
    <hyperlink xmlns:r="http://schemas.openxmlformats.org/officeDocument/2006/relationships" ref="AP523" r:id="rId522"/>
    <hyperlink xmlns:r="http://schemas.openxmlformats.org/officeDocument/2006/relationships" ref="AP524" r:id="rId523"/>
    <hyperlink xmlns:r="http://schemas.openxmlformats.org/officeDocument/2006/relationships" ref="AP525" r:id="rId524"/>
    <hyperlink xmlns:r="http://schemas.openxmlformats.org/officeDocument/2006/relationships" ref="AP526" r:id="rId525"/>
    <hyperlink xmlns:r="http://schemas.openxmlformats.org/officeDocument/2006/relationships" ref="AP527" r:id="rId526"/>
    <hyperlink xmlns:r="http://schemas.openxmlformats.org/officeDocument/2006/relationships" ref="AP528" r:id="rId527"/>
    <hyperlink xmlns:r="http://schemas.openxmlformats.org/officeDocument/2006/relationships" ref="AP529" r:id="rId528"/>
    <hyperlink xmlns:r="http://schemas.openxmlformats.org/officeDocument/2006/relationships" ref="AP530" r:id="rId529"/>
    <hyperlink xmlns:r="http://schemas.openxmlformats.org/officeDocument/2006/relationships" ref="AP531" r:id="rId530"/>
    <hyperlink xmlns:r="http://schemas.openxmlformats.org/officeDocument/2006/relationships" ref="AP532" r:id="rId531"/>
    <hyperlink xmlns:r="http://schemas.openxmlformats.org/officeDocument/2006/relationships" ref="AP533" r:id="rId532"/>
    <hyperlink xmlns:r="http://schemas.openxmlformats.org/officeDocument/2006/relationships" ref="AP534" r:id="rId533"/>
    <hyperlink xmlns:r="http://schemas.openxmlformats.org/officeDocument/2006/relationships" ref="AP535" r:id="rId534"/>
    <hyperlink xmlns:r="http://schemas.openxmlformats.org/officeDocument/2006/relationships" ref="AP536" r:id="rId535"/>
    <hyperlink xmlns:r="http://schemas.openxmlformats.org/officeDocument/2006/relationships" ref="AP537" r:id="rId536"/>
    <hyperlink xmlns:r="http://schemas.openxmlformats.org/officeDocument/2006/relationships" ref="AP538" r:id="rId537"/>
    <hyperlink xmlns:r="http://schemas.openxmlformats.org/officeDocument/2006/relationships" ref="AP539" r:id="rId538"/>
    <hyperlink xmlns:r="http://schemas.openxmlformats.org/officeDocument/2006/relationships" ref="AP540" r:id="rId539"/>
    <hyperlink xmlns:r="http://schemas.openxmlformats.org/officeDocument/2006/relationships" ref="AP541" r:id="rId540"/>
    <hyperlink xmlns:r="http://schemas.openxmlformats.org/officeDocument/2006/relationships" ref="AP542" r:id="rId541"/>
    <hyperlink xmlns:r="http://schemas.openxmlformats.org/officeDocument/2006/relationships" ref="AP543" r:id="rId542"/>
    <hyperlink xmlns:r="http://schemas.openxmlformats.org/officeDocument/2006/relationships" ref="AP544" r:id="rId543"/>
    <hyperlink xmlns:r="http://schemas.openxmlformats.org/officeDocument/2006/relationships" ref="AP545" r:id="rId544"/>
    <hyperlink xmlns:r="http://schemas.openxmlformats.org/officeDocument/2006/relationships" ref="AP546" r:id="rId545"/>
    <hyperlink xmlns:r="http://schemas.openxmlformats.org/officeDocument/2006/relationships" ref="AP547" r:id="rId546"/>
    <hyperlink xmlns:r="http://schemas.openxmlformats.org/officeDocument/2006/relationships" ref="AP548" r:id="rId547"/>
    <hyperlink xmlns:r="http://schemas.openxmlformats.org/officeDocument/2006/relationships" ref="AP549" r:id="rId548"/>
    <hyperlink xmlns:r="http://schemas.openxmlformats.org/officeDocument/2006/relationships" ref="AP550" r:id="rId549"/>
    <hyperlink xmlns:r="http://schemas.openxmlformats.org/officeDocument/2006/relationships" ref="AP551" r:id="rId550"/>
    <hyperlink xmlns:r="http://schemas.openxmlformats.org/officeDocument/2006/relationships" ref="AP552" r:id="rId551"/>
    <hyperlink xmlns:r="http://schemas.openxmlformats.org/officeDocument/2006/relationships" ref="AP553" r:id="rId552"/>
    <hyperlink xmlns:r="http://schemas.openxmlformats.org/officeDocument/2006/relationships" ref="AP554" r:id="rId553"/>
    <hyperlink xmlns:r="http://schemas.openxmlformats.org/officeDocument/2006/relationships" ref="AP555" r:id="rId554"/>
    <hyperlink xmlns:r="http://schemas.openxmlformats.org/officeDocument/2006/relationships" ref="AP556" r:id="rId555"/>
    <hyperlink xmlns:r="http://schemas.openxmlformats.org/officeDocument/2006/relationships" ref="AP557" r:id="rId556"/>
    <hyperlink xmlns:r="http://schemas.openxmlformats.org/officeDocument/2006/relationships" ref="AP558" r:id="rId557"/>
    <hyperlink xmlns:r="http://schemas.openxmlformats.org/officeDocument/2006/relationships" ref="AP559" r:id="rId558"/>
    <hyperlink xmlns:r="http://schemas.openxmlformats.org/officeDocument/2006/relationships" ref="AP560" r:id="rId559"/>
    <hyperlink xmlns:r="http://schemas.openxmlformats.org/officeDocument/2006/relationships" ref="AP561" r:id="rId560"/>
    <hyperlink xmlns:r="http://schemas.openxmlformats.org/officeDocument/2006/relationships" ref="AP562" r:id="rId561"/>
    <hyperlink xmlns:r="http://schemas.openxmlformats.org/officeDocument/2006/relationships" ref="AP563" r:id="rId562"/>
    <hyperlink xmlns:r="http://schemas.openxmlformats.org/officeDocument/2006/relationships" ref="AP564" r:id="rId563"/>
    <hyperlink xmlns:r="http://schemas.openxmlformats.org/officeDocument/2006/relationships" ref="AP565" r:id="rId564"/>
    <hyperlink xmlns:r="http://schemas.openxmlformats.org/officeDocument/2006/relationships" ref="AP566" r:id="rId565"/>
    <hyperlink xmlns:r="http://schemas.openxmlformats.org/officeDocument/2006/relationships" ref="AP567" r:id="rId566"/>
    <hyperlink xmlns:r="http://schemas.openxmlformats.org/officeDocument/2006/relationships" ref="AP568" r:id="rId567"/>
    <hyperlink xmlns:r="http://schemas.openxmlformats.org/officeDocument/2006/relationships" ref="AP569" r:id="rId568"/>
    <hyperlink xmlns:r="http://schemas.openxmlformats.org/officeDocument/2006/relationships" ref="AP570" r:id="rId569"/>
    <hyperlink xmlns:r="http://schemas.openxmlformats.org/officeDocument/2006/relationships" ref="AP571" r:id="rId570"/>
    <hyperlink xmlns:r="http://schemas.openxmlformats.org/officeDocument/2006/relationships" ref="AP572" r:id="rId571"/>
    <hyperlink xmlns:r="http://schemas.openxmlformats.org/officeDocument/2006/relationships" ref="AP573" r:id="rId572"/>
    <hyperlink xmlns:r="http://schemas.openxmlformats.org/officeDocument/2006/relationships" ref="AP574" r:id="rId573"/>
    <hyperlink xmlns:r="http://schemas.openxmlformats.org/officeDocument/2006/relationships" ref="AP575" r:id="rId574"/>
    <hyperlink xmlns:r="http://schemas.openxmlformats.org/officeDocument/2006/relationships" ref="AP576" r:id="rId575"/>
    <hyperlink xmlns:r="http://schemas.openxmlformats.org/officeDocument/2006/relationships" ref="AP577" r:id="rId576"/>
    <hyperlink xmlns:r="http://schemas.openxmlformats.org/officeDocument/2006/relationships" ref="AP578" r:id="rId577"/>
    <hyperlink xmlns:r="http://schemas.openxmlformats.org/officeDocument/2006/relationships" ref="AP579" r:id="rId578"/>
    <hyperlink xmlns:r="http://schemas.openxmlformats.org/officeDocument/2006/relationships" ref="AP580" r:id="rId579"/>
    <hyperlink xmlns:r="http://schemas.openxmlformats.org/officeDocument/2006/relationships" ref="AP581" r:id="rId580"/>
    <hyperlink xmlns:r="http://schemas.openxmlformats.org/officeDocument/2006/relationships" ref="AP582" r:id="rId581"/>
    <hyperlink xmlns:r="http://schemas.openxmlformats.org/officeDocument/2006/relationships" ref="AP583" r:id="rId582"/>
    <hyperlink xmlns:r="http://schemas.openxmlformats.org/officeDocument/2006/relationships" ref="AP584" r:id="rId583"/>
    <hyperlink xmlns:r="http://schemas.openxmlformats.org/officeDocument/2006/relationships" ref="AP585" r:id="rId584"/>
    <hyperlink xmlns:r="http://schemas.openxmlformats.org/officeDocument/2006/relationships" ref="AP586" r:id="rId585"/>
    <hyperlink xmlns:r="http://schemas.openxmlformats.org/officeDocument/2006/relationships" ref="AP587" r:id="rId586"/>
    <hyperlink xmlns:r="http://schemas.openxmlformats.org/officeDocument/2006/relationships" ref="AP588" r:id="rId587"/>
    <hyperlink xmlns:r="http://schemas.openxmlformats.org/officeDocument/2006/relationships" ref="AP589" r:id="rId588"/>
    <hyperlink xmlns:r="http://schemas.openxmlformats.org/officeDocument/2006/relationships" ref="AP590" r:id="rId589"/>
    <hyperlink xmlns:r="http://schemas.openxmlformats.org/officeDocument/2006/relationships" ref="AP591" r:id="rId590"/>
    <hyperlink xmlns:r="http://schemas.openxmlformats.org/officeDocument/2006/relationships" ref="AP592" r:id="rId591"/>
    <hyperlink xmlns:r="http://schemas.openxmlformats.org/officeDocument/2006/relationships" ref="AP593" r:id="rId592"/>
    <hyperlink xmlns:r="http://schemas.openxmlformats.org/officeDocument/2006/relationships" ref="AP594" r:id="rId593"/>
    <hyperlink xmlns:r="http://schemas.openxmlformats.org/officeDocument/2006/relationships" ref="AP595" r:id="rId594"/>
    <hyperlink xmlns:r="http://schemas.openxmlformats.org/officeDocument/2006/relationships" ref="AP596" r:id="rId595"/>
    <hyperlink xmlns:r="http://schemas.openxmlformats.org/officeDocument/2006/relationships" ref="AP597" r:id="rId596"/>
    <hyperlink xmlns:r="http://schemas.openxmlformats.org/officeDocument/2006/relationships" ref="AP598" r:id="rId597"/>
    <hyperlink xmlns:r="http://schemas.openxmlformats.org/officeDocument/2006/relationships" ref="AP599" r:id="rId598"/>
    <hyperlink xmlns:r="http://schemas.openxmlformats.org/officeDocument/2006/relationships" ref="AP600" r:id="rId599"/>
    <hyperlink xmlns:r="http://schemas.openxmlformats.org/officeDocument/2006/relationships" ref="AP601" r:id="rId600"/>
    <hyperlink xmlns:r="http://schemas.openxmlformats.org/officeDocument/2006/relationships" ref="AP602" r:id="rId601"/>
    <hyperlink xmlns:r="http://schemas.openxmlformats.org/officeDocument/2006/relationships" ref="AP603" r:id="rId602"/>
    <hyperlink xmlns:r="http://schemas.openxmlformats.org/officeDocument/2006/relationships" ref="AP604" r:id="rId603"/>
    <hyperlink xmlns:r="http://schemas.openxmlformats.org/officeDocument/2006/relationships" ref="AP605" r:id="rId604"/>
    <hyperlink xmlns:r="http://schemas.openxmlformats.org/officeDocument/2006/relationships" ref="AP606" r:id="rId605"/>
    <hyperlink xmlns:r="http://schemas.openxmlformats.org/officeDocument/2006/relationships" ref="AP607" r:id="rId606"/>
    <hyperlink xmlns:r="http://schemas.openxmlformats.org/officeDocument/2006/relationships" ref="AP608" r:id="rId607"/>
    <hyperlink xmlns:r="http://schemas.openxmlformats.org/officeDocument/2006/relationships" ref="AP609" r:id="rId608"/>
    <hyperlink xmlns:r="http://schemas.openxmlformats.org/officeDocument/2006/relationships" ref="AP610" r:id="rId609"/>
    <hyperlink xmlns:r="http://schemas.openxmlformats.org/officeDocument/2006/relationships" ref="AP611" r:id="rId610"/>
    <hyperlink xmlns:r="http://schemas.openxmlformats.org/officeDocument/2006/relationships" ref="AP612" r:id="rId611"/>
    <hyperlink xmlns:r="http://schemas.openxmlformats.org/officeDocument/2006/relationships" ref="AP613" r:id="rId612"/>
    <hyperlink xmlns:r="http://schemas.openxmlformats.org/officeDocument/2006/relationships" ref="AP614" r:id="rId613"/>
    <hyperlink xmlns:r="http://schemas.openxmlformats.org/officeDocument/2006/relationships" ref="AP615" r:id="rId614"/>
    <hyperlink xmlns:r="http://schemas.openxmlformats.org/officeDocument/2006/relationships" ref="AP616" r:id="rId615"/>
    <hyperlink xmlns:r="http://schemas.openxmlformats.org/officeDocument/2006/relationships" ref="AP617" r:id="rId616"/>
    <hyperlink xmlns:r="http://schemas.openxmlformats.org/officeDocument/2006/relationships" ref="AP618" r:id="rId617"/>
    <hyperlink xmlns:r="http://schemas.openxmlformats.org/officeDocument/2006/relationships" ref="AP619" r:id="rId618"/>
    <hyperlink xmlns:r="http://schemas.openxmlformats.org/officeDocument/2006/relationships" ref="AP620" r:id="rId619"/>
    <hyperlink xmlns:r="http://schemas.openxmlformats.org/officeDocument/2006/relationships" ref="AP621" r:id="rId620"/>
    <hyperlink xmlns:r="http://schemas.openxmlformats.org/officeDocument/2006/relationships" ref="AP622" r:id="rId621"/>
    <hyperlink xmlns:r="http://schemas.openxmlformats.org/officeDocument/2006/relationships" ref="AP623" r:id="rId622"/>
    <hyperlink xmlns:r="http://schemas.openxmlformats.org/officeDocument/2006/relationships" ref="AP624" r:id="rId623"/>
    <hyperlink xmlns:r="http://schemas.openxmlformats.org/officeDocument/2006/relationships" ref="AP625" r:id="rId624"/>
    <hyperlink xmlns:r="http://schemas.openxmlformats.org/officeDocument/2006/relationships" ref="AP626" r:id="rId625"/>
    <hyperlink xmlns:r="http://schemas.openxmlformats.org/officeDocument/2006/relationships" ref="AP627" r:id="rId626"/>
    <hyperlink xmlns:r="http://schemas.openxmlformats.org/officeDocument/2006/relationships" ref="AP628" r:id="rId627"/>
    <hyperlink xmlns:r="http://schemas.openxmlformats.org/officeDocument/2006/relationships" ref="AP629" r:id="rId628"/>
    <hyperlink xmlns:r="http://schemas.openxmlformats.org/officeDocument/2006/relationships" ref="AP630" r:id="rId629"/>
    <hyperlink xmlns:r="http://schemas.openxmlformats.org/officeDocument/2006/relationships" ref="AP631" r:id="rId630"/>
    <hyperlink xmlns:r="http://schemas.openxmlformats.org/officeDocument/2006/relationships" ref="AP632" r:id="rId631"/>
    <hyperlink xmlns:r="http://schemas.openxmlformats.org/officeDocument/2006/relationships" ref="AP633" r:id="rId632"/>
    <hyperlink xmlns:r="http://schemas.openxmlformats.org/officeDocument/2006/relationships" ref="AP634" r:id="rId633"/>
    <hyperlink xmlns:r="http://schemas.openxmlformats.org/officeDocument/2006/relationships" ref="AP635" r:id="rId634"/>
    <hyperlink xmlns:r="http://schemas.openxmlformats.org/officeDocument/2006/relationships" ref="AP636" r:id="rId635"/>
    <hyperlink xmlns:r="http://schemas.openxmlformats.org/officeDocument/2006/relationships" ref="AP637" r:id="rId636"/>
    <hyperlink xmlns:r="http://schemas.openxmlformats.org/officeDocument/2006/relationships" ref="AP638" r:id="rId637"/>
    <hyperlink xmlns:r="http://schemas.openxmlformats.org/officeDocument/2006/relationships" ref="AP639" r:id="rId638"/>
    <hyperlink xmlns:r="http://schemas.openxmlformats.org/officeDocument/2006/relationships" ref="AP640" r:id="rId639"/>
    <hyperlink xmlns:r="http://schemas.openxmlformats.org/officeDocument/2006/relationships" ref="AP641" r:id="rId640"/>
    <hyperlink xmlns:r="http://schemas.openxmlformats.org/officeDocument/2006/relationships" ref="AP642" r:id="rId641"/>
    <hyperlink xmlns:r="http://schemas.openxmlformats.org/officeDocument/2006/relationships" ref="AP643" r:id="rId642"/>
    <hyperlink xmlns:r="http://schemas.openxmlformats.org/officeDocument/2006/relationships" ref="AP644" r:id="rId643"/>
    <hyperlink xmlns:r="http://schemas.openxmlformats.org/officeDocument/2006/relationships" ref="AP645" r:id="rId644"/>
    <hyperlink xmlns:r="http://schemas.openxmlformats.org/officeDocument/2006/relationships" ref="AP646" r:id="rId645"/>
    <hyperlink xmlns:r="http://schemas.openxmlformats.org/officeDocument/2006/relationships" ref="AP647" r:id="rId646"/>
    <hyperlink xmlns:r="http://schemas.openxmlformats.org/officeDocument/2006/relationships" ref="AP648" r:id="rId647"/>
    <hyperlink xmlns:r="http://schemas.openxmlformats.org/officeDocument/2006/relationships" ref="AP649" r:id="rId648"/>
    <hyperlink xmlns:r="http://schemas.openxmlformats.org/officeDocument/2006/relationships" ref="AP650" r:id="rId649"/>
    <hyperlink xmlns:r="http://schemas.openxmlformats.org/officeDocument/2006/relationships" ref="AP651" r:id="rId650"/>
    <hyperlink xmlns:r="http://schemas.openxmlformats.org/officeDocument/2006/relationships" ref="AP652" r:id="rId651"/>
    <hyperlink xmlns:r="http://schemas.openxmlformats.org/officeDocument/2006/relationships" ref="AP653" r:id="rId652"/>
    <hyperlink xmlns:r="http://schemas.openxmlformats.org/officeDocument/2006/relationships" ref="AP654" r:id="rId653"/>
    <hyperlink xmlns:r="http://schemas.openxmlformats.org/officeDocument/2006/relationships" ref="AP655" r:id="rId654"/>
    <hyperlink xmlns:r="http://schemas.openxmlformats.org/officeDocument/2006/relationships" ref="AP656" r:id="rId655"/>
    <hyperlink xmlns:r="http://schemas.openxmlformats.org/officeDocument/2006/relationships" ref="AP657" r:id="rId656"/>
    <hyperlink xmlns:r="http://schemas.openxmlformats.org/officeDocument/2006/relationships" ref="AP658" r:id="rId657"/>
    <hyperlink xmlns:r="http://schemas.openxmlformats.org/officeDocument/2006/relationships" ref="AP659" r:id="rId658"/>
    <hyperlink xmlns:r="http://schemas.openxmlformats.org/officeDocument/2006/relationships" ref="AP660" r:id="rId659"/>
    <hyperlink xmlns:r="http://schemas.openxmlformats.org/officeDocument/2006/relationships" ref="AP661" r:id="rId660"/>
    <hyperlink xmlns:r="http://schemas.openxmlformats.org/officeDocument/2006/relationships" ref="AP662" r:id="rId661"/>
    <hyperlink xmlns:r="http://schemas.openxmlformats.org/officeDocument/2006/relationships" ref="AP663" r:id="rId662"/>
    <hyperlink xmlns:r="http://schemas.openxmlformats.org/officeDocument/2006/relationships" ref="AP664" r:id="rId663"/>
    <hyperlink xmlns:r="http://schemas.openxmlformats.org/officeDocument/2006/relationships" ref="AP665" r:id="rId664"/>
    <hyperlink xmlns:r="http://schemas.openxmlformats.org/officeDocument/2006/relationships" ref="AP666" r:id="rId665"/>
    <hyperlink xmlns:r="http://schemas.openxmlformats.org/officeDocument/2006/relationships" ref="AP667" r:id="rId666"/>
    <hyperlink xmlns:r="http://schemas.openxmlformats.org/officeDocument/2006/relationships" ref="AP668" r:id="rId667"/>
    <hyperlink xmlns:r="http://schemas.openxmlformats.org/officeDocument/2006/relationships" ref="AP669" r:id="rId668"/>
    <hyperlink xmlns:r="http://schemas.openxmlformats.org/officeDocument/2006/relationships" ref="AP670" r:id="rId669"/>
    <hyperlink xmlns:r="http://schemas.openxmlformats.org/officeDocument/2006/relationships" ref="AP671" r:id="rId670"/>
    <hyperlink xmlns:r="http://schemas.openxmlformats.org/officeDocument/2006/relationships" ref="AP672" r:id="rId671"/>
    <hyperlink xmlns:r="http://schemas.openxmlformats.org/officeDocument/2006/relationships" ref="AP673" r:id="rId672"/>
    <hyperlink xmlns:r="http://schemas.openxmlformats.org/officeDocument/2006/relationships" ref="AP674" r:id="rId673"/>
    <hyperlink xmlns:r="http://schemas.openxmlformats.org/officeDocument/2006/relationships" ref="AP675" r:id="rId674"/>
    <hyperlink xmlns:r="http://schemas.openxmlformats.org/officeDocument/2006/relationships" ref="AP676" r:id="rId675"/>
    <hyperlink xmlns:r="http://schemas.openxmlformats.org/officeDocument/2006/relationships" ref="AP677" r:id="rId676"/>
    <hyperlink xmlns:r="http://schemas.openxmlformats.org/officeDocument/2006/relationships" ref="AP678" r:id="rId677"/>
    <hyperlink xmlns:r="http://schemas.openxmlformats.org/officeDocument/2006/relationships" ref="AP679" r:id="rId678"/>
    <hyperlink xmlns:r="http://schemas.openxmlformats.org/officeDocument/2006/relationships" ref="AP680" r:id="rId679"/>
    <hyperlink xmlns:r="http://schemas.openxmlformats.org/officeDocument/2006/relationships" ref="AP681" r:id="rId680"/>
    <hyperlink xmlns:r="http://schemas.openxmlformats.org/officeDocument/2006/relationships" ref="AP682" r:id="rId681"/>
    <hyperlink xmlns:r="http://schemas.openxmlformats.org/officeDocument/2006/relationships" ref="AP683" r:id="rId682"/>
    <hyperlink xmlns:r="http://schemas.openxmlformats.org/officeDocument/2006/relationships" ref="AP684" r:id="rId683"/>
    <hyperlink xmlns:r="http://schemas.openxmlformats.org/officeDocument/2006/relationships" ref="AP685" r:id="rId684"/>
    <hyperlink xmlns:r="http://schemas.openxmlformats.org/officeDocument/2006/relationships" ref="AP686" r:id="rId685"/>
    <hyperlink xmlns:r="http://schemas.openxmlformats.org/officeDocument/2006/relationships" ref="AP687" r:id="rId686"/>
    <hyperlink xmlns:r="http://schemas.openxmlformats.org/officeDocument/2006/relationships" ref="AP688" r:id="rId687"/>
    <hyperlink xmlns:r="http://schemas.openxmlformats.org/officeDocument/2006/relationships" ref="AP689" r:id="rId688"/>
    <hyperlink xmlns:r="http://schemas.openxmlformats.org/officeDocument/2006/relationships" ref="AP690" r:id="rId689"/>
    <hyperlink xmlns:r="http://schemas.openxmlformats.org/officeDocument/2006/relationships" ref="AP691" r:id="rId690"/>
    <hyperlink xmlns:r="http://schemas.openxmlformats.org/officeDocument/2006/relationships" ref="AP692" r:id="rId691"/>
    <hyperlink xmlns:r="http://schemas.openxmlformats.org/officeDocument/2006/relationships" ref="AP693" r:id="rId692"/>
    <hyperlink xmlns:r="http://schemas.openxmlformats.org/officeDocument/2006/relationships" ref="AP694" r:id="rId693"/>
    <hyperlink xmlns:r="http://schemas.openxmlformats.org/officeDocument/2006/relationships" ref="AP695" r:id="rId694"/>
    <hyperlink xmlns:r="http://schemas.openxmlformats.org/officeDocument/2006/relationships" ref="AP696" r:id="rId695"/>
    <hyperlink xmlns:r="http://schemas.openxmlformats.org/officeDocument/2006/relationships" ref="AP697" r:id="rId696"/>
    <hyperlink xmlns:r="http://schemas.openxmlformats.org/officeDocument/2006/relationships" ref="AP698" r:id="rId697"/>
    <hyperlink xmlns:r="http://schemas.openxmlformats.org/officeDocument/2006/relationships" ref="AP699" r:id="rId698"/>
    <hyperlink xmlns:r="http://schemas.openxmlformats.org/officeDocument/2006/relationships" ref="AP700" r:id="rId699"/>
    <hyperlink xmlns:r="http://schemas.openxmlformats.org/officeDocument/2006/relationships" ref="AP701" r:id="rId70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3" customWidth="1" min="2" max="2"/>
    <col width="40" customWidth="1" min="3" max="3"/>
    <col width="11" customWidth="1" min="4" max="4"/>
    <col width="11" customWidth="1" min="5" max="5"/>
    <col width="14" customWidth="1" min="6" max="6"/>
    <col width="9" customWidth="1" min="7" max="7"/>
  </cols>
  <sheetData>
    <row r="1" ht="30" customHeight="1">
      <c r="A1" s="9" t="inlineStr">
        <is>
          <t>Véhicule</t>
        </is>
      </c>
      <c r="B1" s="9" t="inlineStr">
        <is>
          <t>Id annonce</t>
        </is>
      </c>
      <c r="C1" s="9" t="inlineStr">
        <is>
          <t>Titre</t>
        </is>
      </c>
      <c r="D1" s="9" t="inlineStr">
        <is>
          <t>Date</t>
        </is>
      </c>
      <c r="E1" s="9" t="inlineStr">
        <is>
          <t>Prix</t>
        </is>
      </c>
      <c r="F1" s="9" t="inlineStr">
        <is>
          <t>Évolution vs prix précédent</t>
        </is>
      </c>
      <c r="G1" s="9" t="inlineStr">
        <is>
          <t>Annonce</t>
        </is>
      </c>
    </row>
    <row r="2">
      <c r="A2" s="10" t="inlineStr">
        <is>
          <t>Alfa Romeo 156 2.5 V6 24V</t>
        </is>
      </c>
      <c r="B2" s="10" t="inlineStr">
        <is>
          <t>2903975057</t>
        </is>
      </c>
      <c r="C2" s="10" t="inlineStr">
        <is>
          <t>Alfa Roméo 156 SW V6 2,5l 24s</t>
        </is>
      </c>
      <c r="D2" s="18" t="n">
        <v>46296</v>
      </c>
      <c r="E2" s="12" t="n">
        <v>7500</v>
      </c>
      <c r="F2" s="14">
        <f>IF(AND($B2=$B1,ISNUMBER(E1),E1&gt;0),E2/E1-1,"")</f>
        <v/>
      </c>
      <c r="G2" s="19" t="inlineStr">
        <is>
          <t>Voir</t>
        </is>
      </c>
    </row>
    <row r="3">
      <c r="A3" s="10" t="inlineStr">
        <is>
          <t>Alfa Romeo 156 2.5 V6 24V</t>
        </is>
      </c>
      <c r="B3" s="10" t="inlineStr">
        <is>
          <t>3212500586</t>
        </is>
      </c>
      <c r="C3" s="10" t="inlineStr">
        <is>
          <t>ALFA ROMEO 156 2.5 V6 24V BOÎTE AUTOMATIQUE 195cv COMPLÈTEMENT RÉVISÉ</t>
        </is>
      </c>
      <c r="D3" s="18" t="n">
        <v>46296</v>
      </c>
      <c r="E3" s="12" t="n">
        <v>4900</v>
      </c>
      <c r="F3" s="14">
        <f>IF(AND($B3=$B2,ISNUMBER(E2),E2&gt;0),E3/E2-1,"")</f>
        <v/>
      </c>
      <c r="G3" s="19" t="inlineStr">
        <is>
          <t>Voir</t>
        </is>
      </c>
    </row>
    <row r="4">
      <c r="A4" s="10" t="inlineStr">
        <is>
          <t>Alfa Romeo 156 2.5 V6 24V</t>
        </is>
      </c>
      <c r="B4" s="10" t="inlineStr">
        <is>
          <t>3222893175</t>
        </is>
      </c>
      <c r="C4" s="10" t="inlineStr">
        <is>
          <t>Alfa Romeo 156 2.5 V6 Busso</t>
        </is>
      </c>
      <c r="D4" s="18" t="n">
        <v>46296</v>
      </c>
      <c r="E4" s="12" t="n">
        <v>8800</v>
      </c>
      <c r="F4" s="14">
        <f>IF(AND($B4=$B3,ISNUMBER(E3),E3&gt;0),E4/E3-1,"")</f>
        <v/>
      </c>
      <c r="G4" s="19" t="inlineStr">
        <is>
          <t>Voir</t>
        </is>
      </c>
    </row>
    <row r="5">
      <c r="A5" s="10" t="inlineStr">
        <is>
          <t>Alfa Romeo 156 2.5 V6 24V</t>
        </is>
      </c>
      <c r="B5" s="10" t="inlineStr">
        <is>
          <t>3237198858</t>
        </is>
      </c>
      <c r="C5" s="10" t="inlineStr">
        <is>
          <t>Alfa romeo 156 2.5 v6 24v</t>
        </is>
      </c>
      <c r="D5" s="18" t="n">
        <v>46296</v>
      </c>
      <c r="E5" s="12" t="n">
        <v>6490</v>
      </c>
      <c r="F5" s="14">
        <f>IF(AND($B5=$B4,ISNUMBER(E4),E4&gt;0),E5/E4-1,"")</f>
        <v/>
      </c>
      <c r="G5" s="19" t="inlineStr">
        <is>
          <t>Voir</t>
        </is>
      </c>
    </row>
    <row r="6">
      <c r="A6" s="10" t="inlineStr">
        <is>
          <t>Alfa Romeo 156 2.5 V6 24V</t>
        </is>
      </c>
      <c r="B6" s="10" t="inlineStr">
        <is>
          <t>3261414202</t>
        </is>
      </c>
      <c r="C6" s="10" t="inlineStr">
        <is>
          <t>Alfa 156 2.5 v6 GPL</t>
        </is>
      </c>
      <c r="D6" s="18" t="n">
        <v>46296</v>
      </c>
      <c r="E6" s="12" t="n">
        <v>3200</v>
      </c>
      <c r="F6" s="14">
        <f>IF(AND($B6=$B5,ISNUMBER(E5),E5&gt;0),E6/E5-1,"")</f>
        <v/>
      </c>
      <c r="G6" s="19" t="inlineStr">
        <is>
          <t>Voir</t>
        </is>
      </c>
    </row>
    <row r="7">
      <c r="A7" s="10" t="inlineStr">
        <is>
          <t>Alfa Romeo 156 2.5 V6 24V</t>
        </is>
      </c>
      <c r="B7" s="10" t="inlineStr">
        <is>
          <t>3262191550</t>
        </is>
      </c>
      <c r="C7" s="10" t="inlineStr">
        <is>
          <t>Alfa romeo 166 v6 busso 2003</t>
        </is>
      </c>
      <c r="D7" s="18" t="n">
        <v>46296</v>
      </c>
      <c r="E7" s="12" t="n">
        <v>4390</v>
      </c>
      <c r="F7" s="14">
        <f>IF(AND($B7=$B6,ISNUMBER(E6),E6&gt;0),E7/E6-1,"")</f>
        <v/>
      </c>
      <c r="G7" s="19" t="inlineStr">
        <is>
          <t>Voir</t>
        </is>
      </c>
    </row>
    <row r="8">
      <c r="A8" s="10" t="inlineStr">
        <is>
          <t>Alfa Romeo 156 2.5 V6 24V</t>
        </is>
      </c>
      <c r="B8" s="10" t="inlineStr">
        <is>
          <t>3270896149</t>
        </is>
      </c>
      <c r="C8" s="10" t="inlineStr">
        <is>
          <t>Alfa Romeo 156 2.5 V6 24V</t>
        </is>
      </c>
      <c r="D8" s="18" t="n">
        <v>46296</v>
      </c>
      <c r="E8" s="12" t="n">
        <v>7000</v>
      </c>
      <c r="F8" s="14">
        <f>IF(AND($B8=$B7,ISNUMBER(E7),E7&gt;0),E8/E7-1,"")</f>
        <v/>
      </c>
      <c r="G8" s="19" t="inlineStr">
        <is>
          <t>Voir</t>
        </is>
      </c>
    </row>
    <row r="9">
      <c r="A9" s="10" t="inlineStr">
        <is>
          <t>Alfa Romeo 156 2.5 V6 24V</t>
        </is>
      </c>
      <c r="B9" s="10" t="inlineStr">
        <is>
          <t>3275564839</t>
        </is>
      </c>
      <c r="C9" s="10" t="inlineStr">
        <is>
          <t>Alfa Romeo 156 v6 SW 2.5</t>
        </is>
      </c>
      <c r="D9" s="18" t="n">
        <v>46296</v>
      </c>
      <c r="E9" s="12" t="n">
        <v>4000</v>
      </c>
      <c r="F9" s="14">
        <f>IF(AND($B9=$B8,ISNUMBER(E8),E8&gt;0),E9/E8-1,"")</f>
        <v/>
      </c>
      <c r="G9" s="19" t="inlineStr">
        <is>
          <t>Voir</t>
        </is>
      </c>
    </row>
    <row r="10">
      <c r="A10" s="10" t="inlineStr">
        <is>
          <t>Alfa Romeo 156 2.5 V6 24V</t>
        </is>
      </c>
      <c r="B10" s="10" t="inlineStr">
        <is>
          <t>3281190008</t>
        </is>
      </c>
      <c r="C10" s="10" t="inlineStr">
        <is>
          <t>Alfa Romeo 156 2.5 V6 Busso Rouge 1997</t>
        </is>
      </c>
      <c r="D10" s="18" t="n">
        <v>46310</v>
      </c>
      <c r="E10" s="12" t="n">
        <v>14900</v>
      </c>
      <c r="F10" s="14">
        <f>IF(AND($B10=$B9,ISNUMBER(E9),E9&gt;0),E10/E9-1,"")</f>
        <v/>
      </c>
      <c r="G10" s="19" t="inlineStr">
        <is>
          <t>Voir</t>
        </is>
      </c>
    </row>
    <row r="11">
      <c r="A11" s="10" t="inlineStr">
        <is>
          <t>Alfa Romeo 156 2.5 V6 24V</t>
        </is>
      </c>
      <c r="B11" s="10" t="inlineStr">
        <is>
          <t>3283116401</t>
        </is>
      </c>
      <c r="C11" s="10" t="inlineStr">
        <is>
          <t>Alfa Romeo 156 2.5 V6 24V</t>
        </is>
      </c>
      <c r="D11" s="18" t="n">
        <v>46310</v>
      </c>
      <c r="E11" s="12" t="n">
        <v>7800</v>
      </c>
      <c r="F11" s="14">
        <f>IF(AND($B11=$B10,ISNUMBER(E10),E10&gt;0),E11/E10-1,"")</f>
        <v/>
      </c>
      <c r="G11" s="19" t="inlineStr">
        <is>
          <t>Voir</t>
        </is>
      </c>
    </row>
    <row r="12">
      <c r="A12" s="10" t="inlineStr">
        <is>
          <t>BMW Z3 1.9i / 2.0i</t>
        </is>
      </c>
      <c r="B12" s="10" t="inlineStr">
        <is>
          <t>3171562700</t>
        </is>
      </c>
      <c r="C12" s="10" t="inlineStr">
        <is>
          <t>BMW Z3 1.9i 140ch Pack M Sport tbé Cuir Clim</t>
        </is>
      </c>
      <c r="D12" s="18" t="n">
        <v>46296</v>
      </c>
      <c r="E12" s="12" t="n">
        <v>8990</v>
      </c>
      <c r="F12" s="14">
        <f>IF(AND($B12=$B11,ISNUMBER(E11),E11&gt;0),E12/E11-1,"")</f>
        <v/>
      </c>
      <c r="G12" s="19" t="inlineStr">
        <is>
          <t>Voir</t>
        </is>
      </c>
    </row>
    <row r="13">
      <c r="A13" s="10" t="inlineStr">
        <is>
          <t>BMW Z3 1.9i / 2.0i</t>
        </is>
      </c>
      <c r="B13" s="10" t="inlineStr">
        <is>
          <t>3197947364</t>
        </is>
      </c>
      <c r="C13" s="10" t="inlineStr">
        <is>
          <t>Bmw z3 1.8 roadster GARANTIE</t>
        </is>
      </c>
      <c r="D13" s="18" t="n">
        <v>46296</v>
      </c>
      <c r="E13" s="12" t="n">
        <v>11490</v>
      </c>
      <c r="F13" s="14">
        <f>IF(AND($B13=$B12,ISNUMBER(E12),E12&gt;0),E13/E12-1,"")</f>
        <v/>
      </c>
      <c r="G13" s="19" t="inlineStr">
        <is>
          <t>Voir</t>
        </is>
      </c>
    </row>
    <row r="14">
      <c r="A14" s="10" t="inlineStr">
        <is>
          <t>BMW Z3 1.9i / 2.0i</t>
        </is>
      </c>
      <c r="B14" s="10" t="inlineStr">
        <is>
          <t>3211730689</t>
        </is>
      </c>
      <c r="C14" s="10" t="inlineStr">
        <is>
          <t>BMW z3</t>
        </is>
      </c>
      <c r="D14" s="18" t="n">
        <v>46310</v>
      </c>
      <c r="E14" s="12" t="n">
        <v>7000</v>
      </c>
      <c r="F14" s="14">
        <f>IF(AND($B14=$B13,ISNUMBER(E13),E13&gt;0),E14/E13-1,"")</f>
        <v/>
      </c>
      <c r="G14" s="19" t="inlineStr">
        <is>
          <t>Voir</t>
        </is>
      </c>
    </row>
    <row r="15">
      <c r="A15" s="10" t="inlineStr">
        <is>
          <t>BMW Z3 1.9i / 2.0i</t>
        </is>
      </c>
      <c r="B15" s="10" t="inlineStr">
        <is>
          <t>3217262918</t>
        </is>
      </c>
      <c r="C15" s="10" t="inlineStr">
        <is>
          <t>BMW Z3 1.9 140cv</t>
        </is>
      </c>
      <c r="D15" s="18" t="n">
        <v>46296</v>
      </c>
      <c r="E15" s="12" t="n">
        <v>9990</v>
      </c>
      <c r="F15" s="14">
        <f>IF(AND($B15=$B14,ISNUMBER(E14),E14&gt;0),E15/E14-1,"")</f>
        <v/>
      </c>
      <c r="G15" s="19" t="inlineStr">
        <is>
          <t>Voir</t>
        </is>
      </c>
    </row>
    <row r="16">
      <c r="A16" s="10" t="inlineStr">
        <is>
          <t>BMW Z3 1.9i / 2.0i</t>
        </is>
      </c>
      <c r="B16" s="10" t="inlineStr">
        <is>
          <t>3220328214</t>
        </is>
      </c>
      <c r="C16" s="10" t="inlineStr">
        <is>
          <t>BMW Z3 cabriolet 2.2 170 ch 6 cylindres 84700 km</t>
        </is>
      </c>
      <c r="D16" s="18" t="n">
        <v>46296</v>
      </c>
      <c r="E16" s="12" t="n">
        <v>17900</v>
      </c>
      <c r="F16" s="14">
        <f>IF(AND($B16=$B15,ISNUMBER(E15),E15&gt;0),E16/E15-1,"")</f>
        <v/>
      </c>
      <c r="G16" s="19" t="inlineStr">
        <is>
          <t>Voir</t>
        </is>
      </c>
    </row>
    <row r="17">
      <c r="A17" s="10" t="inlineStr">
        <is>
          <t>BMW Z3 1.9i / 2.0i</t>
        </is>
      </c>
      <c r="B17" s="10" t="inlineStr">
        <is>
          <t>3230964764</t>
        </is>
      </c>
      <c r="C17" s="10" t="inlineStr">
        <is>
          <t>Bmw Z3 ROADSTER (E36) 2.0 150CH</t>
        </is>
      </c>
      <c r="D17" s="18" t="n">
        <v>46296</v>
      </c>
      <c r="E17" s="12" t="n">
        <v>15990</v>
      </c>
      <c r="F17" s="14">
        <f>IF(AND($B17=$B16,ISNUMBER(E16),E16&gt;0),E17/E16-1,"")</f>
        <v/>
      </c>
      <c r="G17" s="19" t="inlineStr">
        <is>
          <t>Voir</t>
        </is>
      </c>
    </row>
    <row r="18">
      <c r="A18" s="10" t="inlineStr">
        <is>
          <t>BMW Z3 1.9i / 2.0i</t>
        </is>
      </c>
      <c r="B18" s="10" t="inlineStr">
        <is>
          <t>3237198765</t>
        </is>
      </c>
      <c r="C18" s="10" t="inlineStr">
        <is>
          <t>BMW Z3 Roadster 1.8i 115ch SELLERIE NEUVE</t>
        </is>
      </c>
      <c r="D18" s="18" t="n">
        <v>46310</v>
      </c>
      <c r="E18" s="12" t="n">
        <v>8990</v>
      </c>
      <c r="F18" s="14">
        <f>IF(AND($B18=$B17,ISNUMBER(E17),E17&gt;0),E18/E17-1,"")</f>
        <v/>
      </c>
      <c r="G18" s="19" t="inlineStr">
        <is>
          <t>Voir</t>
        </is>
      </c>
    </row>
    <row r="19">
      <c r="A19" s="10" t="inlineStr">
        <is>
          <t>BMW Z3 1.9i / 2.0i</t>
        </is>
      </c>
      <c r="B19" s="10" t="inlineStr">
        <is>
          <t>3237237759</t>
        </is>
      </c>
      <c r="C19" s="10" t="inlineStr">
        <is>
          <t>BMW Z3 1.8L Roadster 115CV / CARROSSERIE NEUVE BMW / ENTRETIEN À JOUR / ÉTAT CONCOURS</t>
        </is>
      </c>
      <c r="D19" s="18" t="n">
        <v>46310</v>
      </c>
      <c r="E19" s="12" t="n">
        <v>12990</v>
      </c>
      <c r="F19" s="14">
        <f>IF(AND($B19=$B18,ISNUMBER(E18),E18&gt;0),E19/E18-1,"")</f>
        <v/>
      </c>
      <c r="G19" s="19" t="inlineStr">
        <is>
          <t>Voir</t>
        </is>
      </c>
    </row>
    <row r="20">
      <c r="A20" s="10" t="inlineStr">
        <is>
          <t>BMW Z3 1.9i / 2.0i</t>
        </is>
      </c>
      <c r="B20" s="10" t="inlineStr">
        <is>
          <t>3243864537</t>
        </is>
      </c>
      <c r="C20" s="10" t="inlineStr">
        <is>
          <t>BMW Z3 Roadster 1.8i 115ch GARANTIE 12 MOIS</t>
        </is>
      </c>
      <c r="D20" s="18" t="n">
        <v>46310</v>
      </c>
      <c r="E20" s="12" t="n">
        <v>9990</v>
      </c>
      <c r="F20" s="14">
        <f>IF(AND($B20=$B19,ISNUMBER(E19),E19&gt;0),E20/E19-1,"")</f>
        <v/>
      </c>
      <c r="G20" s="19" t="inlineStr">
        <is>
          <t>Voir</t>
        </is>
      </c>
    </row>
    <row r="21">
      <c r="A21" s="10" t="inlineStr">
        <is>
          <t>BMW Z3 1.9i / 2.0i</t>
        </is>
      </c>
      <c r="B21" s="10" t="inlineStr">
        <is>
          <t>3245635449</t>
        </is>
      </c>
      <c r="C21" s="10" t="inlineStr">
        <is>
          <t>BMW Z3 Roadster 1.9i ROADSTER E36 Roadster BVM - GARANTIE 12 MOIS</t>
        </is>
      </c>
      <c r="D21" s="18" t="n">
        <v>46296</v>
      </c>
      <c r="E21" s="12" t="n">
        <v>10990</v>
      </c>
      <c r="F21" s="14">
        <f>IF(AND($B21=$B20,ISNUMBER(E20),E20&gt;0),E21/E20-1,"")</f>
        <v/>
      </c>
      <c r="G21" s="19" t="inlineStr">
        <is>
          <t>Voir</t>
        </is>
      </c>
    </row>
    <row r="22">
      <c r="A22" s="10" t="inlineStr">
        <is>
          <t>BMW Z3 1.9i / 2.0i</t>
        </is>
      </c>
      <c r="B22" s="10" t="inlineStr">
        <is>
          <t>3246077665</t>
        </is>
      </c>
      <c r="C22" s="10" t="inlineStr">
        <is>
          <t>Bmw z3</t>
        </is>
      </c>
      <c r="D22" s="18" t="n">
        <v>46310</v>
      </c>
      <c r="E22" s="12" t="n">
        <v>12000</v>
      </c>
      <c r="F22" s="14">
        <f>IF(AND($B22=$B21,ISNUMBER(E21),E21&gt;0),E22/E21-1,"")</f>
        <v/>
      </c>
      <c r="G22" s="19" t="inlineStr">
        <is>
          <t>Voir</t>
        </is>
      </c>
    </row>
    <row r="23">
      <c r="A23" s="10" t="inlineStr">
        <is>
          <t>BMW Z3 1.9i / 2.0i</t>
        </is>
      </c>
      <c r="B23" s="10" t="inlineStr">
        <is>
          <t>3246862811</t>
        </is>
      </c>
      <c r="C23" s="10" t="inlineStr">
        <is>
          <t>Bmw z3</t>
        </is>
      </c>
      <c r="D23" s="18" t="n">
        <v>46310</v>
      </c>
      <c r="E23" s="12" t="n">
        <v>10500</v>
      </c>
      <c r="F23" s="14">
        <f>IF(AND($B23=$B22,ISNUMBER(E22),E22&gt;0),E23/E22-1,"")</f>
        <v/>
      </c>
      <c r="G23" s="19" t="inlineStr">
        <is>
          <t>Voir</t>
        </is>
      </c>
    </row>
    <row r="24">
      <c r="A24" s="10" t="inlineStr">
        <is>
          <t>BMW Z3 1.9i / 2.0i</t>
        </is>
      </c>
      <c r="B24" s="10" t="inlineStr">
        <is>
          <t>3249081293</t>
        </is>
      </c>
      <c r="C24" s="10" t="inlineStr">
        <is>
          <t>BMW Z3 Roadster 1.9i 118ch Garantie 6 Mois</t>
        </is>
      </c>
      <c r="D24" s="18" t="n">
        <v>46296</v>
      </c>
      <c r="E24" s="12" t="n">
        <v>9990</v>
      </c>
      <c r="F24" s="14">
        <f>IF(AND($B24=$B23,ISNUMBER(E23),E23&gt;0),E24/E23-1,"")</f>
        <v/>
      </c>
      <c r="G24" s="19" t="inlineStr">
        <is>
          <t>Voir</t>
        </is>
      </c>
    </row>
    <row r="25">
      <c r="A25" s="10" t="inlineStr">
        <is>
          <t>BMW Z3 1.9i / 2.0i</t>
        </is>
      </c>
      <c r="B25" s="10" t="inlineStr">
        <is>
          <t>3249519594</t>
        </is>
      </c>
      <c r="C25" s="10" t="inlineStr">
        <is>
          <t>Bmw z3 1.9 i</t>
        </is>
      </c>
      <c r="D25" s="18" t="n">
        <v>46296</v>
      </c>
      <c r="E25" s="12" t="n">
        <v>9500</v>
      </c>
      <c r="F25" s="14">
        <f>IF(AND($B25=$B24,ISNUMBER(E24),E24&gt;0),E25/E24-1,"")</f>
        <v/>
      </c>
      <c r="G25" s="19" t="inlineStr">
        <is>
          <t>Voir</t>
        </is>
      </c>
    </row>
    <row r="26">
      <c r="A26" s="10" t="inlineStr">
        <is>
          <t>BMW Z3 1.9i / 2.0i</t>
        </is>
      </c>
      <c r="B26" s="10" t="inlineStr">
        <is>
          <t>3256683007</t>
        </is>
      </c>
      <c r="C26" s="10" t="inlineStr">
        <is>
          <t>Bmw z3 roadster 1.9 118 cv - 85 500 km - 13 900.00</t>
        </is>
      </c>
      <c r="D26" s="18" t="n">
        <v>46296</v>
      </c>
      <c r="E26" s="12" t="n">
        <v>13900</v>
      </c>
      <c r="F26" s="14">
        <f>IF(AND($B26=$B25,ISNUMBER(E25),E25&gt;0),E26/E25-1,"")</f>
        <v/>
      </c>
      <c r="G26" s="19" t="inlineStr">
        <is>
          <t>Voir</t>
        </is>
      </c>
    </row>
    <row r="27">
      <c r="A27" s="10" t="inlineStr">
        <is>
          <t>BMW Z3 1.9i / 2.0i</t>
        </is>
      </c>
      <c r="B27" s="10" t="inlineStr">
        <is>
          <t>3257804096</t>
        </is>
      </c>
      <c r="C27" s="10" t="inlineStr">
        <is>
          <t>Bmw z3</t>
        </is>
      </c>
      <c r="D27" s="18" t="n">
        <v>46310</v>
      </c>
      <c r="E27" s="12" t="n">
        <v>11900</v>
      </c>
      <c r="F27" s="14">
        <f>IF(AND($B27=$B26,ISNUMBER(E26),E26&gt;0),E27/E26-1,"")</f>
        <v/>
      </c>
      <c r="G27" s="19" t="inlineStr">
        <is>
          <t>Voir</t>
        </is>
      </c>
    </row>
    <row r="28">
      <c r="A28" s="10" t="inlineStr">
        <is>
          <t>BMW Z3 1.9i / 2.0i</t>
        </is>
      </c>
      <c r="B28" s="10" t="inlineStr">
        <is>
          <t>3258200097</t>
        </is>
      </c>
      <c r="C28" s="10" t="inlineStr">
        <is>
          <t>BMW Z3 Z3 1.9i ORIGINE FRANCE</t>
        </is>
      </c>
      <c r="D28" s="18" t="n">
        <v>46296</v>
      </c>
      <c r="E28" s="12" t="n">
        <v>10990</v>
      </c>
      <c r="F28" s="14">
        <f>IF(AND($B28=$B27,ISNUMBER(E27),E27&gt;0),E28/E27-1,"")</f>
        <v/>
      </c>
      <c r="G28" s="19" t="inlineStr">
        <is>
          <t>Voir</t>
        </is>
      </c>
    </row>
    <row r="29">
      <c r="A29" s="10" t="inlineStr">
        <is>
          <t>BMW Z3 1.9i / 2.0i</t>
        </is>
      </c>
      <c r="B29" s="10" t="inlineStr">
        <is>
          <t>3258446503</t>
        </is>
      </c>
      <c r="C29" s="10" t="inlineStr">
        <is>
          <t>Bmw Z3 1,8 L 115 CV PACK M + 2 EME MAIN</t>
        </is>
      </c>
      <c r="D29" s="18" t="n">
        <v>46296</v>
      </c>
      <c r="E29" s="12" t="n">
        <v>11990</v>
      </c>
      <c r="F29" s="14">
        <f>IF(AND($B29=$B28,ISNUMBER(E28),E28&gt;0),E29/E28-1,"")</f>
        <v/>
      </c>
      <c r="G29" s="19" t="inlineStr">
        <is>
          <t>Voir</t>
        </is>
      </c>
    </row>
    <row r="30">
      <c r="A30" s="10" t="inlineStr">
        <is>
          <t>BMW Z3 1.9i / 2.0i</t>
        </is>
      </c>
      <c r="B30" s="10" t="inlineStr">
        <is>
          <t>3258548235</t>
        </is>
      </c>
      <c r="C30" s="10" t="inlineStr">
        <is>
          <t>Bmw Z3 2.0 150 ch 6 cylindres cabriolet</t>
        </is>
      </c>
      <c r="D30" s="18" t="n">
        <v>46296</v>
      </c>
      <c r="E30" s="12" t="n">
        <v>7490</v>
      </c>
      <c r="F30" s="14">
        <f>IF(AND($B30=$B29,ISNUMBER(E29),E29&gt;0),E30/E29-1,"")</f>
        <v/>
      </c>
      <c r="G30" s="19" t="inlineStr">
        <is>
          <t>Voir</t>
        </is>
      </c>
    </row>
    <row r="31">
      <c r="A31" s="10" t="inlineStr">
        <is>
          <t>BMW Z3 1.9i / 2.0i</t>
        </is>
      </c>
      <c r="B31" s="10" t="inlineStr">
        <is>
          <t>3262111623</t>
        </is>
      </c>
      <c r="C31" s="10" t="inlineStr">
        <is>
          <t>Bmw z3 1.9 140ch roadster + entretien à jour + garantie</t>
        </is>
      </c>
      <c r="D31" s="18" t="n">
        <v>46310</v>
      </c>
      <c r="E31" s="12" t="n">
        <v>9990</v>
      </c>
      <c r="F31" s="14">
        <f>IF(AND($B31=$B30,ISNUMBER(E30),E30&gt;0),E31/E30-1,"")</f>
        <v/>
      </c>
      <c r="G31" s="19" t="inlineStr">
        <is>
          <t>Voir</t>
        </is>
      </c>
    </row>
    <row r="32">
      <c r="A32" s="10" t="inlineStr">
        <is>
          <t>BMW Z3 1.9i / 2.0i</t>
        </is>
      </c>
      <c r="B32" s="10" t="inlineStr">
        <is>
          <t>3265952895</t>
        </is>
      </c>
      <c r="C32" s="10" t="inlineStr">
        <is>
          <t>BMW Z3 1.9 i 140cv</t>
        </is>
      </c>
      <c r="D32" s="18" t="n">
        <v>46310</v>
      </c>
      <c r="E32" s="12" t="n">
        <v>10990</v>
      </c>
      <c r="F32" s="14">
        <f>IF(AND($B32=$B31,ISNUMBER(E31),E31&gt;0),E32/E31-1,"")</f>
        <v/>
      </c>
      <c r="G32" s="19" t="inlineStr">
        <is>
          <t>Voir</t>
        </is>
      </c>
    </row>
    <row r="33">
      <c r="A33" s="10" t="inlineStr">
        <is>
          <t>BMW Z3 1.9i / 2.0i</t>
        </is>
      </c>
      <c r="B33" s="10" t="inlineStr">
        <is>
          <t>3269719393</t>
        </is>
      </c>
      <c r="C33" s="10" t="inlineStr">
        <is>
          <t>Bmw z3</t>
        </is>
      </c>
      <c r="D33" s="18" t="n">
        <v>46310</v>
      </c>
      <c r="E33" s="12" t="n">
        <v>9500</v>
      </c>
      <c r="F33" s="14">
        <f>IF(AND($B33=$B32,ISNUMBER(E32),E32&gt;0),E33/E32-1,"")</f>
        <v/>
      </c>
      <c r="G33" s="19" t="inlineStr">
        <is>
          <t>Voir</t>
        </is>
      </c>
    </row>
    <row r="34">
      <c r="A34" s="10" t="inlineStr">
        <is>
          <t>BMW Z3 1.9i / 2.0i</t>
        </is>
      </c>
      <c r="B34" s="10" t="inlineStr">
        <is>
          <t>3270344321</t>
        </is>
      </c>
      <c r="C34" s="10" t="inlineStr">
        <is>
          <t>Bmw Z3 ROADSTER 2.0 I 150 M</t>
        </is>
      </c>
      <c r="D34" s="18" t="n">
        <v>46310</v>
      </c>
      <c r="E34" s="12" t="n">
        <v>14990</v>
      </c>
      <c r="F34" s="14">
        <f>IF(AND($B34=$B33,ISNUMBER(E33),E33&gt;0),E34/E33-1,"")</f>
        <v/>
      </c>
      <c r="G34" s="19" t="inlineStr">
        <is>
          <t>Voir</t>
        </is>
      </c>
    </row>
    <row r="35">
      <c r="A35" s="10" t="inlineStr">
        <is>
          <t>BMW Z3 1.9i / 2.0i</t>
        </is>
      </c>
      <c r="B35" s="10" t="inlineStr">
        <is>
          <t>3271024428</t>
        </is>
      </c>
      <c r="C35" s="10" t="inlineStr">
        <is>
          <t>BMW Z3 2.0i A</t>
        </is>
      </c>
      <c r="D35" s="18" t="n">
        <v>46310</v>
      </c>
      <c r="E35" s="12" t="n">
        <v>12990</v>
      </c>
      <c r="F35" s="14">
        <f>IF(AND($B35=$B34,ISNUMBER(E34),E34&gt;0),E35/E34-1,"")</f>
        <v/>
      </c>
      <c r="G35" s="19" t="inlineStr">
        <is>
          <t>Voir</t>
        </is>
      </c>
    </row>
    <row r="36">
      <c r="A36" s="10" t="inlineStr">
        <is>
          <t>BMW Z3 1.9i / 2.0i</t>
        </is>
      </c>
      <c r="B36" s="10" t="inlineStr">
        <is>
          <t>3271039169</t>
        </is>
      </c>
      <c r="C36" s="10" t="inlineStr">
        <is>
          <t>BMW Z3 Roadster 1.8i ROADSTER E36 Roadster 1.8i - 1613-0000365</t>
        </is>
      </c>
      <c r="D36" s="18" t="n">
        <v>46310</v>
      </c>
      <c r="E36" s="12" t="n">
        <v>13200</v>
      </c>
      <c r="F36" s="14">
        <f>IF(AND($B36=$B35,ISNUMBER(E35),E35&gt;0),E36/E35-1,"")</f>
        <v/>
      </c>
      <c r="G36" s="19" t="inlineStr">
        <is>
          <t>Voir</t>
        </is>
      </c>
    </row>
    <row r="37">
      <c r="A37" s="10" t="inlineStr">
        <is>
          <t>BMW Z3 1.9i / 2.0i</t>
        </is>
      </c>
      <c r="B37" s="10" t="inlineStr">
        <is>
          <t>3271074708</t>
        </is>
      </c>
      <c r="C37" s="10" t="inlineStr">
        <is>
          <t>Bmw z3 roadster 1.9 i 140</t>
        </is>
      </c>
      <c r="D37" s="18" t="n">
        <v>46296</v>
      </c>
      <c r="E37" s="12" t="n">
        <v>12990</v>
      </c>
      <c r="F37" s="14">
        <f>IF(AND($B37=$B36,ISNUMBER(E36),E36&gt;0),E37/E36-1,"")</f>
        <v/>
      </c>
      <c r="G37" s="19" t="inlineStr">
        <is>
          <t>Voir</t>
        </is>
      </c>
    </row>
    <row r="38">
      <c r="A38" s="10" t="inlineStr">
        <is>
          <t>BMW Z3 1.9i / 2.0i</t>
        </is>
      </c>
      <c r="B38" s="10" t="inlineStr">
        <is>
          <t>3272577206</t>
        </is>
      </c>
      <c r="C38" s="10" t="inlineStr">
        <is>
          <t>Bmw Z3 1.8 116cv *Moteur 175000Km + factures BMW</t>
        </is>
      </c>
      <c r="D38" s="18" t="n">
        <v>46296</v>
      </c>
      <c r="E38" s="12" t="n">
        <v>11490</v>
      </c>
      <c r="F38" s="14">
        <f>IF(AND($B38=$B37,ISNUMBER(E37),E37&gt;0),E38/E37-1,"")</f>
        <v/>
      </c>
      <c r="G38" s="19" t="inlineStr">
        <is>
          <t>Voir</t>
        </is>
      </c>
    </row>
    <row r="39">
      <c r="A39" s="10" t="inlineStr">
        <is>
          <t>BMW Z3 1.9i / 2.0i</t>
        </is>
      </c>
      <c r="B39" s="10" t="inlineStr">
        <is>
          <t>3275857889</t>
        </is>
      </c>
      <c r="C39" s="10" t="inlineStr">
        <is>
          <t>Bmw z3 roadster 1.8</t>
        </is>
      </c>
      <c r="D39" s="18" t="n">
        <v>46310</v>
      </c>
      <c r="E39" s="12" t="n">
        <v>9990</v>
      </c>
      <c r="F39" s="14">
        <f>IF(AND($B39=$B38,ISNUMBER(E38),E38&gt;0),E39/E38-1,"")</f>
        <v/>
      </c>
      <c r="G39" s="19" t="inlineStr">
        <is>
          <t>Voir</t>
        </is>
      </c>
    </row>
    <row r="40">
      <c r="A40" s="10" t="inlineStr">
        <is>
          <t>BMW Z3 1.9i / 2.0i</t>
        </is>
      </c>
      <c r="B40" s="10" t="inlineStr">
        <is>
          <t>3278275196</t>
        </is>
      </c>
      <c r="C40" s="10" t="inlineStr">
        <is>
          <t>BMW Z3 Roadster 1.9i - 118 ch - Origine France - Entretien Complet - Garantie 12 Mois</t>
        </is>
      </c>
      <c r="D40" s="18" t="n">
        <v>46310</v>
      </c>
      <c r="E40" s="12" t="n">
        <v>11990</v>
      </c>
      <c r="F40" s="14">
        <f>IF(AND($B40=$B39,ISNUMBER(E39),E39&gt;0),E40/E39-1,"")</f>
        <v/>
      </c>
      <c r="G40" s="19" t="inlineStr">
        <is>
          <t>Voir</t>
        </is>
      </c>
    </row>
    <row r="41">
      <c r="A41" s="10" t="inlineStr">
        <is>
          <t>BMW Z3 1.9i / 2.0i</t>
        </is>
      </c>
      <c r="B41" s="10" t="inlineStr">
        <is>
          <t>3278297992</t>
        </is>
      </c>
      <c r="C41" s="10" t="inlineStr">
        <is>
          <t>BMW Z3 Roadster 1.8i ROADSTER E36 Roadster 1.8i Capote neuve Collector</t>
        </is>
      </c>
      <c r="D41" s="18" t="n">
        <v>46310</v>
      </c>
      <c r="E41" s="12" t="n">
        <v>8990</v>
      </c>
      <c r="F41" s="14">
        <f>IF(AND($B41=$B40,ISNUMBER(E40),E40&gt;0),E41/E40-1,"")</f>
        <v/>
      </c>
      <c r="G41" s="19" t="inlineStr">
        <is>
          <t>Voir</t>
        </is>
      </c>
    </row>
    <row r="42">
      <c r="A42" s="10" t="inlineStr">
        <is>
          <t>BMW Z3 1.9i / 2.0i</t>
        </is>
      </c>
      <c r="B42" s="10" t="inlineStr">
        <is>
          <t>3278388364</t>
        </is>
      </c>
      <c r="C42" s="10" t="inlineStr">
        <is>
          <t>BMW Z3 Roadster 1.8i ROADSTER E36 Roadster 1.8i</t>
        </is>
      </c>
      <c r="D42" s="18" t="n">
        <v>46310</v>
      </c>
      <c r="E42" s="12" t="n">
        <v>9490</v>
      </c>
      <c r="F42" s="14">
        <f>IF(AND($B42=$B41,ISNUMBER(E41),E41&gt;0),E42/E41-1,"")</f>
        <v/>
      </c>
      <c r="G42" s="19" t="inlineStr">
        <is>
          <t>Voir</t>
        </is>
      </c>
    </row>
    <row r="43">
      <c r="A43" s="10" t="inlineStr">
        <is>
          <t>BMW Z3 1.9i / 2.0i</t>
        </is>
      </c>
      <c r="B43" s="10" t="inlineStr">
        <is>
          <t>3278435582</t>
        </is>
      </c>
      <c r="C43" s="10" t="inlineStr">
        <is>
          <t>BMW Z3 Roadster 1.9 i 115cv - Pack M</t>
        </is>
      </c>
      <c r="D43" s="18" t="n">
        <v>46310</v>
      </c>
      <c r="E43" s="12" t="n">
        <v>9990</v>
      </c>
      <c r="F43" s="14">
        <f>IF(AND($B43=$B42,ISNUMBER(E42),E42&gt;0),E43/E42-1,"")</f>
        <v/>
      </c>
      <c r="G43" s="19" t="inlineStr">
        <is>
          <t>Voir</t>
        </is>
      </c>
    </row>
    <row r="44">
      <c r="A44" s="10" t="inlineStr">
        <is>
          <t>BMW Z3 1.9i / 2.0i</t>
        </is>
      </c>
      <c r="B44" s="10" t="inlineStr">
        <is>
          <t>3283125826</t>
        </is>
      </c>
      <c r="C44" s="10" t="inlineStr">
        <is>
          <t>Bmw z3</t>
        </is>
      </c>
      <c r="D44" s="18" t="n">
        <v>46310</v>
      </c>
      <c r="E44" s="12" t="n">
        <v>10500</v>
      </c>
      <c r="F44" s="14">
        <f>IF(AND($B44=$B43,ISNUMBER(E43),E43&gt;0),E44/E43-1,"")</f>
        <v/>
      </c>
      <c r="G44" s="19" t="inlineStr">
        <is>
          <t>Voir</t>
        </is>
      </c>
    </row>
    <row r="45">
      <c r="A45" s="10" t="inlineStr">
        <is>
          <t>BMW Z3 1.9i / 2.0i</t>
        </is>
      </c>
      <c r="B45" s="10" t="inlineStr">
        <is>
          <t>3283519181</t>
        </is>
      </c>
      <c r="C45" s="10" t="inlineStr">
        <is>
          <t>Bmw Z3</t>
        </is>
      </c>
      <c r="D45" s="18" t="n">
        <v>46310</v>
      </c>
      <c r="E45" s="12" t="n">
        <v>10500</v>
      </c>
      <c r="F45" s="14">
        <f>IF(AND($B45=$B44,ISNUMBER(E44),E44&gt;0),E45/E44-1,"")</f>
        <v/>
      </c>
      <c r="G45" s="19" t="inlineStr">
        <is>
          <t>Voir</t>
        </is>
      </c>
    </row>
    <row r="46">
      <c r="A46" s="10" t="inlineStr">
        <is>
          <t>BMW Z3 1.9i / 2.0i</t>
        </is>
      </c>
      <c r="B46" s="10" t="inlineStr">
        <is>
          <t>3283890361</t>
        </is>
      </c>
      <c r="C46" s="10" t="inlineStr">
        <is>
          <t>Bmw Z3 E36 Luxe 1.9 118ch Phase 2</t>
        </is>
      </c>
      <c r="D46" s="18" t="n">
        <v>46310</v>
      </c>
      <c r="E46" s="12" t="n">
        <v>9990</v>
      </c>
      <c r="F46" s="14">
        <f>IF(AND($B46=$B45,ISNUMBER(E45),E45&gt;0),E46/E45-1,"")</f>
        <v/>
      </c>
      <c r="G46" s="19" t="inlineStr">
        <is>
          <t>Voir</t>
        </is>
      </c>
    </row>
    <row r="47">
      <c r="A47" s="10" t="inlineStr">
        <is>
          <t>BMW Z3 1.9i / 2.0i</t>
        </is>
      </c>
      <c r="B47" s="10" t="inlineStr">
        <is>
          <t>3286480975</t>
        </is>
      </c>
      <c r="C47" s="10" t="inlineStr">
        <is>
          <t>Bmw z3</t>
        </is>
      </c>
      <c r="D47" s="18" t="n">
        <v>46310</v>
      </c>
      <c r="E47" s="12" t="n">
        <v>8900</v>
      </c>
      <c r="F47" s="14">
        <f>IF(AND($B47=$B46,ISNUMBER(E46),E46&gt;0),E47/E46-1,"")</f>
        <v/>
      </c>
      <c r="G47" s="19" t="inlineStr">
        <is>
          <t>Voir</t>
        </is>
      </c>
    </row>
    <row r="48">
      <c r="A48" s="10" t="inlineStr">
        <is>
          <t>BMW Z3 1.9i / 2.0i</t>
        </is>
      </c>
      <c r="B48" s="10" t="inlineStr">
        <is>
          <t>3286625426</t>
        </is>
      </c>
      <c r="C48" s="10" t="inlineStr">
        <is>
          <t>Bmw z3</t>
        </is>
      </c>
      <c r="D48" s="18" t="n">
        <v>46310</v>
      </c>
      <c r="E48" s="12" t="n">
        <v>15000</v>
      </c>
      <c r="F48" s="14">
        <f>IF(AND($B48=$B47,ISNUMBER(E47),E47&gt;0),E48/E47-1,"")</f>
        <v/>
      </c>
      <c r="G48" s="19" t="inlineStr">
        <is>
          <t>Voir</t>
        </is>
      </c>
    </row>
    <row r="49">
      <c r="A49" s="10" t="inlineStr">
        <is>
          <t>BMW Z3 1.9i / 2.0i</t>
        </is>
      </c>
      <c r="B49" s="10" t="inlineStr">
        <is>
          <t>3287385983</t>
        </is>
      </c>
      <c r="C49" s="10" t="inlineStr">
        <is>
          <t>BMW z3</t>
        </is>
      </c>
      <c r="D49" s="18" t="n">
        <v>46310</v>
      </c>
      <c r="E49" s="12" t="n">
        <v>7800</v>
      </c>
      <c r="F49" s="14">
        <f>IF(AND($B49=$B48,ISNUMBER(E48),E48&gt;0),E49/E48-1,"")</f>
        <v/>
      </c>
      <c r="G49" s="19" t="inlineStr">
        <is>
          <t>Voir</t>
        </is>
      </c>
    </row>
    <row r="50">
      <c r="A50" s="10" t="inlineStr">
        <is>
          <t>Citroën Saxo VTS 16V</t>
        </is>
      </c>
      <c r="B50" s="10" t="inlineStr">
        <is>
          <t>3122468671</t>
        </is>
      </c>
      <c r="C50" s="10" t="inlineStr">
        <is>
          <t>Citroen saxo vts</t>
        </is>
      </c>
      <c r="D50" s="18" t="n">
        <v>46296</v>
      </c>
      <c r="E50" s="12" t="n">
        <v>5500</v>
      </c>
      <c r="F50" s="14">
        <f>IF(AND($B50=$B49,ISNUMBER(E49),E49&gt;0),E50/E49-1,"")</f>
        <v/>
      </c>
      <c r="G50" s="19" t="inlineStr">
        <is>
          <t>Voir</t>
        </is>
      </c>
    </row>
    <row r="51">
      <c r="A51" s="10" t="inlineStr">
        <is>
          <t>Citroën Saxo VTS 16V</t>
        </is>
      </c>
      <c r="B51" s="10" t="inlineStr">
        <is>
          <t>3177027931</t>
        </is>
      </c>
      <c r="C51" s="10" t="inlineStr">
        <is>
          <t>Saxo vts / 85000 km / a restaurer</t>
        </is>
      </c>
      <c r="D51" s="18" t="n">
        <v>46310</v>
      </c>
      <c r="E51" s="12" t="n">
        <v>4500</v>
      </c>
      <c r="F51" s="14">
        <f>IF(AND($B51=$B50,ISNUMBER(E50),E50&gt;0),E51/E50-1,"")</f>
        <v/>
      </c>
      <c r="G51" s="19" t="inlineStr">
        <is>
          <t>Voir</t>
        </is>
      </c>
    </row>
    <row r="52">
      <c r="A52" s="10" t="inlineStr">
        <is>
          <t>Citroën Saxo VTS 16V</t>
        </is>
      </c>
      <c r="B52" s="10" t="inlineStr">
        <is>
          <t>3179205726</t>
        </is>
      </c>
      <c r="C52" s="10" t="inlineStr">
        <is>
          <t>Citroen Saxo VTS 16v</t>
        </is>
      </c>
      <c r="D52" s="18" t="n">
        <v>46296</v>
      </c>
      <c r="E52" s="12" t="n">
        <v>7500</v>
      </c>
      <c r="F52" s="14">
        <f>IF(AND($B52=$B51,ISNUMBER(E51),E51&gt;0),E52/E51-1,"")</f>
        <v/>
      </c>
      <c r="G52" s="19" t="inlineStr">
        <is>
          <t>Voir</t>
        </is>
      </c>
    </row>
    <row r="53">
      <c r="A53" s="10" t="inlineStr">
        <is>
          <t>Citroën Saxo VTS 16V</t>
        </is>
      </c>
      <c r="B53" s="10" t="inlineStr">
        <is>
          <t>3179205726</t>
        </is>
      </c>
      <c r="C53" s="10" t="inlineStr">
        <is>
          <t>Citroen Saxo VTS 16v</t>
        </is>
      </c>
      <c r="D53" s="18" t="n">
        <v>46310</v>
      </c>
      <c r="E53" s="12" t="n">
        <v>7000</v>
      </c>
      <c r="F53" s="14">
        <f>IF(AND($B53=$B52,ISNUMBER(E52),E52&gt;0),E53/E52-1,"")</f>
        <v/>
      </c>
      <c r="G53" s="19" t="inlineStr">
        <is>
          <t>Voir</t>
        </is>
      </c>
    </row>
    <row r="54">
      <c r="A54" s="10" t="inlineStr">
        <is>
          <t>Citroën Saxo VTS 16V</t>
        </is>
      </c>
      <c r="B54" s="10" t="inlineStr">
        <is>
          <t>3179893341</t>
        </is>
      </c>
      <c r="C54" s="10" t="inlineStr">
        <is>
          <t>Saxo vts 1.6 90cv</t>
        </is>
      </c>
      <c r="D54" s="18" t="n">
        <v>46296</v>
      </c>
      <c r="E54" s="12" t="n">
        <v>5500</v>
      </c>
      <c r="F54" s="14">
        <f>IF(AND($B54=$B53,ISNUMBER(E53),E53&gt;0),E54/E53-1,"")</f>
        <v/>
      </c>
      <c r="G54" s="19" t="inlineStr">
        <is>
          <t>Voir</t>
        </is>
      </c>
    </row>
    <row r="55">
      <c r="A55" s="10" t="inlineStr">
        <is>
          <t>Citroën Saxo VTS 16V</t>
        </is>
      </c>
      <c r="B55" s="10" t="inlineStr">
        <is>
          <t>3179893341</t>
        </is>
      </c>
      <c r="C55" s="10" t="inlineStr">
        <is>
          <t>Saxo vts 1.6 90cv</t>
        </is>
      </c>
      <c r="D55" s="18" t="n">
        <v>46310</v>
      </c>
      <c r="E55" s="12" t="n">
        <v>4800</v>
      </c>
      <c r="F55" s="14">
        <f>IF(AND($B55=$B54,ISNUMBER(E54),E54&gt;0),E55/E54-1,"")</f>
        <v/>
      </c>
      <c r="G55" s="19" t="inlineStr">
        <is>
          <t>Voir</t>
        </is>
      </c>
    </row>
    <row r="56">
      <c r="A56" s="10" t="inlineStr">
        <is>
          <t>Citroën Saxo VTS 16V</t>
        </is>
      </c>
      <c r="B56" s="10" t="inlineStr">
        <is>
          <t>3198012563</t>
        </is>
      </c>
      <c r="C56" s="10" t="inlineStr">
        <is>
          <t>Saxo VTS 1.6l 16s</t>
        </is>
      </c>
      <c r="D56" s="18" t="n">
        <v>46296</v>
      </c>
      <c r="E56" s="12" t="n">
        <v>10500</v>
      </c>
      <c r="F56" s="14">
        <f>IF(AND($B56=$B55,ISNUMBER(E55),E55&gt;0),E56/E55-1,"")</f>
        <v/>
      </c>
      <c r="G56" s="19" t="inlineStr">
        <is>
          <t>Voir</t>
        </is>
      </c>
    </row>
    <row r="57">
      <c r="A57" s="10" t="inlineStr">
        <is>
          <t>Citroën Saxo VTS 16V</t>
        </is>
      </c>
      <c r="B57" s="10" t="inlineStr">
        <is>
          <t>3217942758</t>
        </is>
      </c>
      <c r="C57" s="10" t="inlineStr">
        <is>
          <t>Citroen saxo vts 16v</t>
        </is>
      </c>
      <c r="D57" s="18" t="n">
        <v>46296</v>
      </c>
      <c r="E57" s="12" t="n">
        <v>6700</v>
      </c>
      <c r="F57" s="14">
        <f>IF(AND($B57=$B56,ISNUMBER(E56),E56&gt;0),E57/E56-1,"")</f>
        <v/>
      </c>
      <c r="G57" s="19" t="inlineStr">
        <is>
          <t>Voir</t>
        </is>
      </c>
    </row>
    <row r="58">
      <c r="A58" s="10" t="inlineStr">
        <is>
          <t>Citroën Saxo VTS 16V</t>
        </is>
      </c>
      <c r="B58" s="10" t="inlineStr">
        <is>
          <t>3229777091</t>
        </is>
      </c>
      <c r="C58" s="10" t="inlineStr">
        <is>
          <t>Saxo vts 1.6l 16s</t>
        </is>
      </c>
      <c r="D58" s="18" t="n">
        <v>46296</v>
      </c>
      <c r="E58" s="12" t="n">
        <v>5000</v>
      </c>
      <c r="F58" s="14">
        <f>IF(AND($B58=$B57,ISNUMBER(E57),E57&gt;0),E58/E57-1,"")</f>
        <v/>
      </c>
      <c r="G58" s="19" t="inlineStr">
        <is>
          <t>Voir</t>
        </is>
      </c>
    </row>
    <row r="59">
      <c r="A59" s="10" t="inlineStr">
        <is>
          <t>Citroën Saxo VTS 16V</t>
        </is>
      </c>
      <c r="B59" s="10" t="inlineStr">
        <is>
          <t>3233589487</t>
        </is>
      </c>
      <c r="C59" s="10" t="inlineStr">
        <is>
          <t>Saxo vts 1l4 echange possible</t>
        </is>
      </c>
      <c r="D59" s="18" t="n">
        <v>46296</v>
      </c>
      <c r="E59" s="12" t="n">
        <v>4500</v>
      </c>
      <c r="F59" s="14">
        <f>IF(AND($B59=$B58,ISNUMBER(E58),E58&gt;0),E59/E58-1,"")</f>
        <v/>
      </c>
      <c r="G59" s="19" t="inlineStr">
        <is>
          <t>Voir</t>
        </is>
      </c>
    </row>
    <row r="60">
      <c r="A60" s="10" t="inlineStr">
        <is>
          <t>Citroën Saxo VTS 16V</t>
        </is>
      </c>
      <c r="B60" s="10" t="inlineStr">
        <is>
          <t>3247144718</t>
        </is>
      </c>
      <c r="C60" s="10" t="inlineStr">
        <is>
          <t>Saxo vts 1l6 16s</t>
        </is>
      </c>
      <c r="D60" s="18" t="n">
        <v>46310</v>
      </c>
      <c r="E60" s="12" t="n">
        <v>5900</v>
      </c>
      <c r="F60" s="14">
        <f>IF(AND($B60=$B59,ISNUMBER(E59),E59&gt;0),E60/E59-1,"")</f>
        <v/>
      </c>
      <c r="G60" s="19" t="inlineStr">
        <is>
          <t>Voir</t>
        </is>
      </c>
    </row>
    <row r="61">
      <c r="A61" s="10" t="inlineStr">
        <is>
          <t>Citroën Saxo VTS 16V</t>
        </is>
      </c>
      <c r="B61" s="10" t="inlineStr">
        <is>
          <t>3249782225</t>
        </is>
      </c>
      <c r="C61" s="10" t="inlineStr">
        <is>
          <t>Saxo vts 1l6</t>
        </is>
      </c>
      <c r="D61" s="18" t="n">
        <v>46296</v>
      </c>
      <c r="E61" s="12" t="n">
        <v>3000</v>
      </c>
      <c r="F61" s="14">
        <f>IF(AND($B61=$B60,ISNUMBER(E60),E60&gt;0),E61/E60-1,"")</f>
        <v/>
      </c>
      <c r="G61" s="19" t="inlineStr">
        <is>
          <t>Voir</t>
        </is>
      </c>
    </row>
    <row r="62">
      <c r="A62" s="10" t="inlineStr">
        <is>
          <t>Citroën Saxo VTS 16V</t>
        </is>
      </c>
      <c r="B62" s="10" t="inlineStr">
        <is>
          <t>3250813636</t>
        </is>
      </c>
      <c r="C62" s="10" t="inlineStr">
        <is>
          <t>Saxo VTS</t>
        </is>
      </c>
      <c r="D62" s="18" t="n">
        <v>46296</v>
      </c>
      <c r="E62" s="12" t="n">
        <v>8000</v>
      </c>
      <c r="F62" s="14">
        <f>IF(AND($B62=$B61,ISNUMBER(E61),E61&gt;0),E62/E61-1,"")</f>
        <v/>
      </c>
      <c r="G62" s="19" t="inlineStr">
        <is>
          <t>Voir</t>
        </is>
      </c>
    </row>
    <row r="63">
      <c r="A63" s="10" t="inlineStr">
        <is>
          <t>Citroën Saxo VTS 16V</t>
        </is>
      </c>
      <c r="B63" s="10" t="inlineStr">
        <is>
          <t>3252260409</t>
        </is>
      </c>
      <c r="C63" s="10" t="inlineStr">
        <is>
          <t>Saxo VTS 1.4 75cv</t>
        </is>
      </c>
      <c r="D63" s="18" t="n">
        <v>46296</v>
      </c>
      <c r="E63" s="12" t="n">
        <v>3000</v>
      </c>
      <c r="F63" s="14">
        <f>IF(AND($B63=$B62,ISNUMBER(E62),E62&gt;0),E63/E62-1,"")</f>
        <v/>
      </c>
      <c r="G63" s="19" t="inlineStr">
        <is>
          <t>Voir</t>
        </is>
      </c>
    </row>
    <row r="64">
      <c r="A64" s="10" t="inlineStr">
        <is>
          <t>Citroën Saxo VTS 16V</t>
        </is>
      </c>
      <c r="B64" s="10" t="inlineStr">
        <is>
          <t>3253410252</t>
        </is>
      </c>
      <c r="C64" s="10" t="inlineStr">
        <is>
          <t>Citröen Saxo VTS 16v</t>
        </is>
      </c>
      <c r="D64" s="18" t="n">
        <v>46296</v>
      </c>
      <c r="E64" s="12" t="n">
        <v>12900</v>
      </c>
      <c r="F64" s="14">
        <f>IF(AND($B64=$B63,ISNUMBER(E63),E63&gt;0),E64/E63-1,"")</f>
        <v/>
      </c>
      <c r="G64" s="19" t="inlineStr">
        <is>
          <t>Voir</t>
        </is>
      </c>
    </row>
    <row r="65">
      <c r="A65" s="10" t="inlineStr">
        <is>
          <t>Citroën Saxo VTS 16V</t>
        </is>
      </c>
      <c r="B65" s="10" t="inlineStr">
        <is>
          <t>3253798936</t>
        </is>
      </c>
      <c r="C65" s="10" t="inlineStr">
        <is>
          <t>Saxo vts</t>
        </is>
      </c>
      <c r="D65" s="18" t="n">
        <v>46296</v>
      </c>
      <c r="E65" s="12" t="n">
        <v>3000</v>
      </c>
      <c r="F65" s="14">
        <f>IF(AND($B65=$B64,ISNUMBER(E64),E64&gt;0),E65/E64-1,"")</f>
        <v/>
      </c>
      <c r="G65" s="19" t="inlineStr">
        <is>
          <t>Voir</t>
        </is>
      </c>
    </row>
    <row r="66">
      <c r="A66" s="10" t="inlineStr">
        <is>
          <t>Citroën Saxo VTS 16V</t>
        </is>
      </c>
      <c r="B66" s="10" t="inlineStr">
        <is>
          <t>3259234628</t>
        </is>
      </c>
      <c r="C66" s="10" t="inlineStr">
        <is>
          <t>Saxo VTS 16S</t>
        </is>
      </c>
      <c r="D66" s="18" t="n">
        <v>46296</v>
      </c>
      <c r="E66" s="12" t="n">
        <v>5000</v>
      </c>
      <c r="F66" s="14">
        <f>IF(AND($B66=$B65,ISNUMBER(E65),E65&gt;0),E66/E65-1,"")</f>
        <v/>
      </c>
      <c r="G66" s="19" t="inlineStr">
        <is>
          <t>Voir</t>
        </is>
      </c>
    </row>
    <row r="67">
      <c r="A67" s="10" t="inlineStr">
        <is>
          <t>Citroën Saxo VTS 16V</t>
        </is>
      </c>
      <c r="B67" s="10" t="inlineStr">
        <is>
          <t>3259437359</t>
        </is>
      </c>
      <c r="C67" s="10" t="inlineStr">
        <is>
          <t>Citroën Saxo Vts 1.6 8s</t>
        </is>
      </c>
      <c r="D67" s="18" t="n">
        <v>46296</v>
      </c>
      <c r="E67" s="12" t="n">
        <v>5990</v>
      </c>
      <c r="F67" s="14">
        <f>IF(AND($B67=$B66,ISNUMBER(E66),E66&gt;0),E67/E66-1,"")</f>
        <v/>
      </c>
      <c r="G67" s="19" t="inlineStr">
        <is>
          <t>Voir</t>
        </is>
      </c>
    </row>
    <row r="68">
      <c r="A68" s="10" t="inlineStr">
        <is>
          <t>Citroën Saxo VTS 16V</t>
        </is>
      </c>
      <c r="B68" s="10" t="inlineStr">
        <is>
          <t>3260316059</t>
        </is>
      </c>
      <c r="C68" s="10" t="inlineStr">
        <is>
          <t>Saxo Vts 1.6 8s</t>
        </is>
      </c>
      <c r="D68" s="18" t="n">
        <v>46296</v>
      </c>
      <c r="E68" s="12" t="n">
        <v>6000</v>
      </c>
      <c r="F68" s="14">
        <f>IF(AND($B68=$B67,ISNUMBER(E67),E67&gt;0),E68/E67-1,"")</f>
        <v/>
      </c>
      <c r="G68" s="19" t="inlineStr">
        <is>
          <t>Voir</t>
        </is>
      </c>
    </row>
    <row r="69">
      <c r="A69" s="10" t="inlineStr">
        <is>
          <t>Citroën Saxo VTS 16V</t>
        </is>
      </c>
      <c r="B69" s="10" t="inlineStr">
        <is>
          <t>3260650856</t>
        </is>
      </c>
      <c r="C69" s="10" t="inlineStr">
        <is>
          <t>Saxo vts 120ch</t>
        </is>
      </c>
      <c r="D69" s="18" t="n">
        <v>46296</v>
      </c>
      <c r="E69" s="12" t="n">
        <v>9990</v>
      </c>
      <c r="F69" s="14">
        <f>IF(AND($B69=$B68,ISNUMBER(E68),E68&gt;0),E69/E68-1,"")</f>
        <v/>
      </c>
      <c r="G69" s="19" t="inlineStr">
        <is>
          <t>Voir</t>
        </is>
      </c>
    </row>
    <row r="70">
      <c r="A70" s="10" t="inlineStr">
        <is>
          <t>Citroën Saxo VTS 16V</t>
        </is>
      </c>
      <c r="B70" s="10" t="inlineStr">
        <is>
          <t>3260831234</t>
        </is>
      </c>
      <c r="C70" s="10" t="inlineStr">
        <is>
          <t>Saxo Vts 1.6 8s 100ch</t>
        </is>
      </c>
      <c r="D70" s="18" t="n">
        <v>46296</v>
      </c>
      <c r="E70" s="12" t="n">
        <v>6700</v>
      </c>
      <c r="F70" s="14">
        <f>IF(AND($B70=$B69,ISNUMBER(E69),E69&gt;0),E70/E69-1,"")</f>
        <v/>
      </c>
      <c r="G70" s="19" t="inlineStr">
        <is>
          <t>Voir</t>
        </is>
      </c>
    </row>
    <row r="71">
      <c r="A71" s="10" t="inlineStr">
        <is>
          <t>Citroën Saxo VTS 16V</t>
        </is>
      </c>
      <c r="B71" s="10" t="inlineStr">
        <is>
          <t>3261627755</t>
        </is>
      </c>
      <c r="C71" s="10" t="inlineStr">
        <is>
          <t>Saxo vts 16v/16s route/piste</t>
        </is>
      </c>
      <c r="D71" s="18" t="n">
        <v>46296</v>
      </c>
      <c r="E71" s="12" t="n">
        <v>6800</v>
      </c>
      <c r="F71" s="14">
        <f>IF(AND($B71=$B70,ISNUMBER(E70),E70&gt;0),E71/E70-1,"")</f>
        <v/>
      </c>
      <c r="G71" s="19" t="inlineStr">
        <is>
          <t>Voir</t>
        </is>
      </c>
    </row>
    <row r="72">
      <c r="A72" s="10" t="inlineStr">
        <is>
          <t>Citroën Saxo VTS 16V</t>
        </is>
      </c>
      <c r="B72" s="10" t="inlineStr">
        <is>
          <t>3262635276</t>
        </is>
      </c>
      <c r="C72" s="10" t="inlineStr">
        <is>
          <t>Saxo vts 16s 120ch</t>
        </is>
      </c>
      <c r="D72" s="18" t="n">
        <v>46296</v>
      </c>
      <c r="E72" s="12" t="n">
        <v>7600</v>
      </c>
      <c r="F72" s="14">
        <f>IF(AND($B72=$B71,ISNUMBER(E71),E71&gt;0),E72/E71-1,"")</f>
        <v/>
      </c>
      <c r="G72" s="19" t="inlineStr">
        <is>
          <t>Voir</t>
        </is>
      </c>
    </row>
    <row r="73">
      <c r="A73" s="10" t="inlineStr">
        <is>
          <t>Citroën Saxo VTS 16V</t>
        </is>
      </c>
      <c r="B73" s="10" t="inlineStr">
        <is>
          <t>3264107945</t>
        </is>
      </c>
      <c r="C73" s="10" t="inlineStr">
        <is>
          <t>Saxo vts 16v</t>
        </is>
      </c>
      <c r="D73" s="18" t="n">
        <v>46296</v>
      </c>
      <c r="E73" s="12" t="n">
        <v>10900</v>
      </c>
      <c r="F73" s="14">
        <f>IF(AND($B73=$B72,ISNUMBER(E72),E72&gt;0),E73/E72-1,"")</f>
        <v/>
      </c>
      <c r="G73" s="19" t="inlineStr">
        <is>
          <t>Voir</t>
        </is>
      </c>
    </row>
    <row r="74">
      <c r="A74" s="10" t="inlineStr">
        <is>
          <t>Citroën Saxo VTS 16V</t>
        </is>
      </c>
      <c r="B74" s="10" t="inlineStr">
        <is>
          <t>3266045304</t>
        </is>
      </c>
      <c r="C74" s="10" t="inlineStr">
        <is>
          <t>Saxo vts 16v 2000</t>
        </is>
      </c>
      <c r="D74" s="18" t="n">
        <v>46296</v>
      </c>
      <c r="E74" s="12" t="n">
        <v>7500</v>
      </c>
      <c r="F74" s="14">
        <f>IF(AND($B74=$B73,ISNUMBER(E73),E73&gt;0),E74/E73-1,"")</f>
        <v/>
      </c>
      <c r="G74" s="19" t="inlineStr">
        <is>
          <t>Voir</t>
        </is>
      </c>
    </row>
    <row r="75">
      <c r="A75" s="10" t="inlineStr">
        <is>
          <t>Citroën Saxo VTS 16V</t>
        </is>
      </c>
      <c r="B75" s="10" t="inlineStr">
        <is>
          <t>3269890983</t>
        </is>
      </c>
      <c r="C75" s="10" t="inlineStr">
        <is>
          <t>Citroën saxo vts</t>
        </is>
      </c>
      <c r="D75" s="18" t="n">
        <v>46296</v>
      </c>
      <c r="E75" s="12" t="n">
        <v>2500</v>
      </c>
      <c r="F75" s="14">
        <f>IF(AND($B75=$B74,ISNUMBER(E74),E74&gt;0),E75/E74-1,"")</f>
        <v/>
      </c>
      <c r="G75" s="19" t="inlineStr">
        <is>
          <t>Voir</t>
        </is>
      </c>
    </row>
    <row r="76">
      <c r="A76" s="10" t="inlineStr">
        <is>
          <t>Citroën Saxo VTS 16V</t>
        </is>
      </c>
      <c r="B76" s="10" t="inlineStr">
        <is>
          <t>3270100305</t>
        </is>
      </c>
      <c r="C76" s="10" t="inlineStr">
        <is>
          <t>Saxo Vts 1.6 8s</t>
        </is>
      </c>
      <c r="D76" s="18" t="n">
        <v>46296</v>
      </c>
      <c r="E76" s="12" t="n">
        <v>4500</v>
      </c>
      <c r="F76" s="14">
        <f>IF(AND($B76=$B75,ISNUMBER(E75),E75&gt;0),E76/E75-1,"")</f>
        <v/>
      </c>
      <c r="G76" s="19" t="inlineStr">
        <is>
          <t>Voir</t>
        </is>
      </c>
    </row>
    <row r="77">
      <c r="A77" s="10" t="inlineStr">
        <is>
          <t>Citroën Saxo VTS 16V</t>
        </is>
      </c>
      <c r="B77" s="10" t="inlineStr">
        <is>
          <t>3271080732</t>
        </is>
      </c>
      <c r="C77" s="10" t="inlineStr">
        <is>
          <t>Saxo vts 1.6 8s</t>
        </is>
      </c>
      <c r="D77" s="18" t="n">
        <v>46296</v>
      </c>
      <c r="E77" s="12" t="n">
        <v>1600</v>
      </c>
      <c r="F77" s="14">
        <f>IF(AND($B77=$B76,ISNUMBER(E76),E76&gt;0),E77/E76-1,"")</f>
        <v/>
      </c>
      <c r="G77" s="19" t="inlineStr">
        <is>
          <t>Voir</t>
        </is>
      </c>
    </row>
    <row r="78">
      <c r="A78" s="10" t="inlineStr">
        <is>
          <t>Citroën Saxo VTS 16V</t>
        </is>
      </c>
      <c r="B78" s="10" t="inlineStr">
        <is>
          <t>3274386766</t>
        </is>
      </c>
      <c r="C78" s="10" t="inlineStr">
        <is>
          <t>Saxo vts</t>
        </is>
      </c>
      <c r="D78" s="18" t="n">
        <v>46296</v>
      </c>
      <c r="E78" s="12" t="n">
        <v>9000</v>
      </c>
      <c r="F78" s="14">
        <f>IF(AND($B78=$B77,ISNUMBER(E77),E77&gt;0),E78/E77-1,"")</f>
        <v/>
      </c>
      <c r="G78" s="19" t="inlineStr">
        <is>
          <t>Voir</t>
        </is>
      </c>
    </row>
    <row r="79">
      <c r="A79" s="10" t="inlineStr">
        <is>
          <t>Citroën Saxo VTS 16V</t>
        </is>
      </c>
      <c r="B79" s="10" t="inlineStr">
        <is>
          <t>3274786995</t>
        </is>
      </c>
      <c r="C79" s="10" t="inlineStr">
        <is>
          <t>Saxo vts</t>
        </is>
      </c>
      <c r="D79" s="18" t="n">
        <v>46296</v>
      </c>
      <c r="E79" s="12" t="n">
        <v>8000</v>
      </c>
      <c r="F79" s="14">
        <f>IF(AND($B79=$B78,ISNUMBER(E78),E78&gt;0),E79/E78-1,"")</f>
        <v/>
      </c>
      <c r="G79" s="19" t="inlineStr">
        <is>
          <t>Voir</t>
        </is>
      </c>
    </row>
    <row r="80">
      <c r="A80" s="10" t="inlineStr">
        <is>
          <t>Citroën Saxo VTS 16V</t>
        </is>
      </c>
      <c r="B80" s="10" t="inlineStr">
        <is>
          <t>3275584509</t>
        </is>
      </c>
      <c r="C80" s="10" t="inlineStr">
        <is>
          <t>Saxo vts</t>
        </is>
      </c>
      <c r="D80" s="18" t="n">
        <v>46296</v>
      </c>
      <c r="E80" s="12" t="n">
        <v>5250</v>
      </c>
      <c r="F80" s="14">
        <f>IF(AND($B80=$B79,ISNUMBER(E79),E79&gt;0),E80/E79-1,"")</f>
        <v/>
      </c>
      <c r="G80" s="19" t="inlineStr">
        <is>
          <t>Voir</t>
        </is>
      </c>
    </row>
    <row r="81">
      <c r="A81" s="10" t="inlineStr">
        <is>
          <t>Citroën Saxo VTS 16V</t>
        </is>
      </c>
      <c r="B81" s="10" t="inlineStr">
        <is>
          <t>3275636332</t>
        </is>
      </c>
      <c r="C81" s="10" t="inlineStr">
        <is>
          <t>Saxo VTS 16V restaurée</t>
        </is>
      </c>
      <c r="D81" s="18" t="n">
        <v>46296</v>
      </c>
      <c r="E81" s="12" t="n">
        <v>10000</v>
      </c>
      <c r="F81" s="14">
        <f>IF(AND($B81=$B80,ISNUMBER(E80),E80&gt;0),E81/E80-1,"")</f>
        <v/>
      </c>
      <c r="G81" s="19" t="inlineStr">
        <is>
          <t>Voir</t>
        </is>
      </c>
    </row>
    <row r="82">
      <c r="A82" s="10" t="inlineStr">
        <is>
          <t>Citroën Saxo VTS 16V</t>
        </is>
      </c>
      <c r="B82" s="10" t="inlineStr">
        <is>
          <t>3275939150</t>
        </is>
      </c>
      <c r="C82" s="10" t="inlineStr">
        <is>
          <t>Citroën saxo vts</t>
        </is>
      </c>
      <c r="D82" s="18" t="n">
        <v>46296</v>
      </c>
      <c r="E82" s="12" t="n">
        <v>6000</v>
      </c>
      <c r="F82" s="14">
        <f>IF(AND($B82=$B81,ISNUMBER(E81),E81&gt;0),E82/E81-1,"")</f>
        <v/>
      </c>
      <c r="G82" s="19" t="inlineStr">
        <is>
          <t>Voir</t>
        </is>
      </c>
    </row>
    <row r="83">
      <c r="A83" s="10" t="inlineStr">
        <is>
          <t>Citroën Saxo VTS 16V</t>
        </is>
      </c>
      <c r="B83" s="10" t="inlineStr">
        <is>
          <t>3276019569</t>
        </is>
      </c>
      <c r="C83" s="10" t="inlineStr">
        <is>
          <t>Vend saxo vts 100ch</t>
        </is>
      </c>
      <c r="D83" s="18" t="n">
        <v>46296</v>
      </c>
      <c r="E83" s="12" t="n">
        <v>5500</v>
      </c>
      <c r="F83" s="14">
        <f>IF(AND($B83=$B82,ISNUMBER(E82),E82&gt;0),E83/E82-1,"")</f>
        <v/>
      </c>
      <c r="G83" s="19" t="inlineStr">
        <is>
          <t>Voir</t>
        </is>
      </c>
    </row>
    <row r="84">
      <c r="A84" s="10" t="inlineStr">
        <is>
          <t>Citroën Saxo VTS 16V</t>
        </is>
      </c>
      <c r="B84" s="10" t="inlineStr">
        <is>
          <t>3276045076</t>
        </is>
      </c>
      <c r="C84" s="10" t="inlineStr">
        <is>
          <t>Saxo VTS 16v</t>
        </is>
      </c>
      <c r="D84" s="18" t="n">
        <v>46296</v>
      </c>
      <c r="E84" s="12" t="n">
        <v>8800</v>
      </c>
      <c r="F84" s="14">
        <f>IF(AND($B84=$B83,ISNUMBER(E83),E83&gt;0),E84/E83-1,"")</f>
        <v/>
      </c>
      <c r="G84" s="19" t="inlineStr">
        <is>
          <t>Voir</t>
        </is>
      </c>
    </row>
    <row r="85">
      <c r="A85" s="10" t="inlineStr">
        <is>
          <t>Citroën Saxo VTS 16V</t>
        </is>
      </c>
      <c r="B85" s="10" t="inlineStr">
        <is>
          <t>3276707355</t>
        </is>
      </c>
      <c r="C85" s="10" t="inlineStr">
        <is>
          <t>Saxo Vts 16v</t>
        </is>
      </c>
      <c r="D85" s="18" t="n">
        <v>46296</v>
      </c>
      <c r="E85" s="12" t="n">
        <v>7500</v>
      </c>
      <c r="F85" s="14">
        <f>IF(AND($B85=$B84,ISNUMBER(E84),E84&gt;0),E85/E84-1,"")</f>
        <v/>
      </c>
      <c r="G85" s="19" t="inlineStr">
        <is>
          <t>Voir</t>
        </is>
      </c>
    </row>
    <row r="86">
      <c r="A86" s="10" t="inlineStr">
        <is>
          <t>Citroën Saxo VTS 16V</t>
        </is>
      </c>
      <c r="B86" s="10" t="inlineStr">
        <is>
          <t>3277544949</t>
        </is>
      </c>
      <c r="C86" s="10" t="inlineStr">
        <is>
          <t>Saxo vts</t>
        </is>
      </c>
      <c r="D86" s="18" t="n">
        <v>46296</v>
      </c>
      <c r="E86" s="12" t="n">
        <v>4000</v>
      </c>
      <c r="F86" s="14">
        <f>IF(AND($B86=$B85,ISNUMBER(E85),E85&gt;0),E86/E85-1,"")</f>
        <v/>
      </c>
      <c r="G86" s="19" t="inlineStr">
        <is>
          <t>Voir</t>
        </is>
      </c>
    </row>
    <row r="87">
      <c r="A87" s="10" t="inlineStr">
        <is>
          <t>Citroën Saxo VTS 16V</t>
        </is>
      </c>
      <c r="B87" s="10" t="inlineStr">
        <is>
          <t>3278294886</t>
        </is>
      </c>
      <c r="C87" s="10" t="inlineStr">
        <is>
          <t>CITROEN SAXO VTS Phase 2 - 1.6 8s 100ch - Noir Onyx - 19.200 kms</t>
        </is>
      </c>
      <c r="D87" s="18" t="n">
        <v>46296</v>
      </c>
      <c r="E87" s="12" t="n">
        <v>12980</v>
      </c>
      <c r="F87" s="14">
        <f>IF(AND($B87=$B86,ISNUMBER(E86),E86&gt;0),E87/E86-1,"")</f>
        <v/>
      </c>
      <c r="G87" s="19" t="inlineStr">
        <is>
          <t>Voir</t>
        </is>
      </c>
    </row>
    <row r="88">
      <c r="A88" s="10" t="inlineStr">
        <is>
          <t>Citroën Saxo VTS 16V</t>
        </is>
      </c>
      <c r="B88" s="10" t="inlineStr">
        <is>
          <t>3278304303</t>
        </is>
      </c>
      <c r="C88" s="10" t="inlineStr">
        <is>
          <t>Vend saxo vts 1l4 essence</t>
        </is>
      </c>
      <c r="D88" s="18" t="n">
        <v>46296</v>
      </c>
      <c r="E88" s="12" t="n">
        <v>2000</v>
      </c>
      <c r="F88" s="14">
        <f>IF(AND($B88=$B87,ISNUMBER(E87),E87&gt;0),E88/E87-1,"")</f>
        <v/>
      </c>
      <c r="G88" s="19" t="inlineStr">
        <is>
          <t>Voir</t>
        </is>
      </c>
    </row>
    <row r="89">
      <c r="A89" s="10" t="inlineStr">
        <is>
          <t>Citroën Saxo VTS 16V</t>
        </is>
      </c>
      <c r="B89" s="10" t="inlineStr">
        <is>
          <t>3278388859</t>
        </is>
      </c>
      <c r="C89" s="10" t="inlineStr">
        <is>
          <t>Saxo vts 16s</t>
        </is>
      </c>
      <c r="D89" s="18" t="n">
        <v>46296</v>
      </c>
      <c r="E89" s="12" t="n">
        <v>12500</v>
      </c>
      <c r="F89" s="14">
        <f>IF(AND($B89=$B88,ISNUMBER(E88),E88&gt;0),E89/E88-1,"")</f>
        <v/>
      </c>
      <c r="G89" s="19" t="inlineStr">
        <is>
          <t>Voir</t>
        </is>
      </c>
    </row>
    <row r="90">
      <c r="A90" s="10" t="inlineStr">
        <is>
          <t>Citroën Saxo VTS 16V</t>
        </is>
      </c>
      <c r="B90" s="10" t="inlineStr">
        <is>
          <t>3278923547</t>
        </is>
      </c>
      <c r="C90" s="10" t="inlineStr">
        <is>
          <t>Saxo VTS</t>
        </is>
      </c>
      <c r="D90" s="18" t="n">
        <v>46296</v>
      </c>
      <c r="E90" s="12" t="n">
        <v>6000</v>
      </c>
      <c r="F90" s="14">
        <f>IF(AND($B90=$B89,ISNUMBER(E89),E89&gt;0),E90/E89-1,"")</f>
        <v/>
      </c>
      <c r="G90" s="19" t="inlineStr">
        <is>
          <t>Voir</t>
        </is>
      </c>
    </row>
    <row r="91">
      <c r="A91" s="10" t="inlineStr">
        <is>
          <t>Citroën Saxo VTS 16V</t>
        </is>
      </c>
      <c r="B91" s="10" t="inlineStr">
        <is>
          <t>3279836593</t>
        </is>
      </c>
      <c r="C91" s="10" t="inlineStr">
        <is>
          <t>Saxo vts</t>
        </is>
      </c>
      <c r="D91" s="18" t="n">
        <v>46296</v>
      </c>
      <c r="E91" s="12" t="n">
        <v>8200</v>
      </c>
      <c r="F91" s="14">
        <f>IF(AND($B91=$B90,ISNUMBER(E90),E90&gt;0),E91/E90-1,"")</f>
        <v/>
      </c>
      <c r="G91" s="19" t="inlineStr">
        <is>
          <t>Voir</t>
        </is>
      </c>
    </row>
    <row r="92">
      <c r="A92" s="10" t="inlineStr">
        <is>
          <t>Citroën Saxo VTS 16V</t>
        </is>
      </c>
      <c r="B92" s="10" t="inlineStr">
        <is>
          <t>3279840069</t>
        </is>
      </c>
      <c r="C92" s="10" t="inlineStr">
        <is>
          <t>Saxo vts 1,6 l 16v</t>
        </is>
      </c>
      <c r="D92" s="18" t="n">
        <v>46296</v>
      </c>
      <c r="E92" s="12" t="n">
        <v>8800</v>
      </c>
      <c r="F92" s="14">
        <f>IF(AND($B92=$B91,ISNUMBER(E91),E91&gt;0),E92/E91-1,"")</f>
        <v/>
      </c>
      <c r="G92" s="19" t="inlineStr">
        <is>
          <t>Voir</t>
        </is>
      </c>
    </row>
    <row r="93">
      <c r="A93" s="10" t="inlineStr">
        <is>
          <t>Citroën Saxo VTS 16V</t>
        </is>
      </c>
      <c r="B93" s="10" t="inlineStr">
        <is>
          <t>3279949039</t>
        </is>
      </c>
      <c r="C93" s="10" t="inlineStr">
        <is>
          <t>Saxo Vts 1.4</t>
        </is>
      </c>
      <c r="D93" s="18" t="n">
        <v>46296</v>
      </c>
      <c r="E93" s="12" t="n">
        <v>4000</v>
      </c>
      <c r="F93" s="14">
        <f>IF(AND($B93=$B92,ISNUMBER(E92),E92&gt;0),E93/E92-1,"")</f>
        <v/>
      </c>
      <c r="G93" s="19" t="inlineStr">
        <is>
          <t>Voir</t>
        </is>
      </c>
    </row>
    <row r="94">
      <c r="A94" s="10" t="inlineStr">
        <is>
          <t>Citroën Saxo VTS 16V</t>
        </is>
      </c>
      <c r="B94" s="10" t="inlineStr">
        <is>
          <t>3280590101</t>
        </is>
      </c>
      <c r="C94" s="10" t="inlineStr">
        <is>
          <t>Saxo vts 16v</t>
        </is>
      </c>
      <c r="D94" s="18" t="n">
        <v>46310</v>
      </c>
      <c r="E94" s="12" t="n">
        <v>10000</v>
      </c>
      <c r="F94" s="14">
        <f>IF(AND($B94=$B93,ISNUMBER(E93),E93&gt;0),E94/E93-1,"")</f>
        <v/>
      </c>
      <c r="G94" s="19" t="inlineStr">
        <is>
          <t>Voir</t>
        </is>
      </c>
    </row>
    <row r="95">
      <c r="A95" s="10" t="inlineStr">
        <is>
          <t>Citroën Saxo VTS 16V</t>
        </is>
      </c>
      <c r="B95" s="10" t="inlineStr">
        <is>
          <t>3281202476</t>
        </is>
      </c>
      <c r="C95" s="10" t="inlineStr">
        <is>
          <t>Citroen SAXO VTS 1,6L 16V</t>
        </is>
      </c>
      <c r="D95" s="18" t="n">
        <v>46310</v>
      </c>
      <c r="E95" s="12" t="n">
        <v>8800</v>
      </c>
      <c r="F95" s="14">
        <f>IF(AND($B95=$B94,ISNUMBER(E94),E94&gt;0),E95/E94-1,"")</f>
        <v/>
      </c>
      <c r="G95" s="19" t="inlineStr">
        <is>
          <t>Voir</t>
        </is>
      </c>
    </row>
    <row r="96">
      <c r="A96" s="10" t="inlineStr">
        <is>
          <t>Citroën Saxo VTS 16V</t>
        </is>
      </c>
      <c r="B96" s="10" t="inlineStr">
        <is>
          <t>3281577931</t>
        </is>
      </c>
      <c r="C96" s="10" t="inlineStr">
        <is>
          <t>Saxo VTS 1l4 75cv</t>
        </is>
      </c>
      <c r="D96" s="18" t="n">
        <v>46310</v>
      </c>
      <c r="E96" s="12" t="n">
        <v>5000</v>
      </c>
      <c r="F96" s="14">
        <f>IF(AND($B96=$B95,ISNUMBER(E95),E95&gt;0),E96/E95-1,"")</f>
        <v/>
      </c>
      <c r="G96" s="19" t="inlineStr">
        <is>
          <t>Voir</t>
        </is>
      </c>
    </row>
    <row r="97">
      <c r="A97" s="10" t="inlineStr">
        <is>
          <t>Citroën Saxo VTS 16V</t>
        </is>
      </c>
      <c r="B97" s="10" t="inlineStr">
        <is>
          <t>3282361681</t>
        </is>
      </c>
      <c r="C97" s="10" t="inlineStr">
        <is>
          <t>Saxo vts</t>
        </is>
      </c>
      <c r="D97" s="18" t="n">
        <v>46310</v>
      </c>
      <c r="E97" s="12" t="n">
        <v>7600</v>
      </c>
      <c r="F97" s="14">
        <f>IF(AND($B97=$B96,ISNUMBER(E96),E96&gt;0),E97/E96-1,"")</f>
        <v/>
      </c>
      <c r="G97" s="19" t="inlineStr">
        <is>
          <t>Voir</t>
        </is>
      </c>
    </row>
    <row r="98">
      <c r="A98" s="10" t="inlineStr">
        <is>
          <t>Citroën Saxo VTS 16V</t>
        </is>
      </c>
      <c r="B98" s="10" t="inlineStr">
        <is>
          <t>3282370613</t>
        </is>
      </c>
      <c r="C98" s="10" t="inlineStr">
        <is>
          <t>Saxo vts</t>
        </is>
      </c>
      <c r="D98" s="18" t="n">
        <v>46310</v>
      </c>
      <c r="E98" s="12" t="n">
        <v>5500</v>
      </c>
      <c r="F98" s="14">
        <f>IF(AND($B98=$B97,ISNUMBER(E97),E97&gt;0),E98/E97-1,"")</f>
        <v/>
      </c>
      <c r="G98" s="19" t="inlineStr">
        <is>
          <t>Voir</t>
        </is>
      </c>
    </row>
    <row r="99">
      <c r="A99" s="10" t="inlineStr">
        <is>
          <t>Citroën Saxo VTS 16V</t>
        </is>
      </c>
      <c r="B99" s="10" t="inlineStr">
        <is>
          <t>3284453819</t>
        </is>
      </c>
      <c r="C99" s="10" t="inlineStr">
        <is>
          <t>Saxo vts DIESEL</t>
        </is>
      </c>
      <c r="D99" s="18" t="n">
        <v>46310</v>
      </c>
      <c r="E99" s="12" t="n">
        <v>3000</v>
      </c>
      <c r="F99" s="14">
        <f>IF(AND($B99=$B98,ISNUMBER(E98),E98&gt;0),E99/E98-1,"")</f>
        <v/>
      </c>
      <c r="G99" s="19" t="inlineStr">
        <is>
          <t>Voir</t>
        </is>
      </c>
    </row>
    <row r="100">
      <c r="A100" s="10" t="inlineStr">
        <is>
          <t>Citroën Saxo VTS 16V</t>
        </is>
      </c>
      <c r="B100" s="10" t="inlineStr">
        <is>
          <t>3285059925</t>
        </is>
      </c>
      <c r="C100" s="10" t="inlineStr">
        <is>
          <t>Saxo vts 16v</t>
        </is>
      </c>
      <c r="D100" s="18" t="n">
        <v>46310</v>
      </c>
      <c r="E100" s="12" t="n">
        <v>13000</v>
      </c>
      <c r="F100" s="14">
        <f>IF(AND($B100=$B99,ISNUMBER(E99),E99&gt;0),E100/E99-1,"")</f>
        <v/>
      </c>
      <c r="G100" s="19" t="inlineStr">
        <is>
          <t>Voir</t>
        </is>
      </c>
    </row>
    <row r="101">
      <c r="A101" s="10" t="inlineStr">
        <is>
          <t>Citroën Saxo VTS 16V</t>
        </is>
      </c>
      <c r="B101" s="10" t="inlineStr">
        <is>
          <t>3285502703</t>
        </is>
      </c>
      <c r="C101" s="10" t="inlineStr">
        <is>
          <t>Citroën Saxo VTS 16V</t>
        </is>
      </c>
      <c r="D101" s="18" t="n">
        <v>46310</v>
      </c>
      <c r="E101" s="12" t="n">
        <v>12000</v>
      </c>
      <c r="F101" s="14">
        <f>IF(AND($B101=$B100,ISNUMBER(E100),E100&gt;0),E101/E100-1,"")</f>
        <v/>
      </c>
      <c r="G101" s="19" t="inlineStr">
        <is>
          <t>Voir</t>
        </is>
      </c>
    </row>
    <row r="102">
      <c r="A102" s="10" t="inlineStr">
        <is>
          <t>Citroën Saxo VTS 16V</t>
        </is>
      </c>
      <c r="B102" s="10" t="inlineStr">
        <is>
          <t>3285503812</t>
        </is>
      </c>
      <c r="C102" s="10" t="inlineStr">
        <is>
          <t>Citroën saxo vts 16v</t>
        </is>
      </c>
      <c r="D102" s="18" t="n">
        <v>46310</v>
      </c>
      <c r="E102" s="12" t="n">
        <v>11000</v>
      </c>
      <c r="F102" s="14">
        <f>IF(AND($B102=$B101,ISNUMBER(E101),E101&gt;0),E102/E101-1,"")</f>
        <v/>
      </c>
      <c r="G102" s="19" t="inlineStr">
        <is>
          <t>Voir</t>
        </is>
      </c>
    </row>
    <row r="103">
      <c r="A103" s="10" t="inlineStr">
        <is>
          <t>Citroën Saxo VTS 16V</t>
        </is>
      </c>
      <c r="B103" s="10" t="inlineStr">
        <is>
          <t>3286019685</t>
        </is>
      </c>
      <c r="C103" s="10" t="inlineStr">
        <is>
          <t>Saxo Vts</t>
        </is>
      </c>
      <c r="D103" s="18" t="n">
        <v>46310</v>
      </c>
      <c r="E103" s="12" t="n">
        <v>16000</v>
      </c>
      <c r="F103" s="14">
        <f>IF(AND($B103=$B102,ISNUMBER(E102),E102&gt;0),E103/E102-1,"")</f>
        <v/>
      </c>
      <c r="G103" s="19" t="inlineStr">
        <is>
          <t>Voir</t>
        </is>
      </c>
    </row>
    <row r="104">
      <c r="A104" s="10" t="inlineStr">
        <is>
          <t>Citroën Saxo VTS 16V</t>
        </is>
      </c>
      <c r="B104" s="10" t="inlineStr">
        <is>
          <t>3286165040</t>
        </is>
      </c>
      <c r="C104" s="10" t="inlineStr">
        <is>
          <t>Saxo vts 1.6 16v</t>
        </is>
      </c>
      <c r="D104" s="18" t="n">
        <v>46310</v>
      </c>
      <c r="E104" s="12" t="n">
        <v>8500</v>
      </c>
      <c r="F104" s="14">
        <f>IF(AND($B104=$B103,ISNUMBER(E103),E103&gt;0),E104/E103-1,"")</f>
        <v/>
      </c>
      <c r="G104" s="19" t="inlineStr">
        <is>
          <t>Voir</t>
        </is>
      </c>
    </row>
    <row r="105">
      <c r="A105" s="10" t="inlineStr">
        <is>
          <t>Citroën Saxo VTS 16V</t>
        </is>
      </c>
      <c r="B105" s="10" t="inlineStr">
        <is>
          <t>3287369967</t>
        </is>
      </c>
      <c r="C105" s="10" t="inlineStr">
        <is>
          <t>Saxo vts</t>
        </is>
      </c>
      <c r="D105" s="18" t="n">
        <v>46310</v>
      </c>
      <c r="E105" s="12" t="n">
        <v>800</v>
      </c>
      <c r="F105" s="14">
        <f>IF(AND($B105=$B104,ISNUMBER(E104),E104&gt;0),E105/E104-1,"")</f>
        <v/>
      </c>
      <c r="G105" s="19" t="inlineStr">
        <is>
          <t>Voir</t>
        </is>
      </c>
    </row>
    <row r="106">
      <c r="A106" s="10" t="inlineStr">
        <is>
          <t>Citroën Saxo VTS 16V</t>
        </is>
      </c>
      <c r="B106" s="10" t="inlineStr">
        <is>
          <t>3287966186</t>
        </is>
      </c>
      <c r="C106" s="10" t="inlineStr">
        <is>
          <t>Saxo vts 1.1</t>
        </is>
      </c>
      <c r="D106" s="18" t="n">
        <v>46310</v>
      </c>
      <c r="E106" s="12" t="n">
        <v>4500</v>
      </c>
      <c r="F106" s="14">
        <f>IF(AND($B106=$B105,ISNUMBER(E105),E105&gt;0),E106/E105-1,"")</f>
        <v/>
      </c>
      <c r="G106" s="19" t="inlineStr">
        <is>
          <t>Voir</t>
        </is>
      </c>
    </row>
    <row r="107">
      <c r="A107" s="10" t="inlineStr">
        <is>
          <t>Citroën Saxo VTS 16V</t>
        </is>
      </c>
      <c r="B107" s="10" t="inlineStr">
        <is>
          <t>3288262834</t>
        </is>
      </c>
      <c r="C107" s="10" t="inlineStr">
        <is>
          <t>Saxo vts 16s phase 1</t>
        </is>
      </c>
      <c r="D107" s="18" t="n">
        <v>46310</v>
      </c>
      <c r="E107" s="12" t="n">
        <v>11000</v>
      </c>
      <c r="F107" s="14">
        <f>IF(AND($B107=$B106,ISNUMBER(E106),E106&gt;0),E107/E106-1,"")</f>
        <v/>
      </c>
      <c r="G107" s="19" t="inlineStr">
        <is>
          <t>Voir</t>
        </is>
      </c>
    </row>
    <row r="108">
      <c r="A108" s="10" t="inlineStr">
        <is>
          <t>Citroën Saxo VTS 16V</t>
        </is>
      </c>
      <c r="B108" s="10" t="inlineStr">
        <is>
          <t>3288655322</t>
        </is>
      </c>
      <c r="C108" s="10" t="inlineStr">
        <is>
          <t>Saxo vts trackday</t>
        </is>
      </c>
      <c r="D108" s="18" t="n">
        <v>46310</v>
      </c>
      <c r="E108" s="12" t="n">
        <v>7000</v>
      </c>
      <c r="F108" s="14">
        <f>IF(AND($B108=$B107,ISNUMBER(E107),E107&gt;0),E108/E107-1,"")</f>
        <v/>
      </c>
      <c r="G108" s="19" t="inlineStr">
        <is>
          <t>Voir</t>
        </is>
      </c>
    </row>
    <row r="109">
      <c r="A109" s="10" t="inlineStr">
        <is>
          <t>Honda S2000</t>
        </is>
      </c>
      <c r="B109" s="10" t="inlineStr">
        <is>
          <t>3140247303</t>
        </is>
      </c>
      <c r="C109" s="10" t="inlineStr">
        <is>
          <t>Honda S2000 AP1 2.0 VTEC conduite à gauche</t>
        </is>
      </c>
      <c r="D109" s="18" t="n">
        <v>46296</v>
      </c>
      <c r="E109" s="12" t="n">
        <v>27500</v>
      </c>
      <c r="F109" s="14">
        <f>IF(AND($B109=$B108,ISNUMBER(E108),E108&gt;0),E109/E108-1,"")</f>
        <v/>
      </c>
      <c r="G109" s="19" t="inlineStr">
        <is>
          <t>Voir</t>
        </is>
      </c>
    </row>
    <row r="110">
      <c r="A110" s="10" t="inlineStr">
        <is>
          <t>Honda S2000</t>
        </is>
      </c>
      <c r="B110" s="10" t="inlineStr">
        <is>
          <t>3155762075</t>
        </is>
      </c>
      <c r="C110" s="10" t="inlineStr">
        <is>
          <t>Honda S2000 AP1 + 5000 de pièces</t>
        </is>
      </c>
      <c r="D110" s="18" t="n">
        <v>46296</v>
      </c>
      <c r="E110" s="12" t="n">
        <v>28900</v>
      </c>
      <c r="F110" s="14">
        <f>IF(AND($B110=$B109,ISNUMBER(E109),E109&gt;0),E110/E109-1,"")</f>
        <v/>
      </c>
      <c r="G110" s="19" t="inlineStr">
        <is>
          <t>Voir</t>
        </is>
      </c>
    </row>
    <row r="111">
      <c r="A111" s="10" t="inlineStr">
        <is>
          <t>Honda S2000</t>
        </is>
      </c>
      <c r="B111" s="10" t="inlineStr">
        <is>
          <t>3165194701</t>
        </is>
      </c>
      <c r="C111" s="10" t="inlineStr">
        <is>
          <t>Nissan 350z roadster 3.5 v6 280 pack</t>
        </is>
      </c>
      <c r="D111" s="18" t="n">
        <v>46296</v>
      </c>
      <c r="E111" s="12" t="n">
        <v>18990</v>
      </c>
      <c r="F111" s="14">
        <f>IF(AND($B111=$B110,ISNUMBER(E110),E110&gt;0),E111/E110-1,"")</f>
        <v/>
      </c>
      <c r="G111" s="19" t="inlineStr">
        <is>
          <t>Voir</t>
        </is>
      </c>
    </row>
    <row r="112">
      <c r="A112" s="10" t="inlineStr">
        <is>
          <t>Honda S2000</t>
        </is>
      </c>
      <c r="B112" s="10" t="inlineStr">
        <is>
          <t>3166175681</t>
        </is>
      </c>
      <c r="C112" s="10" t="inlineStr">
        <is>
          <t>Honda S2000 – Phase 1.5 - 139.000 KM - RHD</t>
        </is>
      </c>
      <c r="D112" s="18" t="n">
        <v>46296</v>
      </c>
      <c r="E112" s="12" t="n">
        <v>18500</v>
      </c>
      <c r="F112" s="14">
        <f>IF(AND($B112=$B111,ISNUMBER(E111),E111&gt;0),E112/E111-1,"")</f>
        <v/>
      </c>
      <c r="G112" s="19" t="inlineStr">
        <is>
          <t>Voir</t>
        </is>
      </c>
    </row>
    <row r="113">
      <c r="A113" s="10" t="inlineStr">
        <is>
          <t>Honda S2000</t>
        </is>
      </c>
      <c r="B113" s="10" t="inlineStr">
        <is>
          <t>3166175681</t>
        </is>
      </c>
      <c r="C113" s="10" t="inlineStr">
        <is>
          <t>Honda S2000 – Phase 1.5 - 139.000 KM - RHD</t>
        </is>
      </c>
      <c r="D113" s="18" t="n">
        <v>46310</v>
      </c>
      <c r="E113" s="12" t="n">
        <v>17900</v>
      </c>
      <c r="F113" s="14">
        <f>IF(AND($B113=$B112,ISNUMBER(E112),E112&gt;0),E113/E112-1,"")</f>
        <v/>
      </c>
      <c r="G113" s="19" t="inlineStr">
        <is>
          <t>Voir</t>
        </is>
      </c>
    </row>
    <row r="114">
      <c r="A114" s="10" t="inlineStr">
        <is>
          <t>Honda S2000</t>
        </is>
      </c>
      <c r="B114" s="10" t="inlineStr">
        <is>
          <t>3182140973</t>
        </is>
      </c>
      <c r="C114" s="10" t="inlineStr">
        <is>
          <t>Honda S2000 AP1 J's Racing - 67000km</t>
        </is>
      </c>
      <c r="D114" s="18" t="n">
        <v>46296</v>
      </c>
      <c r="E114" s="12" t="n">
        <v>35900</v>
      </c>
      <c r="F114" s="14">
        <f>IF(AND($B114=$B113,ISNUMBER(E113),E113&gt;0),E114/E113-1,"")</f>
        <v/>
      </c>
      <c r="G114" s="19" t="inlineStr">
        <is>
          <t>Voir</t>
        </is>
      </c>
    </row>
    <row r="115">
      <c r="A115" s="10" t="inlineStr">
        <is>
          <t>Honda S2000</t>
        </is>
      </c>
      <c r="B115" s="10" t="inlineStr">
        <is>
          <t>3183271891</t>
        </is>
      </c>
      <c r="C115" s="10" t="inlineStr">
        <is>
          <t>Audi tt 1.8 180 coupe</t>
        </is>
      </c>
      <c r="D115" s="18" t="n">
        <v>46296</v>
      </c>
      <c r="E115" s="12" t="n">
        <v>7990</v>
      </c>
      <c r="F115" s="14">
        <f>IF(AND($B115=$B114,ISNUMBER(E114),E114&gt;0),E115/E114-1,"")</f>
        <v/>
      </c>
      <c r="G115" s="19" t="inlineStr">
        <is>
          <t>Voir</t>
        </is>
      </c>
    </row>
    <row r="116">
      <c r="A116" s="10" t="inlineStr">
        <is>
          <t>Honda S2000</t>
        </is>
      </c>
      <c r="B116" s="10" t="inlineStr">
        <is>
          <t>3185838540</t>
        </is>
      </c>
      <c r="C116" s="10" t="inlineStr">
        <is>
          <t>Honda S 2000 Porsche Japonaise</t>
        </is>
      </c>
      <c r="D116" s="18" t="n">
        <v>46296</v>
      </c>
      <c r="E116" s="12" t="n">
        <v>19999</v>
      </c>
      <c r="F116" s="14">
        <f>IF(AND($B116=$B115,ISNUMBER(E115),E115&gt;0),E116/E115-1,"")</f>
        <v/>
      </c>
      <c r="G116" s="19" t="inlineStr">
        <is>
          <t>Voir</t>
        </is>
      </c>
    </row>
    <row r="117">
      <c r="A117" s="10" t="inlineStr">
        <is>
          <t>Honda S2000</t>
        </is>
      </c>
      <c r="B117" s="10" t="inlineStr">
        <is>
          <t>3206462061</t>
        </is>
      </c>
      <c r="C117" s="10" t="inlineStr">
        <is>
          <t>BMW Z4 Roadster 3.0i 231cv BVM6 - sièges chauffants - Bluetooth - Toit révisé - Garantie 12 Mois</t>
        </is>
      </c>
      <c r="D117" s="18" t="n">
        <v>46296</v>
      </c>
      <c r="E117" s="12" t="n">
        <v>12990</v>
      </c>
      <c r="F117" s="14">
        <f>IF(AND($B117=$B116,ISNUMBER(E116),E116&gt;0),E117/E116-1,"")</f>
        <v/>
      </c>
      <c r="G117" s="19" t="inlineStr">
        <is>
          <t>Voir</t>
        </is>
      </c>
    </row>
    <row r="118">
      <c r="A118" s="10" t="inlineStr">
        <is>
          <t>Honda S2000</t>
        </is>
      </c>
      <c r="B118" s="10" t="inlineStr">
        <is>
          <t>3217513763</t>
        </is>
      </c>
      <c r="C118" s="10" t="inlineStr">
        <is>
          <t>Honda S2000 ap1 '00</t>
        </is>
      </c>
      <c r="D118" s="18" t="n">
        <v>46296</v>
      </c>
      <c r="E118" s="12" t="n">
        <v>25500</v>
      </c>
      <c r="F118" s="14">
        <f>IF(AND($B118=$B117,ISNUMBER(E117),E117&gt;0),E118/E117-1,"")</f>
        <v/>
      </c>
      <c r="G118" s="19" t="inlineStr">
        <is>
          <t>Voir</t>
        </is>
      </c>
    </row>
    <row r="119">
      <c r="A119" s="10" t="inlineStr">
        <is>
          <t>Honda S2000</t>
        </is>
      </c>
      <c r="B119" s="10" t="inlineStr">
        <is>
          <t>3217513763</t>
        </is>
      </c>
      <c r="C119" s="10" t="inlineStr">
        <is>
          <t>Honda S2000 ap1 '00</t>
        </is>
      </c>
      <c r="D119" s="18" t="n">
        <v>46310</v>
      </c>
      <c r="E119" s="12" t="n">
        <v>23900</v>
      </c>
      <c r="F119" s="14">
        <f>IF(AND($B119=$B118,ISNUMBER(E118),E118&gt;0),E119/E118-1,"")</f>
        <v/>
      </c>
      <c r="G119" s="19" t="inlineStr">
        <is>
          <t>Voir</t>
        </is>
      </c>
    </row>
    <row r="120">
      <c r="A120" s="10" t="inlineStr">
        <is>
          <t>Honda S2000</t>
        </is>
      </c>
      <c r="B120" s="10" t="inlineStr">
        <is>
          <t>3231572470</t>
        </is>
      </c>
      <c r="C120" s="10" t="inlineStr">
        <is>
          <t>Vente Honda S2000</t>
        </is>
      </c>
      <c r="D120" s="18" t="n">
        <v>46296</v>
      </c>
      <c r="E120" s="12" t="n">
        <v>29000</v>
      </c>
      <c r="F120" s="14">
        <f>IF(AND($B120=$B119,ISNUMBER(E119),E119&gt;0),E120/E119-1,"")</f>
        <v/>
      </c>
      <c r="G120" s="19" t="inlineStr">
        <is>
          <t>Voir</t>
        </is>
      </c>
    </row>
    <row r="121">
      <c r="A121" s="10" t="inlineStr">
        <is>
          <t>Honda S2000</t>
        </is>
      </c>
      <c r="B121" s="10" t="inlineStr">
        <is>
          <t>3234430383</t>
        </is>
      </c>
      <c r="C121" s="10" t="inlineStr">
        <is>
          <t>MG MGF/MGTF TF 115 CV fiabilisée RHD + HARDTOP</t>
        </is>
      </c>
      <c r="D121" s="18" t="n">
        <v>46296</v>
      </c>
      <c r="E121" s="12" t="n">
        <v>4599</v>
      </c>
      <c r="F121" s="14">
        <f>IF(AND($B121=$B120,ISNUMBER(E120),E120&gt;0),E121/E120-1,"")</f>
        <v/>
      </c>
      <c r="G121" s="19" t="inlineStr">
        <is>
          <t>Voir</t>
        </is>
      </c>
    </row>
    <row r="122">
      <c r="A122" s="10" t="inlineStr">
        <is>
          <t>Honda S2000</t>
        </is>
      </c>
      <c r="B122" s="10" t="inlineStr">
        <is>
          <t>3237454171</t>
        </is>
      </c>
      <c r="C122" s="10" t="inlineStr">
        <is>
          <t>Mazda Mx5 ROADSTER 1.8 MZR 125 ELEGANCE</t>
        </is>
      </c>
      <c r="D122" s="18" t="n">
        <v>46296</v>
      </c>
      <c r="E122" s="12" t="n">
        <v>12990</v>
      </c>
      <c r="F122" s="14">
        <f>IF(AND($B122=$B121,ISNUMBER(E121),E121&gt;0),E122/E121-1,"")</f>
        <v/>
      </c>
      <c r="G122" s="19" t="inlineStr">
        <is>
          <t>Voir</t>
        </is>
      </c>
    </row>
    <row r="123">
      <c r="A123" s="10" t="inlineStr">
        <is>
          <t>Honda S2000</t>
        </is>
      </c>
      <c r="B123" s="10" t="inlineStr">
        <is>
          <t>3243670260</t>
        </is>
      </c>
      <c r="C123" s="10" t="inlineStr">
        <is>
          <t>Honda s2000</t>
        </is>
      </c>
      <c r="D123" s="18" t="n">
        <v>46296</v>
      </c>
      <c r="E123" s="12" t="n">
        <v>12500</v>
      </c>
      <c r="F123" s="14">
        <f>IF(AND($B123=$B122,ISNUMBER(E122),E122&gt;0),E123/E122-1,"")</f>
        <v/>
      </c>
      <c r="G123" s="19" t="inlineStr">
        <is>
          <t>Voir</t>
        </is>
      </c>
    </row>
    <row r="124">
      <c r="A124" s="10" t="inlineStr">
        <is>
          <t>Honda S2000</t>
        </is>
      </c>
      <c r="B124" s="10" t="inlineStr">
        <is>
          <t>3246600883</t>
        </is>
      </c>
      <c r="C124" s="10" t="inlineStr">
        <is>
          <t>Honda S2000 (échange possible)</t>
        </is>
      </c>
      <c r="D124" s="18" t="n">
        <v>46296</v>
      </c>
      <c r="E124" s="12" t="n">
        <v>27000</v>
      </c>
      <c r="F124" s="14">
        <f>IF(AND($B124=$B123,ISNUMBER(E123),E123&gt;0),E124/E123-1,"")</f>
        <v/>
      </c>
      <c r="G124" s="19" t="inlineStr">
        <is>
          <t>Voir</t>
        </is>
      </c>
    </row>
    <row r="125">
      <c r="A125" s="10" t="inlineStr">
        <is>
          <t>Honda S2000</t>
        </is>
      </c>
      <c r="B125" s="10" t="inlineStr">
        <is>
          <t>3246600883</t>
        </is>
      </c>
      <c r="C125" s="10" t="inlineStr">
        <is>
          <t>Honda S2000 (échange possible)</t>
        </is>
      </c>
      <c r="D125" s="18" t="n">
        <v>46310</v>
      </c>
      <c r="E125" s="12" t="n">
        <v>26000</v>
      </c>
      <c r="F125" s="14">
        <f>IF(AND($B125=$B124,ISNUMBER(E124),E124&gt;0),E125/E124-1,"")</f>
        <v/>
      </c>
      <c r="G125" s="19" t="inlineStr">
        <is>
          <t>Voir</t>
        </is>
      </c>
    </row>
    <row r="126">
      <c r="A126" s="10" t="inlineStr">
        <is>
          <t>Honda S2000</t>
        </is>
      </c>
      <c r="B126" s="10" t="inlineStr">
        <is>
          <t>3247204311</t>
        </is>
      </c>
      <c r="C126" s="10" t="inlineStr">
        <is>
          <t>Honda s2000 phase2 intérieur full red unique</t>
        </is>
      </c>
      <c r="D126" s="18" t="n">
        <v>46296</v>
      </c>
      <c r="E126" s="12" t="n">
        <v>19500</v>
      </c>
      <c r="F126" s="14">
        <f>IF(AND($B126=$B125,ISNUMBER(E125),E125&gt;0),E126/E125-1,"")</f>
        <v/>
      </c>
      <c r="G126" s="19" t="inlineStr">
        <is>
          <t>Voir</t>
        </is>
      </c>
    </row>
    <row r="127">
      <c r="A127" s="10" t="inlineStr">
        <is>
          <t>Honda S2000</t>
        </is>
      </c>
      <c r="B127" s="10" t="inlineStr">
        <is>
          <t>3247698308</t>
        </is>
      </c>
      <c r="C127" s="10" t="inlineStr">
        <is>
          <t>HONDA S2000 (AP) 2.0 i VTEC Roadster 240cv</t>
        </is>
      </c>
      <c r="D127" s="18" t="n">
        <v>46296</v>
      </c>
      <c r="E127" s="12" t="n">
        <v>46990</v>
      </c>
      <c r="F127" s="14">
        <f>IF(AND($B127=$B126,ISNUMBER(E126),E126&gt;0),E127/E126-1,"")</f>
        <v/>
      </c>
      <c r="G127" s="19" t="inlineStr">
        <is>
          <t>Voir</t>
        </is>
      </c>
    </row>
    <row r="128">
      <c r="A128" s="10" t="inlineStr">
        <is>
          <t>Honda S2000</t>
        </is>
      </c>
      <c r="B128" s="10" t="inlineStr">
        <is>
          <t>3247804233</t>
        </is>
      </c>
      <c r="C128" s="10" t="inlineStr">
        <is>
          <t>Porsche Boxster 2.7 240</t>
        </is>
      </c>
      <c r="D128" s="18" t="n">
        <v>46296</v>
      </c>
      <c r="E128" s="12" t="n">
        <v>22990</v>
      </c>
      <c r="F128" s="14">
        <f>IF(AND($B128=$B127,ISNUMBER(E127),E127&gt;0),E128/E127-1,"")</f>
        <v/>
      </c>
      <c r="G128" s="19" t="inlineStr">
        <is>
          <t>Voir</t>
        </is>
      </c>
    </row>
    <row r="129">
      <c r="A129" s="10" t="inlineStr">
        <is>
          <t>Honda S2000</t>
        </is>
      </c>
      <c r="B129" s="10" t="inlineStr">
        <is>
          <t>3249751722</t>
        </is>
      </c>
      <c r="C129" s="10" t="inlineStr">
        <is>
          <t>Honda S2000 LHD 2.0 VTEC 2002</t>
        </is>
      </c>
      <c r="D129" s="18" t="n">
        <v>46296</v>
      </c>
      <c r="E129" s="12" t="n">
        <v>26800</v>
      </c>
      <c r="F129" s="14">
        <f>IF(AND($B129=$B128,ISNUMBER(E128),E128&gt;0),E129/E128-1,"")</f>
        <v/>
      </c>
      <c r="G129" s="19" t="inlineStr">
        <is>
          <t>Voir</t>
        </is>
      </c>
    </row>
    <row r="130">
      <c r="A130" s="10" t="inlineStr">
        <is>
          <t>Honda S2000</t>
        </is>
      </c>
      <c r="B130" s="10" t="inlineStr">
        <is>
          <t>3253686728</t>
        </is>
      </c>
      <c r="C130" s="10" t="inlineStr">
        <is>
          <t>Honda s2000 rhd</t>
        </is>
      </c>
      <c r="D130" s="18" t="n">
        <v>46296</v>
      </c>
      <c r="E130" s="12" t="n">
        <v>17000</v>
      </c>
      <c r="F130" s="14">
        <f>IF(AND($B130=$B129,ISNUMBER(E129),E129&gt;0),E130/E129-1,"")</f>
        <v/>
      </c>
      <c r="G130" s="19" t="inlineStr">
        <is>
          <t>Voir</t>
        </is>
      </c>
    </row>
    <row r="131">
      <c r="A131" s="10" t="inlineStr">
        <is>
          <t>Honda S2000</t>
        </is>
      </c>
      <c r="B131" s="10" t="inlineStr">
        <is>
          <t>3254057230</t>
        </is>
      </c>
      <c r="C131" s="10" t="inlineStr">
        <is>
          <t>Honda s2000</t>
        </is>
      </c>
      <c r="D131" s="18" t="n">
        <v>46296</v>
      </c>
      <c r="E131" s="12" t="n">
        <v>25000</v>
      </c>
      <c r="F131" s="14">
        <f>IF(AND($B131=$B130,ISNUMBER(E130),E130&gt;0),E131/E130-1,"")</f>
        <v/>
      </c>
      <c r="G131" s="19" t="inlineStr">
        <is>
          <t>Voir</t>
        </is>
      </c>
    </row>
    <row r="132">
      <c r="A132" s="10" t="inlineStr">
        <is>
          <t>Honda S2000</t>
        </is>
      </c>
      <c r="B132" s="10" t="inlineStr">
        <is>
          <t>3254395601</t>
        </is>
      </c>
      <c r="C132" s="10" t="inlineStr">
        <is>
          <t>Honda S2000</t>
        </is>
      </c>
      <c r="D132" s="18" t="n">
        <v>46296</v>
      </c>
      <c r="E132" s="12" t="n">
        <v>13000</v>
      </c>
      <c r="F132" s="14">
        <f>IF(AND($B132=$B131,ISNUMBER(E131),E131&gt;0),E132/E131-1,"")</f>
        <v/>
      </c>
      <c r="G132" s="19" t="inlineStr">
        <is>
          <t>Voir</t>
        </is>
      </c>
    </row>
    <row r="133">
      <c r="A133" s="10" t="inlineStr">
        <is>
          <t>Honda S2000</t>
        </is>
      </c>
      <c r="B133" s="10" t="inlineStr">
        <is>
          <t>3254788855</t>
        </is>
      </c>
      <c r="C133" s="10" t="inlineStr">
        <is>
          <t>Honda s2000</t>
        </is>
      </c>
      <c r="D133" s="18" t="n">
        <v>46296</v>
      </c>
      <c r="E133" s="12" t="n">
        <v>33990</v>
      </c>
      <c r="F133" s="14">
        <f>IF(AND($B133=$B132,ISNUMBER(E132),E132&gt;0),E133/E132-1,"")</f>
        <v/>
      </c>
      <c r="G133" s="19" t="inlineStr">
        <is>
          <t>Voir</t>
        </is>
      </c>
    </row>
    <row r="134">
      <c r="A134" s="10" t="inlineStr">
        <is>
          <t>Honda S2000</t>
        </is>
      </c>
      <c r="B134" s="10" t="inlineStr">
        <is>
          <t>3256705549</t>
        </is>
      </c>
      <c r="C134" s="10" t="inlineStr">
        <is>
          <t>NISSAN 350Z Roadster 3.5 280ch Pack - 2006 - 87 500 km - Faible kilométrage</t>
        </is>
      </c>
      <c r="D134" s="18" t="n">
        <v>46296</v>
      </c>
      <c r="E134" s="12" t="n">
        <v>20490</v>
      </c>
      <c r="F134" s="14">
        <f>IF(AND($B134=$B133,ISNUMBER(E133),E133&gt;0),E134/E133-1,"")</f>
        <v/>
      </c>
      <c r="G134" s="19" t="inlineStr">
        <is>
          <t>Voir</t>
        </is>
      </c>
    </row>
    <row r="135">
      <c r="A135" s="10" t="inlineStr">
        <is>
          <t>Honda S2000</t>
        </is>
      </c>
      <c r="B135" s="10" t="inlineStr">
        <is>
          <t>3256705549</t>
        </is>
      </c>
      <c r="C135" s="10" t="inlineStr">
        <is>
          <t>NISSAN 350Z Roadster 3.5 280ch Pack - 2006 - 87 500 km - Faible kilométrage</t>
        </is>
      </c>
      <c r="D135" s="18" t="n">
        <v>46310</v>
      </c>
      <c r="E135" s="12" t="n">
        <v>19990</v>
      </c>
      <c r="F135" s="14">
        <f>IF(AND($B135=$B134,ISNUMBER(E134),E134&gt;0),E135/E134-1,"")</f>
        <v/>
      </c>
      <c r="G135" s="19" t="inlineStr">
        <is>
          <t>Voir</t>
        </is>
      </c>
    </row>
    <row r="136">
      <c r="A136" s="10" t="inlineStr">
        <is>
          <t>Honda S2000</t>
        </is>
      </c>
      <c r="B136" s="10" t="inlineStr">
        <is>
          <t>3258000352</t>
        </is>
      </c>
      <c r="C136" s="10" t="inlineStr">
        <is>
          <t>Honda S2000</t>
        </is>
      </c>
      <c r="D136" s="18" t="n">
        <v>46296</v>
      </c>
      <c r="E136" s="12" t="n">
        <v>25000</v>
      </c>
      <c r="F136" s="14">
        <f>IF(AND($B136=$B135,ISNUMBER(E135),E135&gt;0),E136/E135-1,"")</f>
        <v/>
      </c>
      <c r="G136" s="19" t="inlineStr">
        <is>
          <t>Voir</t>
        </is>
      </c>
    </row>
    <row r="137">
      <c r="A137" s="10" t="inlineStr">
        <is>
          <t>Honda S2000</t>
        </is>
      </c>
      <c r="B137" s="10" t="inlineStr">
        <is>
          <t>3266038843</t>
        </is>
      </c>
      <c r="C137" s="10" t="inlineStr">
        <is>
          <t>Honda S2000</t>
        </is>
      </c>
      <c r="D137" s="18" t="n">
        <v>46296</v>
      </c>
      <c r="E137" s="12" t="n">
        <v>14800</v>
      </c>
      <c r="F137" s="14">
        <f>IF(AND($B137=$B136,ISNUMBER(E136),E136&gt;0),E137/E136-1,"")</f>
        <v/>
      </c>
      <c r="G137" s="19" t="inlineStr">
        <is>
          <t>Voir</t>
        </is>
      </c>
    </row>
    <row r="138">
      <c r="A138" s="10" t="inlineStr">
        <is>
          <t>Honda S2000</t>
        </is>
      </c>
      <c r="B138" s="10" t="inlineStr">
        <is>
          <t>3268164763</t>
        </is>
      </c>
      <c r="C138" s="10" t="inlineStr">
        <is>
          <t>Honda s2000 ap1</t>
        </is>
      </c>
      <c r="D138" s="18" t="n">
        <v>46296</v>
      </c>
      <c r="E138" s="12" t="n">
        <v>21000</v>
      </c>
      <c r="F138" s="14">
        <f>IF(AND($B138=$B137,ISNUMBER(E137),E137&gt;0),E138/E137-1,"")</f>
        <v/>
      </c>
      <c r="G138" s="19" t="inlineStr">
        <is>
          <t>Voir</t>
        </is>
      </c>
    </row>
    <row r="139">
      <c r="A139" s="10" t="inlineStr">
        <is>
          <t>Honda S2000</t>
        </is>
      </c>
      <c r="B139" s="10" t="inlineStr">
        <is>
          <t>3269545549</t>
        </is>
      </c>
      <c r="C139" s="10" t="inlineStr">
        <is>
          <t>Honda s2000</t>
        </is>
      </c>
      <c r="D139" s="18" t="n">
        <v>46296</v>
      </c>
      <c r="E139" s="12" t="n">
        <v>27500</v>
      </c>
      <c r="F139" s="14">
        <f>IF(AND($B139=$B138,ISNUMBER(E138),E138&gt;0),E139/E138-1,"")</f>
        <v/>
      </c>
      <c r="G139" s="19" t="inlineStr">
        <is>
          <t>Voir</t>
        </is>
      </c>
    </row>
    <row r="140">
      <c r="A140" s="10" t="inlineStr">
        <is>
          <t>Honda S2000</t>
        </is>
      </c>
      <c r="B140" s="10" t="inlineStr">
        <is>
          <t>3270236878</t>
        </is>
      </c>
      <c r="C140" s="10" t="inlineStr">
        <is>
          <t>TOYOTA MR2 1.8 140 VVT-i 2005 - 110 430 km - Réfection complète peinture - sellerie - capote - pneus arrière neufs -</t>
        </is>
      </c>
      <c r="D140" s="18" t="n">
        <v>46296</v>
      </c>
      <c r="E140" s="12" t="n">
        <v>11990</v>
      </c>
      <c r="F140" s="14">
        <f>IF(AND($B140=$B139,ISNUMBER(E139),E139&gt;0),E140/E139-1,"")</f>
        <v/>
      </c>
      <c r="G140" s="19" t="inlineStr">
        <is>
          <t>Voir</t>
        </is>
      </c>
    </row>
    <row r="141">
      <c r="A141" s="10" t="inlineStr">
        <is>
          <t>Honda S2000</t>
        </is>
      </c>
      <c r="B141" s="10" t="inlineStr">
        <is>
          <t>3270657423</t>
        </is>
      </c>
      <c r="C141" s="10" t="inlineStr">
        <is>
          <t>Audi tt décapotable 225cv quattro</t>
        </is>
      </c>
      <c r="D141" s="18" t="n">
        <v>46296</v>
      </c>
      <c r="E141" s="12" t="n">
        <v>9000</v>
      </c>
      <c r="F141" s="14">
        <f>IF(AND($B141=$B140,ISNUMBER(E140),E140&gt;0),E141/E140-1,"")</f>
        <v/>
      </c>
      <c r="G141" s="19" t="inlineStr">
        <is>
          <t>Voir</t>
        </is>
      </c>
    </row>
    <row r="142">
      <c r="A142" s="10" t="inlineStr">
        <is>
          <t>Honda S2000</t>
        </is>
      </c>
      <c r="B142" s="10" t="inlineStr">
        <is>
          <t>3271776834</t>
        </is>
      </c>
      <c r="C142" s="10" t="inlineStr">
        <is>
          <t>Honda s2000 2.0 vtec 240</t>
        </is>
      </c>
      <c r="D142" s="18" t="n">
        <v>46296</v>
      </c>
      <c r="E142" s="12" t="n">
        <v>30980</v>
      </c>
      <c r="F142" s="14">
        <f>IF(AND($B142=$B141,ISNUMBER(E141),E141&gt;0),E142/E141-1,"")</f>
        <v/>
      </c>
      <c r="G142" s="19" t="inlineStr">
        <is>
          <t>Voir</t>
        </is>
      </c>
    </row>
    <row r="143">
      <c r="A143" s="10" t="inlineStr">
        <is>
          <t>Honda S2000</t>
        </is>
      </c>
      <c r="B143" s="10" t="inlineStr">
        <is>
          <t>3274290118</t>
        </is>
      </c>
      <c r="C143" s="10" t="inlineStr">
        <is>
          <t>Honda S2000 AP1 2.0 vtec 240- Seulement 20 200 km - Origine France Japauto - Carnet d'entretien disponible tamponné</t>
        </is>
      </c>
      <c r="D143" s="18" t="n">
        <v>46296</v>
      </c>
      <c r="E143" s="12" t="n">
        <v>49990</v>
      </c>
      <c r="F143" s="14">
        <f>IF(AND($B143=$B142,ISNUMBER(E142),E142&gt;0),E143/E142-1,"")</f>
        <v/>
      </c>
      <c r="G143" s="19" t="inlineStr">
        <is>
          <t>Voir</t>
        </is>
      </c>
    </row>
    <row r="144">
      <c r="A144" s="10" t="inlineStr">
        <is>
          <t>Honda S2000</t>
        </is>
      </c>
      <c r="B144" s="10" t="inlineStr">
        <is>
          <t>3275414023</t>
        </is>
      </c>
      <c r="C144" s="10" t="inlineStr">
        <is>
          <t>Honda S2000</t>
        </is>
      </c>
      <c r="D144" s="18" t="n">
        <v>46296</v>
      </c>
      <c r="E144" s="12" t="n">
        <v>21500</v>
      </c>
      <c r="F144" s="14">
        <f>IF(AND($B144=$B143,ISNUMBER(E143),E143&gt;0),E144/E143-1,"")</f>
        <v/>
      </c>
      <c r="G144" s="19" t="inlineStr">
        <is>
          <t>Voir</t>
        </is>
      </c>
    </row>
    <row r="145">
      <c r="A145" s="10" t="inlineStr">
        <is>
          <t>Honda S2000</t>
        </is>
      </c>
      <c r="B145" s="10" t="inlineStr">
        <is>
          <t>3275889267</t>
        </is>
      </c>
      <c r="C145" s="10" t="inlineStr">
        <is>
          <t>Honda s2000</t>
        </is>
      </c>
      <c r="D145" s="18" t="n">
        <v>46296</v>
      </c>
      <c r="E145" s="12" t="n">
        <v>37990</v>
      </c>
      <c r="F145" s="14">
        <f>IF(AND($B145=$B144,ISNUMBER(E144),E144&gt;0),E145/E144-1,"")</f>
        <v/>
      </c>
      <c r="G145" s="19" t="inlineStr">
        <is>
          <t>Voir</t>
        </is>
      </c>
    </row>
    <row r="146">
      <c r="A146" s="10" t="inlineStr">
        <is>
          <t>Honda S2000</t>
        </is>
      </c>
      <c r="B146" s="10" t="inlineStr">
        <is>
          <t>3278262538</t>
        </is>
      </c>
      <c r="C146" s="10" t="inlineStr">
        <is>
          <t>PORSCHE BOXSTER S 986 3.2i 252cv - Sièges cuir électriques chauffants/Air conditionné/Jantes 18</t>
        </is>
      </c>
      <c r="D146" s="18" t="n">
        <v>46310</v>
      </c>
      <c r="E146" s="12" t="n">
        <v>18990</v>
      </c>
      <c r="F146" s="14">
        <f>IF(AND($B146=$B145,ISNUMBER(E145),E145&gt;0),E146/E145-1,"")</f>
        <v/>
      </c>
      <c r="G146" s="19" t="inlineStr">
        <is>
          <t>Voir</t>
        </is>
      </c>
    </row>
    <row r="147">
      <c r="A147" s="10" t="inlineStr">
        <is>
          <t>Honda S2000</t>
        </is>
      </c>
      <c r="B147" s="10" t="inlineStr">
        <is>
          <t>3278304133</t>
        </is>
      </c>
      <c r="C147" s="10" t="inlineStr">
        <is>
          <t>HONDA S2000 2.0 i-VTEC COUPE . PHASE 2</t>
        </is>
      </c>
      <c r="D147" s="18" t="n">
        <v>46296</v>
      </c>
      <c r="E147" s="12" t="n">
        <v>35790</v>
      </c>
      <c r="F147" s="14">
        <f>IF(AND($B147=$B146,ISNUMBER(E146),E146&gt;0),E147/E146-1,"")</f>
        <v/>
      </c>
      <c r="G147" s="19" t="inlineStr">
        <is>
          <t>Voir</t>
        </is>
      </c>
    </row>
    <row r="148">
      <c r="A148" s="10" t="inlineStr">
        <is>
          <t>Honda S2000</t>
        </is>
      </c>
      <c r="B148" s="10" t="inlineStr">
        <is>
          <t>3278641460</t>
        </is>
      </c>
      <c r="C148" s="10" t="inlineStr">
        <is>
          <t>Honda S2000</t>
        </is>
      </c>
      <c r="D148" s="18" t="n">
        <v>46296</v>
      </c>
      <c r="E148" s="12" t="n">
        <v>18000</v>
      </c>
      <c r="F148" s="14">
        <f>IF(AND($B148=$B147,ISNUMBER(E147),E147&gt;0),E148/E147-1,"")</f>
        <v/>
      </c>
      <c r="G148" s="19" t="inlineStr">
        <is>
          <t>Voir</t>
        </is>
      </c>
    </row>
    <row r="149">
      <c r="A149" s="10" t="inlineStr">
        <is>
          <t>Honda S2000</t>
        </is>
      </c>
      <c r="B149" s="10" t="inlineStr">
        <is>
          <t>3278735968</t>
        </is>
      </c>
      <c r="C149" s="10" t="inlineStr">
        <is>
          <t>Honda S2000 AP1</t>
        </is>
      </c>
      <c r="D149" s="18" t="n">
        <v>46296</v>
      </c>
      <c r="E149" s="12" t="n">
        <v>15000</v>
      </c>
      <c r="F149" s="14">
        <f>IF(AND($B149=$B148,ISNUMBER(E148),E148&gt;0),E149/E148-1,"")</f>
        <v/>
      </c>
      <c r="G149" s="19" t="inlineStr">
        <is>
          <t>Voir</t>
        </is>
      </c>
    </row>
    <row r="150">
      <c r="A150" s="10" t="inlineStr">
        <is>
          <t>Honda S2000</t>
        </is>
      </c>
      <c r="B150" s="10" t="inlineStr">
        <is>
          <t>3278871252</t>
        </is>
      </c>
      <c r="C150" s="10" t="inlineStr">
        <is>
          <t>Honda S2000 2.0 IVTEC 240 réf 446</t>
        </is>
      </c>
      <c r="D150" s="18" t="n">
        <v>46296</v>
      </c>
      <c r="E150" s="12" t="n">
        <v>19490</v>
      </c>
      <c r="F150" s="14">
        <f>IF(AND($B150=$B149,ISNUMBER(E149),E149&gt;0),E150/E149-1,"")</f>
        <v/>
      </c>
      <c r="G150" s="19" t="inlineStr">
        <is>
          <t>Voir</t>
        </is>
      </c>
    </row>
    <row r="151">
      <c r="A151" s="10" t="inlineStr">
        <is>
          <t>Honda S2000</t>
        </is>
      </c>
      <c r="B151" s="10" t="inlineStr">
        <is>
          <t>3279647179</t>
        </is>
      </c>
      <c r="C151" s="10" t="inlineStr">
        <is>
          <t>HONDA S2000 HONDA 2.0 i-VTEC 240ch AP1 Origine Dossier complet – RHD</t>
        </is>
      </c>
      <c r="D151" s="18" t="n">
        <v>46296</v>
      </c>
      <c r="E151" s="12" t="n">
        <v>23990</v>
      </c>
      <c r="F151" s="14">
        <f>IF(AND($B151=$B150,ISNUMBER(E150),E150&gt;0),E151/E150-1,"")</f>
        <v/>
      </c>
      <c r="G151" s="19" t="inlineStr">
        <is>
          <t>Voir</t>
        </is>
      </c>
    </row>
    <row r="152">
      <c r="A152" s="10" t="inlineStr">
        <is>
          <t>Honda S2000</t>
        </is>
      </c>
      <c r="B152" s="10" t="inlineStr">
        <is>
          <t>3279647179</t>
        </is>
      </c>
      <c r="C152" s="10" t="inlineStr">
        <is>
          <t>HONDA S2000 HONDA 2.0 i-VTEC 240ch AP1 Origine Dossier complet – RHD</t>
        </is>
      </c>
      <c r="D152" s="18" t="n">
        <v>46310</v>
      </c>
      <c r="E152" s="12" t="n">
        <v>20990</v>
      </c>
      <c r="F152" s="14">
        <f>IF(AND($B152=$B151,ISNUMBER(E151),E151&gt;0),E152/E151-1,"")</f>
        <v/>
      </c>
      <c r="G152" s="19" t="inlineStr">
        <is>
          <t>Voir</t>
        </is>
      </c>
    </row>
    <row r="153">
      <c r="A153" s="10" t="inlineStr">
        <is>
          <t>Honda S2000</t>
        </is>
      </c>
      <c r="B153" s="10" t="inlineStr">
        <is>
          <t>3279756140</t>
        </is>
      </c>
      <c r="C153" s="10" t="inlineStr">
        <is>
          <t>PORSCHE 911 996 Carrera Cabriolet 3.6i/IMS-EMBRAYAGE-VOLANT MOTEUR NEUF</t>
        </is>
      </c>
      <c r="D153" s="18" t="n">
        <v>46310</v>
      </c>
      <c r="E153" s="12" t="n">
        <v>37990</v>
      </c>
      <c r="F153" s="14">
        <f>IF(AND($B153=$B152,ISNUMBER(E152),E152&gt;0),E153/E152-1,"")</f>
        <v/>
      </c>
      <c r="G153" s="19" t="inlineStr">
        <is>
          <t>Voir</t>
        </is>
      </c>
    </row>
    <row r="154">
      <c r="A154" s="10" t="inlineStr">
        <is>
          <t>Honda S2000</t>
        </is>
      </c>
      <c r="B154" s="10" t="inlineStr">
        <is>
          <t>3280188594</t>
        </is>
      </c>
      <c r="C154" s="10" t="inlineStr">
        <is>
          <t>Honda S2000 2.0 Essence 240 ch</t>
        </is>
      </c>
      <c r="D154" s="18" t="n">
        <v>46296</v>
      </c>
      <c r="E154" s="12" t="n">
        <v>10500</v>
      </c>
      <c r="F154" s="14">
        <f>IF(AND($B154=$B153,ISNUMBER(E153),E153&gt;0),E154/E153-1,"")</f>
        <v/>
      </c>
      <c r="G154" s="19" t="inlineStr">
        <is>
          <t>Voir</t>
        </is>
      </c>
    </row>
    <row r="155">
      <c r="A155" s="10" t="inlineStr">
        <is>
          <t>Honda S2000</t>
        </is>
      </c>
      <c r="B155" s="10" t="inlineStr">
        <is>
          <t>3280985948</t>
        </is>
      </c>
      <c r="C155" s="10" t="inlineStr">
        <is>
          <t>Honda s2000</t>
        </is>
      </c>
      <c r="D155" s="18" t="n">
        <v>46310</v>
      </c>
      <c r="E155" s="12" t="n">
        <v>10500</v>
      </c>
      <c r="F155" s="14">
        <f>IF(AND($B155=$B154,ISNUMBER(E154),E154&gt;0),E155/E154-1,"")</f>
        <v/>
      </c>
      <c r="G155" s="19" t="inlineStr">
        <is>
          <t>Voir</t>
        </is>
      </c>
    </row>
    <row r="156">
      <c r="A156" s="10" t="inlineStr">
        <is>
          <t>Honda S2000</t>
        </is>
      </c>
      <c r="B156" s="10" t="inlineStr">
        <is>
          <t>3283123020</t>
        </is>
      </c>
      <c r="C156" s="10" t="inlineStr">
        <is>
          <t>Honda S2000 - LHD</t>
        </is>
      </c>
      <c r="D156" s="18" t="n">
        <v>46310</v>
      </c>
      <c r="E156" s="12" t="n">
        <v>21000</v>
      </c>
      <c r="F156" s="14">
        <f>IF(AND($B156=$B155,ISNUMBER(E155),E155&gt;0),E156/E155-1,"")</f>
        <v/>
      </c>
      <c r="G156" s="19" t="inlineStr">
        <is>
          <t>Voir</t>
        </is>
      </c>
    </row>
    <row r="157">
      <c r="A157" s="10" t="inlineStr">
        <is>
          <t>Honda S2000</t>
        </is>
      </c>
      <c r="B157" s="10" t="inlineStr">
        <is>
          <t>3283499339</t>
        </is>
      </c>
      <c r="C157" s="10" t="inlineStr">
        <is>
          <t>Honda S2000 AP1 Laguna Blue – 83 500 km – signée Uehara</t>
        </is>
      </c>
      <c r="D157" s="18" t="n">
        <v>46310</v>
      </c>
      <c r="E157" s="12" t="n">
        <v>31900</v>
      </c>
      <c r="F157" s="14">
        <f>IF(AND($B157=$B156,ISNUMBER(E156),E156&gt;0),E157/E156-1,"")</f>
        <v/>
      </c>
      <c r="G157" s="19" t="inlineStr">
        <is>
          <t>Voir</t>
        </is>
      </c>
    </row>
    <row r="158">
      <c r="A158" s="10" t="inlineStr">
        <is>
          <t>Honda S2000</t>
        </is>
      </c>
      <c r="B158" s="10" t="inlineStr">
        <is>
          <t>3284317549</t>
        </is>
      </c>
      <c r="C158" s="10" t="inlineStr">
        <is>
          <t>Honda S2000 AP1 – 2000 – 102 000 km – Berlina Black</t>
        </is>
      </c>
      <c r="D158" s="18" t="n">
        <v>46310</v>
      </c>
      <c r="E158" s="12" t="n">
        <v>29900</v>
      </c>
      <c r="F158" s="14">
        <f>IF(AND($B158=$B157,ISNUMBER(E157),E157&gt;0),E158/E157-1,"")</f>
        <v/>
      </c>
      <c r="G158" s="19" t="inlineStr">
        <is>
          <t>Voir</t>
        </is>
      </c>
    </row>
    <row r="159">
      <c r="A159" s="10" t="inlineStr">
        <is>
          <t>Honda S2000</t>
        </is>
      </c>
      <c r="B159" s="10" t="inlineStr">
        <is>
          <t>3285088951</t>
        </is>
      </c>
      <c r="C159" s="10" t="inlineStr">
        <is>
          <t>HONDA S2000 (AP) 2.0 i VTEC Roadster 240cv</t>
        </is>
      </c>
      <c r="D159" s="18" t="n">
        <v>46310</v>
      </c>
      <c r="E159" s="12" t="n">
        <v>47990</v>
      </c>
      <c r="F159" s="14">
        <f>IF(AND($B159=$B158,ISNUMBER(E158),E158&gt;0),E159/E158-1,"")</f>
        <v/>
      </c>
      <c r="G159" s="19" t="inlineStr">
        <is>
          <t>Voir</t>
        </is>
      </c>
    </row>
    <row r="160">
      <c r="A160" s="10" t="inlineStr">
        <is>
          <t>Honda S2000</t>
        </is>
      </c>
      <c r="B160" s="10" t="inlineStr">
        <is>
          <t>3287620670</t>
        </is>
      </c>
      <c r="C160" s="10" t="inlineStr">
        <is>
          <t>HONDA S2000 2.0 i-VTEC</t>
        </is>
      </c>
      <c r="D160" s="18" t="n">
        <v>46310</v>
      </c>
      <c r="E160" s="12" t="n">
        <v>24990</v>
      </c>
      <c r="F160" s="14">
        <f>IF(AND($B160=$B159,ISNUMBER(E159),E159&gt;0),E160/E159-1,"")</f>
        <v/>
      </c>
      <c r="G160" s="19" t="inlineStr">
        <is>
          <t>Voir</t>
        </is>
      </c>
    </row>
    <row r="161">
      <c r="A161" s="10" t="inlineStr">
        <is>
          <t>Honda S2000</t>
        </is>
      </c>
      <c r="B161" s="10" t="inlineStr">
        <is>
          <t>3287868399</t>
        </is>
      </c>
      <c r="C161" s="10" t="inlineStr">
        <is>
          <t>Honda s2000</t>
        </is>
      </c>
      <c r="D161" s="18" t="n">
        <v>46310</v>
      </c>
      <c r="E161" s="12" t="n">
        <v>15000</v>
      </c>
      <c r="F161" s="14">
        <f>IF(AND($B161=$B160,ISNUMBER(E160),E160&gt;0),E161/E160-1,"")</f>
        <v/>
      </c>
      <c r="G161" s="19" t="inlineStr">
        <is>
          <t>Voir</t>
        </is>
      </c>
    </row>
    <row r="162">
      <c r="A162" s="10" t="inlineStr">
        <is>
          <t>Honda S2000</t>
        </is>
      </c>
      <c r="B162" s="10" t="inlineStr">
        <is>
          <t>3288222772</t>
        </is>
      </c>
      <c r="C162" s="10" t="inlineStr">
        <is>
          <t>Honda S2000 2.0 IVTEC 240 réf 449</t>
        </is>
      </c>
      <c r="D162" s="18" t="n">
        <v>46310</v>
      </c>
      <c r="E162" s="12" t="n">
        <v>19490</v>
      </c>
      <c r="F162" s="14">
        <f>IF(AND($B162=$B161,ISNUMBER(E161),E161&gt;0),E162/E161-1,"")</f>
        <v/>
      </c>
      <c r="G162" s="19" t="inlineStr">
        <is>
          <t>Voir</t>
        </is>
      </c>
    </row>
    <row r="163">
      <c r="A163" s="10" t="inlineStr">
        <is>
          <t>Honda S2000</t>
        </is>
      </c>
      <c r="B163" s="10" t="inlineStr">
        <is>
          <t>3288343679</t>
        </is>
      </c>
      <c r="C163" s="10" t="inlineStr">
        <is>
          <t>S2000 1.5 / 2002 / 134900km</t>
        </is>
      </c>
      <c r="D163" s="18" t="n">
        <v>46310</v>
      </c>
      <c r="E163" s="12" t="n">
        <v>24990</v>
      </c>
      <c r="F163" s="14">
        <f>IF(AND($B163=$B162,ISNUMBER(E162),E162&gt;0),E163/E162-1,"")</f>
        <v/>
      </c>
      <c r="G163" s="19" t="inlineStr">
        <is>
          <t>Voir</t>
        </is>
      </c>
    </row>
    <row r="164">
      <c r="A164" s="10" t="inlineStr">
        <is>
          <t>Honda S2000</t>
        </is>
      </c>
      <c r="B164" s="10" t="inlineStr">
        <is>
          <t>3288636961</t>
        </is>
      </c>
      <c r="C164" s="10" t="inlineStr">
        <is>
          <t>HONDA S2000 ph2.5 RHD</t>
        </is>
      </c>
      <c r="D164" s="18" t="n">
        <v>46310</v>
      </c>
      <c r="E164" s="12" t="n">
        <v>27000</v>
      </c>
      <c r="F164" s="14">
        <f>IF(AND($B164=$B163,ISNUMBER(E163),E163&gt;0),E164/E163-1,"")</f>
        <v/>
      </c>
      <c r="G164" s="19" t="inlineStr">
        <is>
          <t>Voir</t>
        </is>
      </c>
    </row>
    <row r="165">
      <c r="A165" s="10" t="inlineStr">
        <is>
          <t>Mazda MX-5 NA</t>
        </is>
      </c>
      <c r="B165" s="10" t="inlineStr">
        <is>
          <t>3191632844</t>
        </is>
      </c>
      <c r="C165" s="10" t="inlineStr">
        <is>
          <t>Mazda mx5</t>
        </is>
      </c>
      <c r="D165" s="18" t="n">
        <v>46310</v>
      </c>
      <c r="E165" s="12" t="n">
        <v>12990</v>
      </c>
      <c r="F165" s="14">
        <f>IF(AND($B165=$B164,ISNUMBER(E164),E164&gt;0),E165/E164-1,"")</f>
        <v/>
      </c>
      <c r="G165" s="19" t="inlineStr">
        <is>
          <t>Voir</t>
        </is>
      </c>
    </row>
    <row r="166">
      <c r="A166" s="10" t="inlineStr">
        <is>
          <t>Mazda MX-5 NA</t>
        </is>
      </c>
      <c r="B166" s="10" t="inlineStr">
        <is>
          <t>3198496140</t>
        </is>
      </c>
      <c r="C166" s="10" t="inlineStr">
        <is>
          <t>MAZDA MX5/ NA/1995/65000km D‘ORIGINE/ TBE 15500E</t>
        </is>
      </c>
      <c r="D166" s="18" t="n">
        <v>46296</v>
      </c>
      <c r="E166" s="12" t="n">
        <v>15500</v>
      </c>
      <c r="F166" s="14">
        <f>IF(AND($B166=$B165,ISNUMBER(E165),E165&gt;0),E166/E165-1,"")</f>
        <v/>
      </c>
      <c r="G166" s="19" t="inlineStr">
        <is>
          <t>Voir</t>
        </is>
      </c>
    </row>
    <row r="167">
      <c r="A167" s="10" t="inlineStr">
        <is>
          <t>Mazda MX-5 NA</t>
        </is>
      </c>
      <c r="B167" s="10" t="inlineStr">
        <is>
          <t>3199317557</t>
        </is>
      </c>
      <c r="C167" s="10" t="inlineStr">
        <is>
          <t>MAZDA MX5 Mazda Mx5 de 1991</t>
        </is>
      </c>
      <c r="D167" s="18" t="n">
        <v>46296</v>
      </c>
      <c r="E167" s="12" t="n">
        <v>11980</v>
      </c>
      <c r="F167" s="14">
        <f>IF(AND($B167=$B166,ISNUMBER(E166),E166&gt;0),E167/E166-1,"")</f>
        <v/>
      </c>
      <c r="G167" s="19" t="inlineStr">
        <is>
          <t>Voir</t>
        </is>
      </c>
    </row>
    <row r="168">
      <c r="A168" s="10" t="inlineStr">
        <is>
          <t>Mazda MX-5 NA</t>
        </is>
      </c>
      <c r="B168" s="10" t="inlineStr">
        <is>
          <t>3203841842</t>
        </is>
      </c>
      <c r="C168" s="10" t="inlineStr">
        <is>
          <t>Mazda mx5 na 1.6l 116ch 1991</t>
        </is>
      </c>
      <c r="D168" s="18" t="n">
        <v>46296</v>
      </c>
      <c r="E168" s="12" t="n">
        <v>14000</v>
      </c>
      <c r="F168" s="14">
        <f>IF(AND($B168=$B167,ISNUMBER(E167),E167&gt;0),E168/E167-1,"")</f>
        <v/>
      </c>
      <c r="G168" s="19" t="inlineStr">
        <is>
          <t>Voir</t>
        </is>
      </c>
    </row>
    <row r="169">
      <c r="A169" s="10" t="inlineStr">
        <is>
          <t>Mazda MX-5 NA</t>
        </is>
      </c>
      <c r="B169" s="10" t="inlineStr">
        <is>
          <t>3208752836</t>
        </is>
      </c>
      <c r="C169" s="10" t="inlineStr">
        <is>
          <t>MAZDA MX5 NA 1992 restaurée peinture neuve</t>
        </is>
      </c>
      <c r="D169" s="18" t="n">
        <v>46310</v>
      </c>
      <c r="E169" s="12" t="n">
        <v>10900</v>
      </c>
      <c r="F169" s="14">
        <f>IF(AND($B169=$B168,ISNUMBER(E168),E168&gt;0),E169/E168-1,"")</f>
        <v/>
      </c>
      <c r="G169" s="19" t="inlineStr">
        <is>
          <t>Voir</t>
        </is>
      </c>
    </row>
    <row r="170">
      <c r="A170" s="10" t="inlineStr">
        <is>
          <t>Mazda MX-5 NA</t>
        </is>
      </c>
      <c r="B170" s="10" t="inlineStr">
        <is>
          <t>3227901009</t>
        </is>
      </c>
      <c r="C170" s="10" t="inlineStr">
        <is>
          <t>Mazda MX5</t>
        </is>
      </c>
      <c r="D170" s="18" t="n">
        <v>46296</v>
      </c>
      <c r="E170" s="12" t="n">
        <v>15500</v>
      </c>
      <c r="F170" s="14">
        <f>IF(AND($B170=$B169,ISNUMBER(E169),E169&gt;0),E170/E169-1,"")</f>
        <v/>
      </c>
      <c r="G170" s="19" t="inlineStr">
        <is>
          <t>Voir</t>
        </is>
      </c>
    </row>
    <row r="171">
      <c r="A171" s="10" t="inlineStr">
        <is>
          <t>Mazda MX-5 NA</t>
        </is>
      </c>
      <c r="B171" s="10" t="inlineStr">
        <is>
          <t>3232034023</t>
        </is>
      </c>
      <c r="C171" s="10" t="inlineStr">
        <is>
          <t>Magnifique cabriolet MAZDA MX5</t>
        </is>
      </c>
      <c r="D171" s="18" t="n">
        <v>46296</v>
      </c>
      <c r="E171" s="12" t="n">
        <v>10990</v>
      </c>
      <c r="F171" s="14">
        <f>IF(AND($B171=$B170,ISNUMBER(E170),E170&gt;0),E171/E170-1,"")</f>
        <v/>
      </c>
      <c r="G171" s="19" t="inlineStr">
        <is>
          <t>Voir</t>
        </is>
      </c>
    </row>
    <row r="172">
      <c r="A172" s="10" t="inlineStr">
        <is>
          <t>Mazda MX-5 NA</t>
        </is>
      </c>
      <c r="B172" s="10" t="inlineStr">
        <is>
          <t>3234020888</t>
        </is>
      </c>
      <c r="C172" s="10" t="inlineStr">
        <is>
          <t>Mazda mx5 na</t>
        </is>
      </c>
      <c r="D172" s="18" t="n">
        <v>46296</v>
      </c>
      <c r="E172" s="12" t="n">
        <v>6500</v>
      </c>
      <c r="F172" s="14">
        <f>IF(AND($B172=$B171,ISNUMBER(E171),E171&gt;0),E172/E171-1,"")</f>
        <v/>
      </c>
      <c r="G172" s="19" t="inlineStr">
        <is>
          <t>Voir</t>
        </is>
      </c>
    </row>
    <row r="173">
      <c r="A173" s="10" t="inlineStr">
        <is>
          <t>Mazda MX-5 NA</t>
        </is>
      </c>
      <c r="B173" s="10" t="inlineStr">
        <is>
          <t>3235292026</t>
        </is>
      </c>
      <c r="C173" s="10" t="inlineStr">
        <is>
          <t>Mazda mx5 Na</t>
        </is>
      </c>
      <c r="D173" s="18" t="n">
        <v>46296</v>
      </c>
      <c r="E173" s="12" t="n">
        <v>7500</v>
      </c>
      <c r="F173" s="14">
        <f>IF(AND($B173=$B172,ISNUMBER(E172),E172&gt;0),E173/E172-1,"")</f>
        <v/>
      </c>
      <c r="G173" s="19" t="inlineStr">
        <is>
          <t>Voir</t>
        </is>
      </c>
    </row>
    <row r="174">
      <c r="A174" s="10" t="inlineStr">
        <is>
          <t>Mazda MX-5 NA</t>
        </is>
      </c>
      <c r="B174" s="10" t="inlineStr">
        <is>
          <t>3235335116</t>
        </is>
      </c>
      <c r="C174" s="10" t="inlineStr">
        <is>
          <t>Mazda MX5 na Roadster Pro Cup</t>
        </is>
      </c>
      <c r="D174" s="18" t="n">
        <v>46296</v>
      </c>
      <c r="E174" s="12" t="n">
        <v>12500</v>
      </c>
      <c r="F174" s="14">
        <f>IF(AND($B174=$B173,ISNUMBER(E173),E173&gt;0),E174/E173-1,"")</f>
        <v/>
      </c>
      <c r="G174" s="19" t="inlineStr">
        <is>
          <t>Voir</t>
        </is>
      </c>
    </row>
    <row r="175">
      <c r="A175" s="10" t="inlineStr">
        <is>
          <t>Mazda MX-5 NA</t>
        </is>
      </c>
      <c r="B175" s="10" t="inlineStr">
        <is>
          <t>3236647415</t>
        </is>
      </c>
      <c r="C175" s="10" t="inlineStr">
        <is>
          <t>Mazda mx5 na</t>
        </is>
      </c>
      <c r="D175" s="18" t="n">
        <v>46296</v>
      </c>
      <c r="E175" s="12" t="n">
        <v>12000</v>
      </c>
      <c r="F175" s="14">
        <f>IF(AND($B175=$B174,ISNUMBER(E174),E174&gt;0),E175/E174-1,"")</f>
        <v/>
      </c>
      <c r="G175" s="19" t="inlineStr">
        <is>
          <t>Voir</t>
        </is>
      </c>
    </row>
    <row r="176">
      <c r="A176" s="10" t="inlineStr">
        <is>
          <t>Mazda MX-5 NA</t>
        </is>
      </c>
      <c r="B176" s="10" t="inlineStr">
        <is>
          <t>3237501387</t>
        </is>
      </c>
      <c r="C176" s="10" t="inlineStr">
        <is>
          <t>Mazda MX5 NA 1.8l</t>
        </is>
      </c>
      <c r="D176" s="18" t="n">
        <v>46296</v>
      </c>
      <c r="E176" s="12" t="n">
        <v>12500</v>
      </c>
      <c r="F176" s="14">
        <f>IF(AND($B176=$B175,ISNUMBER(E175),E175&gt;0),E176/E175-1,"")</f>
        <v/>
      </c>
      <c r="G176" s="19" t="inlineStr">
        <is>
          <t>Voir</t>
        </is>
      </c>
    </row>
    <row r="177">
      <c r="A177" s="10" t="inlineStr">
        <is>
          <t>Mazda MX-5 NA</t>
        </is>
      </c>
      <c r="B177" s="10" t="inlineStr">
        <is>
          <t>3244010388</t>
        </is>
      </c>
      <c r="C177" s="10" t="inlineStr">
        <is>
          <t>Mazda MX5 NA 1.6 90cv 1996</t>
        </is>
      </c>
      <c r="D177" s="18" t="n">
        <v>46310</v>
      </c>
      <c r="E177" s="12" t="n">
        <v>10000</v>
      </c>
      <c r="F177" s="14">
        <f>IF(AND($B177=$B176,ISNUMBER(E176),E176&gt;0),E177/E176-1,"")</f>
        <v/>
      </c>
      <c r="G177" s="19" t="inlineStr">
        <is>
          <t>Voir</t>
        </is>
      </c>
    </row>
    <row r="178">
      <c r="A178" s="10" t="inlineStr">
        <is>
          <t>Mazda MX-5 NA</t>
        </is>
      </c>
      <c r="B178" s="10" t="inlineStr">
        <is>
          <t>3255091039</t>
        </is>
      </c>
      <c r="C178" s="10" t="inlineStr">
        <is>
          <t>Mazda mx5</t>
        </is>
      </c>
      <c r="D178" s="18" t="n">
        <v>46296</v>
      </c>
      <c r="E178" s="12" t="n">
        <v>9500</v>
      </c>
      <c r="F178" s="14">
        <f>IF(AND($B178=$B177,ISNUMBER(E177),E177&gt;0),E178/E177-1,"")</f>
        <v/>
      </c>
      <c r="G178" s="19" t="inlineStr">
        <is>
          <t>Voir</t>
        </is>
      </c>
    </row>
    <row r="179">
      <c r="A179" s="10" t="inlineStr">
        <is>
          <t>Mazda MX-5 NA</t>
        </is>
      </c>
      <c r="B179" s="10" t="inlineStr">
        <is>
          <t>3260415699</t>
        </is>
      </c>
      <c r="C179" s="10" t="inlineStr">
        <is>
          <t>Mazda MX5</t>
        </is>
      </c>
      <c r="D179" s="18" t="n">
        <v>46296</v>
      </c>
      <c r="E179" s="12" t="n">
        <v>11500</v>
      </c>
      <c r="F179" s="14">
        <f>IF(AND($B179=$B178,ISNUMBER(E178),E178&gt;0),E179/E178-1,"")</f>
        <v/>
      </c>
      <c r="G179" s="19" t="inlineStr">
        <is>
          <t>Voir</t>
        </is>
      </c>
    </row>
    <row r="180">
      <c r="A180" s="10" t="inlineStr">
        <is>
          <t>Mazda MX-5 NA</t>
        </is>
      </c>
      <c r="B180" s="10" t="inlineStr">
        <is>
          <t>3260654659</t>
        </is>
      </c>
      <c r="C180" s="10" t="inlineStr">
        <is>
          <t>Mazda Mx5 miata na</t>
        </is>
      </c>
      <c r="D180" s="18" t="n">
        <v>46296</v>
      </c>
      <c r="E180" s="12" t="n">
        <v>11500</v>
      </c>
      <c r="F180" s="14">
        <f>IF(AND($B180=$B179,ISNUMBER(E179),E179&gt;0),E180/E179-1,"")</f>
        <v/>
      </c>
      <c r="G180" s="19" t="inlineStr">
        <is>
          <t>Voir</t>
        </is>
      </c>
    </row>
    <row r="181">
      <c r="A181" s="10" t="inlineStr">
        <is>
          <t>Mazda MX-5 NA</t>
        </is>
      </c>
      <c r="B181" s="10" t="inlineStr">
        <is>
          <t>3262698527</t>
        </is>
      </c>
      <c r="C181" s="10" t="inlineStr">
        <is>
          <t>A vendre mazda mx5</t>
        </is>
      </c>
      <c r="D181" s="18" t="n">
        <v>46296</v>
      </c>
      <c r="E181" s="12" t="n">
        <v>16000</v>
      </c>
      <c r="F181" s="14">
        <f>IF(AND($B181=$B180,ISNUMBER(E180),E180&gt;0),E181/E180-1,"")</f>
        <v/>
      </c>
      <c r="G181" s="19" t="inlineStr">
        <is>
          <t>Voir</t>
        </is>
      </c>
    </row>
    <row r="182">
      <c r="A182" s="10" t="inlineStr">
        <is>
          <t>Mazda MX-5 NA</t>
        </is>
      </c>
      <c r="B182" s="10" t="inlineStr">
        <is>
          <t>3263224799</t>
        </is>
      </c>
      <c r="C182" s="10" t="inlineStr">
        <is>
          <t>Mazda Mx5 NBFL Hardtop</t>
        </is>
      </c>
      <c r="D182" s="18" t="n">
        <v>46296</v>
      </c>
      <c r="E182" s="12" t="n">
        <v>13000</v>
      </c>
      <c r="F182" s="14">
        <f>IF(AND($B182=$B181,ISNUMBER(E181),E181&gt;0),E182/E181-1,"")</f>
        <v/>
      </c>
      <c r="G182" s="19" t="inlineStr">
        <is>
          <t>Voir</t>
        </is>
      </c>
    </row>
    <row r="183">
      <c r="A183" s="10" t="inlineStr">
        <is>
          <t>Mazda MX-5 NA</t>
        </is>
      </c>
      <c r="B183" s="10" t="inlineStr">
        <is>
          <t>3265533307</t>
        </is>
      </c>
      <c r="C183" s="10" t="inlineStr">
        <is>
          <t>1990 Mazda MX5 BBR Turbo</t>
        </is>
      </c>
      <c r="D183" s="18" t="n">
        <v>46296</v>
      </c>
      <c r="E183" s="12" t="n">
        <v>17990</v>
      </c>
      <c r="F183" s="14">
        <f>IF(AND($B183=$B182,ISNUMBER(E182),E182&gt;0),E183/E182-1,"")</f>
        <v/>
      </c>
      <c r="G183" s="19" t="inlineStr">
        <is>
          <t>Voir</t>
        </is>
      </c>
    </row>
    <row r="184">
      <c r="A184" s="10" t="inlineStr">
        <is>
          <t>Mazda MX-5 NA</t>
        </is>
      </c>
      <c r="B184" s="10" t="inlineStr">
        <is>
          <t>3267479895</t>
        </is>
      </c>
      <c r="C184" s="10" t="inlineStr">
        <is>
          <t>Mazda mx5 BBR turbo</t>
        </is>
      </c>
      <c r="D184" s="18" t="n">
        <v>46296</v>
      </c>
      <c r="E184" s="12" t="n">
        <v>10550</v>
      </c>
      <c r="F184" s="14">
        <f>IF(AND($B184=$B183,ISNUMBER(E183),E183&gt;0),E184/E183-1,"")</f>
        <v/>
      </c>
      <c r="G184" s="19" t="inlineStr">
        <is>
          <t>Voir</t>
        </is>
      </c>
    </row>
    <row r="185">
      <c r="A185" s="10" t="inlineStr">
        <is>
          <t>Mazda MX-5 NA</t>
        </is>
      </c>
      <c r="B185" s="10" t="inlineStr">
        <is>
          <t>3268572356</t>
        </is>
      </c>
      <c r="C185" s="10" t="inlineStr">
        <is>
          <t>Mazda MX5 NA</t>
        </is>
      </c>
      <c r="D185" s="18" t="n">
        <v>46296</v>
      </c>
      <c r="E185" s="12" t="n">
        <v>14000</v>
      </c>
      <c r="F185" s="14">
        <f>IF(AND($B185=$B184,ISNUMBER(E184),E184&gt;0),E185/E184-1,"")</f>
        <v/>
      </c>
      <c r="G185" s="19" t="inlineStr">
        <is>
          <t>Voir</t>
        </is>
      </c>
    </row>
    <row r="186">
      <c r="A186" s="10" t="inlineStr">
        <is>
          <t>Mazda MX-5 NA</t>
        </is>
      </c>
      <c r="B186" s="10" t="inlineStr">
        <is>
          <t>3268726676</t>
        </is>
      </c>
      <c r="C186" s="10" t="inlineStr">
        <is>
          <t>Mazda MX5 NA</t>
        </is>
      </c>
      <c r="D186" s="18" t="n">
        <v>46296</v>
      </c>
      <c r="E186" s="12" t="n">
        <v>6000</v>
      </c>
      <c r="F186" s="14">
        <f>IF(AND($B186=$B185,ISNUMBER(E185),E185&gt;0),E186/E185-1,"")</f>
        <v/>
      </c>
      <c r="G186" s="19" t="inlineStr">
        <is>
          <t>Voir</t>
        </is>
      </c>
    </row>
    <row r="187">
      <c r="A187" s="10" t="inlineStr">
        <is>
          <t>Mazda MX-5 NA</t>
        </is>
      </c>
      <c r="B187" s="10" t="inlineStr">
        <is>
          <t>3269035649</t>
        </is>
      </c>
      <c r="C187" s="10" t="inlineStr">
        <is>
          <t>Mazda MX5 NA 1.6 115 "CUP"</t>
        </is>
      </c>
      <c r="D187" s="18" t="n">
        <v>46310</v>
      </c>
      <c r="E187" s="12" t="n">
        <v>16000</v>
      </c>
      <c r="F187" s="14">
        <f>IF(AND($B187=$B186,ISNUMBER(E186),E186&gt;0),E187/E186-1,"")</f>
        <v/>
      </c>
      <c r="G187" s="19" t="inlineStr">
        <is>
          <t>Voir</t>
        </is>
      </c>
    </row>
    <row r="188">
      <c r="A188" s="10" t="inlineStr">
        <is>
          <t>Mazda MX-5 NA</t>
        </is>
      </c>
      <c r="B188" s="10" t="inlineStr">
        <is>
          <t>3269222663</t>
        </is>
      </c>
      <c r="C188" s="10" t="inlineStr">
        <is>
          <t>Mazda Mx5 Miata 1990</t>
        </is>
      </c>
      <c r="D188" s="18" t="n">
        <v>46296</v>
      </c>
      <c r="E188" s="12" t="n">
        <v>9200</v>
      </c>
      <c r="F188" s="14">
        <f>IF(AND($B188=$B187,ISNUMBER(E187),E187&gt;0),E188/E187-1,"")</f>
        <v/>
      </c>
      <c r="G188" s="19" t="inlineStr">
        <is>
          <t>Voir</t>
        </is>
      </c>
    </row>
    <row r="189">
      <c r="A189" s="10" t="inlineStr">
        <is>
          <t>Mazda MX-5 NA</t>
        </is>
      </c>
      <c r="B189" s="10" t="inlineStr">
        <is>
          <t>3269876574</t>
        </is>
      </c>
      <c r="C189" s="10" t="inlineStr">
        <is>
          <t>MAZDA MX5 NA 1.6L 90CV Montego blue</t>
        </is>
      </c>
      <c r="D189" s="18" t="n">
        <v>46296</v>
      </c>
      <c r="E189" s="12" t="n">
        <v>8750</v>
      </c>
      <c r="F189" s="14">
        <f>IF(AND($B189=$B188,ISNUMBER(E188),E188&gt;0),E189/E188-1,"")</f>
        <v/>
      </c>
      <c r="G189" s="19" t="inlineStr">
        <is>
          <t>Voir</t>
        </is>
      </c>
    </row>
    <row r="190">
      <c r="A190" s="10" t="inlineStr">
        <is>
          <t>Mazda MX-5 NA</t>
        </is>
      </c>
      <c r="B190" s="10" t="inlineStr">
        <is>
          <t>3269880037</t>
        </is>
      </c>
      <c r="C190" s="10" t="inlineStr">
        <is>
          <t>Mazda mx5 na 1.6 115cv hard top</t>
        </is>
      </c>
      <c r="D190" s="18" t="n">
        <v>46296</v>
      </c>
      <c r="E190" s="12" t="n">
        <v>15900</v>
      </c>
      <c r="F190" s="14">
        <f>IF(AND($B190=$B189,ISNUMBER(E189),E189&gt;0),E190/E189-1,"")</f>
        <v/>
      </c>
      <c r="G190" s="19" t="inlineStr">
        <is>
          <t>Voir</t>
        </is>
      </c>
    </row>
    <row r="191">
      <c r="A191" s="10" t="inlineStr">
        <is>
          <t>Mazda MX-5 NA</t>
        </is>
      </c>
      <c r="B191" s="10" t="inlineStr">
        <is>
          <t>3269883180</t>
        </is>
      </c>
      <c r="C191" s="10" t="inlineStr">
        <is>
          <t>Mazda mx5 na 1.8l 130cv</t>
        </is>
      </c>
      <c r="D191" s="18" t="n">
        <v>46296</v>
      </c>
      <c r="E191" s="12" t="n">
        <v>15990</v>
      </c>
      <c r="F191" s="14">
        <f>IF(AND($B191=$B190,ISNUMBER(E190),E190&gt;0),E191/E190-1,"")</f>
        <v/>
      </c>
      <c r="G191" s="19" t="inlineStr">
        <is>
          <t>Voir</t>
        </is>
      </c>
    </row>
    <row r="192">
      <c r="A192" s="10" t="inlineStr">
        <is>
          <t>Mazda MX-5 NA</t>
        </is>
      </c>
      <c r="B192" s="10" t="inlineStr">
        <is>
          <t>3270050795</t>
        </is>
      </c>
      <c r="C192" s="10" t="inlineStr">
        <is>
          <t>Mazda MX5 décapotable vintage CT</t>
        </is>
      </c>
      <c r="D192" s="18" t="n">
        <v>46296</v>
      </c>
      <c r="E192" s="12" t="n">
        <v>3990</v>
      </c>
      <c r="F192" s="14">
        <f>IF(AND($B192=$B191,ISNUMBER(E191),E191&gt;0),E192/E191-1,"")</f>
        <v/>
      </c>
      <c r="G192" s="19" t="inlineStr">
        <is>
          <t>Voir</t>
        </is>
      </c>
    </row>
    <row r="193">
      <c r="A193" s="10" t="inlineStr">
        <is>
          <t>Mazda MX-5 NA</t>
        </is>
      </c>
      <c r="B193" s="10" t="inlineStr">
        <is>
          <t>3270203905</t>
        </is>
      </c>
      <c r="C193" s="10" t="inlineStr">
        <is>
          <t>Mazda Mx5 NA</t>
        </is>
      </c>
      <c r="D193" s="18" t="n">
        <v>46296</v>
      </c>
      <c r="E193" s="12" t="n">
        <v>7000</v>
      </c>
      <c r="F193" s="14">
        <f>IF(AND($B193=$B192,ISNUMBER(E192),E192&gt;0),E193/E192-1,"")</f>
        <v/>
      </c>
      <c r="G193" s="19" t="inlineStr">
        <is>
          <t>Voir</t>
        </is>
      </c>
    </row>
    <row r="194">
      <c r="A194" s="10" t="inlineStr">
        <is>
          <t>Mazda MX-5 NA</t>
        </is>
      </c>
      <c r="B194" s="10" t="inlineStr">
        <is>
          <t>3270232311</t>
        </is>
      </c>
      <c r="C194" s="10" t="inlineStr">
        <is>
          <t>Mazda mx5, mx-5,</t>
        </is>
      </c>
      <c r="D194" s="18" t="n">
        <v>46296</v>
      </c>
      <c r="E194" s="12" t="n">
        <v>6200</v>
      </c>
      <c r="F194" s="14">
        <f>IF(AND($B194=$B193,ISNUMBER(E193),E193&gt;0),E194/E193-1,"")</f>
        <v/>
      </c>
      <c r="G194" s="19" t="inlineStr">
        <is>
          <t>Voir</t>
        </is>
      </c>
    </row>
    <row r="195">
      <c r="A195" s="10" t="inlineStr">
        <is>
          <t>Mazda MX-5 NA</t>
        </is>
      </c>
      <c r="B195" s="10" t="inlineStr">
        <is>
          <t>3270458808</t>
        </is>
      </c>
      <c r="C195" s="10" t="inlineStr">
        <is>
          <t>Mazda MX5 na</t>
        </is>
      </c>
      <c r="D195" s="18" t="n">
        <v>46296</v>
      </c>
      <c r="E195" s="12" t="n">
        <v>12500</v>
      </c>
      <c r="F195" s="14">
        <f>IF(AND($B195=$B194,ISNUMBER(E194),E194&gt;0),E195/E194-1,"")</f>
        <v/>
      </c>
      <c r="G195" s="19" t="inlineStr">
        <is>
          <t>Voir</t>
        </is>
      </c>
    </row>
    <row r="196">
      <c r="A196" s="10" t="inlineStr">
        <is>
          <t>Mazda MX-5 NA</t>
        </is>
      </c>
      <c r="B196" s="10" t="inlineStr">
        <is>
          <t>3270565112</t>
        </is>
      </c>
      <c r="C196" s="10" t="inlineStr">
        <is>
          <t>Mazda MX5 NA 115 CV 🔴</t>
        </is>
      </c>
      <c r="D196" s="18" t="n">
        <v>46296</v>
      </c>
      <c r="E196" s="12" t="n">
        <v>9500</v>
      </c>
      <c r="F196" s="14">
        <f>IF(AND($B196=$B195,ISNUMBER(E195),E195&gt;0),E196/E195-1,"")</f>
        <v/>
      </c>
      <c r="G196" s="19" t="inlineStr">
        <is>
          <t>Voir</t>
        </is>
      </c>
    </row>
    <row r="197">
      <c r="A197" s="10" t="inlineStr">
        <is>
          <t>Mazda MX-5 NA</t>
        </is>
      </c>
      <c r="B197" s="10" t="inlineStr">
        <is>
          <t>3271672291</t>
        </is>
      </c>
      <c r="C197" s="10" t="inlineStr">
        <is>
          <t>Splendide Cabriolet mazda mx5</t>
        </is>
      </c>
      <c r="D197" s="18" t="n">
        <v>46296</v>
      </c>
      <c r="E197" s="12" t="n">
        <v>12900</v>
      </c>
      <c r="F197" s="14">
        <f>IF(AND($B197=$B196,ISNUMBER(E196),E196&gt;0),E197/E196-1,"")</f>
        <v/>
      </c>
      <c r="G197" s="19" t="inlineStr">
        <is>
          <t>Voir</t>
        </is>
      </c>
    </row>
    <row r="198">
      <c r="A198" s="10" t="inlineStr">
        <is>
          <t>Mazda MX-5 NA</t>
        </is>
      </c>
      <c r="B198" s="10" t="inlineStr">
        <is>
          <t>3272203068</t>
        </is>
      </c>
      <c r="C198" s="10" t="inlineStr">
        <is>
          <t>Mazda MX5 NA</t>
        </is>
      </c>
      <c r="D198" s="18" t="n">
        <v>46296</v>
      </c>
      <c r="E198" s="12" t="n">
        <v>11000</v>
      </c>
      <c r="F198" s="14">
        <f>IF(AND($B198=$B197,ISNUMBER(E197),E197&gt;0),E198/E197-1,"")</f>
        <v/>
      </c>
      <c r="G198" s="19" t="inlineStr">
        <is>
          <t>Voir</t>
        </is>
      </c>
    </row>
    <row r="199">
      <c r="A199" s="10" t="inlineStr">
        <is>
          <t>Mazda MX-5 NA</t>
        </is>
      </c>
      <c r="B199" s="10" t="inlineStr">
        <is>
          <t>3272203068</t>
        </is>
      </c>
      <c r="C199" s="10" t="inlineStr">
        <is>
          <t>Mazda MX5 NA</t>
        </is>
      </c>
      <c r="D199" s="18" t="n">
        <v>46310</v>
      </c>
      <c r="E199" s="12" t="n">
        <v>10000</v>
      </c>
      <c r="F199" s="14">
        <f>IF(AND($B199=$B198,ISNUMBER(E198),E198&gt;0),E199/E198-1,"")</f>
        <v/>
      </c>
      <c r="G199" s="19" t="inlineStr">
        <is>
          <t>Voir</t>
        </is>
      </c>
    </row>
    <row r="200">
      <c r="A200" s="10" t="inlineStr">
        <is>
          <t>Mazda MX-5 NA</t>
        </is>
      </c>
      <c r="B200" s="10" t="inlineStr">
        <is>
          <t>3273479241</t>
        </is>
      </c>
      <c r="C200" s="10" t="inlineStr">
        <is>
          <t>Mazda MX5</t>
        </is>
      </c>
      <c r="D200" s="18" t="n">
        <v>46296</v>
      </c>
      <c r="E200" s="12" t="n">
        <v>8500</v>
      </c>
      <c r="F200" s="14">
        <f>IF(AND($B200=$B199,ISNUMBER(E199),E199&gt;0),E200/E199-1,"")</f>
        <v/>
      </c>
      <c r="G200" s="19" t="inlineStr">
        <is>
          <t>Voir</t>
        </is>
      </c>
    </row>
    <row r="201">
      <c r="A201" s="10" t="inlineStr">
        <is>
          <t>Mazda MX-5 NA</t>
        </is>
      </c>
      <c r="B201" s="10" t="inlineStr">
        <is>
          <t>3275326732</t>
        </is>
      </c>
      <c r="C201" s="10" t="inlineStr">
        <is>
          <t>Mazda MX5 Roadster Pro Cup</t>
        </is>
      </c>
      <c r="D201" s="18" t="n">
        <v>46296</v>
      </c>
      <c r="E201" s="12" t="n">
        <v>13000</v>
      </c>
      <c r="F201" s="14">
        <f>IF(AND($B201=$B200,ISNUMBER(E200),E200&gt;0),E201/E200-1,"")</f>
        <v/>
      </c>
      <c r="G201" s="19" t="inlineStr">
        <is>
          <t>Voir</t>
        </is>
      </c>
    </row>
    <row r="202">
      <c r="A202" s="10" t="inlineStr">
        <is>
          <t>Mazda MX-5 NA</t>
        </is>
      </c>
      <c r="B202" s="10" t="inlineStr">
        <is>
          <t>3276609067</t>
        </is>
      </c>
      <c r="C202" s="10" t="inlineStr">
        <is>
          <t>Mazda mx5 na 1993</t>
        </is>
      </c>
      <c r="D202" s="18" t="n">
        <v>46296</v>
      </c>
      <c r="E202" s="12" t="n">
        <v>12000</v>
      </c>
      <c r="F202" s="14">
        <f>IF(AND($B202=$B201,ISNUMBER(E201),E201&gt;0),E202/E201-1,"")</f>
        <v/>
      </c>
      <c r="G202" s="19" t="inlineStr">
        <is>
          <t>Voir</t>
        </is>
      </c>
    </row>
    <row r="203">
      <c r="A203" s="10" t="inlineStr">
        <is>
          <t>Mazda MX-5 NA</t>
        </is>
      </c>
      <c r="B203" s="10" t="inlineStr">
        <is>
          <t>3277088692</t>
        </is>
      </c>
      <c r="C203" s="10" t="inlineStr">
        <is>
          <t>Mazda mx5 NA 1.6 édition limitée</t>
        </is>
      </c>
      <c r="D203" s="18" t="n">
        <v>46296</v>
      </c>
      <c r="E203" s="12" t="n">
        <v>13500</v>
      </c>
      <c r="F203" s="14">
        <f>IF(AND($B203=$B202,ISNUMBER(E202),E202&gt;0),E203/E202-1,"")</f>
        <v/>
      </c>
      <c r="G203" s="19" t="inlineStr">
        <is>
          <t>Voir</t>
        </is>
      </c>
    </row>
    <row r="204">
      <c r="A204" s="10" t="inlineStr">
        <is>
          <t>Mazda MX-5 NA</t>
        </is>
      </c>
      <c r="B204" s="10" t="inlineStr">
        <is>
          <t>3277280211</t>
        </is>
      </c>
      <c r="C204" s="10" t="inlineStr">
        <is>
          <t>Mazda mx5 na 1,8l</t>
        </is>
      </c>
      <c r="D204" s="18" t="n">
        <v>46296</v>
      </c>
      <c r="E204" s="12" t="n">
        <v>16990</v>
      </c>
      <c r="F204" s="14">
        <f>IF(AND($B204=$B203,ISNUMBER(E203),E203&gt;0),E204/E203-1,"")</f>
        <v/>
      </c>
      <c r="G204" s="19" t="inlineStr">
        <is>
          <t>Voir</t>
        </is>
      </c>
    </row>
    <row r="205">
      <c r="A205" s="10" t="inlineStr">
        <is>
          <t>Mazda MX-5 NA</t>
        </is>
      </c>
      <c r="B205" s="10" t="inlineStr">
        <is>
          <t>3277280211</t>
        </is>
      </c>
      <c r="C205" s="10" t="inlineStr">
        <is>
          <t>Mazda mx5 na 1,8l</t>
        </is>
      </c>
      <c r="D205" s="18" t="n">
        <v>46310</v>
      </c>
      <c r="E205" s="12" t="n">
        <v>15500</v>
      </c>
      <c r="F205" s="14">
        <f>IF(AND($B205=$B204,ISNUMBER(E204),E204&gt;0),E205/E204-1,"")</f>
        <v/>
      </c>
      <c r="G205" s="19" t="inlineStr">
        <is>
          <t>Voir</t>
        </is>
      </c>
    </row>
    <row r="206">
      <c r="A206" s="10" t="inlineStr">
        <is>
          <t>Mazda MX-5 NA</t>
        </is>
      </c>
      <c r="B206" s="10" t="inlineStr">
        <is>
          <t>3279515840</t>
        </is>
      </c>
      <c r="C206" s="10" t="inlineStr">
        <is>
          <t>Mazda Mx5 NA 1.6 90ch</t>
        </is>
      </c>
      <c r="D206" s="18" t="n">
        <v>46296</v>
      </c>
      <c r="E206" s="12" t="n">
        <v>10500</v>
      </c>
      <c r="F206" s="14">
        <f>IF(AND($B206=$B205,ISNUMBER(E205),E205&gt;0),E206/E205-1,"")</f>
        <v/>
      </c>
      <c r="G206" s="19" t="inlineStr">
        <is>
          <t>Voir</t>
        </is>
      </c>
    </row>
    <row r="207">
      <c r="A207" s="10" t="inlineStr">
        <is>
          <t>Mazda MX-5 NA</t>
        </is>
      </c>
      <c r="B207" s="10" t="inlineStr">
        <is>
          <t>3280227190</t>
        </is>
      </c>
      <c r="C207" s="10" t="inlineStr">
        <is>
          <t>Mazda MX5</t>
        </is>
      </c>
      <c r="D207" s="18" t="n">
        <v>46296</v>
      </c>
      <c r="E207" s="12" t="n">
        <v>11200</v>
      </c>
      <c r="F207" s="14">
        <f>IF(AND($B207=$B206,ISNUMBER(E206),E206&gt;0),E207/E206-1,"")</f>
        <v/>
      </c>
      <c r="G207" s="19" t="inlineStr">
        <is>
          <t>Voir</t>
        </is>
      </c>
    </row>
    <row r="208">
      <c r="A208" s="10" t="inlineStr">
        <is>
          <t>Mazda MX-5 NA</t>
        </is>
      </c>
      <c r="B208" s="10" t="inlineStr">
        <is>
          <t>3283621612</t>
        </is>
      </c>
      <c r="C208" s="10" t="inlineStr">
        <is>
          <t>Mazda MX5 - NA</t>
        </is>
      </c>
      <c r="D208" s="18" t="n">
        <v>46310</v>
      </c>
      <c r="E208" s="12" t="n">
        <v>12500</v>
      </c>
      <c r="F208" s="14">
        <f>IF(AND($B208=$B207,ISNUMBER(E207),E207&gt;0),E208/E207-1,"")</f>
        <v/>
      </c>
      <c r="G208" s="19" t="inlineStr">
        <is>
          <t>Voir</t>
        </is>
      </c>
    </row>
    <row r="209">
      <c r="A209" s="10" t="inlineStr">
        <is>
          <t>Mazda MX-5 NA</t>
        </is>
      </c>
      <c r="B209" s="10" t="inlineStr">
        <is>
          <t>3285038445</t>
        </is>
      </c>
      <c r="C209" s="10" t="inlineStr">
        <is>
          <t>Mazda MX5</t>
        </is>
      </c>
      <c r="D209" s="18" t="n">
        <v>46310</v>
      </c>
      <c r="E209" s="12" t="n">
        <v>6000</v>
      </c>
      <c r="F209" s="14">
        <f>IF(AND($B209=$B208,ISNUMBER(E208),E208&gt;0),E209/E208-1,"")</f>
        <v/>
      </c>
      <c r="G209" s="19" t="inlineStr">
        <is>
          <t>Voir</t>
        </is>
      </c>
    </row>
    <row r="210">
      <c r="A210" s="10" t="inlineStr">
        <is>
          <t>Mazda MX-5 NA</t>
        </is>
      </c>
      <c r="B210" s="10" t="inlineStr">
        <is>
          <t>3287100326</t>
        </is>
      </c>
      <c r="C210" s="10" t="inlineStr">
        <is>
          <t>Mazda Mx5 NA sans CT( à restaurer ou pièce)</t>
        </is>
      </c>
      <c r="D210" s="18" t="n">
        <v>46310</v>
      </c>
      <c r="E210" s="12" t="n">
        <v>3000</v>
      </c>
      <c r="F210" s="14">
        <f>IF(AND($B210=$B209,ISNUMBER(E209),E209&gt;0),E210/E209-1,"")</f>
        <v/>
      </c>
      <c r="G210" s="19" t="inlineStr">
        <is>
          <t>Voir</t>
        </is>
      </c>
    </row>
    <row r="211">
      <c r="A211" s="10" t="inlineStr">
        <is>
          <t>Mazda MX-5 NA</t>
        </is>
      </c>
      <c r="B211" s="10" t="inlineStr">
        <is>
          <t>3287607190</t>
        </is>
      </c>
      <c r="C211" s="10" t="inlineStr">
        <is>
          <t>Mazda mx5</t>
        </is>
      </c>
      <c r="D211" s="18" t="n">
        <v>46310</v>
      </c>
      <c r="E211" s="12" t="n">
        <v>7000</v>
      </c>
      <c r="F211" s="14">
        <f>IF(AND($B211=$B210,ISNUMBER(E210),E210&gt;0),E211/E210-1,"")</f>
        <v/>
      </c>
      <c r="G211" s="19" t="inlineStr">
        <is>
          <t>Voir</t>
        </is>
      </c>
    </row>
    <row r="212">
      <c r="A212" s="10" t="inlineStr">
        <is>
          <t>Peugeot 205 GTI</t>
        </is>
      </c>
      <c r="B212" s="10" t="inlineStr">
        <is>
          <t>2293375817</t>
        </is>
      </c>
      <c r="C212" s="10" t="inlineStr">
        <is>
          <t>205 Gti 1l9 130cv</t>
        </is>
      </c>
      <c r="D212" s="18" t="n">
        <v>46310</v>
      </c>
      <c r="E212" s="12" t="n">
        <v>23500</v>
      </c>
      <c r="F212" s="14">
        <f>IF(AND($B212=$B211,ISNUMBER(E211),E211&gt;0),E212/E211-1,"")</f>
        <v/>
      </c>
      <c r="G212" s="19" t="inlineStr">
        <is>
          <t>Voir</t>
        </is>
      </c>
    </row>
    <row r="213">
      <c r="A213" s="10" t="inlineStr">
        <is>
          <t>Peugeot 205 GTI</t>
        </is>
      </c>
      <c r="B213" s="10" t="inlineStr">
        <is>
          <t>3175837683</t>
        </is>
      </c>
      <c r="C213" s="10" t="inlineStr">
        <is>
          <t>Peugeot 205 Gti 1.9 vert sorrento 1991 moteur refait à neuf</t>
        </is>
      </c>
      <c r="D213" s="18" t="n">
        <v>46310</v>
      </c>
      <c r="E213" s="12" t="n">
        <v>21000</v>
      </c>
      <c r="F213" s="14">
        <f>IF(AND($B213=$B212,ISNUMBER(E212),E212&gt;0),E213/E212-1,"")</f>
        <v/>
      </c>
      <c r="G213" s="19" t="inlineStr">
        <is>
          <t>Voir</t>
        </is>
      </c>
    </row>
    <row r="214">
      <c r="A214" s="10" t="inlineStr">
        <is>
          <t>Peugeot 205 GTI</t>
        </is>
      </c>
      <c r="B214" s="10" t="inlineStr">
        <is>
          <t>3199378668</t>
        </is>
      </c>
      <c r="C214" s="10" t="inlineStr">
        <is>
          <t>205 gti 1,6</t>
        </is>
      </c>
      <c r="D214" s="18" t="n">
        <v>46296</v>
      </c>
      <c r="E214" s="12" t="n">
        <v>15200</v>
      </c>
      <c r="F214" s="14">
        <f>IF(AND($B214=$B213,ISNUMBER(E213),E213&gt;0),E214/E213-1,"")</f>
        <v/>
      </c>
      <c r="G214" s="19" t="inlineStr">
        <is>
          <t>Voir</t>
        </is>
      </c>
    </row>
    <row r="215">
      <c r="A215" s="10" t="inlineStr">
        <is>
          <t>Peugeot 205 GTI</t>
        </is>
      </c>
      <c r="B215" s="10" t="inlineStr">
        <is>
          <t>3206868741</t>
        </is>
      </c>
      <c r="C215" s="10" t="inlineStr">
        <is>
          <t>205 gti 1,6 1984</t>
        </is>
      </c>
      <c r="D215" s="18" t="n">
        <v>46310</v>
      </c>
      <c r="E215" s="12" t="n">
        <v>22000</v>
      </c>
      <c r="F215" s="14">
        <f>IF(AND($B215=$B214,ISNUMBER(E214),E214&gt;0),E215/E214-1,"")</f>
        <v/>
      </c>
      <c r="G215" s="19" t="inlineStr">
        <is>
          <t>Voir</t>
        </is>
      </c>
    </row>
    <row r="216">
      <c r="A216" s="10" t="inlineStr">
        <is>
          <t>Peugeot 205 GTI</t>
        </is>
      </c>
      <c r="B216" s="10" t="inlineStr">
        <is>
          <t>3208497714</t>
        </is>
      </c>
      <c r="C216" s="10" t="inlineStr">
        <is>
          <t>Peugeot 205 1.6 GTI 105CH</t>
        </is>
      </c>
      <c r="D216" s="18" t="n">
        <v>46310</v>
      </c>
      <c r="E216" s="12" t="n">
        <v>12000</v>
      </c>
      <c r="F216" s="14">
        <f>IF(AND($B216=$B215,ISNUMBER(E215),E215&gt;0),E216/E215-1,"")</f>
        <v/>
      </c>
      <c r="G216" s="19" t="inlineStr">
        <is>
          <t>Voir</t>
        </is>
      </c>
    </row>
    <row r="217">
      <c r="A217" s="10" t="inlineStr">
        <is>
          <t>Peugeot 205 GTI</t>
        </is>
      </c>
      <c r="B217" s="10" t="inlineStr">
        <is>
          <t>3226018309</t>
        </is>
      </c>
      <c r="C217" s="10" t="inlineStr">
        <is>
          <t>205 gti</t>
        </is>
      </c>
      <c r="D217" s="18" t="n">
        <v>46296</v>
      </c>
      <c r="E217" s="12" t="n">
        <v>25000</v>
      </c>
      <c r="F217" s="14">
        <f>IF(AND($B217=$B216,ISNUMBER(E216),E216&gt;0),E217/E216-1,"")</f>
        <v/>
      </c>
      <c r="G217" s="19" t="inlineStr">
        <is>
          <t>Voir</t>
        </is>
      </c>
    </row>
    <row r="218">
      <c r="A218" s="10" t="inlineStr">
        <is>
          <t>Peugeot 205 GTI</t>
        </is>
      </c>
      <c r="B218" s="10" t="inlineStr">
        <is>
          <t>3228549093</t>
        </is>
      </c>
      <c r="C218" s="10" t="inlineStr">
        <is>
          <t>Peugeot 205 GTi Phase 2 / 1.9 i 130cv / Entretiens complet / 4ème main / Air ventilé</t>
        </is>
      </c>
      <c r="D218" s="18" t="n">
        <v>46296</v>
      </c>
      <c r="E218" s="12" t="n">
        <v>19990</v>
      </c>
      <c r="F218" s="14">
        <f>IF(AND($B218=$B217,ISNUMBER(E217),E217&gt;0),E218/E217-1,"")</f>
        <v/>
      </c>
      <c r="G218" s="19" t="inlineStr">
        <is>
          <t>Voir</t>
        </is>
      </c>
    </row>
    <row r="219">
      <c r="A219" s="10" t="inlineStr">
        <is>
          <t>Peugeot 205 GTI</t>
        </is>
      </c>
      <c r="B219" s="10" t="inlineStr">
        <is>
          <t>3232618598</t>
        </is>
      </c>
      <c r="C219" s="10" t="inlineStr">
        <is>
          <t>205 gti 1.9</t>
        </is>
      </c>
      <c r="D219" s="18" t="n">
        <v>46296</v>
      </c>
      <c r="E219" s="12" t="n">
        <v>15500</v>
      </c>
      <c r="F219" s="14">
        <f>IF(AND($B219=$B218,ISNUMBER(E218),E218&gt;0),E219/E218-1,"")</f>
        <v/>
      </c>
      <c r="G219" s="19" t="inlineStr">
        <is>
          <t>Voir</t>
        </is>
      </c>
    </row>
    <row r="220">
      <c r="A220" s="10" t="inlineStr">
        <is>
          <t>Peugeot 205 GTI</t>
        </is>
      </c>
      <c r="B220" s="10" t="inlineStr">
        <is>
          <t>3236436226</t>
        </is>
      </c>
      <c r="C220" s="10" t="inlineStr">
        <is>
          <t>205 gti 1l6</t>
        </is>
      </c>
      <c r="D220" s="18" t="n">
        <v>46296</v>
      </c>
      <c r="E220" s="12" t="n">
        <v>11500</v>
      </c>
      <c r="F220" s="14">
        <f>IF(AND($B220=$B219,ISNUMBER(E219),E219&gt;0),E220/E219-1,"")</f>
        <v/>
      </c>
      <c r="G220" s="19" t="inlineStr">
        <is>
          <t>Voir</t>
        </is>
      </c>
    </row>
    <row r="221">
      <c r="A221" s="10" t="inlineStr">
        <is>
          <t>Peugeot 205 GTI</t>
        </is>
      </c>
      <c r="B221" s="10" t="inlineStr">
        <is>
          <t>3252631252</t>
        </is>
      </c>
      <c r="C221" s="10" t="inlineStr">
        <is>
          <t>Peugeot 205 gti 1.9 130cv</t>
        </is>
      </c>
      <c r="D221" s="18" t="n">
        <v>46296</v>
      </c>
      <c r="E221" s="12" t="n">
        <v>22490</v>
      </c>
      <c r="F221" s="14">
        <f>IF(AND($B221=$B220,ISNUMBER(E220),E220&gt;0),E221/E220-1,"")</f>
        <v/>
      </c>
      <c r="G221" s="19" t="inlineStr">
        <is>
          <t>Voir</t>
        </is>
      </c>
    </row>
    <row r="222">
      <c r="A222" s="10" t="inlineStr">
        <is>
          <t>Peugeot 205 GTI</t>
        </is>
      </c>
      <c r="B222" s="10" t="inlineStr">
        <is>
          <t>3257729524</t>
        </is>
      </c>
      <c r="C222" s="10" t="inlineStr">
        <is>
          <t>205 gti</t>
        </is>
      </c>
      <c r="D222" s="18" t="n">
        <v>46296</v>
      </c>
      <c r="E222" s="12" t="n">
        <v>20000</v>
      </c>
      <c r="F222" s="14">
        <f>IF(AND($B222=$B221,ISNUMBER(E221),E221&gt;0),E222/E221-1,"")</f>
        <v/>
      </c>
      <c r="G222" s="19" t="inlineStr">
        <is>
          <t>Voir</t>
        </is>
      </c>
    </row>
    <row r="223">
      <c r="A223" s="10" t="inlineStr">
        <is>
          <t>Peugeot 205 GTI</t>
        </is>
      </c>
      <c r="B223" s="10" t="inlineStr">
        <is>
          <t>3259144220</t>
        </is>
      </c>
      <c r="C223" s="10" t="inlineStr">
        <is>
          <t>205 gti</t>
        </is>
      </c>
      <c r="D223" s="18" t="n">
        <v>46296</v>
      </c>
      <c r="E223" s="12" t="n">
        <v>17000</v>
      </c>
      <c r="F223" s="14">
        <f>IF(AND($B223=$B222,ISNUMBER(E222),E222&gt;0),E223/E222-1,"")</f>
        <v/>
      </c>
      <c r="G223" s="19" t="inlineStr">
        <is>
          <t>Voir</t>
        </is>
      </c>
    </row>
    <row r="224">
      <c r="A224" s="10" t="inlineStr">
        <is>
          <t>Peugeot 205 GTI</t>
        </is>
      </c>
      <c r="B224" s="10" t="inlineStr">
        <is>
          <t>3259144220</t>
        </is>
      </c>
      <c r="C224" s="10" t="inlineStr">
        <is>
          <t>205 gti</t>
        </is>
      </c>
      <c r="D224" s="18" t="n">
        <v>46310</v>
      </c>
      <c r="E224" s="12" t="n">
        <v>15000</v>
      </c>
      <c r="F224" s="14">
        <f>IF(AND($B224=$B223,ISNUMBER(E223),E223&gt;0),E224/E223-1,"")</f>
        <v/>
      </c>
      <c r="G224" s="19" t="inlineStr">
        <is>
          <t>Voir</t>
        </is>
      </c>
    </row>
    <row r="225">
      <c r="A225" s="10" t="inlineStr">
        <is>
          <t>Peugeot 205 GTI</t>
        </is>
      </c>
      <c r="B225" s="10" t="inlineStr">
        <is>
          <t>3262353989</t>
        </is>
      </c>
      <c r="C225" s="10" t="inlineStr">
        <is>
          <t>205 gti</t>
        </is>
      </c>
      <c r="D225" s="18" t="n">
        <v>46296</v>
      </c>
      <c r="E225" s="12" t="n">
        <v>10000</v>
      </c>
      <c r="F225" s="14">
        <f>IF(AND($B225=$B224,ISNUMBER(E224),E224&gt;0),E225/E224-1,"")</f>
        <v/>
      </c>
      <c r="G225" s="19" t="inlineStr">
        <is>
          <t>Voir</t>
        </is>
      </c>
    </row>
    <row r="226">
      <c r="A226" s="10" t="inlineStr">
        <is>
          <t>Peugeot 205 GTI</t>
        </is>
      </c>
      <c r="B226" s="10" t="inlineStr">
        <is>
          <t>3264569173</t>
        </is>
      </c>
      <c r="C226" s="10" t="inlineStr">
        <is>
          <t>Peugeot 205 gti 1,6</t>
        </is>
      </c>
      <c r="D226" s="18" t="n">
        <v>46296</v>
      </c>
      <c r="E226" s="12" t="n">
        <v>23900</v>
      </c>
      <c r="F226" s="14">
        <f>IF(AND($B226=$B225,ISNUMBER(E225),E225&gt;0),E226/E225-1,"")</f>
        <v/>
      </c>
      <c r="G226" s="19" t="inlineStr">
        <is>
          <t>Voir</t>
        </is>
      </c>
    </row>
    <row r="227">
      <c r="A227" s="10" t="inlineStr">
        <is>
          <t>Peugeot 205 GTI</t>
        </is>
      </c>
      <c r="B227" s="10" t="inlineStr">
        <is>
          <t>3265038164</t>
        </is>
      </c>
      <c r="C227" s="10" t="inlineStr">
        <is>
          <t>205 gti</t>
        </is>
      </c>
      <c r="D227" s="18" t="n">
        <v>46296</v>
      </c>
      <c r="E227" s="12" t="n">
        <v>15000</v>
      </c>
      <c r="F227" s="14">
        <f>IF(AND($B227=$B226,ISNUMBER(E226),E226&gt;0),E227/E226-1,"")</f>
        <v/>
      </c>
      <c r="G227" s="19" t="inlineStr">
        <is>
          <t>Voir</t>
        </is>
      </c>
    </row>
    <row r="228">
      <c r="A228" s="10" t="inlineStr">
        <is>
          <t>Peugeot 205 GTI</t>
        </is>
      </c>
      <c r="B228" s="10" t="inlineStr">
        <is>
          <t>3267921242</t>
        </is>
      </c>
      <c r="C228" s="10" t="inlineStr">
        <is>
          <t>205 gti</t>
        </is>
      </c>
      <c r="D228" s="18" t="n">
        <v>46296</v>
      </c>
      <c r="E228" s="12" t="n">
        <v>9999</v>
      </c>
      <c r="F228" s="14">
        <f>IF(AND($B228=$B227,ISNUMBER(E227),E227&gt;0),E228/E227-1,"")</f>
        <v/>
      </c>
      <c r="G228" s="19" t="inlineStr">
        <is>
          <t>Voir</t>
        </is>
      </c>
    </row>
    <row r="229">
      <c r="A229" s="10" t="inlineStr">
        <is>
          <t>Peugeot 205 GTI</t>
        </is>
      </c>
      <c r="B229" s="10" t="inlineStr">
        <is>
          <t>3267921242</t>
        </is>
      </c>
      <c r="C229" s="10" t="inlineStr">
        <is>
          <t>205 gti</t>
        </is>
      </c>
      <c r="D229" s="18" t="n">
        <v>46310</v>
      </c>
      <c r="E229" s="12" t="n">
        <v>9990</v>
      </c>
      <c r="F229" s="14">
        <f>IF(AND($B229=$B228,ISNUMBER(E228),E228&gt;0),E229/E228-1,"")</f>
        <v/>
      </c>
      <c r="G229" s="19" t="inlineStr">
        <is>
          <t>Voir</t>
        </is>
      </c>
    </row>
    <row r="230">
      <c r="A230" s="10" t="inlineStr">
        <is>
          <t>Peugeot 205 GTI</t>
        </is>
      </c>
      <c r="B230" s="10" t="inlineStr">
        <is>
          <t>3270026235</t>
        </is>
      </c>
      <c r="C230" s="10" t="inlineStr">
        <is>
          <t>Peugeot 205 gti 1.6l 115 cv</t>
        </is>
      </c>
      <c r="D230" s="18" t="n">
        <v>46310</v>
      </c>
      <c r="E230" s="12" t="n">
        <v>19990</v>
      </c>
      <c r="F230" s="14">
        <f>IF(AND($B230=$B229,ISNUMBER(E229),E229&gt;0),E230/E229-1,"")</f>
        <v/>
      </c>
      <c r="G230" s="19" t="inlineStr">
        <is>
          <t>Voir</t>
        </is>
      </c>
    </row>
    <row r="231">
      <c r="A231" s="10" t="inlineStr">
        <is>
          <t>Peugeot 205 GTI</t>
        </is>
      </c>
      <c r="B231" s="10" t="inlineStr">
        <is>
          <t>3270139360</t>
        </is>
      </c>
      <c r="C231" s="10" t="inlineStr">
        <is>
          <t>205 gti 1.6 105</t>
        </is>
      </c>
      <c r="D231" s="18" t="n">
        <v>46296</v>
      </c>
      <c r="E231" s="12" t="n">
        <v>20000</v>
      </c>
      <c r="F231" s="14">
        <f>IF(AND($B231=$B230,ISNUMBER(E230),E230&gt;0),E231/E230-1,"")</f>
        <v/>
      </c>
      <c r="G231" s="19" t="inlineStr">
        <is>
          <t>Voir</t>
        </is>
      </c>
    </row>
    <row r="232">
      <c r="A232" s="10" t="inlineStr">
        <is>
          <t>Peugeot 205 GTI</t>
        </is>
      </c>
      <c r="B232" s="10" t="inlineStr">
        <is>
          <t>3271015511</t>
        </is>
      </c>
      <c r="C232" s="10" t="inlineStr">
        <is>
          <t>Peugeot 205 gti</t>
        </is>
      </c>
      <c r="D232" s="18" t="n">
        <v>46296</v>
      </c>
      <c r="E232" s="12" t="n">
        <v>15000</v>
      </c>
      <c r="F232" s="14">
        <f>IF(AND($B232=$B231,ISNUMBER(E231),E231&gt;0),E232/E231-1,"")</f>
        <v/>
      </c>
      <c r="G232" s="19" t="inlineStr">
        <is>
          <t>Voir</t>
        </is>
      </c>
    </row>
    <row r="233">
      <c r="A233" s="10" t="inlineStr">
        <is>
          <t>Peugeot 205 GTI</t>
        </is>
      </c>
      <c r="B233" s="10" t="inlineStr">
        <is>
          <t>3271061636</t>
        </is>
      </c>
      <c r="C233" s="10" t="inlineStr">
        <is>
          <t>Peugeot 205 gti 1.9</t>
        </is>
      </c>
      <c r="D233" s="18" t="n">
        <v>46296</v>
      </c>
      <c r="E233" s="12" t="n">
        <v>29800</v>
      </c>
      <c r="F233" s="14">
        <f>IF(AND($B233=$B232,ISNUMBER(E232),E232&gt;0),E233/E232-1,"")</f>
        <v/>
      </c>
      <c r="G233" s="19" t="inlineStr">
        <is>
          <t>Voir</t>
        </is>
      </c>
    </row>
    <row r="234">
      <c r="A234" s="10" t="inlineStr">
        <is>
          <t>Peugeot 205 GTI</t>
        </is>
      </c>
      <c r="B234" s="10" t="inlineStr">
        <is>
          <t>3271423566</t>
        </is>
      </c>
      <c r="C234" s="10" t="inlineStr">
        <is>
          <t>205 gti</t>
        </is>
      </c>
      <c r="D234" s="18" t="n">
        <v>46296</v>
      </c>
      <c r="E234" s="12" t="n">
        <v>17000</v>
      </c>
      <c r="F234" s="14">
        <f>IF(AND($B234=$B233,ISNUMBER(E233),E233&gt;0),E234/E233-1,"")</f>
        <v/>
      </c>
      <c r="G234" s="19" t="inlineStr">
        <is>
          <t>Voir</t>
        </is>
      </c>
    </row>
    <row r="235">
      <c r="A235" s="10" t="inlineStr">
        <is>
          <t>Peugeot 205 GTI</t>
        </is>
      </c>
      <c r="B235" s="10" t="inlineStr">
        <is>
          <t>3272026247</t>
        </is>
      </c>
      <c r="C235" s="10" t="inlineStr">
        <is>
          <t>205 Gti</t>
        </is>
      </c>
      <c r="D235" s="18" t="n">
        <v>46296</v>
      </c>
      <c r="E235" s="12" t="n">
        <v>18800</v>
      </c>
      <c r="F235" s="14">
        <f>IF(AND($B235=$B234,ISNUMBER(E234),E234&gt;0),E235/E234-1,"")</f>
        <v/>
      </c>
      <c r="G235" s="19" t="inlineStr">
        <is>
          <t>Voir</t>
        </is>
      </c>
    </row>
    <row r="236">
      <c r="A236" s="10" t="inlineStr">
        <is>
          <t>Peugeot 205 GTI</t>
        </is>
      </c>
      <c r="B236" s="10" t="inlineStr">
        <is>
          <t>3273035594</t>
        </is>
      </c>
      <c r="C236" s="10" t="inlineStr">
        <is>
          <t>205 gti 1.9</t>
        </is>
      </c>
      <c r="D236" s="18" t="n">
        <v>46296</v>
      </c>
      <c r="E236" s="12" t="n">
        <v>22000</v>
      </c>
      <c r="F236" s="14">
        <f>IF(AND($B236=$B235,ISNUMBER(E235),E235&gt;0),E236/E235-1,"")</f>
        <v/>
      </c>
      <c r="G236" s="19" t="inlineStr">
        <is>
          <t>Voir</t>
        </is>
      </c>
    </row>
    <row r="237">
      <c r="A237" s="10" t="inlineStr">
        <is>
          <t>Peugeot 205 GTI</t>
        </is>
      </c>
      <c r="B237" s="10" t="inlineStr">
        <is>
          <t>3273223439</t>
        </is>
      </c>
      <c r="C237" s="10" t="inlineStr">
        <is>
          <t>Peugeot 205 GTI</t>
        </is>
      </c>
      <c r="D237" s="18" t="n">
        <v>46296</v>
      </c>
      <c r="E237" s="12" t="n">
        <v>13500</v>
      </c>
      <c r="F237" s="14">
        <f>IF(AND($B237=$B236,ISNUMBER(E236),E236&gt;0),E237/E236-1,"")</f>
        <v/>
      </c>
      <c r="G237" s="19" t="inlineStr">
        <is>
          <t>Voir</t>
        </is>
      </c>
    </row>
    <row r="238">
      <c r="A238" s="10" t="inlineStr">
        <is>
          <t>Peugeot 205 GTI</t>
        </is>
      </c>
      <c r="B238" s="10" t="inlineStr">
        <is>
          <t>3273415437</t>
        </is>
      </c>
      <c r="C238" s="10" t="inlineStr">
        <is>
          <t>205 gti 1l6</t>
        </is>
      </c>
      <c r="D238" s="18" t="n">
        <v>46296</v>
      </c>
      <c r="E238" s="12" t="n">
        <v>14500</v>
      </c>
      <c r="F238" s="14">
        <f>IF(AND($B238=$B237,ISNUMBER(E237),E237&gt;0),E238/E237-1,"")</f>
        <v/>
      </c>
      <c r="G238" s="19" t="inlineStr">
        <is>
          <t>Voir</t>
        </is>
      </c>
    </row>
    <row r="239">
      <c r="A239" s="10" t="inlineStr">
        <is>
          <t>Peugeot 205 GTI</t>
        </is>
      </c>
      <c r="B239" s="10" t="inlineStr">
        <is>
          <t>3273551701</t>
        </is>
      </c>
      <c r="C239" s="10" t="inlineStr">
        <is>
          <t>205 gti 115 1,6</t>
        </is>
      </c>
      <c r="D239" s="18" t="n">
        <v>46296</v>
      </c>
      <c r="E239" s="12" t="n">
        <v>14900</v>
      </c>
      <c r="F239" s="14">
        <f>IF(AND($B239=$B238,ISNUMBER(E238),E238&gt;0),E239/E238-1,"")</f>
        <v/>
      </c>
      <c r="G239" s="19" t="inlineStr">
        <is>
          <t>Voir</t>
        </is>
      </c>
    </row>
    <row r="240">
      <c r="A240" s="10" t="inlineStr">
        <is>
          <t>Peugeot 205 GTI</t>
        </is>
      </c>
      <c r="B240" s="10" t="inlineStr">
        <is>
          <t>3273983702</t>
        </is>
      </c>
      <c r="C240" s="10" t="inlineStr">
        <is>
          <t>205 gti mi16</t>
        </is>
      </c>
      <c r="D240" s="18" t="n">
        <v>46296</v>
      </c>
      <c r="E240" s="12" t="n">
        <v>18000</v>
      </c>
      <c r="F240" s="14">
        <f>IF(AND($B240=$B239,ISNUMBER(E239),E239&gt;0),E240/E239-1,"")</f>
        <v/>
      </c>
      <c r="G240" s="19" t="inlineStr">
        <is>
          <t>Voir</t>
        </is>
      </c>
    </row>
    <row r="241">
      <c r="A241" s="10" t="inlineStr">
        <is>
          <t>Peugeot 205 GTI</t>
        </is>
      </c>
      <c r="B241" s="10" t="inlineStr">
        <is>
          <t>3274091200</t>
        </is>
      </c>
      <c r="C241" s="10" t="inlineStr">
        <is>
          <t>205 GTI 1,9 130cv</t>
        </is>
      </c>
      <c r="D241" s="18" t="n">
        <v>46296</v>
      </c>
      <c r="E241" s="12" t="n">
        <v>25000</v>
      </c>
      <c r="F241" s="14">
        <f>IF(AND($B241=$B240,ISNUMBER(E240),E240&gt;0),E241/E240-1,"")</f>
        <v/>
      </c>
      <c r="G241" s="19" t="inlineStr">
        <is>
          <t>Voir</t>
        </is>
      </c>
    </row>
    <row r="242">
      <c r="A242" s="10" t="inlineStr">
        <is>
          <t>Peugeot 205 GTI</t>
        </is>
      </c>
      <c r="B242" s="10" t="inlineStr">
        <is>
          <t>3274510816</t>
        </is>
      </c>
      <c r="C242" s="10" t="inlineStr">
        <is>
          <t>205 gti 1.6 105</t>
        </is>
      </c>
      <c r="D242" s="18" t="n">
        <v>46296</v>
      </c>
      <c r="E242" s="12" t="n">
        <v>5500</v>
      </c>
      <c r="F242" s="14">
        <f>IF(AND($B242=$B241,ISNUMBER(E241),E241&gt;0),E242/E241-1,"")</f>
        <v/>
      </c>
      <c r="G242" s="19" t="inlineStr">
        <is>
          <t>Voir</t>
        </is>
      </c>
    </row>
    <row r="243">
      <c r="A243" s="10" t="inlineStr">
        <is>
          <t>Peugeot 205 GTI</t>
        </is>
      </c>
      <c r="B243" s="10" t="inlineStr">
        <is>
          <t>3274519093</t>
        </is>
      </c>
      <c r="C243" s="10" t="inlineStr">
        <is>
          <t>205 gti 1,6l</t>
        </is>
      </c>
      <c r="D243" s="18" t="n">
        <v>46296</v>
      </c>
      <c r="E243" s="12" t="n">
        <v>20000</v>
      </c>
      <c r="F243" s="14">
        <f>IF(AND($B243=$B242,ISNUMBER(E242),E242&gt;0),E243/E242-1,"")</f>
        <v/>
      </c>
      <c r="G243" s="19" t="inlineStr">
        <is>
          <t>Voir</t>
        </is>
      </c>
    </row>
    <row r="244">
      <c r="A244" s="10" t="inlineStr">
        <is>
          <t>Peugeot 205 GTI</t>
        </is>
      </c>
      <c r="B244" s="10" t="inlineStr">
        <is>
          <t>3274885691</t>
        </is>
      </c>
      <c r="C244" s="10" t="inlineStr">
        <is>
          <t>205 gti</t>
        </is>
      </c>
      <c r="D244" s="18" t="n">
        <v>46296</v>
      </c>
      <c r="E244" s="12" t="n">
        <v>6000</v>
      </c>
      <c r="F244" s="14">
        <f>IF(AND($B244=$B243,ISNUMBER(E243),E243&gt;0),E244/E243-1,"")</f>
        <v/>
      </c>
      <c r="G244" s="19" t="inlineStr">
        <is>
          <t>Voir</t>
        </is>
      </c>
    </row>
    <row r="245">
      <c r="A245" s="10" t="inlineStr">
        <is>
          <t>Peugeot 205 GTI</t>
        </is>
      </c>
      <c r="B245" s="10" t="inlineStr">
        <is>
          <t>3276172426</t>
        </is>
      </c>
      <c r="C245" s="10" t="inlineStr">
        <is>
          <t>205 gti 1.9</t>
        </is>
      </c>
      <c r="D245" s="18" t="n">
        <v>46296</v>
      </c>
      <c r="E245" s="12" t="n">
        <v>20900</v>
      </c>
      <c r="F245" s="14">
        <f>IF(AND($B245=$B244,ISNUMBER(E244),E244&gt;0),E245/E244-1,"")</f>
        <v/>
      </c>
      <c r="G245" s="19" t="inlineStr">
        <is>
          <t>Voir</t>
        </is>
      </c>
    </row>
    <row r="246">
      <c r="A246" s="10" t="inlineStr">
        <is>
          <t>Peugeot 205 GTI</t>
        </is>
      </c>
      <c r="B246" s="10" t="inlineStr">
        <is>
          <t>3276591709</t>
        </is>
      </c>
      <c r="C246" s="10" t="inlineStr">
        <is>
          <t>205 gti</t>
        </is>
      </c>
      <c r="D246" s="18" t="n">
        <v>46296</v>
      </c>
      <c r="E246" s="12" t="n">
        <v>14500</v>
      </c>
      <c r="F246" s="14">
        <f>IF(AND($B246=$B245,ISNUMBER(E245),E245&gt;0),E246/E245-1,"")</f>
        <v/>
      </c>
      <c r="G246" s="19" t="inlineStr">
        <is>
          <t>Voir</t>
        </is>
      </c>
    </row>
    <row r="247">
      <c r="A247" s="10" t="inlineStr">
        <is>
          <t>Peugeot 205 GTI</t>
        </is>
      </c>
      <c r="B247" s="10" t="inlineStr">
        <is>
          <t>3278135099</t>
        </is>
      </c>
      <c r="C247" s="10" t="inlineStr">
        <is>
          <t>Peugeot 205 gti</t>
        </is>
      </c>
      <c r="D247" s="18" t="n">
        <v>46296</v>
      </c>
      <c r="E247" s="12" t="n">
        <v>12000</v>
      </c>
      <c r="F247" s="14">
        <f>IF(AND($B247=$B246,ISNUMBER(E246),E246&gt;0),E247/E246-1,"")</f>
        <v/>
      </c>
      <c r="G247" s="19" t="inlineStr">
        <is>
          <t>Voir</t>
        </is>
      </c>
    </row>
    <row r="248">
      <c r="A248" s="10" t="inlineStr">
        <is>
          <t>Peugeot 205 GTI</t>
        </is>
      </c>
      <c r="B248" s="10" t="inlineStr">
        <is>
          <t>3278388119</t>
        </is>
      </c>
      <c r="C248" s="10" t="inlineStr">
        <is>
          <t>PEUGEOT 205 1.6i - 115 GTi 1989</t>
        </is>
      </c>
      <c r="D248" s="18" t="n">
        <v>46310</v>
      </c>
      <c r="E248" s="12" t="n">
        <v>15899</v>
      </c>
      <c r="F248" s="14">
        <f>IF(AND($B248=$B247,ISNUMBER(E247),E247&gt;0),E248/E247-1,"")</f>
        <v/>
      </c>
      <c r="G248" s="19" t="inlineStr">
        <is>
          <t>Voir</t>
        </is>
      </c>
    </row>
    <row r="249">
      <c r="A249" s="10" t="inlineStr">
        <is>
          <t>Peugeot 205 GTI</t>
        </is>
      </c>
      <c r="B249" s="10" t="inlineStr">
        <is>
          <t>3278574221</t>
        </is>
      </c>
      <c r="C249" s="10" t="inlineStr">
        <is>
          <t>205 GTI 1.6 l</t>
        </is>
      </c>
      <c r="D249" s="18" t="n">
        <v>46296</v>
      </c>
      <c r="E249" s="12" t="n">
        <v>18000</v>
      </c>
      <c r="F249" s="14">
        <f>IF(AND($B249=$B248,ISNUMBER(E248),E248&gt;0),E249/E248-1,"")</f>
        <v/>
      </c>
      <c r="G249" s="19" t="inlineStr">
        <is>
          <t>Voir</t>
        </is>
      </c>
    </row>
    <row r="250">
      <c r="A250" s="10" t="inlineStr">
        <is>
          <t>Peugeot 205 GTI</t>
        </is>
      </c>
      <c r="B250" s="10" t="inlineStr">
        <is>
          <t>3278855920</t>
        </is>
      </c>
      <c r="C250" s="10" t="inlineStr">
        <is>
          <t>Peugeot 205 gti</t>
        </is>
      </c>
      <c r="D250" s="18" t="n">
        <v>46296</v>
      </c>
      <c r="E250" s="12" t="n">
        <v>18000</v>
      </c>
      <c r="F250" s="14">
        <f>IF(AND($B250=$B249,ISNUMBER(E249),E249&gt;0),E250/E249-1,"")</f>
        <v/>
      </c>
      <c r="G250" s="19" t="inlineStr">
        <is>
          <t>Voir</t>
        </is>
      </c>
    </row>
    <row r="251">
      <c r="A251" s="10" t="inlineStr">
        <is>
          <t>Peugeot 205 GTI</t>
        </is>
      </c>
      <c r="B251" s="10" t="inlineStr">
        <is>
          <t>3279074639</t>
        </is>
      </c>
      <c r="C251" s="10" t="inlineStr">
        <is>
          <t>Vend Peugeot 205 Gti</t>
        </is>
      </c>
      <c r="D251" s="18" t="n">
        <v>46296</v>
      </c>
      <c r="E251" s="12" t="n">
        <v>20000</v>
      </c>
      <c r="F251" s="14">
        <f>IF(AND($B251=$B250,ISNUMBER(E250),E250&gt;0),E251/E250-1,"")</f>
        <v/>
      </c>
      <c r="G251" s="19" t="inlineStr">
        <is>
          <t>Voir</t>
        </is>
      </c>
    </row>
    <row r="252">
      <c r="A252" s="10" t="inlineStr">
        <is>
          <t>Peugeot 205 GTI</t>
        </is>
      </c>
      <c r="B252" s="10" t="inlineStr">
        <is>
          <t>3279249484</t>
        </is>
      </c>
      <c r="C252" s="10" t="inlineStr">
        <is>
          <t>Peugeot 205 GTI</t>
        </is>
      </c>
      <c r="D252" s="18" t="n">
        <v>46296</v>
      </c>
      <c r="E252" s="12" t="n">
        <v>26500</v>
      </c>
      <c r="F252" s="14">
        <f>IF(AND($B252=$B251,ISNUMBER(E251),E251&gt;0),E252/E251-1,"")</f>
        <v/>
      </c>
      <c r="G252" s="19" t="inlineStr">
        <is>
          <t>Voir</t>
        </is>
      </c>
    </row>
    <row r="253">
      <c r="A253" s="10" t="inlineStr">
        <is>
          <t>Peugeot 205 GTI</t>
        </is>
      </c>
      <c r="B253" s="10" t="inlineStr">
        <is>
          <t>3279375431</t>
        </is>
      </c>
      <c r="C253" s="10" t="inlineStr">
        <is>
          <t>205 gti dimma</t>
        </is>
      </c>
      <c r="D253" s="18" t="n">
        <v>46296</v>
      </c>
      <c r="E253" s="12" t="n">
        <v>15000</v>
      </c>
      <c r="F253" s="14">
        <f>IF(AND($B253=$B252,ISNUMBER(E252),E252&gt;0),E253/E252-1,"")</f>
        <v/>
      </c>
      <c r="G253" s="19" t="inlineStr">
        <is>
          <t>Voir</t>
        </is>
      </c>
    </row>
    <row r="254">
      <c r="A254" s="10" t="inlineStr">
        <is>
          <t>Peugeot 205 GTI</t>
        </is>
      </c>
      <c r="B254" s="10" t="inlineStr">
        <is>
          <t>3279615676</t>
        </is>
      </c>
      <c r="C254" s="10" t="inlineStr">
        <is>
          <t>205 gti 1.9l</t>
        </is>
      </c>
      <c r="D254" s="18" t="n">
        <v>46296</v>
      </c>
      <c r="E254" s="12" t="n">
        <v>20000</v>
      </c>
      <c r="F254" s="14">
        <f>IF(AND($B254=$B253,ISNUMBER(E253),E253&gt;0),E254/E253-1,"")</f>
        <v/>
      </c>
      <c r="G254" s="19" t="inlineStr">
        <is>
          <t>Voir</t>
        </is>
      </c>
    </row>
    <row r="255">
      <c r="A255" s="10" t="inlineStr">
        <is>
          <t>Peugeot 205 GTI</t>
        </is>
      </c>
      <c r="B255" s="10" t="inlineStr">
        <is>
          <t>3279816006</t>
        </is>
      </c>
      <c r="C255" s="10" t="inlineStr">
        <is>
          <t>205 gti 1,9l 130ch</t>
        </is>
      </c>
      <c r="D255" s="18" t="n">
        <v>46296</v>
      </c>
      <c r="E255" s="12" t="n">
        <v>22500</v>
      </c>
      <c r="F255" s="14">
        <f>IF(AND($B255=$B254,ISNUMBER(E254),E254&gt;0),E255/E254-1,"")</f>
        <v/>
      </c>
      <c r="G255" s="19" t="inlineStr">
        <is>
          <t>Voir</t>
        </is>
      </c>
    </row>
    <row r="256">
      <c r="A256" s="10" t="inlineStr">
        <is>
          <t>Peugeot 205 GTI</t>
        </is>
      </c>
      <c r="B256" s="10" t="inlineStr">
        <is>
          <t>3280078944</t>
        </is>
      </c>
      <c r="C256" s="10" t="inlineStr">
        <is>
          <t>205 gti</t>
        </is>
      </c>
      <c r="D256" s="18" t="n">
        <v>46296</v>
      </c>
      <c r="E256" s="12" t="n">
        <v>31000</v>
      </c>
      <c r="F256" s="14">
        <f>IF(AND($B256=$B255,ISNUMBER(E255),E255&gt;0),E256/E255-1,"")</f>
        <v/>
      </c>
      <c r="G256" s="19" t="inlineStr">
        <is>
          <t>Voir</t>
        </is>
      </c>
    </row>
    <row r="257">
      <c r="A257" s="10" t="inlineStr">
        <is>
          <t>Peugeot 205 GTI</t>
        </is>
      </c>
      <c r="B257" s="10" t="inlineStr">
        <is>
          <t>3280278211</t>
        </is>
      </c>
      <c r="C257" s="10" t="inlineStr">
        <is>
          <t>205 gti 1.6 115 Rouge</t>
        </is>
      </c>
      <c r="D257" s="18" t="n">
        <v>46296</v>
      </c>
      <c r="E257" s="12" t="n">
        <v>15500</v>
      </c>
      <c r="F257" s="14">
        <f>IF(AND($B257=$B256,ISNUMBER(E256),E256&gt;0),E257/E256-1,"")</f>
        <v/>
      </c>
      <c r="G257" s="19" t="inlineStr">
        <is>
          <t>Voir</t>
        </is>
      </c>
    </row>
    <row r="258">
      <c r="A258" s="10" t="inlineStr">
        <is>
          <t>Peugeot 205 GTI</t>
        </is>
      </c>
      <c r="B258" s="10" t="inlineStr">
        <is>
          <t>3280466980</t>
        </is>
      </c>
      <c r="C258" s="10" t="inlineStr">
        <is>
          <t>205 gti 1,6l</t>
        </is>
      </c>
      <c r="D258" s="18" t="n">
        <v>46310</v>
      </c>
      <c r="E258" s="12" t="n">
        <v>13500</v>
      </c>
      <c r="F258" s="14">
        <f>IF(AND($B258=$B257,ISNUMBER(E257),E257&gt;0),E258/E257-1,"")</f>
        <v/>
      </c>
      <c r="G258" s="19" t="inlineStr">
        <is>
          <t>Voir</t>
        </is>
      </c>
    </row>
    <row r="259">
      <c r="A259" s="10" t="inlineStr">
        <is>
          <t>Peugeot 205 GTI</t>
        </is>
      </c>
      <c r="B259" s="10" t="inlineStr">
        <is>
          <t>3282209449</t>
        </is>
      </c>
      <c r="C259" s="10" t="inlineStr">
        <is>
          <t>205 Gti F2000</t>
        </is>
      </c>
      <c r="D259" s="18" t="n">
        <v>46310</v>
      </c>
      <c r="E259" s="12" t="n">
        <v>20000</v>
      </c>
      <c r="F259" s="14">
        <f>IF(AND($B259=$B258,ISNUMBER(E258),E258&gt;0),E259/E258-1,"")</f>
        <v/>
      </c>
      <c r="G259" s="19" t="inlineStr">
        <is>
          <t>Voir</t>
        </is>
      </c>
    </row>
    <row r="260">
      <c r="A260" s="10" t="inlineStr">
        <is>
          <t>Peugeot 205 GTI</t>
        </is>
      </c>
      <c r="B260" s="10" t="inlineStr">
        <is>
          <t>3282558782</t>
        </is>
      </c>
      <c r="C260" s="10" t="inlineStr">
        <is>
          <t>Peugeot 205 GTI</t>
        </is>
      </c>
      <c r="D260" s="18" t="n">
        <v>46310</v>
      </c>
      <c r="E260" s="12" t="n">
        <v>18000</v>
      </c>
      <c r="F260" s="14">
        <f>IF(AND($B260=$B259,ISNUMBER(E259),E259&gt;0),E260/E259-1,"")</f>
        <v/>
      </c>
      <c r="G260" s="19" t="inlineStr">
        <is>
          <t>Voir</t>
        </is>
      </c>
    </row>
    <row r="261">
      <c r="A261" s="10" t="inlineStr">
        <is>
          <t>Peugeot 205 GTI</t>
        </is>
      </c>
      <c r="B261" s="10" t="inlineStr">
        <is>
          <t>3282702066</t>
        </is>
      </c>
      <c r="C261" s="10" t="inlineStr">
        <is>
          <t>205 gti</t>
        </is>
      </c>
      <c r="D261" s="18" t="n">
        <v>46310</v>
      </c>
      <c r="E261" s="12" t="n">
        <v>9800</v>
      </c>
      <c r="F261" s="14">
        <f>IF(AND($B261=$B260,ISNUMBER(E260),E260&gt;0),E261/E260-1,"")</f>
        <v/>
      </c>
      <c r="G261" s="19" t="inlineStr">
        <is>
          <t>Voir</t>
        </is>
      </c>
    </row>
    <row r="262">
      <c r="A262" s="10" t="inlineStr">
        <is>
          <t>Peugeot 205 GTI</t>
        </is>
      </c>
      <c r="B262" s="10" t="inlineStr">
        <is>
          <t>3282865791</t>
        </is>
      </c>
      <c r="C262" s="10" t="inlineStr">
        <is>
          <t>205 gti</t>
        </is>
      </c>
      <c r="D262" s="18" t="n">
        <v>46310</v>
      </c>
      <c r="E262" s="12" t="n">
        <v>16000</v>
      </c>
      <c r="F262" s="14">
        <f>IF(AND($B262=$B261,ISNUMBER(E261),E261&gt;0),E262/E261-1,"")</f>
        <v/>
      </c>
      <c r="G262" s="19" t="inlineStr">
        <is>
          <t>Voir</t>
        </is>
      </c>
    </row>
    <row r="263">
      <c r="A263" s="10" t="inlineStr">
        <is>
          <t>Peugeot 205 GTI</t>
        </is>
      </c>
      <c r="B263" s="10" t="inlineStr">
        <is>
          <t>3283091323</t>
        </is>
      </c>
      <c r="C263" s="10" t="inlineStr">
        <is>
          <t>205 gti</t>
        </is>
      </c>
      <c r="D263" s="18" t="n">
        <v>46310</v>
      </c>
      <c r="E263" s="12" t="n">
        <v>15000</v>
      </c>
      <c r="F263" s="14">
        <f>IF(AND($B263=$B262,ISNUMBER(E262),E262&gt;0),E263/E262-1,"")</f>
        <v/>
      </c>
      <c r="G263" s="19" t="inlineStr">
        <is>
          <t>Voir</t>
        </is>
      </c>
    </row>
    <row r="264">
      <c r="A264" s="10" t="inlineStr">
        <is>
          <t>Peugeot 205 GTI</t>
        </is>
      </c>
      <c r="B264" s="10" t="inlineStr">
        <is>
          <t>3283260672</t>
        </is>
      </c>
      <c r="C264" s="10" t="inlineStr">
        <is>
          <t>Peugeot 205 gti 115 chevaux</t>
        </is>
      </c>
      <c r="D264" s="18" t="n">
        <v>46310</v>
      </c>
      <c r="E264" s="12" t="n">
        <v>15000</v>
      </c>
      <c r="F264" s="14">
        <f>IF(AND($B264=$B263,ISNUMBER(E263),E263&gt;0),E264/E263-1,"")</f>
        <v/>
      </c>
      <c r="G264" s="19" t="inlineStr">
        <is>
          <t>Voir</t>
        </is>
      </c>
    </row>
    <row r="265">
      <c r="A265" s="10" t="inlineStr">
        <is>
          <t>Peugeot 205 GTI</t>
        </is>
      </c>
      <c r="B265" s="10" t="inlineStr">
        <is>
          <t>3283713739</t>
        </is>
      </c>
      <c r="C265" s="10" t="inlineStr">
        <is>
          <t>Peugeot 205 gti</t>
        </is>
      </c>
      <c r="D265" s="18" t="n">
        <v>46310</v>
      </c>
      <c r="E265" s="12" t="n">
        <v>12000</v>
      </c>
      <c r="F265" s="14">
        <f>IF(AND($B265=$B264,ISNUMBER(E264),E264&gt;0),E265/E264-1,"")</f>
        <v/>
      </c>
      <c r="G265" s="19" t="inlineStr">
        <is>
          <t>Voir</t>
        </is>
      </c>
    </row>
    <row r="266">
      <c r="A266" s="10" t="inlineStr">
        <is>
          <t>Peugeot 205 GTI</t>
        </is>
      </c>
      <c r="B266" s="10" t="inlineStr">
        <is>
          <t>3283802186</t>
        </is>
      </c>
      <c r="C266" s="10" t="inlineStr">
        <is>
          <t>205 gti griffe</t>
        </is>
      </c>
      <c r="D266" s="18" t="n">
        <v>46310</v>
      </c>
      <c r="E266" s="12" t="n">
        <v>31000</v>
      </c>
      <c r="F266" s="14">
        <f>IF(AND($B266=$B265,ISNUMBER(E265),E265&gt;0),E266/E265-1,"")</f>
        <v/>
      </c>
      <c r="G266" s="19" t="inlineStr">
        <is>
          <t>Voir</t>
        </is>
      </c>
    </row>
    <row r="267">
      <c r="A267" s="10" t="inlineStr">
        <is>
          <t>Peugeot 205 GTI</t>
        </is>
      </c>
      <c r="B267" s="10" t="inlineStr">
        <is>
          <t>3284161549</t>
        </is>
      </c>
      <c r="C267" s="10" t="inlineStr">
        <is>
          <t>205 gti 105</t>
        </is>
      </c>
      <c r="D267" s="18" t="n">
        <v>46310</v>
      </c>
      <c r="E267" s="12" t="n">
        <v>14000</v>
      </c>
      <c r="F267" s="14">
        <f>IF(AND($B267=$B266,ISNUMBER(E266),E266&gt;0),E267/E266-1,"")</f>
        <v/>
      </c>
      <c r="G267" s="19" t="inlineStr">
        <is>
          <t>Voir</t>
        </is>
      </c>
    </row>
    <row r="268">
      <c r="A268" s="10" t="inlineStr">
        <is>
          <t>Peugeot 205 GTI</t>
        </is>
      </c>
      <c r="B268" s="10" t="inlineStr">
        <is>
          <t>3284386164</t>
        </is>
      </c>
      <c r="C268" s="10" t="inlineStr">
        <is>
          <t>205 GTI 1litre9</t>
        </is>
      </c>
      <c r="D268" s="18" t="n">
        <v>46310</v>
      </c>
      <c r="E268" s="12" t="n">
        <v>22500</v>
      </c>
      <c r="F268" s="14">
        <f>IF(AND($B268=$B267,ISNUMBER(E267),E267&gt;0),E268/E267-1,"")</f>
        <v/>
      </c>
      <c r="G268" s="19" t="inlineStr">
        <is>
          <t>Voir</t>
        </is>
      </c>
    </row>
    <row r="269">
      <c r="A269" s="10" t="inlineStr">
        <is>
          <t>Peugeot 205 GTI</t>
        </is>
      </c>
      <c r="B269" s="10" t="inlineStr">
        <is>
          <t>3285635603</t>
        </is>
      </c>
      <c r="C269" s="10" t="inlineStr">
        <is>
          <t>Peugeot 205 GTI</t>
        </is>
      </c>
      <c r="D269" s="18" t="n">
        <v>46310</v>
      </c>
      <c r="E269" s="12" t="n">
        <v>11900</v>
      </c>
      <c r="F269" s="14">
        <f>IF(AND($B269=$B268,ISNUMBER(E268),E268&gt;0),E269/E268-1,"")</f>
        <v/>
      </c>
      <c r="G269" s="19" t="inlineStr">
        <is>
          <t>Voir</t>
        </is>
      </c>
    </row>
    <row r="270">
      <c r="A270" s="10" t="inlineStr">
        <is>
          <t>Peugeot 205 GTI</t>
        </is>
      </c>
      <c r="B270" s="10" t="inlineStr">
        <is>
          <t>3285656861</t>
        </is>
      </c>
      <c r="C270" s="10" t="inlineStr">
        <is>
          <t>Peugeot 205 GTI 1.9L</t>
        </is>
      </c>
      <c r="D270" s="18" t="n">
        <v>46310</v>
      </c>
      <c r="E270" s="12" t="n">
        <v>29290</v>
      </c>
      <c r="F270" s="14">
        <f>IF(AND($B270=$B269,ISNUMBER(E269),E269&gt;0),E270/E269-1,"")</f>
        <v/>
      </c>
      <c r="G270" s="19" t="inlineStr">
        <is>
          <t>Voir</t>
        </is>
      </c>
    </row>
    <row r="271">
      <c r="A271" s="10" t="inlineStr">
        <is>
          <t>Peugeot 205 GTI</t>
        </is>
      </c>
      <c r="B271" s="10" t="inlineStr">
        <is>
          <t>3285719634</t>
        </is>
      </c>
      <c r="C271" s="10" t="inlineStr">
        <is>
          <t>Peugeot 205 gti 1600</t>
        </is>
      </c>
      <c r="D271" s="18" t="n">
        <v>46310</v>
      </c>
      <c r="E271" s="12" t="n">
        <v>12000</v>
      </c>
      <c r="F271" s="14">
        <f>IF(AND($B271=$B270,ISNUMBER(E270),E270&gt;0),E271/E270-1,"")</f>
        <v/>
      </c>
      <c r="G271" s="19" t="inlineStr">
        <is>
          <t>Voir</t>
        </is>
      </c>
    </row>
    <row r="272">
      <c r="A272" s="10" t="inlineStr">
        <is>
          <t>Peugeot 205 GTI</t>
        </is>
      </c>
      <c r="B272" s="10" t="inlineStr">
        <is>
          <t>3286393297</t>
        </is>
      </c>
      <c r="C272" s="10" t="inlineStr">
        <is>
          <t>205 gti</t>
        </is>
      </c>
      <c r="D272" s="18" t="n">
        <v>46310</v>
      </c>
      <c r="E272" s="12" t="n">
        <v>15000</v>
      </c>
      <c r="F272" s="14">
        <f>IF(AND($B272=$B271,ISNUMBER(E271),E271&gt;0),E272/E271-1,"")</f>
        <v/>
      </c>
      <c r="G272" s="19" t="inlineStr">
        <is>
          <t>Voir</t>
        </is>
      </c>
    </row>
    <row r="273">
      <c r="A273" s="10" t="inlineStr">
        <is>
          <t>Peugeot 205 GTI</t>
        </is>
      </c>
      <c r="B273" s="10" t="inlineStr">
        <is>
          <t>3287626619</t>
        </is>
      </c>
      <c r="C273" s="10" t="inlineStr">
        <is>
          <t>205 gti 1,6 105</t>
        </is>
      </c>
      <c r="D273" s="18" t="n">
        <v>46310</v>
      </c>
      <c r="E273" s="12" t="n">
        <v>9990</v>
      </c>
      <c r="F273" s="14">
        <f>IF(AND($B273=$B272,ISNUMBER(E272),E272&gt;0),E273/E272-1,"")</f>
        <v/>
      </c>
      <c r="G273" s="19" t="inlineStr">
        <is>
          <t>Voir</t>
        </is>
      </c>
    </row>
    <row r="274">
      <c r="A274" s="10" t="inlineStr">
        <is>
          <t>Peugeot 205 GTI</t>
        </is>
      </c>
      <c r="B274" s="10" t="inlineStr">
        <is>
          <t>3287692798</t>
        </is>
      </c>
      <c r="C274" s="10" t="inlineStr">
        <is>
          <t>205 gti vhc</t>
        </is>
      </c>
      <c r="D274" s="18" t="n">
        <v>46310</v>
      </c>
      <c r="E274" s="12" t="n">
        <v>18000</v>
      </c>
      <c r="F274" s="14">
        <f>IF(AND($B274=$B273,ISNUMBER(E273),E273&gt;0),E274/E273-1,"")</f>
        <v/>
      </c>
      <c r="G274" s="19" t="inlineStr">
        <is>
          <t>Voir</t>
        </is>
      </c>
    </row>
    <row r="275">
      <c r="A275" s="10" t="inlineStr">
        <is>
          <t>Peugeot 205 GTI</t>
        </is>
      </c>
      <c r="B275" s="10" t="inlineStr">
        <is>
          <t>3287873200</t>
        </is>
      </c>
      <c r="C275" s="10" t="inlineStr">
        <is>
          <t>205 GTI 1.6 105cv</t>
        </is>
      </c>
      <c r="D275" s="18" t="n">
        <v>46310</v>
      </c>
      <c r="E275" s="12" t="n">
        <v>18500</v>
      </c>
      <c r="F275" s="14">
        <f>IF(AND($B275=$B274,ISNUMBER(E274),E274&gt;0),E275/E274-1,"")</f>
        <v/>
      </c>
      <c r="G275" s="19" t="inlineStr">
        <is>
          <t>Voir</t>
        </is>
      </c>
    </row>
    <row r="276">
      <c r="A276" s="10" t="inlineStr">
        <is>
          <t>Peugeot 205 GTI</t>
        </is>
      </c>
      <c r="B276" s="10" t="inlineStr">
        <is>
          <t>3288481450</t>
        </is>
      </c>
      <c r="C276" s="10" t="inlineStr">
        <is>
          <t>Peugeot 205 gti</t>
        </is>
      </c>
      <c r="D276" s="18" t="n">
        <v>46310</v>
      </c>
      <c r="E276" s="12" t="n">
        <v>14200</v>
      </c>
      <c r="F276" s="14">
        <f>IF(AND($B276=$B275,ISNUMBER(E275),E275&gt;0),E276/E275-1,"")</f>
        <v/>
      </c>
      <c r="G276" s="19" t="inlineStr">
        <is>
          <t>Voir</t>
        </is>
      </c>
    </row>
    <row r="277">
      <c r="A277" s="10" t="inlineStr">
        <is>
          <t>Peugeot 205 GTI</t>
        </is>
      </c>
      <c r="B277" s="10" t="inlineStr">
        <is>
          <t>3288607303</t>
        </is>
      </c>
      <c r="C277" s="10" t="inlineStr">
        <is>
          <t>205 gti</t>
        </is>
      </c>
      <c r="D277" s="18" t="n">
        <v>46310</v>
      </c>
      <c r="E277" s="12" t="n">
        <v>14000</v>
      </c>
      <c r="F277" s="14">
        <f>IF(AND($B277=$B276,ISNUMBER(E276),E276&gt;0),E277/E276-1,"")</f>
        <v/>
      </c>
      <c r="G277" s="19" t="inlineStr">
        <is>
          <t>Voir</t>
        </is>
      </c>
    </row>
    <row r="278">
      <c r="A278" s="10" t="inlineStr">
        <is>
          <t>Peugeot 205 GTI</t>
        </is>
      </c>
      <c r="B278" s="10" t="inlineStr">
        <is>
          <t>3288612753</t>
        </is>
      </c>
      <c r="C278" s="10" t="inlineStr">
        <is>
          <t>205 gti</t>
        </is>
      </c>
      <c r="D278" s="18" t="n">
        <v>46310</v>
      </c>
      <c r="E278" s="12" t="n">
        <v>10000</v>
      </c>
      <c r="F278" s="14">
        <f>IF(AND($B278=$B277,ISNUMBER(E277),E277&gt;0),E278/E277-1,"")</f>
        <v/>
      </c>
      <c r="G278" s="19" t="inlineStr">
        <is>
          <t>Voir</t>
        </is>
      </c>
    </row>
    <row r="279">
      <c r="A279" s="10" t="inlineStr">
        <is>
          <t>Peugeot 206 RC</t>
        </is>
      </c>
      <c r="B279" s="10" t="inlineStr">
        <is>
          <t>2988747124</t>
        </is>
      </c>
      <c r="C279" s="10" t="inlineStr">
        <is>
          <t>206 rc</t>
        </is>
      </c>
      <c r="D279" s="18" t="n">
        <v>46296</v>
      </c>
      <c r="E279" s="12" t="n">
        <v>17900</v>
      </c>
      <c r="F279" s="14">
        <f>IF(AND($B279=$B278,ISNUMBER(E278),E278&gt;0),E279/E278-1,"")</f>
        <v/>
      </c>
      <c r="G279" s="19" t="inlineStr">
        <is>
          <t>Voir</t>
        </is>
      </c>
    </row>
    <row r="280">
      <c r="A280" s="10" t="inlineStr">
        <is>
          <t>Peugeot 206 RC</t>
        </is>
      </c>
      <c r="B280" s="10" t="inlineStr">
        <is>
          <t>3066683905</t>
        </is>
      </c>
      <c r="C280" s="10" t="inlineStr">
        <is>
          <t>206 RC piste / montées histo 200cv</t>
        </is>
      </c>
      <c r="D280" s="18" t="n">
        <v>46310</v>
      </c>
      <c r="E280" s="12" t="n">
        <v>13000</v>
      </c>
      <c r="F280" s="14">
        <f>IF(AND($B280=$B279,ISNUMBER(E279),E279&gt;0),E280/E279-1,"")</f>
        <v/>
      </c>
      <c r="G280" s="19" t="inlineStr">
        <is>
          <t>Voir</t>
        </is>
      </c>
    </row>
    <row r="281">
      <c r="A281" s="10" t="inlineStr">
        <is>
          <t>Peugeot 206 RC</t>
        </is>
      </c>
      <c r="B281" s="10" t="inlineStr">
        <is>
          <t>3123040394</t>
        </is>
      </c>
      <c r="C281" s="10" t="inlineStr">
        <is>
          <t>206 rc</t>
        </is>
      </c>
      <c r="D281" s="18" t="n">
        <v>46296</v>
      </c>
      <c r="E281" s="12" t="n">
        <v>11000</v>
      </c>
      <c r="F281" s="14">
        <f>IF(AND($B281=$B280,ISNUMBER(E280),E280&gt;0),E281/E280-1,"")</f>
        <v/>
      </c>
      <c r="G281" s="19" t="inlineStr">
        <is>
          <t>Voir</t>
        </is>
      </c>
    </row>
    <row r="282">
      <c r="A282" s="10" t="inlineStr">
        <is>
          <t>Peugeot 206 RC</t>
        </is>
      </c>
      <c r="B282" s="10" t="inlineStr">
        <is>
          <t>3151025653</t>
        </is>
      </c>
      <c r="C282" s="10" t="inlineStr">
        <is>
          <t>206 rc f2014</t>
        </is>
      </c>
      <c r="D282" s="18" t="n">
        <v>46296</v>
      </c>
      <c r="E282" s="12" t="n">
        <v>18500</v>
      </c>
      <c r="F282" s="14">
        <f>IF(AND($B282=$B281,ISNUMBER(E281),E281&gt;0),E282/E281-1,"")</f>
        <v/>
      </c>
      <c r="G282" s="19" t="inlineStr">
        <is>
          <t>Voir</t>
        </is>
      </c>
    </row>
    <row r="283">
      <c r="A283" s="10" t="inlineStr">
        <is>
          <t>Peugeot 206 RC</t>
        </is>
      </c>
      <c r="B283" s="10" t="inlineStr">
        <is>
          <t>3193819824</t>
        </is>
      </c>
      <c r="C283" s="10" t="inlineStr">
        <is>
          <t>Peugeot 206 RC</t>
        </is>
      </c>
      <c r="D283" s="18" t="n">
        <v>46296</v>
      </c>
      <c r="E283" s="12" t="n">
        <v>10500</v>
      </c>
      <c r="F283" s="14">
        <f>IF(AND($B283=$B282,ISNUMBER(E282),E282&gt;0),E283/E282-1,"")</f>
        <v/>
      </c>
      <c r="G283" s="19" t="inlineStr">
        <is>
          <t>Voir</t>
        </is>
      </c>
    </row>
    <row r="284">
      <c r="A284" s="10" t="inlineStr">
        <is>
          <t>Peugeot 206 RC</t>
        </is>
      </c>
      <c r="B284" s="10" t="inlineStr">
        <is>
          <t>3202654340</t>
        </is>
      </c>
      <c r="C284" s="10" t="inlineStr">
        <is>
          <t>Peugeot 206 RC</t>
        </is>
      </c>
      <c r="D284" s="18" t="n">
        <v>46296</v>
      </c>
      <c r="E284" s="12" t="n">
        <v>9500</v>
      </c>
      <c r="F284" s="14">
        <f>IF(AND($B284=$B283,ISNUMBER(E283),E283&gt;0),E284/E283-1,"")</f>
        <v/>
      </c>
      <c r="G284" s="19" t="inlineStr">
        <is>
          <t>Voir</t>
        </is>
      </c>
    </row>
    <row r="285">
      <c r="A285" s="10" t="inlineStr">
        <is>
          <t>Peugeot 206 RC</t>
        </is>
      </c>
      <c r="B285" s="10" t="inlineStr">
        <is>
          <t>3216255961</t>
        </is>
      </c>
      <c r="C285" s="10" t="inlineStr">
        <is>
          <t>Peugeot 206 rc</t>
        </is>
      </c>
      <c r="D285" s="18" t="n">
        <v>46310</v>
      </c>
      <c r="E285" s="12" t="n">
        <v>7990</v>
      </c>
      <c r="F285" s="14">
        <f>IF(AND($B285=$B284,ISNUMBER(E284),E284&gt;0),E285/E284-1,"")</f>
        <v/>
      </c>
      <c r="G285" s="19" t="inlineStr">
        <is>
          <t>Voir</t>
        </is>
      </c>
    </row>
    <row r="286">
      <c r="A286" s="10" t="inlineStr">
        <is>
          <t>Peugeot 206 RC</t>
        </is>
      </c>
      <c r="B286" s="10" t="inlineStr">
        <is>
          <t>3227695185</t>
        </is>
      </c>
      <c r="C286" s="10" t="inlineStr">
        <is>
          <t>Peugeot 206 rc</t>
        </is>
      </c>
      <c r="D286" s="18" t="n">
        <v>46296</v>
      </c>
      <c r="E286" s="12" t="n">
        <v>8800</v>
      </c>
      <c r="F286" s="14">
        <f>IF(AND($B286=$B285,ISNUMBER(E285),E285&gt;0),E286/E285-1,"")</f>
        <v/>
      </c>
      <c r="G286" s="19" t="inlineStr">
        <is>
          <t>Voir</t>
        </is>
      </c>
    </row>
    <row r="287">
      <c r="A287" s="10" t="inlineStr">
        <is>
          <t>Peugeot 206 RC</t>
        </is>
      </c>
      <c r="B287" s="10" t="inlineStr">
        <is>
          <t>3234323904</t>
        </is>
      </c>
      <c r="C287" s="10" t="inlineStr">
        <is>
          <t>PEUGEOT 206 2.0e 180 RC / LIGNE A CLAPET / COURROIE OK</t>
        </is>
      </c>
      <c r="D287" s="18" t="n">
        <v>46296</v>
      </c>
      <c r="E287" s="12" t="n">
        <v>9990</v>
      </c>
      <c r="F287" s="14">
        <f>IF(AND($B287=$B286,ISNUMBER(E286),E286&gt;0),E287/E286-1,"")</f>
        <v/>
      </c>
      <c r="G287" s="19" t="inlineStr">
        <is>
          <t>Voir</t>
        </is>
      </c>
    </row>
    <row r="288">
      <c r="A288" s="10" t="inlineStr">
        <is>
          <t>Peugeot 206 RC</t>
        </is>
      </c>
      <c r="B288" s="10" t="inlineStr">
        <is>
          <t>3239322701</t>
        </is>
      </c>
      <c r="C288" s="10" t="inlineStr">
        <is>
          <t>Peugeot 206 rc</t>
        </is>
      </c>
      <c r="D288" s="18" t="n">
        <v>46310</v>
      </c>
      <c r="E288" s="12" t="n">
        <v>7500</v>
      </c>
      <c r="F288" s="14">
        <f>IF(AND($B288=$B287,ISNUMBER(E287),E287&gt;0),E288/E287-1,"")</f>
        <v/>
      </c>
      <c r="G288" s="19" t="inlineStr">
        <is>
          <t>Voir</t>
        </is>
      </c>
    </row>
    <row r="289">
      <c r="A289" s="10" t="inlineStr">
        <is>
          <t>Peugeot 206 RC</t>
        </is>
      </c>
      <c r="B289" s="10" t="inlineStr">
        <is>
          <t>3240289033</t>
        </is>
      </c>
      <c r="C289" s="10" t="inlineStr">
        <is>
          <t>Peugeot 206 RC 2.0i 177ch Rouge Aden</t>
        </is>
      </c>
      <c r="D289" s="18" t="n">
        <v>46310</v>
      </c>
      <c r="E289" s="12" t="n">
        <v>16900</v>
      </c>
      <c r="F289" s="14">
        <f>IF(AND($B289=$B288,ISNUMBER(E288),E288&gt;0),E289/E288-1,"")</f>
        <v/>
      </c>
      <c r="G289" s="19" t="inlineStr">
        <is>
          <t>Voir</t>
        </is>
      </c>
    </row>
    <row r="290">
      <c r="A290" s="10" t="inlineStr">
        <is>
          <t>Peugeot 206 RC</t>
        </is>
      </c>
      <c r="B290" s="10" t="inlineStr">
        <is>
          <t>3248463615</t>
        </is>
      </c>
      <c r="C290" s="10" t="inlineStr">
        <is>
          <t>Peugeot 206 2.0 177ch RC - SUIVI COMPLET - DISTRIBUTION OK - BLUETOOTH</t>
        </is>
      </c>
      <c r="D290" s="18" t="n">
        <v>46296</v>
      </c>
      <c r="E290" s="12" t="n">
        <v>13990</v>
      </c>
      <c r="F290" s="14">
        <f>IF(AND($B290=$B289,ISNUMBER(E289),E289&gt;0),E290/E289-1,"")</f>
        <v/>
      </c>
      <c r="G290" s="19" t="inlineStr">
        <is>
          <t>Voir</t>
        </is>
      </c>
    </row>
    <row r="291">
      <c r="A291" s="10" t="inlineStr">
        <is>
          <t>Peugeot 206 RC</t>
        </is>
      </c>
      <c r="B291" s="10" t="inlineStr">
        <is>
          <t>3250734192</t>
        </is>
      </c>
      <c r="C291" s="10" t="inlineStr">
        <is>
          <t>Peugeot 206 RC</t>
        </is>
      </c>
      <c r="D291" s="18" t="n">
        <v>46310</v>
      </c>
      <c r="E291" s="12" t="n">
        <v>9000</v>
      </c>
      <c r="F291" s="14">
        <f>IF(AND($B291=$B290,ISNUMBER(E290),E290&gt;0),E291/E290-1,"")</f>
        <v/>
      </c>
      <c r="G291" s="19" t="inlineStr">
        <is>
          <t>Voir</t>
        </is>
      </c>
    </row>
    <row r="292">
      <c r="A292" s="10" t="inlineStr">
        <is>
          <t>Peugeot 206 RC</t>
        </is>
      </c>
      <c r="B292" s="10" t="inlineStr">
        <is>
          <t>3251217335</t>
        </is>
      </c>
      <c r="C292" s="10" t="inlineStr">
        <is>
          <t>206 rc</t>
        </is>
      </c>
      <c r="D292" s="18" t="n">
        <v>46296</v>
      </c>
      <c r="E292" s="12" t="n">
        <v>6200</v>
      </c>
      <c r="F292" s="14">
        <f>IF(AND($B292=$B291,ISNUMBER(E291),E291&gt;0),E292/E291-1,"")</f>
        <v/>
      </c>
      <c r="G292" s="19" t="inlineStr">
        <is>
          <t>Voir</t>
        </is>
      </c>
    </row>
    <row r="293">
      <c r="A293" s="10" t="inlineStr">
        <is>
          <t>Peugeot 206 RC</t>
        </is>
      </c>
      <c r="B293" s="10" t="inlineStr">
        <is>
          <t>3254206684</t>
        </is>
      </c>
      <c r="C293" s="10" t="inlineStr">
        <is>
          <t>206 rc</t>
        </is>
      </c>
      <c r="D293" s="18" t="n">
        <v>46296</v>
      </c>
      <c r="E293" s="12" t="n">
        <v>11500</v>
      </c>
      <c r="F293" s="14">
        <f>IF(AND($B293=$B292,ISNUMBER(E292),E292&gt;0),E293/E292-1,"")</f>
        <v/>
      </c>
      <c r="G293" s="19" t="inlineStr">
        <is>
          <t>Voir</t>
        </is>
      </c>
    </row>
    <row r="294">
      <c r="A294" s="10" t="inlineStr">
        <is>
          <t>Peugeot 206 RC</t>
        </is>
      </c>
      <c r="B294" s="10" t="inlineStr">
        <is>
          <t>3256639318</t>
        </is>
      </c>
      <c r="C294" s="10" t="inlineStr">
        <is>
          <t>206 rc</t>
        </is>
      </c>
      <c r="D294" s="18" t="n">
        <v>46296</v>
      </c>
      <c r="E294" s="12" t="n">
        <v>7000</v>
      </c>
      <c r="F294" s="14">
        <f>IF(AND($B294=$B293,ISNUMBER(E293),E293&gt;0),E294/E293-1,"")</f>
        <v/>
      </c>
      <c r="G294" s="19" t="inlineStr">
        <is>
          <t>Voir</t>
        </is>
      </c>
    </row>
    <row r="295">
      <c r="A295" s="10" t="inlineStr">
        <is>
          <t>Peugeot 206 RC</t>
        </is>
      </c>
      <c r="B295" s="10" t="inlineStr">
        <is>
          <t>3258113450</t>
        </is>
      </c>
      <c r="C295" s="10" t="inlineStr">
        <is>
          <t>Peugeot 206 RC</t>
        </is>
      </c>
      <c r="D295" s="18" t="n">
        <v>46296</v>
      </c>
      <c r="E295" s="12" t="n">
        <v>15500</v>
      </c>
      <c r="F295" s="14">
        <f>IF(AND($B295=$B294,ISNUMBER(E294),E294&gt;0),E295/E294-1,"")</f>
        <v/>
      </c>
      <c r="G295" s="19" t="inlineStr">
        <is>
          <t>Voir</t>
        </is>
      </c>
    </row>
    <row r="296">
      <c r="A296" s="10" t="inlineStr">
        <is>
          <t>Peugeot 206 RC</t>
        </is>
      </c>
      <c r="B296" s="10" t="inlineStr">
        <is>
          <t>3258422146</t>
        </is>
      </c>
      <c r="C296" s="10" t="inlineStr">
        <is>
          <t>206 rc</t>
        </is>
      </c>
      <c r="D296" s="18" t="n">
        <v>46296</v>
      </c>
      <c r="E296" s="12" t="n">
        <v>16300</v>
      </c>
      <c r="F296" s="14">
        <f>IF(AND($B296=$B295,ISNUMBER(E295),E295&gt;0),E296/E295-1,"")</f>
        <v/>
      </c>
      <c r="G296" s="19" t="inlineStr">
        <is>
          <t>Voir</t>
        </is>
      </c>
    </row>
    <row r="297">
      <c r="A297" s="10" t="inlineStr">
        <is>
          <t>Peugeot 206 RC</t>
        </is>
      </c>
      <c r="B297" s="10" t="inlineStr">
        <is>
          <t>3259064609</t>
        </is>
      </c>
      <c r="C297" s="10" t="inlineStr">
        <is>
          <t>206 rc</t>
        </is>
      </c>
      <c r="D297" s="18" t="n">
        <v>46296</v>
      </c>
      <c r="E297" s="12" t="n">
        <v>7500</v>
      </c>
      <c r="F297" s="14">
        <f>IF(AND($B297=$B296,ISNUMBER(E296),E296&gt;0),E297/E296-1,"")</f>
        <v/>
      </c>
      <c r="G297" s="19" t="inlineStr">
        <is>
          <t>Voir</t>
        </is>
      </c>
    </row>
    <row r="298">
      <c r="A298" s="10" t="inlineStr">
        <is>
          <t>Peugeot 206 RC</t>
        </is>
      </c>
      <c r="B298" s="10" t="inlineStr">
        <is>
          <t>3262442354</t>
        </is>
      </c>
      <c r="C298" s="10" t="inlineStr">
        <is>
          <t>206 rc 180</t>
        </is>
      </c>
      <c r="D298" s="18" t="n">
        <v>46296</v>
      </c>
      <c r="E298" s="12" t="n">
        <v>11000</v>
      </c>
      <c r="F298" s="14">
        <f>IF(AND($B298=$B297,ISNUMBER(E297),E297&gt;0),E298/E297-1,"")</f>
        <v/>
      </c>
      <c r="G298" s="19" t="inlineStr">
        <is>
          <t>Voir</t>
        </is>
      </c>
    </row>
    <row r="299">
      <c r="A299" s="10" t="inlineStr">
        <is>
          <t>Peugeot 206 RC</t>
        </is>
      </c>
      <c r="B299" s="10" t="inlineStr">
        <is>
          <t>3264412764</t>
        </is>
      </c>
      <c r="C299" s="10" t="inlineStr">
        <is>
          <t>206 rc</t>
        </is>
      </c>
      <c r="D299" s="18" t="n">
        <v>46296</v>
      </c>
      <c r="E299" s="12" t="n">
        <v>12000</v>
      </c>
      <c r="F299" s="14">
        <f>IF(AND($B299=$B298,ISNUMBER(E298),E298&gt;0),E299/E298-1,"")</f>
        <v/>
      </c>
      <c r="G299" s="19" t="inlineStr">
        <is>
          <t>Voir</t>
        </is>
      </c>
    </row>
    <row r="300">
      <c r="A300" s="10" t="inlineStr">
        <is>
          <t>Peugeot 206 RC</t>
        </is>
      </c>
      <c r="B300" s="10" t="inlineStr">
        <is>
          <t>3265358347</t>
        </is>
      </c>
      <c r="C300" s="10" t="inlineStr">
        <is>
          <t>206 rc</t>
        </is>
      </c>
      <c r="D300" s="18" t="n">
        <v>46296</v>
      </c>
      <c r="E300" s="12" t="n">
        <v>11000</v>
      </c>
      <c r="F300" s="14">
        <f>IF(AND($B300=$B299,ISNUMBER(E299),E299&gt;0),E300/E299-1,"")</f>
        <v/>
      </c>
      <c r="G300" s="19" t="inlineStr">
        <is>
          <t>Voir</t>
        </is>
      </c>
    </row>
    <row r="301">
      <c r="A301" s="10" t="inlineStr">
        <is>
          <t>Peugeot 206 RC</t>
        </is>
      </c>
      <c r="B301" s="10" t="inlineStr">
        <is>
          <t>3265384769</t>
        </is>
      </c>
      <c r="C301" s="10" t="inlineStr">
        <is>
          <t>206 RC Rouge Aden</t>
        </is>
      </c>
      <c r="D301" s="18" t="n">
        <v>46296</v>
      </c>
      <c r="E301" s="12" t="n">
        <v>13990</v>
      </c>
      <c r="F301" s="14">
        <f>IF(AND($B301=$B300,ISNUMBER(E300),E300&gt;0),E301/E300-1,"")</f>
        <v/>
      </c>
      <c r="G301" s="19" t="inlineStr">
        <is>
          <t>Voir</t>
        </is>
      </c>
    </row>
    <row r="302">
      <c r="A302" s="10" t="inlineStr">
        <is>
          <t>Peugeot 206 RC</t>
        </is>
      </c>
      <c r="B302" s="10" t="inlineStr">
        <is>
          <t>3267576253</t>
        </is>
      </c>
      <c r="C302" s="10" t="inlineStr">
        <is>
          <t>Peugeot 206 RC - Rouge Aden - 180cv</t>
        </is>
      </c>
      <c r="D302" s="18" t="n">
        <v>46296</v>
      </c>
      <c r="E302" s="12" t="n">
        <v>12500</v>
      </c>
      <c r="F302" s="14">
        <f>IF(AND($B302=$B301,ISNUMBER(E301),E301&gt;0),E302/E301-1,"")</f>
        <v/>
      </c>
      <c r="G302" s="19" t="inlineStr">
        <is>
          <t>Voir</t>
        </is>
      </c>
    </row>
    <row r="303">
      <c r="A303" s="10" t="inlineStr">
        <is>
          <t>Peugeot 206 RC</t>
        </is>
      </c>
      <c r="B303" s="10" t="inlineStr">
        <is>
          <t>3268704461</t>
        </is>
      </c>
      <c r="C303" s="10" t="inlineStr">
        <is>
          <t>Peugeot 206 rc</t>
        </is>
      </c>
      <c r="D303" s="18" t="n">
        <v>46296</v>
      </c>
      <c r="E303" s="12" t="n">
        <v>12700</v>
      </c>
      <c r="F303" s="14">
        <f>IF(AND($B303=$B302,ISNUMBER(E302),E302&gt;0),E303/E302-1,"")</f>
        <v/>
      </c>
      <c r="G303" s="19" t="inlineStr">
        <is>
          <t>Voir</t>
        </is>
      </c>
    </row>
    <row r="304">
      <c r="A304" s="10" t="inlineStr">
        <is>
          <t>Peugeot 206 RC</t>
        </is>
      </c>
      <c r="B304" s="10" t="inlineStr">
        <is>
          <t>3269057716</t>
        </is>
      </c>
      <c r="C304" s="10" t="inlineStr">
        <is>
          <t>Peugeot 206 RC 2.0 177ch</t>
        </is>
      </c>
      <c r="D304" s="18" t="n">
        <v>46296</v>
      </c>
      <c r="E304" s="12" t="n">
        <v>9800</v>
      </c>
      <c r="F304" s="14">
        <f>IF(AND($B304=$B303,ISNUMBER(E303),E303&gt;0),E304/E303-1,"")</f>
        <v/>
      </c>
      <c r="G304" s="19" t="inlineStr">
        <is>
          <t>Voir</t>
        </is>
      </c>
    </row>
    <row r="305">
      <c r="A305" s="10" t="inlineStr">
        <is>
          <t>Peugeot 206 RC</t>
        </is>
      </c>
      <c r="B305" s="10" t="inlineStr">
        <is>
          <t>3270523427</t>
        </is>
      </c>
      <c r="C305" s="10" t="inlineStr">
        <is>
          <t>206 rc</t>
        </is>
      </c>
      <c r="D305" s="18" t="n">
        <v>46296</v>
      </c>
      <c r="E305" s="12" t="n">
        <v>11500</v>
      </c>
      <c r="F305" s="14">
        <f>IF(AND($B305=$B304,ISNUMBER(E304),E304&gt;0),E305/E304-1,"")</f>
        <v/>
      </c>
      <c r="G305" s="19" t="inlineStr">
        <is>
          <t>Voir</t>
        </is>
      </c>
    </row>
    <row r="306">
      <c r="A306" s="10" t="inlineStr">
        <is>
          <t>Peugeot 206 RC</t>
        </is>
      </c>
      <c r="B306" s="10" t="inlineStr">
        <is>
          <t>3270650631</t>
        </is>
      </c>
      <c r="C306" s="10" t="inlineStr">
        <is>
          <t>Peugeot 206 rc 2.0 180</t>
        </is>
      </c>
      <c r="D306" s="18" t="n">
        <v>46296</v>
      </c>
      <c r="E306" s="12" t="n">
        <v>13990</v>
      </c>
      <c r="F306" s="14">
        <f>IF(AND($B306=$B305,ISNUMBER(E305),E305&gt;0),E306/E305-1,"")</f>
        <v/>
      </c>
      <c r="G306" s="19" t="inlineStr">
        <is>
          <t>Voir</t>
        </is>
      </c>
    </row>
    <row r="307">
      <c r="A307" s="10" t="inlineStr">
        <is>
          <t>Peugeot 206 RC</t>
        </is>
      </c>
      <c r="B307" s="10" t="inlineStr">
        <is>
          <t>3271026847</t>
        </is>
      </c>
      <c r="C307" s="10" t="inlineStr">
        <is>
          <t>Peugeot 206 rc</t>
        </is>
      </c>
      <c r="D307" s="18" t="n">
        <v>46296</v>
      </c>
      <c r="E307" s="12" t="n">
        <v>7800</v>
      </c>
      <c r="F307" s="14">
        <f>IF(AND($B307=$B306,ISNUMBER(E306),E306&gt;0),E307/E306-1,"")</f>
        <v/>
      </c>
      <c r="G307" s="19" t="inlineStr">
        <is>
          <t>Voir</t>
        </is>
      </c>
    </row>
    <row r="308">
      <c r="A308" s="10" t="inlineStr">
        <is>
          <t>Peugeot 206 RC</t>
        </is>
      </c>
      <c r="B308" s="10" t="inlineStr">
        <is>
          <t>3271661241</t>
        </is>
      </c>
      <c r="C308" s="10" t="inlineStr">
        <is>
          <t>206 rc</t>
        </is>
      </c>
      <c r="D308" s="18" t="n">
        <v>46296</v>
      </c>
      <c r="E308" s="12" t="n">
        <v>7000</v>
      </c>
      <c r="F308" s="14">
        <f>IF(AND($B308=$B307,ISNUMBER(E307),E307&gt;0),E308/E307-1,"")</f>
        <v/>
      </c>
      <c r="G308" s="19" t="inlineStr">
        <is>
          <t>Voir</t>
        </is>
      </c>
    </row>
    <row r="309">
      <c r="A309" s="10" t="inlineStr">
        <is>
          <t>Peugeot 206 RC</t>
        </is>
      </c>
      <c r="B309" s="10" t="inlineStr">
        <is>
          <t>3273170431</t>
        </is>
      </c>
      <c r="C309" s="10" t="inlineStr">
        <is>
          <t>206 rc</t>
        </is>
      </c>
      <c r="D309" s="18" t="n">
        <v>46296</v>
      </c>
      <c r="E309" s="12" t="n">
        <v>5900</v>
      </c>
      <c r="F309" s="14">
        <f>IF(AND($B309=$B308,ISNUMBER(E308),E308&gt;0),E309/E308-1,"")</f>
        <v/>
      </c>
      <c r="G309" s="19" t="inlineStr">
        <is>
          <t>Voir</t>
        </is>
      </c>
    </row>
    <row r="310">
      <c r="A310" s="10" t="inlineStr">
        <is>
          <t>Peugeot 206 RC</t>
        </is>
      </c>
      <c r="B310" s="10" t="inlineStr">
        <is>
          <t>3275009272</t>
        </is>
      </c>
      <c r="C310" s="10" t="inlineStr">
        <is>
          <t>Peugeot 206 Rc</t>
        </is>
      </c>
      <c r="D310" s="18" t="n">
        <v>46296</v>
      </c>
      <c r="E310" s="12" t="n">
        <v>8000</v>
      </c>
      <c r="F310" s="14">
        <f>IF(AND($B310=$B309,ISNUMBER(E309),E309&gt;0),E310/E309-1,"")</f>
        <v/>
      </c>
      <c r="G310" s="19" t="inlineStr">
        <is>
          <t>Voir</t>
        </is>
      </c>
    </row>
    <row r="311">
      <c r="A311" s="10" t="inlineStr">
        <is>
          <t>Peugeot 206 RC</t>
        </is>
      </c>
      <c r="B311" s="10" t="inlineStr">
        <is>
          <t>3275531733</t>
        </is>
      </c>
      <c r="C311" s="10" t="inlineStr">
        <is>
          <t>206 rc</t>
        </is>
      </c>
      <c r="D311" s="18" t="n">
        <v>46296</v>
      </c>
      <c r="E311" s="12" t="n">
        <v>7500</v>
      </c>
      <c r="F311" s="14">
        <f>IF(AND($B311=$B310,ISNUMBER(E310),E310&gt;0),E311/E310-1,"")</f>
        <v/>
      </c>
      <c r="G311" s="19" t="inlineStr">
        <is>
          <t>Voir</t>
        </is>
      </c>
    </row>
    <row r="312">
      <c r="A312" s="10" t="inlineStr">
        <is>
          <t>Peugeot 206 RC</t>
        </is>
      </c>
      <c r="B312" s="10" t="inlineStr">
        <is>
          <t>3276061576</t>
        </is>
      </c>
      <c r="C312" s="10" t="inlineStr">
        <is>
          <t>206 rc</t>
        </is>
      </c>
      <c r="D312" s="18" t="n">
        <v>46296</v>
      </c>
      <c r="E312" s="12" t="n">
        <v>13499</v>
      </c>
      <c r="F312" s="14">
        <f>IF(AND($B312=$B311,ISNUMBER(E311),E311&gt;0),E312/E311-1,"")</f>
        <v/>
      </c>
      <c r="G312" s="19" t="inlineStr">
        <is>
          <t>Voir</t>
        </is>
      </c>
    </row>
    <row r="313">
      <c r="A313" s="10" t="inlineStr">
        <is>
          <t>Peugeot 206 RC</t>
        </is>
      </c>
      <c r="B313" s="10" t="inlineStr">
        <is>
          <t>3276929411</t>
        </is>
      </c>
      <c r="C313" s="10" t="inlineStr">
        <is>
          <t>206 rc line 1.6 110 cv</t>
        </is>
      </c>
      <c r="D313" s="18" t="n">
        <v>46296</v>
      </c>
      <c r="E313" s="12" t="n">
        <v>6800</v>
      </c>
      <c r="F313" s="14">
        <f>IF(AND($B313=$B312,ISNUMBER(E312),E312&gt;0),E313/E312-1,"")</f>
        <v/>
      </c>
      <c r="G313" s="19" t="inlineStr">
        <is>
          <t>Voir</t>
        </is>
      </c>
    </row>
    <row r="314">
      <c r="A314" s="10" t="inlineStr">
        <is>
          <t>Peugeot 206 RC</t>
        </is>
      </c>
      <c r="B314" s="10" t="inlineStr">
        <is>
          <t>3277073683</t>
        </is>
      </c>
      <c r="C314" s="10" t="inlineStr">
        <is>
          <t>Peugeot 206 RC 2.0 177ch - Bleu Récif</t>
        </is>
      </c>
      <c r="D314" s="18" t="n">
        <v>46296</v>
      </c>
      <c r="E314" s="12" t="n">
        <v>5300</v>
      </c>
      <c r="F314" s="14">
        <f>IF(AND($B314=$B313,ISNUMBER(E313),E313&gt;0),E314/E313-1,"")</f>
        <v/>
      </c>
      <c r="G314" s="19" t="inlineStr">
        <is>
          <t>Voir</t>
        </is>
      </c>
    </row>
    <row r="315">
      <c r="A315" s="10" t="inlineStr">
        <is>
          <t>Peugeot 206 RC</t>
        </is>
      </c>
      <c r="B315" s="10" t="inlineStr">
        <is>
          <t>3277840482</t>
        </is>
      </c>
      <c r="C315" s="10" t="inlineStr">
        <is>
          <t>Peugeot 206 rc</t>
        </is>
      </c>
      <c r="D315" s="18" t="n">
        <v>46296</v>
      </c>
      <c r="E315" s="12" t="n">
        <v>11000</v>
      </c>
      <c r="F315" s="14">
        <f>IF(AND($B315=$B314,ISNUMBER(E314),E314&gt;0),E315/E314-1,"")</f>
        <v/>
      </c>
      <c r="G315" s="19" t="inlineStr">
        <is>
          <t>Voir</t>
        </is>
      </c>
    </row>
    <row r="316">
      <c r="A316" s="10" t="inlineStr">
        <is>
          <t>Peugeot 206 RC</t>
        </is>
      </c>
      <c r="B316" s="10" t="inlineStr">
        <is>
          <t>3278317897</t>
        </is>
      </c>
      <c r="C316" s="10" t="inlineStr">
        <is>
          <t>206 rc</t>
        </is>
      </c>
      <c r="D316" s="18" t="n">
        <v>46296</v>
      </c>
      <c r="E316" s="12" t="n">
        <v>6000</v>
      </c>
      <c r="F316" s="14">
        <f>IF(AND($B316=$B315,ISNUMBER(E315),E315&gt;0),E316/E315-1,"")</f>
        <v/>
      </c>
      <c r="G316" s="19" t="inlineStr">
        <is>
          <t>Voir</t>
        </is>
      </c>
    </row>
    <row r="317">
      <c r="A317" s="10" t="inlineStr">
        <is>
          <t>Peugeot 206 RC</t>
        </is>
      </c>
      <c r="B317" s="10" t="inlineStr">
        <is>
          <t>3278631826</t>
        </is>
      </c>
      <c r="C317" s="10" t="inlineStr">
        <is>
          <t>206 rc</t>
        </is>
      </c>
      <c r="D317" s="18" t="n">
        <v>46296</v>
      </c>
      <c r="E317" s="12" t="n">
        <v>8500</v>
      </c>
      <c r="F317" s="14">
        <f>IF(AND($B317=$B316,ISNUMBER(E316),E316&gt;0),E317/E316-1,"")</f>
        <v/>
      </c>
      <c r="G317" s="19" t="inlineStr">
        <is>
          <t>Voir</t>
        </is>
      </c>
    </row>
    <row r="318">
      <c r="A318" s="10" t="inlineStr">
        <is>
          <t>Peugeot 206 RC</t>
        </is>
      </c>
      <c r="B318" s="10" t="inlineStr">
        <is>
          <t>3278866640</t>
        </is>
      </c>
      <c r="C318" s="10" t="inlineStr">
        <is>
          <t>Peugeot 206 RC</t>
        </is>
      </c>
      <c r="D318" s="18" t="n">
        <v>46296</v>
      </c>
      <c r="E318" s="12" t="n">
        <v>5400</v>
      </c>
      <c r="F318" s="14">
        <f>IF(AND($B318=$B317,ISNUMBER(E317),E317&gt;0),E318/E317-1,"")</f>
        <v/>
      </c>
      <c r="G318" s="19" t="inlineStr">
        <is>
          <t>Voir</t>
        </is>
      </c>
    </row>
    <row r="319">
      <c r="A319" s="10" t="inlineStr">
        <is>
          <t>Peugeot 206 RC</t>
        </is>
      </c>
      <c r="B319" s="10" t="inlineStr">
        <is>
          <t>3278894245</t>
        </is>
      </c>
      <c r="C319" s="10" t="inlineStr">
        <is>
          <t>Peugeot 206 RC</t>
        </is>
      </c>
      <c r="D319" s="18" t="n">
        <v>46296</v>
      </c>
      <c r="E319" s="12" t="n">
        <v>14500</v>
      </c>
      <c r="F319" s="14">
        <f>IF(AND($B319=$B318,ISNUMBER(E318),E318&gt;0),E319/E318-1,"")</f>
        <v/>
      </c>
      <c r="G319" s="19" t="inlineStr">
        <is>
          <t>Voir</t>
        </is>
      </c>
    </row>
    <row r="320">
      <c r="A320" s="10" t="inlineStr">
        <is>
          <t>Peugeot 206 RC</t>
        </is>
      </c>
      <c r="B320" s="10" t="inlineStr">
        <is>
          <t>3279039279</t>
        </is>
      </c>
      <c r="C320" s="10" t="inlineStr">
        <is>
          <t>206 rc</t>
        </is>
      </c>
      <c r="D320" s="18" t="n">
        <v>46296</v>
      </c>
      <c r="E320" s="12" t="n">
        <v>9000</v>
      </c>
      <c r="F320" s="14">
        <f>IF(AND($B320=$B319,ISNUMBER(E319),E319&gt;0),E320/E319-1,"")</f>
        <v/>
      </c>
      <c r="G320" s="19" t="inlineStr">
        <is>
          <t>Voir</t>
        </is>
      </c>
    </row>
    <row r="321">
      <c r="A321" s="10" t="inlineStr">
        <is>
          <t>Peugeot 206 RC</t>
        </is>
      </c>
      <c r="B321" s="10" t="inlineStr">
        <is>
          <t>3279053465</t>
        </is>
      </c>
      <c r="C321" s="10" t="inlineStr">
        <is>
          <t>206 rc</t>
        </is>
      </c>
      <c r="D321" s="18" t="n">
        <v>46296</v>
      </c>
      <c r="E321" s="12" t="n">
        <v>5900</v>
      </c>
      <c r="F321" s="14">
        <f>IF(AND($B321=$B320,ISNUMBER(E320),E320&gt;0),E321/E320-1,"")</f>
        <v/>
      </c>
      <c r="G321" s="19" t="inlineStr">
        <is>
          <t>Voir</t>
        </is>
      </c>
    </row>
    <row r="322">
      <c r="A322" s="10" t="inlineStr">
        <is>
          <t>Peugeot 206 RC</t>
        </is>
      </c>
      <c r="B322" s="10" t="inlineStr">
        <is>
          <t>3279236263</t>
        </is>
      </c>
      <c r="C322" s="10" t="inlineStr">
        <is>
          <t>Peugeot 206 rc</t>
        </is>
      </c>
      <c r="D322" s="18" t="n">
        <v>46296</v>
      </c>
      <c r="E322" s="12" t="n">
        <v>9190</v>
      </c>
      <c r="F322" s="14">
        <f>IF(AND($B322=$B321,ISNUMBER(E321),E321&gt;0),E322/E321-1,"")</f>
        <v/>
      </c>
      <c r="G322" s="19" t="inlineStr">
        <is>
          <t>Voir</t>
        </is>
      </c>
    </row>
    <row r="323">
      <c r="A323" s="10" t="inlineStr">
        <is>
          <t>Peugeot 206 RC</t>
        </is>
      </c>
      <c r="B323" s="10" t="inlineStr">
        <is>
          <t>3279820686</t>
        </is>
      </c>
      <c r="C323" s="10" t="inlineStr">
        <is>
          <t>Peugeot 206 RC</t>
        </is>
      </c>
      <c r="D323" s="18" t="n">
        <v>46296</v>
      </c>
      <c r="E323" s="12" t="n">
        <v>6500</v>
      </c>
      <c r="F323" s="14">
        <f>IF(AND($B323=$B322,ISNUMBER(E322),E322&gt;0),E323/E322-1,"")</f>
        <v/>
      </c>
      <c r="G323" s="19" t="inlineStr">
        <is>
          <t>Voir</t>
        </is>
      </c>
    </row>
    <row r="324">
      <c r="A324" s="10" t="inlineStr">
        <is>
          <t>Peugeot 206 RC</t>
        </is>
      </c>
      <c r="B324" s="10" t="inlineStr">
        <is>
          <t>3280095370</t>
        </is>
      </c>
      <c r="C324" s="10" t="inlineStr">
        <is>
          <t>Peugeot 206 rc 20.16v</t>
        </is>
      </c>
      <c r="D324" s="18" t="n">
        <v>46296</v>
      </c>
      <c r="E324" s="12" t="n">
        <v>6000</v>
      </c>
      <c r="F324" s="14">
        <f>IF(AND($B324=$B323,ISNUMBER(E323),E323&gt;0),E324/E323-1,"")</f>
        <v/>
      </c>
      <c r="G324" s="19" t="inlineStr">
        <is>
          <t>Voir</t>
        </is>
      </c>
    </row>
    <row r="325">
      <c r="A325" s="10" t="inlineStr">
        <is>
          <t>Peugeot 206 RC</t>
        </is>
      </c>
      <c r="B325" s="10" t="inlineStr">
        <is>
          <t>3280307630</t>
        </is>
      </c>
      <c r="C325" s="10" t="inlineStr">
        <is>
          <t>Peugeot 206 RC / 2ème Main JBL</t>
        </is>
      </c>
      <c r="D325" s="18" t="n">
        <v>46296</v>
      </c>
      <c r="E325" s="12" t="n">
        <v>11990</v>
      </c>
      <c r="F325" s="14">
        <f>IF(AND($B325=$B324,ISNUMBER(E324),E324&gt;0),E325/E324-1,"")</f>
        <v/>
      </c>
      <c r="G325" s="19" t="inlineStr">
        <is>
          <t>Voir</t>
        </is>
      </c>
    </row>
    <row r="326">
      <c r="A326" s="10" t="inlineStr">
        <is>
          <t>Peugeot 206 RC</t>
        </is>
      </c>
      <c r="B326" s="10" t="inlineStr">
        <is>
          <t>3280598049</t>
        </is>
      </c>
      <c r="C326" s="10" t="inlineStr">
        <is>
          <t>Peugeot 206 RC 2,0L 177ch</t>
        </is>
      </c>
      <c r="D326" s="18" t="n">
        <v>46310</v>
      </c>
      <c r="E326" s="12" t="n">
        <v>12400</v>
      </c>
      <c r="F326" s="14">
        <f>IF(AND($B326=$B325,ISNUMBER(E325),E325&gt;0),E326/E325-1,"")</f>
        <v/>
      </c>
      <c r="G326" s="19" t="inlineStr">
        <is>
          <t>Voir</t>
        </is>
      </c>
    </row>
    <row r="327">
      <c r="A327" s="10" t="inlineStr">
        <is>
          <t>Peugeot 206 RC</t>
        </is>
      </c>
      <c r="B327" s="10" t="inlineStr">
        <is>
          <t>3281457599</t>
        </is>
      </c>
      <c r="C327" s="10" t="inlineStr">
        <is>
          <t>Peugeot 206 RC rouge aden</t>
        </is>
      </c>
      <c r="D327" s="18" t="n">
        <v>46310</v>
      </c>
      <c r="E327" s="12" t="n">
        <v>8999</v>
      </c>
      <c r="F327" s="14">
        <f>IF(AND($B327=$B326,ISNUMBER(E326),E326&gt;0),E327/E326-1,"")</f>
        <v/>
      </c>
      <c r="G327" s="19" t="inlineStr">
        <is>
          <t>Voir</t>
        </is>
      </c>
    </row>
    <row r="328">
      <c r="A328" s="10" t="inlineStr">
        <is>
          <t>Peugeot 206 RC</t>
        </is>
      </c>
      <c r="B328" s="10" t="inlineStr">
        <is>
          <t>3281553146</t>
        </is>
      </c>
      <c r="C328" s="10" t="inlineStr">
        <is>
          <t>Peugeot 206 RC</t>
        </is>
      </c>
      <c r="D328" s="18" t="n">
        <v>46310</v>
      </c>
      <c r="E328" s="12" t="n">
        <v>12000</v>
      </c>
      <c r="F328" s="14">
        <f>IF(AND($B328=$B327,ISNUMBER(E327),E327&gt;0),E328/E327-1,"")</f>
        <v/>
      </c>
      <c r="G328" s="19" t="inlineStr">
        <is>
          <t>Voir</t>
        </is>
      </c>
    </row>
    <row r="329">
      <c r="A329" s="10" t="inlineStr">
        <is>
          <t>Peugeot 206 RC</t>
        </is>
      </c>
      <c r="B329" s="10" t="inlineStr">
        <is>
          <t>3281915049</t>
        </is>
      </c>
      <c r="C329" s="10" t="inlineStr">
        <is>
          <t>Peugeot 206 Rc 180 état proche du neuf</t>
        </is>
      </c>
      <c r="D329" s="18" t="n">
        <v>46310</v>
      </c>
      <c r="E329" s="12" t="n">
        <v>15900</v>
      </c>
      <c r="F329" s="14">
        <f>IF(AND($B329=$B328,ISNUMBER(E328),E328&gt;0),E329/E328-1,"")</f>
        <v/>
      </c>
      <c r="G329" s="19" t="inlineStr">
        <is>
          <t>Voir</t>
        </is>
      </c>
    </row>
    <row r="330">
      <c r="A330" s="10" t="inlineStr">
        <is>
          <t>Peugeot 206 RC</t>
        </is>
      </c>
      <c r="B330" s="10" t="inlineStr">
        <is>
          <t>3282389871</t>
        </is>
      </c>
      <c r="C330" s="10" t="inlineStr">
        <is>
          <t>Peugeot 206 RC - Gros entretien récent ✅</t>
        </is>
      </c>
      <c r="D330" s="18" t="n">
        <v>46310</v>
      </c>
      <c r="E330" s="12" t="n">
        <v>9000</v>
      </c>
      <c r="F330" s="14">
        <f>IF(AND($B330=$B329,ISNUMBER(E329),E329&gt;0),E330/E329-1,"")</f>
        <v/>
      </c>
      <c r="G330" s="19" t="inlineStr">
        <is>
          <t>Voir</t>
        </is>
      </c>
    </row>
    <row r="331">
      <c r="A331" s="10" t="inlineStr">
        <is>
          <t>Peugeot 206 RC</t>
        </is>
      </c>
      <c r="B331" s="10" t="inlineStr">
        <is>
          <t>3283547749</t>
        </is>
      </c>
      <c r="C331" s="10" t="inlineStr">
        <is>
          <t>Peugeot 206 RC</t>
        </is>
      </c>
      <c r="D331" s="18" t="n">
        <v>46310</v>
      </c>
      <c r="E331" s="12" t="n">
        <v>8950</v>
      </c>
      <c r="F331" s="14">
        <f>IF(AND($B331=$B330,ISNUMBER(E330),E330&gt;0),E331/E330-1,"")</f>
        <v/>
      </c>
      <c r="G331" s="19" t="inlineStr">
        <is>
          <t>Voir</t>
        </is>
      </c>
    </row>
    <row r="332">
      <c r="A332" s="10" t="inlineStr">
        <is>
          <t>Peugeot 206 RC</t>
        </is>
      </c>
      <c r="B332" s="10" t="inlineStr">
        <is>
          <t>3283563302</t>
        </is>
      </c>
      <c r="C332" s="10" t="inlineStr">
        <is>
          <t>Peugeot 206 rc 2.0 16v 177cv</t>
        </is>
      </c>
      <c r="D332" s="18" t="n">
        <v>46310</v>
      </c>
      <c r="E332" s="12" t="n">
        <v>5999</v>
      </c>
      <c r="F332" s="14">
        <f>IF(AND($B332=$B331,ISNUMBER(E331),E331&gt;0),E332/E331-1,"")</f>
        <v/>
      </c>
      <c r="G332" s="19" t="inlineStr">
        <is>
          <t>Voir</t>
        </is>
      </c>
    </row>
    <row r="333">
      <c r="A333" s="10" t="inlineStr">
        <is>
          <t>Peugeot 206 RC</t>
        </is>
      </c>
      <c r="B333" s="10" t="inlineStr">
        <is>
          <t>3283596159</t>
        </is>
      </c>
      <c r="C333" s="10" t="inlineStr">
        <is>
          <t>206 rc</t>
        </is>
      </c>
      <c r="D333" s="18" t="n">
        <v>46310</v>
      </c>
      <c r="E333" s="12" t="n">
        <v>6500</v>
      </c>
      <c r="F333" s="14">
        <f>IF(AND($B333=$B332,ISNUMBER(E332),E332&gt;0),E333/E332-1,"")</f>
        <v/>
      </c>
      <c r="G333" s="19" t="inlineStr">
        <is>
          <t>Voir</t>
        </is>
      </c>
    </row>
    <row r="334">
      <c r="A334" s="10" t="inlineStr">
        <is>
          <t>Peugeot 206 RC</t>
        </is>
      </c>
      <c r="B334" s="10" t="inlineStr">
        <is>
          <t>3283596303</t>
        </is>
      </c>
      <c r="C334" s="10" t="inlineStr">
        <is>
          <t>Vends 206 RC</t>
        </is>
      </c>
      <c r="D334" s="18" t="n">
        <v>46310</v>
      </c>
      <c r="E334" s="12" t="n">
        <v>6000</v>
      </c>
      <c r="F334" s="14">
        <f>IF(AND($B334=$B333,ISNUMBER(E333),E333&gt;0),E334/E333-1,"")</f>
        <v/>
      </c>
      <c r="G334" s="19" t="inlineStr">
        <is>
          <t>Voir</t>
        </is>
      </c>
    </row>
    <row r="335">
      <c r="A335" s="10" t="inlineStr">
        <is>
          <t>Peugeot 206 RC</t>
        </is>
      </c>
      <c r="B335" s="10" t="inlineStr">
        <is>
          <t>3284050430</t>
        </is>
      </c>
      <c r="C335" s="10" t="inlineStr">
        <is>
          <t>206 rc</t>
        </is>
      </c>
      <c r="D335" s="18" t="n">
        <v>46310</v>
      </c>
      <c r="E335" s="12" t="n">
        <v>6900</v>
      </c>
      <c r="F335" s="14">
        <f>IF(AND($B335=$B334,ISNUMBER(E334),E334&gt;0),E335/E334-1,"")</f>
        <v/>
      </c>
      <c r="G335" s="19" t="inlineStr">
        <is>
          <t>Voir</t>
        </is>
      </c>
    </row>
    <row r="336">
      <c r="A336" s="10" t="inlineStr">
        <is>
          <t>Peugeot 206 RC</t>
        </is>
      </c>
      <c r="B336" s="10" t="inlineStr">
        <is>
          <t>3284347419</t>
        </is>
      </c>
      <c r="C336" s="10" t="inlineStr">
        <is>
          <t>Peugeot 206 RC 177ch</t>
        </is>
      </c>
      <c r="D336" s="18" t="n">
        <v>46310</v>
      </c>
      <c r="E336" s="12" t="n">
        <v>16900</v>
      </c>
      <c r="F336" s="14">
        <f>IF(AND($B336=$B335,ISNUMBER(E335),E335&gt;0),E336/E335-1,"")</f>
        <v/>
      </c>
      <c r="G336" s="19" t="inlineStr">
        <is>
          <t>Voir</t>
        </is>
      </c>
    </row>
    <row r="337">
      <c r="A337" s="10" t="inlineStr">
        <is>
          <t>Peugeot 206 RC</t>
        </is>
      </c>
      <c r="B337" s="10" t="inlineStr">
        <is>
          <t>3285484109</t>
        </is>
      </c>
      <c r="C337" s="10" t="inlineStr">
        <is>
          <t>206 rc</t>
        </is>
      </c>
      <c r="D337" s="18" t="n">
        <v>46310</v>
      </c>
      <c r="E337" s="12" t="n">
        <v>9000</v>
      </c>
      <c r="F337" s="14">
        <f>IF(AND($B337=$B336,ISNUMBER(E336),E336&gt;0),E337/E336-1,"")</f>
        <v/>
      </c>
      <c r="G337" s="19" t="inlineStr">
        <is>
          <t>Voir</t>
        </is>
      </c>
    </row>
    <row r="338">
      <c r="A338" s="10" t="inlineStr">
        <is>
          <t>Peugeot 206 RC</t>
        </is>
      </c>
      <c r="B338" s="10" t="inlineStr">
        <is>
          <t>3286388415</t>
        </is>
      </c>
      <c r="C338" s="10" t="inlineStr">
        <is>
          <t>Peugeot 206 rc</t>
        </is>
      </c>
      <c r="D338" s="18" t="n">
        <v>46310</v>
      </c>
      <c r="E338" s="12" t="n">
        <v>10500</v>
      </c>
      <c r="F338" s="14">
        <f>IF(AND($B338=$B337,ISNUMBER(E337),E337&gt;0),E338/E337-1,"")</f>
        <v/>
      </c>
      <c r="G338" s="19" t="inlineStr">
        <is>
          <t>Voir</t>
        </is>
      </c>
    </row>
    <row r="339">
      <c r="A339" s="10" t="inlineStr">
        <is>
          <t>Peugeot 206 RC</t>
        </is>
      </c>
      <c r="B339" s="10" t="inlineStr">
        <is>
          <t>3286475955</t>
        </is>
      </c>
      <c r="C339" s="10" t="inlineStr">
        <is>
          <t>Peugeot 206 RC 2.0 16V 200 CH</t>
        </is>
      </c>
      <c r="D339" s="18" t="n">
        <v>46310</v>
      </c>
      <c r="E339" s="12" t="n">
        <v>15000</v>
      </c>
      <c r="F339" s="14">
        <f>IF(AND($B339=$B338,ISNUMBER(E338),E338&gt;0),E339/E338-1,"")</f>
        <v/>
      </c>
      <c r="G339" s="19" t="inlineStr">
        <is>
          <t>Voir</t>
        </is>
      </c>
    </row>
    <row r="340">
      <c r="A340" s="10" t="inlineStr">
        <is>
          <t>Peugeot 206 RC</t>
        </is>
      </c>
      <c r="B340" s="10" t="inlineStr">
        <is>
          <t>3286858631</t>
        </is>
      </c>
      <c r="C340" s="10" t="inlineStr">
        <is>
          <t>Peugeot 206 rc 2.0 180cv</t>
        </is>
      </c>
      <c r="D340" s="18" t="n">
        <v>46310</v>
      </c>
      <c r="E340" s="12" t="n">
        <v>11900</v>
      </c>
      <c r="F340" s="14">
        <f>IF(AND($B340=$B339,ISNUMBER(E339),E339&gt;0),E340/E339-1,"")</f>
        <v/>
      </c>
      <c r="G340" s="19" t="inlineStr">
        <is>
          <t>Voir</t>
        </is>
      </c>
    </row>
    <row r="341">
      <c r="A341" s="10" t="inlineStr">
        <is>
          <t>Peugeot 206 RC</t>
        </is>
      </c>
      <c r="B341" s="10" t="inlineStr">
        <is>
          <t>3287278903</t>
        </is>
      </c>
      <c r="C341" s="10" t="inlineStr">
        <is>
          <t>206 rc</t>
        </is>
      </c>
      <c r="D341" s="18" t="n">
        <v>46310</v>
      </c>
      <c r="E341" s="12" t="n">
        <v>17500</v>
      </c>
      <c r="F341" s="14">
        <f>IF(AND($B341=$B340,ISNUMBER(E340),E340&gt;0),E341/E340-1,"")</f>
        <v/>
      </c>
      <c r="G341" s="19" t="inlineStr">
        <is>
          <t>Voir</t>
        </is>
      </c>
    </row>
    <row r="342">
      <c r="A342" s="10" t="inlineStr">
        <is>
          <t>Peugeot 206 RC</t>
        </is>
      </c>
      <c r="B342" s="10" t="inlineStr">
        <is>
          <t>3287308524</t>
        </is>
      </c>
      <c r="C342" s="10" t="inlineStr">
        <is>
          <t>206 rc</t>
        </is>
      </c>
      <c r="D342" s="18" t="n">
        <v>46310</v>
      </c>
      <c r="E342" s="12" t="n">
        <v>10000</v>
      </c>
      <c r="F342" s="14">
        <f>IF(AND($B342=$B341,ISNUMBER(E341),E341&gt;0),E342/E341-1,"")</f>
        <v/>
      </c>
      <c r="G342" s="19" t="inlineStr">
        <is>
          <t>Voir</t>
        </is>
      </c>
    </row>
    <row r="343">
      <c r="A343" s="10" t="inlineStr">
        <is>
          <t>Peugeot 206 RC</t>
        </is>
      </c>
      <c r="B343" s="10" t="inlineStr">
        <is>
          <t>3288515556</t>
        </is>
      </c>
      <c r="C343" s="10" t="inlineStr">
        <is>
          <t>206 rc</t>
        </is>
      </c>
      <c r="D343" s="18" t="n">
        <v>46310</v>
      </c>
      <c r="E343" s="12" t="n">
        <v>7800</v>
      </c>
      <c r="F343" s="14">
        <f>IF(AND($B343=$B342,ISNUMBER(E342),E342&gt;0),E343/E342-1,"")</f>
        <v/>
      </c>
      <c r="G343" s="19" t="inlineStr">
        <is>
          <t>Voir</t>
        </is>
      </c>
    </row>
    <row r="344">
      <c r="A344" s="10" t="inlineStr">
        <is>
          <t>Peugeot 208 GTi 30th</t>
        </is>
      </c>
      <c r="B344" s="10" t="inlineStr">
        <is>
          <t>3164531752</t>
        </is>
      </c>
      <c r="C344" s="10" t="inlineStr">
        <is>
          <t>PEUGEOT 208 GTi 1.6 30Th Numérotée 898</t>
        </is>
      </c>
      <c r="D344" s="18" t="n">
        <v>46296</v>
      </c>
      <c r="E344" s="12" t="n">
        <v>23490</v>
      </c>
      <c r="F344" s="14">
        <f>IF(AND($B344=$B343,ISNUMBER(E343),E343&gt;0),E344/E343-1,"")</f>
        <v/>
      </c>
      <c r="G344" s="19" t="inlineStr">
        <is>
          <t>Voir</t>
        </is>
      </c>
    </row>
    <row r="345">
      <c r="A345" s="10" t="inlineStr">
        <is>
          <t>Peugeot 208 GTi 30th</t>
        </is>
      </c>
      <c r="B345" s="10" t="inlineStr">
        <is>
          <t>3210880878</t>
        </is>
      </c>
      <c r="C345" s="10" t="inlineStr">
        <is>
          <t>PEUGEOT 208 GTI 30th 1.6 THP 208CV FULL OPTION</t>
        </is>
      </c>
      <c r="D345" s="18" t="n">
        <v>46296</v>
      </c>
      <c r="E345" s="12" t="n">
        <v>12000</v>
      </c>
      <c r="F345" s="14">
        <f>IF(AND($B345=$B344,ISNUMBER(E344),E344&gt;0),E345/E344-1,"")</f>
        <v/>
      </c>
      <c r="G345" s="19" t="inlineStr">
        <is>
          <t>Voir</t>
        </is>
      </c>
    </row>
    <row r="346">
      <c r="A346" s="10" t="inlineStr">
        <is>
          <t>Peugeot 208 GTi 30th</t>
        </is>
      </c>
      <c r="B346" s="10" t="inlineStr">
        <is>
          <t>3242289072</t>
        </is>
      </c>
      <c r="C346" s="10" t="inlineStr">
        <is>
          <t>Peugeot 208 gti 30th by peugeot sport 208ch 2 ou 5 places</t>
        </is>
      </c>
      <c r="D346" s="18" t="n">
        <v>46296</v>
      </c>
      <c r="E346" s="12" t="n">
        <v>14990</v>
      </c>
      <c r="F346" s="14">
        <f>IF(AND($B346=$B345,ISNUMBER(E345),E345&gt;0),E346/E345-1,"")</f>
        <v/>
      </c>
      <c r="G346" s="19" t="inlineStr">
        <is>
          <t>Voir</t>
        </is>
      </c>
    </row>
    <row r="347">
      <c r="A347" s="10" t="inlineStr">
        <is>
          <t>Peugeot 208 GTi 30th</t>
        </is>
      </c>
      <c r="B347" s="10" t="inlineStr">
        <is>
          <t>3249108312</t>
        </is>
      </c>
      <c r="C347" s="10" t="inlineStr">
        <is>
          <t>Peugeot 208 30th n°205</t>
        </is>
      </c>
      <c r="D347" s="18" t="n">
        <v>46296</v>
      </c>
      <c r="E347" s="12" t="n">
        <v>17500</v>
      </c>
      <c r="F347" s="14">
        <f>IF(AND($B347=$B346,ISNUMBER(E346),E346&gt;0),E347/E346-1,"")</f>
        <v/>
      </c>
      <c r="G347" s="19" t="inlineStr">
        <is>
          <t>Voir</t>
        </is>
      </c>
    </row>
    <row r="348">
      <c r="A348" s="10" t="inlineStr">
        <is>
          <t>Peugeot 208 GTi 30th</t>
        </is>
      </c>
      <c r="B348" s="10" t="inlineStr">
        <is>
          <t>3268508446</t>
        </is>
      </c>
      <c r="C348" s="10" t="inlineStr">
        <is>
          <t>208 Gti 30th</t>
        </is>
      </c>
      <c r="D348" s="18" t="n">
        <v>46296</v>
      </c>
      <c r="E348" s="12" t="n">
        <v>14890</v>
      </c>
      <c r="F348" s="14">
        <f>IF(AND($B348=$B347,ISNUMBER(E347),E347&gt;0),E348/E347-1,"")</f>
        <v/>
      </c>
      <c r="G348" s="19" t="inlineStr">
        <is>
          <t>Voir</t>
        </is>
      </c>
    </row>
    <row r="349">
      <c r="A349" s="10" t="inlineStr">
        <is>
          <t>Peugeot 208 GTi 30th</t>
        </is>
      </c>
      <c r="B349" s="10" t="inlineStr">
        <is>
          <t>3270584772</t>
        </is>
      </c>
      <c r="C349" s="10" t="inlineStr">
        <is>
          <t>208 GTI 30th BPS</t>
        </is>
      </c>
      <c r="D349" s="18" t="n">
        <v>46296</v>
      </c>
      <c r="E349" s="12" t="n">
        <v>15900</v>
      </c>
      <c r="F349" s="14">
        <f>IF(AND($B349=$B348,ISNUMBER(E348),E348&gt;0),E349/E348-1,"")</f>
        <v/>
      </c>
      <c r="G349" s="19" t="inlineStr">
        <is>
          <t>Voir</t>
        </is>
      </c>
    </row>
    <row r="350">
      <c r="A350" s="10" t="inlineStr">
        <is>
          <t>Peugeot 208 GTi 30th</t>
        </is>
      </c>
      <c r="B350" s="10" t="inlineStr">
        <is>
          <t>3271215938</t>
        </is>
      </c>
      <c r="C350" s="10" t="inlineStr">
        <is>
          <t>208 git 30th anniversaire</t>
        </is>
      </c>
      <c r="D350" s="18" t="n">
        <v>46296</v>
      </c>
      <c r="E350" s="12" t="n">
        <v>10500</v>
      </c>
      <c r="F350" s="14">
        <f>IF(AND($B350=$B349,ISNUMBER(E349),E349&gt;0),E350/E349-1,"")</f>
        <v/>
      </c>
      <c r="G350" s="19" t="inlineStr">
        <is>
          <t>Voir</t>
        </is>
      </c>
    </row>
    <row r="351">
      <c r="A351" s="10" t="inlineStr">
        <is>
          <t>Peugeot 208 GTi 30th</t>
        </is>
      </c>
      <c r="B351" s="10" t="inlineStr">
        <is>
          <t>3275390710</t>
        </is>
      </c>
      <c r="C351" s="10" t="inlineStr">
        <is>
          <t>208 GTI 30th</t>
        </is>
      </c>
      <c r="D351" s="18" t="n">
        <v>46296</v>
      </c>
      <c r="E351" s="12" t="n">
        <v>14500</v>
      </c>
      <c r="F351" s="14">
        <f>IF(AND($B351=$B350,ISNUMBER(E350),E350&gt;0),E351/E350-1,"")</f>
        <v/>
      </c>
      <c r="G351" s="19" t="inlineStr">
        <is>
          <t>Voir</t>
        </is>
      </c>
    </row>
    <row r="352">
      <c r="A352" s="10" t="inlineStr">
        <is>
          <t>Peugeot 208 GTi 30th</t>
        </is>
      </c>
      <c r="B352" s="10" t="inlineStr">
        <is>
          <t>3275427165</t>
        </is>
      </c>
      <c r="C352" s="10" t="inlineStr">
        <is>
          <t>Peugeot 208 GTI 30th</t>
        </is>
      </c>
      <c r="D352" s="18" t="n">
        <v>46296</v>
      </c>
      <c r="E352" s="12" t="n">
        <v>17900</v>
      </c>
      <c r="F352" s="14">
        <f>IF(AND($B352=$B351,ISNUMBER(E351),E351&gt;0),E352/E351-1,"")</f>
        <v/>
      </c>
      <c r="G352" s="19" t="inlineStr">
        <is>
          <t>Voir</t>
        </is>
      </c>
    </row>
    <row r="353">
      <c r="A353" s="10" t="inlineStr">
        <is>
          <t>Peugeot 208 GTi 30th</t>
        </is>
      </c>
      <c r="B353" s="10" t="inlineStr">
        <is>
          <t>3278215050</t>
        </is>
      </c>
      <c r="C353" s="10" t="inlineStr">
        <is>
          <t>Peugeot 208 generation-i 1.6 thp 210 gti 30th peugeot sport - suivi complet/garantie 12 mois</t>
        </is>
      </c>
      <c r="D353" s="18" t="n">
        <v>46296</v>
      </c>
      <c r="E353" s="12" t="n">
        <v>12990</v>
      </c>
      <c r="F353" s="14">
        <f>IF(AND($B353=$B352,ISNUMBER(E352),E352&gt;0),E353/E352-1,"")</f>
        <v/>
      </c>
      <c r="G353" s="19" t="inlineStr">
        <is>
          <t>Voir</t>
        </is>
      </c>
    </row>
    <row r="354">
      <c r="A354" s="10" t="inlineStr">
        <is>
          <t>Peugeot 208 GTi 30th</t>
        </is>
      </c>
      <c r="B354" s="10" t="inlineStr">
        <is>
          <t>3278215050</t>
        </is>
      </c>
      <c r="C354" s="10" t="inlineStr">
        <is>
          <t>Peugeot 208 generation-i 1.6 thp 210 gti 30th peugeot sport - suivi complet/garantie 12 mois</t>
        </is>
      </c>
      <c r="D354" s="18" t="n">
        <v>46310</v>
      </c>
      <c r="E354" s="12" t="n">
        <v>12490</v>
      </c>
      <c r="F354" s="14">
        <f>IF(AND($B354=$B353,ISNUMBER(E353),E353&gt;0),E354/E353-1,"")</f>
        <v/>
      </c>
      <c r="G354" s="19" t="inlineStr">
        <is>
          <t>Voir</t>
        </is>
      </c>
    </row>
    <row r="355">
      <c r="A355" s="10" t="inlineStr">
        <is>
          <t>Peugeot 208 GTi 30th</t>
        </is>
      </c>
      <c r="B355" s="10" t="inlineStr">
        <is>
          <t>3283621933</t>
        </is>
      </c>
      <c r="C355" s="10" t="inlineStr">
        <is>
          <t>208 GTI 30th</t>
        </is>
      </c>
      <c r="D355" s="18" t="n">
        <v>46310</v>
      </c>
      <c r="E355" s="12" t="n">
        <v>16000</v>
      </c>
      <c r="F355" s="14">
        <f>IF(AND($B355=$B354,ISNUMBER(E354),E354&gt;0),E355/E354-1,"")</f>
        <v/>
      </c>
      <c r="G355" s="19" t="inlineStr">
        <is>
          <t>Voir</t>
        </is>
      </c>
    </row>
    <row r="356">
      <c r="A356" s="10" t="inlineStr">
        <is>
          <t>Peugeot 208 GTi 30th</t>
        </is>
      </c>
      <c r="B356" s="10" t="inlineStr">
        <is>
          <t>3284771851</t>
        </is>
      </c>
      <c r="C356" s="10" t="inlineStr">
        <is>
          <t>Peugeot 208 1.6 THP 208ch S&amp;S BVM6 GTi 30th</t>
        </is>
      </c>
      <c r="D356" s="18" t="n">
        <v>46310</v>
      </c>
      <c r="E356" s="12" t="n">
        <v>18990</v>
      </c>
      <c r="F356" s="14">
        <f>IF(AND($B356=$B355,ISNUMBER(E355),E355&gt;0),E356/E355-1,"")</f>
        <v/>
      </c>
      <c r="G356" s="19" t="inlineStr">
        <is>
          <t>Voir</t>
        </is>
      </c>
    </row>
    <row r="357">
      <c r="A357" s="10" t="inlineStr">
        <is>
          <t>Peugeot 208 GTi 30th</t>
        </is>
      </c>
      <c r="B357" s="10" t="inlineStr">
        <is>
          <t>3287435688</t>
        </is>
      </c>
      <c r="C357" s="10" t="inlineStr">
        <is>
          <t>Peugeot 208 1.6 THP 208ch GTI 30th S&amp;S 3p</t>
        </is>
      </c>
      <c r="D357" s="18" t="n">
        <v>46310</v>
      </c>
      <c r="E357" s="12" t="n">
        <v>17870</v>
      </c>
      <c r="F357" s="14">
        <f>IF(AND($B357=$B356,ISNUMBER(E356),E356&gt;0),E357/E356-1,"")</f>
        <v/>
      </c>
      <c r="G357" s="19" t="inlineStr">
        <is>
          <t>Voir</t>
        </is>
      </c>
    </row>
    <row r="358">
      <c r="A358" s="10" t="inlineStr">
        <is>
          <t>Peugeot 306 S16</t>
        </is>
      </c>
      <c r="B358" s="10" t="inlineStr">
        <is>
          <t>3006219965</t>
        </is>
      </c>
      <c r="C358" s="10" t="inlineStr">
        <is>
          <t>306 s16 ACAV 1997 boite 6</t>
        </is>
      </c>
      <c r="D358" s="18" t="n">
        <v>46296</v>
      </c>
      <c r="E358" s="12" t="n">
        <v>12800</v>
      </c>
      <c r="F358" s="14">
        <f>IF(AND($B358=$B357,ISNUMBER(E357),E357&gt;0),E358/E357-1,"")</f>
        <v/>
      </c>
      <c r="G358" s="19" t="inlineStr">
        <is>
          <t>Voir</t>
        </is>
      </c>
    </row>
    <row r="359">
      <c r="A359" s="10" t="inlineStr">
        <is>
          <t>Peugeot 306 S16</t>
        </is>
      </c>
      <c r="B359" s="10" t="inlineStr">
        <is>
          <t>3218818524</t>
        </is>
      </c>
      <c r="C359" s="10" t="inlineStr">
        <is>
          <t>Xsara vts 167 éthanol</t>
        </is>
      </c>
      <c r="D359" s="18" t="n">
        <v>46296</v>
      </c>
      <c r="E359" s="12" t="n">
        <v>11900</v>
      </c>
      <c r="F359" s="14">
        <f>IF(AND($B359=$B358,ISNUMBER(E358),E358&gt;0),E359/E358-1,"")</f>
        <v/>
      </c>
      <c r="G359" s="19" t="inlineStr">
        <is>
          <t>Voir</t>
        </is>
      </c>
    </row>
    <row r="360">
      <c r="A360" s="10" t="inlineStr">
        <is>
          <t>Peugeot 306 S16</t>
        </is>
      </c>
      <c r="B360" s="10" t="inlineStr">
        <is>
          <t>3235223068</t>
        </is>
      </c>
      <c r="C360" s="10" t="inlineStr">
        <is>
          <t>205 piste</t>
        </is>
      </c>
      <c r="D360" s="18" t="n">
        <v>46296</v>
      </c>
      <c r="E360" s="12" t="n">
        <v>7000</v>
      </c>
      <c r="F360" s="14">
        <f>IF(AND($B360=$B359,ISNUMBER(E359),E359&gt;0),E360/E359-1,"")</f>
        <v/>
      </c>
      <c r="G360" s="19" t="inlineStr">
        <is>
          <t>Voir</t>
        </is>
      </c>
    </row>
    <row r="361">
      <c r="A361" s="10" t="inlineStr">
        <is>
          <t>Peugeot 306 S16</t>
        </is>
      </c>
      <c r="B361" s="10" t="inlineStr">
        <is>
          <t>3257692927</t>
        </is>
      </c>
      <c r="C361" s="10" t="inlineStr">
        <is>
          <t>306 s16 Le Mans</t>
        </is>
      </c>
      <c r="D361" s="18" t="n">
        <v>46296</v>
      </c>
      <c r="E361" s="12" t="n">
        <v>12000</v>
      </c>
      <c r="F361" s="14">
        <f>IF(AND($B361=$B360,ISNUMBER(E360),E360&gt;0),E361/E360-1,"")</f>
        <v/>
      </c>
      <c r="G361" s="19" t="inlineStr">
        <is>
          <t>Voir</t>
        </is>
      </c>
    </row>
    <row r="362">
      <c r="A362" s="10" t="inlineStr">
        <is>
          <t>Peugeot 306 S16</t>
        </is>
      </c>
      <c r="B362" s="10" t="inlineStr">
        <is>
          <t>3261159396</t>
        </is>
      </c>
      <c r="C362" s="10" t="inlineStr">
        <is>
          <t>206 s16 Tracktool</t>
        </is>
      </c>
      <c r="D362" s="18" t="n">
        <v>46296</v>
      </c>
      <c r="E362" s="12" t="n">
        <v>6300</v>
      </c>
      <c r="F362" s="14">
        <f>IF(AND($B362=$B361,ISNUMBER(E361),E361&gt;0),E362/E361-1,"")</f>
        <v/>
      </c>
      <c r="G362" s="19" t="inlineStr">
        <is>
          <t>Voir</t>
        </is>
      </c>
    </row>
    <row r="363">
      <c r="A363" s="10" t="inlineStr">
        <is>
          <t>Peugeot 306 S16</t>
        </is>
      </c>
      <c r="B363" s="10" t="inlineStr">
        <is>
          <t>3261609180</t>
        </is>
      </c>
      <c r="C363" s="10" t="inlineStr">
        <is>
          <t>306 s16 phase 3</t>
        </is>
      </c>
      <c r="D363" s="18" t="n">
        <v>46296</v>
      </c>
      <c r="E363" s="12" t="n">
        <v>15000</v>
      </c>
      <c r="F363" s="14">
        <f>IF(AND($B363=$B362,ISNUMBER(E362),E362&gt;0),E363/E362-1,"")</f>
        <v/>
      </c>
      <c r="G363" s="19" t="inlineStr">
        <is>
          <t>Voir</t>
        </is>
      </c>
    </row>
    <row r="364">
      <c r="A364" s="10" t="inlineStr">
        <is>
          <t>Peugeot 306 S16</t>
        </is>
      </c>
      <c r="B364" s="10" t="inlineStr">
        <is>
          <t>3261852437</t>
        </is>
      </c>
      <c r="C364" s="10" t="inlineStr">
        <is>
          <t>Peugeot 306 S16 155Ch</t>
        </is>
      </c>
      <c r="D364" s="18" t="n">
        <v>46296</v>
      </c>
      <c r="E364" s="12" t="n">
        <v>7800</v>
      </c>
      <c r="F364" s="14">
        <f>IF(AND($B364=$B363,ISNUMBER(E363),E363&gt;0),E364/E363-1,"")</f>
        <v/>
      </c>
      <c r="G364" s="19" t="inlineStr">
        <is>
          <t>Voir</t>
        </is>
      </c>
    </row>
    <row r="365">
      <c r="A365" s="10" t="inlineStr">
        <is>
          <t>Peugeot 306 S16</t>
        </is>
      </c>
      <c r="B365" s="10" t="inlineStr">
        <is>
          <t>3263390958</t>
        </is>
      </c>
      <c r="C365" s="10" t="inlineStr">
        <is>
          <t>Peugeot 306 S16 Le Mans</t>
        </is>
      </c>
      <c r="D365" s="18" t="n">
        <v>46296</v>
      </c>
      <c r="E365" s="12" t="n">
        <v>16000</v>
      </c>
      <c r="F365" s="14">
        <f>IF(AND($B365=$B364,ISNUMBER(E364),E364&gt;0),E365/E364-1,"")</f>
        <v/>
      </c>
      <c r="G365" s="19" t="inlineStr">
        <is>
          <t>Voir</t>
        </is>
      </c>
    </row>
    <row r="366">
      <c r="A366" s="10" t="inlineStr">
        <is>
          <t>Peugeot 306 S16</t>
        </is>
      </c>
      <c r="B366" s="10" t="inlineStr">
        <is>
          <t>3267049380</t>
        </is>
      </c>
      <c r="C366" s="10" t="inlineStr">
        <is>
          <t>306 1.6 90cv</t>
        </is>
      </c>
      <c r="D366" s="18" t="n">
        <v>46296</v>
      </c>
      <c r="E366" s="12" t="n">
        <v>1000</v>
      </c>
      <c r="F366" s="14">
        <f>IF(AND($B366=$B365,ISNUMBER(E365),E365&gt;0),E366/E365-1,"")</f>
        <v/>
      </c>
      <c r="G366" s="19" t="inlineStr">
        <is>
          <t>Voir</t>
        </is>
      </c>
    </row>
    <row r="367">
      <c r="A367" s="10" t="inlineStr">
        <is>
          <t>Peugeot 306 S16</t>
        </is>
      </c>
      <c r="B367" s="10" t="inlineStr">
        <is>
          <t>3267140247</t>
        </is>
      </c>
      <c r="C367" s="10" t="inlineStr">
        <is>
          <t>Peugeot 306 S16 Bleu</t>
        </is>
      </c>
      <c r="D367" s="18" t="n">
        <v>46296</v>
      </c>
      <c r="E367" s="12" t="n">
        <v>1000</v>
      </c>
      <c r="F367" s="14">
        <f>IF(AND($B367=$B366,ISNUMBER(E366),E366&gt;0),E367/E366-1,"")</f>
        <v/>
      </c>
      <c r="G367" s="19" t="inlineStr">
        <is>
          <t>Voir</t>
        </is>
      </c>
    </row>
    <row r="368">
      <c r="A368" s="10" t="inlineStr">
        <is>
          <t>Peugeot 306 S16</t>
        </is>
      </c>
      <c r="B368" s="10" t="inlineStr">
        <is>
          <t>3267746572</t>
        </is>
      </c>
      <c r="C368" s="10" t="inlineStr">
        <is>
          <t>306 xsi swap TCT</t>
        </is>
      </c>
      <c r="D368" s="18" t="n">
        <v>46296</v>
      </c>
      <c r="E368" s="12" t="n">
        <v>3500</v>
      </c>
      <c r="F368" s="14">
        <f>IF(AND($B368=$B367,ISNUMBER(E367),E367&gt;0),E368/E367-1,"")</f>
        <v/>
      </c>
      <c r="G368" s="19" t="inlineStr">
        <is>
          <t>Voir</t>
        </is>
      </c>
    </row>
    <row r="369">
      <c r="A369" s="10" t="inlineStr">
        <is>
          <t>Peugeot 306 S16</t>
        </is>
      </c>
      <c r="B369" s="10" t="inlineStr">
        <is>
          <t>3268479738</t>
        </is>
      </c>
      <c r="C369" s="10" t="inlineStr">
        <is>
          <t>106 S16 préparée</t>
        </is>
      </c>
      <c r="D369" s="18" t="n">
        <v>46296</v>
      </c>
      <c r="E369" s="12" t="n">
        <v>14000</v>
      </c>
      <c r="F369" s="14">
        <f>IF(AND($B369=$B368,ISNUMBER(E368),E368&gt;0),E369/E368-1,"")</f>
        <v/>
      </c>
      <c r="G369" s="19" t="inlineStr">
        <is>
          <t>Voir</t>
        </is>
      </c>
    </row>
    <row r="370">
      <c r="A370" s="10" t="inlineStr">
        <is>
          <t>Peugeot 306 S16</t>
        </is>
      </c>
      <c r="B370" s="10" t="inlineStr">
        <is>
          <t>3270051665</t>
        </is>
      </c>
      <c r="C370" s="10" t="inlineStr">
        <is>
          <t>306 s16 bv6</t>
        </is>
      </c>
      <c r="D370" s="18" t="n">
        <v>46296</v>
      </c>
      <c r="E370" s="12" t="n">
        <v>10000</v>
      </c>
      <c r="F370" s="14">
        <f>IF(AND($B370=$B369,ISNUMBER(E369),E369&gt;0),E370/E369-1,"")</f>
        <v/>
      </c>
      <c r="G370" s="19" t="inlineStr">
        <is>
          <t>Voir</t>
        </is>
      </c>
    </row>
    <row r="371">
      <c r="A371" s="10" t="inlineStr">
        <is>
          <t>Peugeot 306 S16</t>
        </is>
      </c>
      <c r="B371" s="10" t="inlineStr">
        <is>
          <t>3270125349</t>
        </is>
      </c>
      <c r="C371" s="10" t="inlineStr">
        <is>
          <t>306 s16 167cv</t>
        </is>
      </c>
      <c r="D371" s="18" t="n">
        <v>46296</v>
      </c>
      <c r="E371" s="12" t="n">
        <v>8000</v>
      </c>
      <c r="F371" s="14">
        <f>IF(AND($B371=$B370,ISNUMBER(E370),E370&gt;0),E371/E370-1,"")</f>
        <v/>
      </c>
      <c r="G371" s="19" t="inlineStr">
        <is>
          <t>Voir</t>
        </is>
      </c>
    </row>
    <row r="372">
      <c r="A372" s="10" t="inlineStr">
        <is>
          <t>Peugeot 306 S16</t>
        </is>
      </c>
      <c r="B372" s="10" t="inlineStr">
        <is>
          <t>3271090302</t>
        </is>
      </c>
      <c r="C372" s="10" t="inlineStr">
        <is>
          <t>Peugeot 306 s16 bv6</t>
        </is>
      </c>
      <c r="D372" s="18" t="n">
        <v>46296</v>
      </c>
      <c r="E372" s="12" t="n">
        <v>15000</v>
      </c>
      <c r="F372" s="14">
        <f>IF(AND($B372=$B371,ISNUMBER(E371),E371&gt;0),E372/E371-1,"")</f>
        <v/>
      </c>
      <c r="G372" s="19" t="inlineStr">
        <is>
          <t>Voir</t>
        </is>
      </c>
    </row>
    <row r="373">
      <c r="A373" s="10" t="inlineStr">
        <is>
          <t>Peugeot 306 S16</t>
        </is>
      </c>
      <c r="B373" s="10" t="inlineStr">
        <is>
          <t>3272177449</t>
        </is>
      </c>
      <c r="C373" s="10" t="inlineStr">
        <is>
          <t>306 s16 Bv6</t>
        </is>
      </c>
      <c r="D373" s="18" t="n">
        <v>46296</v>
      </c>
      <c r="E373" s="12" t="n">
        <v>26800</v>
      </c>
      <c r="F373" s="14">
        <f>IF(AND($B373=$B372,ISNUMBER(E372),E372&gt;0),E373/E372-1,"")</f>
        <v/>
      </c>
      <c r="G373" s="19" t="inlineStr">
        <is>
          <t>Voir</t>
        </is>
      </c>
    </row>
    <row r="374">
      <c r="A374" s="10" t="inlineStr">
        <is>
          <t>Peugeot 306 S16</t>
        </is>
      </c>
      <c r="B374" s="10" t="inlineStr">
        <is>
          <t>3272423201</t>
        </is>
      </c>
      <c r="C374" s="10" t="inlineStr">
        <is>
          <t>Peugeot 306 s16</t>
        </is>
      </c>
      <c r="D374" s="18" t="n">
        <v>46296</v>
      </c>
      <c r="E374" s="12" t="n">
        <v>9000</v>
      </c>
      <c r="F374" s="14">
        <f>IF(AND($B374=$B373,ISNUMBER(E373),E373&gt;0),E374/E373-1,"")</f>
        <v/>
      </c>
      <c r="G374" s="19" t="inlineStr">
        <is>
          <t>Voir</t>
        </is>
      </c>
    </row>
    <row r="375">
      <c r="A375" s="10" t="inlineStr">
        <is>
          <t>Peugeot 306 S16</t>
        </is>
      </c>
      <c r="B375" s="10" t="inlineStr">
        <is>
          <t>3272452236</t>
        </is>
      </c>
      <c r="C375" s="10" t="inlineStr">
        <is>
          <t>306 S16 phase 1 BV6 / 167 cv</t>
        </is>
      </c>
      <c r="D375" s="18" t="n">
        <v>46296</v>
      </c>
      <c r="E375" s="12" t="n">
        <v>6800</v>
      </c>
      <c r="F375" s="14">
        <f>IF(AND($B375=$B374,ISNUMBER(E374),E374&gt;0),E375/E374-1,"")</f>
        <v/>
      </c>
      <c r="G375" s="19" t="inlineStr">
        <is>
          <t>Voir</t>
        </is>
      </c>
    </row>
    <row r="376">
      <c r="A376" s="10" t="inlineStr">
        <is>
          <t>Peugeot 306 S16</t>
        </is>
      </c>
      <c r="B376" s="10" t="inlineStr">
        <is>
          <t>3273929462</t>
        </is>
      </c>
      <c r="C376" s="10" t="inlineStr">
        <is>
          <t>306</t>
        </is>
      </c>
      <c r="D376" s="18" t="n">
        <v>46296</v>
      </c>
      <c r="E376" s="12" t="n">
        <v>5200</v>
      </c>
      <c r="F376" s="14">
        <f>IF(AND($B376=$B375,ISNUMBER(E375),E375&gt;0),E376/E375-1,"")</f>
        <v/>
      </c>
      <c r="G376" s="19" t="inlineStr">
        <is>
          <t>Voir</t>
        </is>
      </c>
    </row>
    <row r="377">
      <c r="A377" s="10" t="inlineStr">
        <is>
          <t>Peugeot 306 S16</t>
        </is>
      </c>
      <c r="B377" s="10" t="inlineStr">
        <is>
          <t>3276024169</t>
        </is>
      </c>
      <c r="C377" s="10" t="inlineStr">
        <is>
          <t>Citroën zx 16v</t>
        </is>
      </c>
      <c r="D377" s="18" t="n">
        <v>46296</v>
      </c>
      <c r="E377" s="12" t="n">
        <v>8200</v>
      </c>
      <c r="F377" s="14">
        <f>IF(AND($B377=$B376,ISNUMBER(E376),E376&gt;0),E377/E376-1,"")</f>
        <v/>
      </c>
      <c r="G377" s="19" t="inlineStr">
        <is>
          <t>Voir</t>
        </is>
      </c>
    </row>
    <row r="378">
      <c r="A378" s="10" t="inlineStr">
        <is>
          <t>Peugeot 306 S16</t>
        </is>
      </c>
      <c r="B378" s="10" t="inlineStr">
        <is>
          <t>3276353657</t>
        </is>
      </c>
      <c r="C378" s="10" t="inlineStr">
        <is>
          <t>Peugeot 306 S16 BV6</t>
        </is>
      </c>
      <c r="D378" s="18" t="n">
        <v>46296</v>
      </c>
      <c r="E378" s="12" t="n">
        <v>8000</v>
      </c>
      <c r="F378" s="14">
        <f>IF(AND($B378=$B377,ISNUMBER(E377),E377&gt;0),E378/E377-1,"")</f>
        <v/>
      </c>
      <c r="G378" s="19" t="inlineStr">
        <is>
          <t>Voir</t>
        </is>
      </c>
    </row>
    <row r="379">
      <c r="A379" s="10" t="inlineStr">
        <is>
          <t>Peugeot 306 S16</t>
        </is>
      </c>
      <c r="B379" s="10" t="inlineStr">
        <is>
          <t>3276437381</t>
        </is>
      </c>
      <c r="C379" s="10" t="inlineStr">
        <is>
          <t>Peugeot 306 s16 / BV6 / 167</t>
        </is>
      </c>
      <c r="D379" s="18" t="n">
        <v>46296</v>
      </c>
      <c r="E379" s="12" t="n">
        <v>16500</v>
      </c>
      <c r="F379" s="14">
        <f>IF(AND($B379=$B378,ISNUMBER(E378),E378&gt;0),E379/E378-1,"")</f>
        <v/>
      </c>
      <c r="G379" s="19" t="inlineStr">
        <is>
          <t>Voir</t>
        </is>
      </c>
    </row>
    <row r="380">
      <c r="A380" s="10" t="inlineStr">
        <is>
          <t>Peugeot 306 S16</t>
        </is>
      </c>
      <c r="B380" s="10" t="inlineStr">
        <is>
          <t>3276571950</t>
        </is>
      </c>
      <c r="C380" s="10" t="inlineStr">
        <is>
          <t>Peugeot 306 s16 / gti bv6</t>
        </is>
      </c>
      <c r="D380" s="18" t="n">
        <v>46296</v>
      </c>
      <c r="E380" s="12" t="n">
        <v>8000</v>
      </c>
      <c r="F380" s="14">
        <f>IF(AND($B380=$B379,ISNUMBER(E379),E379&gt;0),E380/E379-1,"")</f>
        <v/>
      </c>
      <c r="G380" s="19" t="inlineStr">
        <is>
          <t>Voir</t>
        </is>
      </c>
    </row>
    <row r="381">
      <c r="A381" s="10" t="inlineStr">
        <is>
          <t>Peugeot 306 S16</t>
        </is>
      </c>
      <c r="B381" s="10" t="inlineStr">
        <is>
          <t>3277457567</t>
        </is>
      </c>
      <c r="C381" s="10" t="inlineStr">
        <is>
          <t>Peugeot 106 1.6L XSI</t>
        </is>
      </c>
      <c r="D381" s="18" t="n">
        <v>46296</v>
      </c>
      <c r="E381" s="12" t="n">
        <v>10000</v>
      </c>
      <c r="F381" s="14">
        <f>IF(AND($B381=$B380,ISNUMBER(E380),E380&gt;0),E381/E380-1,"")</f>
        <v/>
      </c>
      <c r="G381" s="19" t="inlineStr">
        <is>
          <t>Voir</t>
        </is>
      </c>
    </row>
    <row r="382">
      <c r="A382" s="10" t="inlineStr">
        <is>
          <t>Peugeot 306 S16</t>
        </is>
      </c>
      <c r="B382" s="10" t="inlineStr">
        <is>
          <t>3280107297</t>
        </is>
      </c>
      <c r="C382" s="10" t="inlineStr">
        <is>
          <t>306 s16</t>
        </is>
      </c>
      <c r="D382" s="18" t="n">
        <v>46296</v>
      </c>
      <c r="E382" s="12" t="n">
        <v>4000</v>
      </c>
      <c r="F382" s="14">
        <f>IF(AND($B382=$B381,ISNUMBER(E381),E381&gt;0),E382/E381-1,"")</f>
        <v/>
      </c>
      <c r="G382" s="19" t="inlineStr">
        <is>
          <t>Voir</t>
        </is>
      </c>
    </row>
    <row r="383">
      <c r="A383" s="10" t="inlineStr">
        <is>
          <t>Peugeot 306 S16</t>
        </is>
      </c>
      <c r="B383" s="10" t="inlineStr">
        <is>
          <t>3280352100</t>
        </is>
      </c>
      <c r="C383" s="10" t="inlineStr">
        <is>
          <t>Peugeot 306 S16</t>
        </is>
      </c>
      <c r="D383" s="18" t="n">
        <v>46310</v>
      </c>
      <c r="E383" s="12" t="n">
        <v>12500</v>
      </c>
      <c r="F383" s="14">
        <f>IF(AND($B383=$B382,ISNUMBER(E382),E382&gt;0),E383/E382-1,"")</f>
        <v/>
      </c>
      <c r="G383" s="19" t="inlineStr">
        <is>
          <t>Voir</t>
        </is>
      </c>
    </row>
    <row r="384">
      <c r="A384" s="10" t="inlineStr">
        <is>
          <t>Peugeot 306 S16</t>
        </is>
      </c>
      <c r="B384" s="10" t="inlineStr">
        <is>
          <t>3280590253</t>
        </is>
      </c>
      <c r="C384" s="10" t="inlineStr">
        <is>
          <t>PEUGEOT 306 S16 167cv Boite 6 XU10J4RS GTI</t>
        </is>
      </c>
      <c r="D384" s="18" t="n">
        <v>46310</v>
      </c>
      <c r="E384" s="12" t="n">
        <v>9500</v>
      </c>
      <c r="F384" s="14">
        <f>IF(AND($B384=$B383,ISNUMBER(E383),E383&gt;0),E384/E383-1,"")</f>
        <v/>
      </c>
      <c r="G384" s="19" t="inlineStr">
        <is>
          <t>Voir</t>
        </is>
      </c>
    </row>
    <row r="385">
      <c r="A385" s="10" t="inlineStr">
        <is>
          <t>Peugeot 306 S16</t>
        </is>
      </c>
      <c r="B385" s="10" t="inlineStr">
        <is>
          <t>3281619372</t>
        </is>
      </c>
      <c r="C385" s="10" t="inlineStr">
        <is>
          <t>Rarissime Peugeot 306 s16 Rs Cup</t>
        </is>
      </c>
      <c r="D385" s="18" t="n">
        <v>46310</v>
      </c>
      <c r="E385" s="12" t="n">
        <v>25000</v>
      </c>
      <c r="F385" s="14">
        <f>IF(AND($B385=$B384,ISNUMBER(E384),E384&gt;0),E385/E384-1,"")</f>
        <v/>
      </c>
      <c r="G385" s="19" t="inlineStr">
        <is>
          <t>Voir</t>
        </is>
      </c>
    </row>
    <row r="386">
      <c r="A386" s="10" t="inlineStr">
        <is>
          <t>Peugeot 306 S16</t>
        </is>
      </c>
      <c r="B386" s="10" t="inlineStr">
        <is>
          <t>3281988535</t>
        </is>
      </c>
      <c r="C386" s="10" t="inlineStr">
        <is>
          <t>Peugeot 306 XSI</t>
        </is>
      </c>
      <c r="D386" s="18" t="n">
        <v>46310</v>
      </c>
      <c r="E386" s="12" t="n">
        <v>5200</v>
      </c>
      <c r="F386" s="14">
        <f>IF(AND($B386=$B385,ISNUMBER(E385),E385&gt;0),E386/E385-1,"")</f>
        <v/>
      </c>
      <c r="G386" s="19" t="inlineStr">
        <is>
          <t>Voir</t>
        </is>
      </c>
    </row>
    <row r="387">
      <c r="A387" s="10" t="inlineStr">
        <is>
          <t>Peugeot 306 S16</t>
        </is>
      </c>
      <c r="B387" s="10" t="inlineStr">
        <is>
          <t>3282158064</t>
        </is>
      </c>
      <c r="C387" s="10" t="inlineStr">
        <is>
          <t>Peugeot 306 Gti / S16 167cv bv6</t>
        </is>
      </c>
      <c r="D387" s="18" t="n">
        <v>46310</v>
      </c>
      <c r="E387" s="12" t="n">
        <v>15990</v>
      </c>
      <c r="F387" s="14">
        <f>IF(AND($B387=$B386,ISNUMBER(E386),E386&gt;0),E387/E386-1,"")</f>
        <v/>
      </c>
      <c r="G387" s="19" t="inlineStr">
        <is>
          <t>Voir</t>
        </is>
      </c>
    </row>
    <row r="388">
      <c r="A388" s="10" t="inlineStr">
        <is>
          <t>Peugeot 306 S16</t>
        </is>
      </c>
      <c r="B388" s="10" t="inlineStr">
        <is>
          <t>3282909281</t>
        </is>
      </c>
      <c r="C388" s="10" t="inlineStr">
        <is>
          <t>306 s16 bv6</t>
        </is>
      </c>
      <c r="D388" s="18" t="n">
        <v>46310</v>
      </c>
      <c r="E388" s="12" t="n">
        <v>17800</v>
      </c>
      <c r="F388" s="14">
        <f>IF(AND($B388=$B387,ISNUMBER(E387),E387&gt;0),E388/E387-1,"")</f>
        <v/>
      </c>
      <c r="G388" s="19" t="inlineStr">
        <is>
          <t>Voir</t>
        </is>
      </c>
    </row>
    <row r="389">
      <c r="A389" s="10" t="inlineStr">
        <is>
          <t>Peugeot 306 S16</t>
        </is>
      </c>
      <c r="B389" s="10" t="inlineStr">
        <is>
          <t>3284481051</t>
        </is>
      </c>
      <c r="C389" s="10" t="inlineStr">
        <is>
          <t>Peugeot 306 s16 phase 5 portes</t>
        </is>
      </c>
      <c r="D389" s="18" t="n">
        <v>46310</v>
      </c>
      <c r="E389" s="12" t="n">
        <v>6500</v>
      </c>
      <c r="F389" s="14">
        <f>IF(AND($B389=$B388,ISNUMBER(E388),E388&gt;0),E389/E388-1,"")</f>
        <v/>
      </c>
      <c r="G389" s="19" t="inlineStr">
        <is>
          <t>Voir</t>
        </is>
      </c>
    </row>
    <row r="390">
      <c r="A390" s="10" t="inlineStr">
        <is>
          <t>Peugeot 306 S16</t>
        </is>
      </c>
      <c r="B390" s="10" t="inlineStr">
        <is>
          <t>3284558720</t>
        </is>
      </c>
      <c r="C390" s="10" t="inlineStr">
        <is>
          <t>106 s16</t>
        </is>
      </c>
      <c r="D390" s="18" t="n">
        <v>46310</v>
      </c>
      <c r="E390" s="12" t="n">
        <v>9300</v>
      </c>
      <c r="F390" s="14">
        <f>IF(AND($B390=$B389,ISNUMBER(E389),E389&gt;0),E390/E389-1,"")</f>
        <v/>
      </c>
      <c r="G390" s="19" t="inlineStr">
        <is>
          <t>Voir</t>
        </is>
      </c>
    </row>
    <row r="391">
      <c r="A391" s="10" t="inlineStr">
        <is>
          <t>Peugeot 306 S16</t>
        </is>
      </c>
      <c r="B391" s="10" t="inlineStr">
        <is>
          <t>3286615377</t>
        </is>
      </c>
      <c r="C391" s="10" t="inlineStr">
        <is>
          <t>306 2L S16 3 portes</t>
        </is>
      </c>
      <c r="D391" s="18" t="n">
        <v>46310</v>
      </c>
      <c r="E391" s="12" t="n">
        <v>10000</v>
      </c>
      <c r="F391" s="14">
        <f>IF(AND($B391=$B390,ISNUMBER(E390),E390&gt;0),E391/E390-1,"")</f>
        <v/>
      </c>
      <c r="G391" s="19" t="inlineStr">
        <is>
          <t>Voir</t>
        </is>
      </c>
    </row>
    <row r="392">
      <c r="A392" s="10" t="inlineStr">
        <is>
          <t>Peugeot 306 S16</t>
        </is>
      </c>
      <c r="B392" s="10" t="inlineStr">
        <is>
          <t>3286754099</t>
        </is>
      </c>
      <c r="C392" s="10" t="inlineStr">
        <is>
          <t>306 s16 BV6</t>
        </is>
      </c>
      <c r="D392" s="18" t="n">
        <v>46310</v>
      </c>
      <c r="E392" s="12" t="n">
        <v>16000</v>
      </c>
      <c r="F392" s="14">
        <f>IF(AND($B392=$B391,ISNUMBER(E391),E391&gt;0),E392/E391-1,"")</f>
        <v/>
      </c>
      <c r="G392" s="19" t="inlineStr">
        <is>
          <t>Voir</t>
        </is>
      </c>
    </row>
    <row r="393">
      <c r="A393" s="10" t="inlineStr">
        <is>
          <t>Peugeot 306 S16</t>
        </is>
      </c>
      <c r="B393" s="10" t="inlineStr">
        <is>
          <t>3286927949</t>
        </is>
      </c>
      <c r="C393" s="10" t="inlineStr">
        <is>
          <t>Audi s4 b5</t>
        </is>
      </c>
      <c r="D393" s="18" t="n">
        <v>46310</v>
      </c>
      <c r="E393" s="12" t="n">
        <v>8490</v>
      </c>
      <c r="F393" s="14">
        <f>IF(AND($B393=$B392,ISNUMBER(E392),E392&gt;0),E393/E392-1,"")</f>
        <v/>
      </c>
      <c r="G393" s="19" t="inlineStr">
        <is>
          <t>Voir</t>
        </is>
      </c>
    </row>
    <row r="394">
      <c r="A394" s="10" t="inlineStr">
        <is>
          <t>Peugeot 306 S16</t>
        </is>
      </c>
      <c r="B394" s="10" t="inlineStr">
        <is>
          <t>3287213165</t>
        </is>
      </c>
      <c r="C394" s="10" t="inlineStr">
        <is>
          <t>Volkswagen Golf 2.0 115 CV GTI GTI EDITION</t>
        </is>
      </c>
      <c r="D394" s="18" t="n">
        <v>46310</v>
      </c>
      <c r="E394" s="12" t="n">
        <v>8490</v>
      </c>
      <c r="F394" s="14">
        <f>IF(AND($B394=$B393,ISNUMBER(E393),E393&gt;0),E394/E393-1,"")</f>
        <v/>
      </c>
      <c r="G394" s="19" t="inlineStr">
        <is>
          <t>Voir</t>
        </is>
      </c>
    </row>
    <row r="395">
      <c r="A395" s="10" t="inlineStr">
        <is>
          <t>Peugeot 306 S16</t>
        </is>
      </c>
      <c r="B395" s="10" t="inlineStr">
        <is>
          <t>3288115418</t>
        </is>
      </c>
      <c r="C395" s="10" t="inlineStr">
        <is>
          <t>306 s16 gr.a</t>
        </is>
      </c>
      <c r="D395" s="18" t="n">
        <v>46310</v>
      </c>
      <c r="E395" s="12" t="n">
        <v>21500</v>
      </c>
      <c r="F395" s="14">
        <f>IF(AND($B395=$B394,ISNUMBER(E394),E394&gt;0),E395/E394-1,"")</f>
        <v/>
      </c>
      <c r="G395" s="19" t="inlineStr">
        <is>
          <t>Voir</t>
        </is>
      </c>
    </row>
    <row r="396">
      <c r="A396" s="10" t="inlineStr">
        <is>
          <t>Peugeot 306 S16</t>
        </is>
      </c>
      <c r="B396" s="10" t="inlineStr">
        <is>
          <t>3288305043</t>
        </is>
      </c>
      <c r="C396" s="10" t="inlineStr">
        <is>
          <t>Peugeot 306 1.8 16S XT Pack</t>
        </is>
      </c>
      <c r="D396" s="18" t="n">
        <v>46310</v>
      </c>
      <c r="E396" s="12" t="n">
        <v>3500</v>
      </c>
      <c r="F396" s="14">
        <f>IF(AND($B396=$B395,ISNUMBER(E395),E395&gt;0),E396/E395-1,"")</f>
        <v/>
      </c>
      <c r="G396" s="19" t="inlineStr">
        <is>
          <t>Voir</t>
        </is>
      </c>
    </row>
    <row r="397">
      <c r="A397" s="10" t="inlineStr">
        <is>
          <t>Peugeot 306 S16</t>
        </is>
      </c>
      <c r="B397" s="10" t="inlineStr">
        <is>
          <t>3288619401</t>
        </is>
      </c>
      <c r="C397" s="10" t="inlineStr">
        <is>
          <t>Peugeot 306 s16 / GTI bv6</t>
        </is>
      </c>
      <c r="D397" s="18" t="n">
        <v>46310</v>
      </c>
      <c r="E397" s="12" t="n">
        <v>8500</v>
      </c>
      <c r="F397" s="14">
        <f>IF(AND($B397=$B396,ISNUMBER(E396),E396&gt;0),E397/E396-1,"")</f>
        <v/>
      </c>
      <c r="G397" s="19" t="inlineStr">
        <is>
          <t>Voir</t>
        </is>
      </c>
    </row>
    <row r="398">
      <c r="A398" s="10" t="inlineStr">
        <is>
          <t>Peugeot 306 S16</t>
        </is>
      </c>
      <c r="B398" s="10" t="inlineStr">
        <is>
          <t>3288719000</t>
        </is>
      </c>
      <c r="C398" s="10" t="inlineStr">
        <is>
          <t>Peugeot 306 s16</t>
        </is>
      </c>
      <c r="D398" s="18" t="n">
        <v>46310</v>
      </c>
      <c r="E398" s="12" t="n">
        <v>9500</v>
      </c>
      <c r="F398" s="14">
        <f>IF(AND($B398=$B397,ISNUMBER(E397),E397&gt;0),E398/E397-1,"")</f>
        <v/>
      </c>
      <c r="G398" s="19" t="inlineStr">
        <is>
          <t>Voir</t>
        </is>
      </c>
    </row>
    <row r="399">
      <c r="A399" s="10" t="inlineStr">
        <is>
          <t>Porsche 911 997 Carrera S</t>
        </is>
      </c>
      <c r="B399" s="10" t="inlineStr">
        <is>
          <t>2751924257</t>
        </is>
      </c>
      <c r="C399" s="10" t="inlineStr">
        <is>
          <t>Porsche 911 3.8i 355 F6 CARRERA S (997)</t>
        </is>
      </c>
      <c r="D399" s="18" t="n">
        <v>46296</v>
      </c>
      <c r="E399" s="12" t="n">
        <v>49900</v>
      </c>
      <c r="F399" s="14">
        <f>IF(AND($B399=$B398,ISNUMBER(E398),E398&gt;0),E399/E398-1,"")</f>
        <v/>
      </c>
      <c r="G399" s="19" t="inlineStr">
        <is>
          <t>Voir</t>
        </is>
      </c>
    </row>
    <row r="400">
      <c r="A400" s="10" t="inlineStr">
        <is>
          <t>Porsche 911 997 Carrera S</t>
        </is>
      </c>
      <c r="B400" s="10" t="inlineStr">
        <is>
          <t>3004883966</t>
        </is>
      </c>
      <c r="C400" s="10" t="inlineStr">
        <is>
          <t>Porsche 911 TYPE 997 CABRIOLET (997) CABRIOLET 3.8 355 CARRERA S</t>
        </is>
      </c>
      <c r="D400" s="18" t="n">
        <v>46310</v>
      </c>
      <c r="E400" s="12" t="n">
        <v>54800</v>
      </c>
      <c r="F400" s="14">
        <f>IF(AND($B400=$B399,ISNUMBER(E399),E399&gt;0),E400/E399-1,"")</f>
        <v/>
      </c>
      <c r="G400" s="19" t="inlineStr">
        <is>
          <t>Voir</t>
        </is>
      </c>
    </row>
    <row r="401">
      <c r="A401" s="10" t="inlineStr">
        <is>
          <t>Porsche 911 997 Carrera S</t>
        </is>
      </c>
      <c r="B401" s="10" t="inlineStr">
        <is>
          <t>3024366461</t>
        </is>
      </c>
      <c r="C401" s="10" t="inlineStr">
        <is>
          <t>Porsche 911 CABRIOLET (997) CARRERA 4 TIPTRONIC S</t>
        </is>
      </c>
      <c r="D401" s="18" t="n">
        <v>46296</v>
      </c>
      <c r="E401" s="12" t="n">
        <v>48000</v>
      </c>
      <c r="F401" s="14">
        <f>IF(AND($B401=$B400,ISNUMBER(E400),E400&gt;0),E401/E400-1,"")</f>
        <v/>
      </c>
      <c r="G401" s="19" t="inlineStr">
        <is>
          <t>Voir</t>
        </is>
      </c>
    </row>
    <row r="402">
      <c r="A402" s="10" t="inlineStr">
        <is>
          <t>Porsche 911 997 Carrera S</t>
        </is>
      </c>
      <c r="B402" s="10" t="inlineStr">
        <is>
          <t>3058221809</t>
        </is>
      </c>
      <c r="C402" s="10" t="inlineStr">
        <is>
          <t>Porsche 911 (997) Carrera S 3.8i TipTronic / PASM Bose Echappement Sport Toit Ouvrant etc</t>
        </is>
      </c>
      <c r="D402" s="18" t="n">
        <v>46296</v>
      </c>
      <c r="E402" s="12" t="n">
        <v>46990</v>
      </c>
      <c r="F402" s="14">
        <f>IF(AND($B402=$B401,ISNUMBER(E401),E401&gt;0),E402/E401-1,"")</f>
        <v/>
      </c>
      <c r="G402" s="19" t="inlineStr">
        <is>
          <t>Voir</t>
        </is>
      </c>
    </row>
    <row r="403">
      <c r="A403" s="10" t="inlineStr">
        <is>
          <t>Porsche 911 997 Carrera S</t>
        </is>
      </c>
      <c r="B403" s="10" t="inlineStr">
        <is>
          <t>3100841497</t>
        </is>
      </c>
      <c r="C403" s="10" t="inlineStr">
        <is>
          <t>Porsche 911 997 Cabriolet Carrera S 3.8 355ch Boîte Manuelle</t>
        </is>
      </c>
      <c r="D403" s="18" t="n">
        <v>46296</v>
      </c>
      <c r="E403" s="12" t="n">
        <v>58900</v>
      </c>
      <c r="F403" s="14">
        <f>IF(AND($B403=$B402,ISNUMBER(E402),E402&gt;0),E403/E402-1,"")</f>
        <v/>
      </c>
      <c r="G403" s="19" t="inlineStr">
        <is>
          <t>Voir</t>
        </is>
      </c>
    </row>
    <row r="404">
      <c r="A404" s="10" t="inlineStr">
        <is>
          <t>Porsche 911 997 Carrera S</t>
        </is>
      </c>
      <c r="B404" s="10" t="inlineStr">
        <is>
          <t>3135209876</t>
        </is>
      </c>
      <c r="C404" s="10" t="inlineStr">
        <is>
          <t>Porsche 911 CARRERA COUPE 997 S Coupé 3.8i</t>
        </is>
      </c>
      <c r="D404" s="18" t="n">
        <v>46296</v>
      </c>
      <c r="E404" s="12" t="n">
        <v>55990</v>
      </c>
      <c r="F404" s="14">
        <f>IF(AND($B404=$B403,ISNUMBER(E403),E403&gt;0),E404/E403-1,"")</f>
        <v/>
      </c>
      <c r="G404" s="19" t="inlineStr">
        <is>
          <t>Voir</t>
        </is>
      </c>
    </row>
    <row r="405">
      <c r="A405" s="10" t="inlineStr">
        <is>
          <t>Porsche 911 997 Carrera S</t>
        </is>
      </c>
      <c r="B405" s="10" t="inlineStr">
        <is>
          <t>3164278460</t>
        </is>
      </c>
      <c r="C405" s="10" t="inlineStr">
        <is>
          <t>Porsche 911 CABRIOLET (997) CARRERA TIPTRONIC S</t>
        </is>
      </c>
      <c r="D405" s="18" t="n">
        <v>46310</v>
      </c>
      <c r="E405" s="12" t="n">
        <v>50900</v>
      </c>
      <c r="F405" s="14">
        <f>IF(AND($B405=$B404,ISNUMBER(E404),E404&gt;0),E405/E404-1,"")</f>
        <v/>
      </c>
      <c r="G405" s="19" t="inlineStr">
        <is>
          <t>Voir</t>
        </is>
      </c>
    </row>
    <row r="406">
      <c r="A406" s="10" t="inlineStr">
        <is>
          <t>Porsche 911 997 Carrera S</t>
        </is>
      </c>
      <c r="B406" s="10" t="inlineStr">
        <is>
          <t>3169812009</t>
        </is>
      </c>
      <c r="C406" s="10" t="inlineStr">
        <is>
          <t>Porsche 911 IV (997) Carrera S</t>
        </is>
      </c>
      <c r="D406" s="18" t="n">
        <v>46310</v>
      </c>
      <c r="E406" s="12" t="n">
        <v>52900</v>
      </c>
      <c r="F406" s="14">
        <f>IF(AND($B406=$B405,ISNUMBER(E405),E405&gt;0),E406/E405-1,"")</f>
        <v/>
      </c>
      <c r="G406" s="19" t="inlineStr">
        <is>
          <t>Voir</t>
        </is>
      </c>
    </row>
    <row r="407">
      <c r="A407" s="10" t="inlineStr">
        <is>
          <t>Porsche 911 997 Carrera S</t>
        </is>
      </c>
      <c r="B407" s="10" t="inlineStr">
        <is>
          <t>3177090532</t>
        </is>
      </c>
      <c r="C407" s="10" t="inlineStr">
        <is>
          <t>PORSCHE 911 COUPE (997) carrera s</t>
        </is>
      </c>
      <c r="D407" s="18" t="n">
        <v>46310</v>
      </c>
      <c r="E407" s="12" t="n">
        <v>49980</v>
      </c>
      <c r="F407" s="14">
        <f>IF(AND($B407=$B406,ISNUMBER(E406),E406&gt;0),E407/E406-1,"")</f>
        <v/>
      </c>
      <c r="G407" s="19" t="inlineStr">
        <is>
          <t>Voir</t>
        </is>
      </c>
    </row>
    <row r="408">
      <c r="A408" s="10" t="inlineStr">
        <is>
          <t>Porsche 911 997 Carrera S</t>
        </is>
      </c>
      <c r="B408" s="10" t="inlineStr">
        <is>
          <t>3177094157</t>
        </is>
      </c>
      <c r="C408" s="10" t="inlineStr">
        <is>
          <t>PORSCHE 911 COUPE (997) carrera s</t>
        </is>
      </c>
      <c r="D408" s="18" t="n">
        <v>46296</v>
      </c>
      <c r="E408" s="12" t="n">
        <v>49980</v>
      </c>
      <c r="F408" s="14">
        <f>IF(AND($B408=$B407,ISNUMBER(E407),E407&gt;0),E408/E407-1,"")</f>
        <v/>
      </c>
      <c r="G408" s="19" t="inlineStr">
        <is>
          <t>Voir</t>
        </is>
      </c>
    </row>
    <row r="409">
      <c r="A409" s="10" t="inlineStr">
        <is>
          <t>Porsche 911 997 Carrera S</t>
        </is>
      </c>
      <c r="B409" s="10" t="inlineStr">
        <is>
          <t>3177399795</t>
        </is>
      </c>
      <c r="C409" s="10" t="inlineStr">
        <is>
          <t>Porsche 911 CABRIOLET (997) CARRERA S</t>
        </is>
      </c>
      <c r="D409" s="18" t="n">
        <v>46310</v>
      </c>
      <c r="E409" s="12" t="n">
        <v>54990</v>
      </c>
      <c r="F409" s="14">
        <f>IF(AND($B409=$B408,ISNUMBER(E408),E408&gt;0),E409/E408-1,"")</f>
        <v/>
      </c>
      <c r="G409" s="19" t="inlineStr">
        <is>
          <t>Voir</t>
        </is>
      </c>
    </row>
    <row r="410">
      <c r="A410" s="10" t="inlineStr">
        <is>
          <t>Porsche 911 997 Carrera S</t>
        </is>
      </c>
      <c r="B410" s="10" t="inlineStr">
        <is>
          <t>3203471672</t>
        </is>
      </c>
      <c r="C410" s="10" t="inlineStr">
        <is>
          <t>Porsche 911 IV (997) Carrera S TipTronic</t>
        </is>
      </c>
      <c r="D410" s="18" t="n">
        <v>46296</v>
      </c>
      <c r="E410" s="12" t="n">
        <v>49990</v>
      </c>
      <c r="F410" s="14">
        <f>IF(AND($B410=$B409,ISNUMBER(E409),E409&gt;0),E410/E409-1,"")</f>
        <v/>
      </c>
      <c r="G410" s="19" t="inlineStr">
        <is>
          <t>Voir</t>
        </is>
      </c>
    </row>
    <row r="411">
      <c r="A411" s="10" t="inlineStr">
        <is>
          <t>Porsche 911 997 Carrera S</t>
        </is>
      </c>
      <c r="B411" s="10" t="inlineStr">
        <is>
          <t>3205610309</t>
        </is>
      </c>
      <c r="C411" s="10" t="inlineStr">
        <is>
          <t>Porsche 911 997 Carrera S Cabriolet 2005 - Garantie</t>
        </is>
      </c>
      <c r="D411" s="18" t="n">
        <v>46296</v>
      </c>
      <c r="E411" s="12" t="n">
        <v>55000</v>
      </c>
      <c r="F411" s="14">
        <f>IF(AND($B411=$B410,ISNUMBER(E410),E410&gt;0),E411/E410-1,"")</f>
        <v/>
      </c>
      <c r="G411" s="19" t="inlineStr">
        <is>
          <t>Voir</t>
        </is>
      </c>
    </row>
    <row r="412">
      <c r="A412" s="10" t="inlineStr">
        <is>
          <t>Porsche 911 997 Carrera S</t>
        </is>
      </c>
      <c r="B412" s="10" t="inlineStr">
        <is>
          <t>3207867613</t>
        </is>
      </c>
      <c r="C412" s="10" t="inlineStr">
        <is>
          <t>Porsche 911 IV (997) Carrera 4S TipTronic S</t>
        </is>
      </c>
      <c r="D412" s="18" t="n">
        <v>46296</v>
      </c>
      <c r="E412" s="12" t="n">
        <v>49990</v>
      </c>
      <c r="F412" s="14">
        <f>IF(AND($B412=$B411,ISNUMBER(E411),E411&gt;0),E412/E411-1,"")</f>
        <v/>
      </c>
      <c r="G412" s="19" t="inlineStr">
        <is>
          <t>Voir</t>
        </is>
      </c>
    </row>
    <row r="413">
      <c r="A413" s="10" t="inlineStr">
        <is>
          <t>Porsche 911 997 Carrera S</t>
        </is>
      </c>
      <c r="B413" s="10" t="inlineStr">
        <is>
          <t>3208968875</t>
        </is>
      </c>
      <c r="C413" s="10" t="inlineStr">
        <is>
          <t>Porsche 911 (997) CARRERA S TIPTRONIC</t>
        </is>
      </c>
      <c r="D413" s="18" t="n">
        <v>46296</v>
      </c>
      <c r="E413" s="12" t="n">
        <v>50990</v>
      </c>
      <c r="F413" s="14">
        <f>IF(AND($B413=$B412,ISNUMBER(E412),E412&gt;0),E413/E412-1,"")</f>
        <v/>
      </c>
      <c r="G413" s="19" t="inlineStr">
        <is>
          <t>Voir</t>
        </is>
      </c>
    </row>
    <row r="414">
      <c r="A414" s="10" t="inlineStr">
        <is>
          <t>Porsche 911 997 Carrera S</t>
        </is>
      </c>
      <c r="B414" s="10" t="inlineStr">
        <is>
          <t>3208968875</t>
        </is>
      </c>
      <c r="C414" s="10" t="inlineStr">
        <is>
          <t>Porsche 911 (997) CARRERA S TIPTRONIC</t>
        </is>
      </c>
      <c r="D414" s="18" t="n">
        <v>46310</v>
      </c>
      <c r="E414" s="12" t="n">
        <v>49980</v>
      </c>
      <c r="F414" s="14">
        <f>IF(AND($B414=$B413,ISNUMBER(E413),E413&gt;0),E414/E413-1,"")</f>
        <v/>
      </c>
      <c r="G414" s="19" t="inlineStr">
        <is>
          <t>Voir</t>
        </is>
      </c>
    </row>
    <row r="415">
      <c r="A415" s="10" t="inlineStr">
        <is>
          <t>Porsche 911 997 Carrera S</t>
        </is>
      </c>
      <c r="B415" s="10" t="inlineStr">
        <is>
          <t>3209668474</t>
        </is>
      </c>
      <c r="C415" s="10" t="inlineStr">
        <is>
          <t>PORSCHE 911 CARRERA S Coupé (997-1) 3.8 i Tiptronic 355 cv Boîte automatique</t>
        </is>
      </c>
      <c r="D415" s="18" t="n">
        <v>46310</v>
      </c>
      <c r="E415" s="12" t="n">
        <v>46490</v>
      </c>
      <c r="F415" s="14">
        <f>IF(AND($B415=$B414,ISNUMBER(E414),E414&gt;0),E415/E414-1,"")</f>
        <v/>
      </c>
      <c r="G415" s="19" t="inlineStr">
        <is>
          <t>Voir</t>
        </is>
      </c>
    </row>
    <row r="416">
      <c r="A416" s="10" t="inlineStr">
        <is>
          <t>Porsche 911 997 Carrera S</t>
        </is>
      </c>
      <c r="B416" s="10" t="inlineStr">
        <is>
          <t>3210110937</t>
        </is>
      </c>
      <c r="C416" s="10" t="inlineStr">
        <is>
          <t>Porsche 911 CARRERA 997 Coupe S 3.6i 345 PDK / Entretien complet</t>
        </is>
      </c>
      <c r="D416" s="18" t="n">
        <v>46310</v>
      </c>
      <c r="E416" s="12" t="n">
        <v>58490</v>
      </c>
      <c r="F416" s="14">
        <f>IF(AND($B416=$B415,ISNUMBER(E415),E415&gt;0),E416/E415-1,"")</f>
        <v/>
      </c>
      <c r="G416" s="19" t="inlineStr">
        <is>
          <t>Voir</t>
        </is>
      </c>
    </row>
    <row r="417">
      <c r="A417" s="10" t="inlineStr">
        <is>
          <t>Porsche 911 997 Carrera S</t>
        </is>
      </c>
      <c r="B417" s="10" t="inlineStr">
        <is>
          <t>3223596749</t>
        </is>
      </c>
      <c r="C417" s="10" t="inlineStr">
        <is>
          <t>Porsche 911 997.1 Carrera S coupe BVM 3.8 355ch</t>
        </is>
      </c>
      <c r="D417" s="18" t="n">
        <v>46310</v>
      </c>
      <c r="E417" s="12" t="n">
        <v>53990</v>
      </c>
      <c r="F417" s="14">
        <f>IF(AND($B417=$B416,ISNUMBER(E416),E416&gt;0),E417/E416-1,"")</f>
        <v/>
      </c>
      <c r="G417" s="19" t="inlineStr">
        <is>
          <t>Voir</t>
        </is>
      </c>
    </row>
    <row r="418">
      <c r="A418" s="10" t="inlineStr">
        <is>
          <t>Porsche 911 997 Carrera S</t>
        </is>
      </c>
      <c r="B418" s="10" t="inlineStr">
        <is>
          <t>3225420947</t>
        </is>
      </c>
      <c r="C418" s="10" t="inlineStr">
        <is>
          <t>Porsche 911 (997) cabriolet 3.8 355 carrera s tiptronic / suivi d'entretien limpide / garanti 12m p&amp;mo</t>
        </is>
      </c>
      <c r="D418" s="18" t="n">
        <v>46296</v>
      </c>
      <c r="E418" s="12" t="n">
        <v>52980</v>
      </c>
      <c r="F418" s="14">
        <f>IF(AND($B418=$B417,ISNUMBER(E417),E417&gt;0),E418/E417-1,"")</f>
        <v/>
      </c>
      <c r="G418" s="19" t="inlineStr">
        <is>
          <t>Voir</t>
        </is>
      </c>
    </row>
    <row r="419">
      <c r="A419" s="10" t="inlineStr">
        <is>
          <t>Porsche 911 997 Carrera S</t>
        </is>
      </c>
      <c r="B419" s="10" t="inlineStr">
        <is>
          <t>3225995323</t>
        </is>
      </c>
      <c r="C419" s="10" t="inlineStr">
        <is>
          <t>Porsche 911 997 CARRERA S - Très bon état - Boite méca</t>
        </is>
      </c>
      <c r="D419" s="18" t="n">
        <v>46296</v>
      </c>
      <c r="E419" s="12" t="n">
        <v>55990</v>
      </c>
      <c r="F419" s="14">
        <f>IF(AND($B419=$B418,ISNUMBER(E418),E418&gt;0),E419/E418-1,"")</f>
        <v/>
      </c>
      <c r="G419" s="19" t="inlineStr">
        <is>
          <t>Voir</t>
        </is>
      </c>
    </row>
    <row r="420">
      <c r="A420" s="10" t="inlineStr">
        <is>
          <t>Porsche 911 997 Carrera S</t>
        </is>
      </c>
      <c r="B420" s="10" t="inlineStr">
        <is>
          <t>3225995323</t>
        </is>
      </c>
      <c r="C420" s="10" t="inlineStr">
        <is>
          <t>Porsche 911 997 CARRERA S - Très bon état - Boite méca</t>
        </is>
      </c>
      <c r="D420" s="18" t="n">
        <v>46310</v>
      </c>
      <c r="E420" s="12" t="n">
        <v>54990</v>
      </c>
      <c r="F420" s="14">
        <f>IF(AND($B420=$B419,ISNUMBER(E419),E419&gt;0),E420/E419-1,"")</f>
        <v/>
      </c>
      <c r="G420" s="19" t="inlineStr">
        <is>
          <t>Voir</t>
        </is>
      </c>
    </row>
    <row r="421">
      <c r="A421" s="10" t="inlineStr">
        <is>
          <t>Porsche 911 997 Carrera S</t>
        </is>
      </c>
      <c r="B421" s="10" t="inlineStr">
        <is>
          <t>3226399068</t>
        </is>
      </c>
      <c r="C421" s="10" t="inlineStr">
        <is>
          <t>PORSCHE 911 CARRERA COUPE 997 S Coupe 3.8i 355cv</t>
        </is>
      </c>
      <c r="D421" s="18" t="n">
        <v>46296</v>
      </c>
      <c r="E421" s="12" t="n">
        <v>48990</v>
      </c>
      <c r="F421" s="14">
        <f>IF(AND($B421=$B420,ISNUMBER(E420),E420&gt;0),E421/E420-1,"")</f>
        <v/>
      </c>
      <c r="G421" s="19" t="inlineStr">
        <is>
          <t>Voir</t>
        </is>
      </c>
    </row>
    <row r="422">
      <c r="A422" s="10" t="inlineStr">
        <is>
          <t>Porsche 911 997 Carrera S</t>
        </is>
      </c>
      <c r="B422" s="10" t="inlineStr">
        <is>
          <t>3226789085</t>
        </is>
      </c>
      <c r="C422" s="10" t="inlineStr">
        <is>
          <t>PORSCHE 911 CARRERA 4 S 3.8i COUPE 997</t>
        </is>
      </c>
      <c r="D422" s="18" t="n">
        <v>46310</v>
      </c>
      <c r="E422" s="12" t="n">
        <v>54990</v>
      </c>
      <c r="F422" s="14">
        <f>IF(AND($B422=$B421,ISNUMBER(E421),E421&gt;0),E422/E421-1,"")</f>
        <v/>
      </c>
      <c r="G422" s="19" t="inlineStr">
        <is>
          <t>Voir</t>
        </is>
      </c>
    </row>
    <row r="423">
      <c r="A423" s="10" t="inlineStr">
        <is>
          <t>Porsche 911 997 Carrera S</t>
        </is>
      </c>
      <c r="B423" s="10" t="inlineStr">
        <is>
          <t>3229875348</t>
        </is>
      </c>
      <c r="C423" s="10" t="inlineStr">
        <is>
          <t>Porsche 911 997 Carrera S</t>
        </is>
      </c>
      <c r="D423" s="18" t="n">
        <v>46296</v>
      </c>
      <c r="E423" s="12" t="n">
        <v>59000</v>
      </c>
      <c r="F423" s="14">
        <f>IF(AND($B423=$B422,ISNUMBER(E422),E422&gt;0),E423/E422-1,"")</f>
        <v/>
      </c>
      <c r="G423" s="19" t="inlineStr">
        <is>
          <t>Voir</t>
        </is>
      </c>
    </row>
    <row r="424">
      <c r="A424" s="10" t="inlineStr">
        <is>
          <t>Porsche 911 997 Carrera S</t>
        </is>
      </c>
      <c r="B424" s="10" t="inlineStr">
        <is>
          <t>3230591026</t>
        </is>
      </c>
      <c r="C424" s="10" t="inlineStr">
        <is>
          <t>PORSCHE 911 CARRERA COUPE 997 S Coupe 3.8i</t>
        </is>
      </c>
      <c r="D424" s="18" t="n">
        <v>46296</v>
      </c>
      <c r="E424" s="12" t="n">
        <v>52980</v>
      </c>
      <c r="F424" s="14">
        <f>IF(AND($B424=$B423,ISNUMBER(E423),E423&gt;0),E424/E423-1,"")</f>
        <v/>
      </c>
      <c r="G424" s="19" t="inlineStr">
        <is>
          <t>Voir</t>
        </is>
      </c>
    </row>
    <row r="425">
      <c r="A425" s="10" t="inlineStr">
        <is>
          <t>Porsche 911 997 Carrera S</t>
        </is>
      </c>
      <c r="B425" s="10" t="inlineStr">
        <is>
          <t>3231127202</t>
        </is>
      </c>
      <c r="C425" s="10" t="inlineStr">
        <is>
          <t>PORSCHE 911 Type 997 3.8 355ch Carrera S TipTronic S - 2005 - 182 000 km - Endoscope Cylindre réalisé - Suivi complet</t>
        </is>
      </c>
      <c r="D425" s="18" t="n">
        <v>46296</v>
      </c>
      <c r="E425" s="12" t="n">
        <v>39990</v>
      </c>
      <c r="F425" s="14">
        <f>IF(AND($B425=$B424,ISNUMBER(E424),E424&gt;0),E425/E424-1,"")</f>
        <v/>
      </c>
      <c r="G425" s="19" t="inlineStr">
        <is>
          <t>Voir</t>
        </is>
      </c>
    </row>
    <row r="426">
      <c r="A426" s="10" t="inlineStr">
        <is>
          <t>Porsche 911 997 Carrera S</t>
        </is>
      </c>
      <c r="B426" s="10" t="inlineStr">
        <is>
          <t>3234122932</t>
        </is>
      </c>
      <c r="C426" s="10" t="inlineStr">
        <is>
          <t>PORSCHE 911 997 Carrera S 3.8 i Coupé 355 cv</t>
        </is>
      </c>
      <c r="D426" s="18" t="n">
        <v>46296</v>
      </c>
      <c r="E426" s="12" t="n">
        <v>49990</v>
      </c>
      <c r="F426" s="14">
        <f>IF(AND($B426=$B425,ISNUMBER(E425),E425&gt;0),E426/E425-1,"")</f>
        <v/>
      </c>
      <c r="G426" s="19" t="inlineStr">
        <is>
          <t>Voir</t>
        </is>
      </c>
    </row>
    <row r="427">
      <c r="A427" s="10" t="inlineStr">
        <is>
          <t>Porsche 911 997 Carrera S</t>
        </is>
      </c>
      <c r="B427" s="10" t="inlineStr">
        <is>
          <t>3236208392</t>
        </is>
      </c>
      <c r="C427" s="10" t="inlineStr">
        <is>
          <t>PORSCHE 911 CARRERA 4 CABRIOLET 997 S 3.8i Tiptronic S A / Moteur 28000 km/ SUIVI Porsche</t>
        </is>
      </c>
      <c r="D427" s="18" t="n">
        <v>46310</v>
      </c>
      <c r="E427" s="12" t="n">
        <v>60990</v>
      </c>
      <c r="F427" s="14">
        <f>IF(AND($B427=$B426,ISNUMBER(E426),E426&gt;0),E427/E426-1,"")</f>
        <v/>
      </c>
      <c r="G427" s="19" t="inlineStr">
        <is>
          <t>Voir</t>
        </is>
      </c>
    </row>
    <row r="428">
      <c r="A428" s="10" t="inlineStr">
        <is>
          <t>Porsche 911 997 Carrera S</t>
        </is>
      </c>
      <c r="B428" s="10" t="inlineStr">
        <is>
          <t>3241156907</t>
        </is>
      </c>
      <c r="C428" s="10" t="inlineStr">
        <is>
          <t>Porsche 911 COUPE (997) CARRERA TIPTRONIC S</t>
        </is>
      </c>
      <c r="D428" s="18" t="n">
        <v>46310</v>
      </c>
      <c r="E428" s="12" t="n">
        <v>45990</v>
      </c>
      <c r="F428" s="14">
        <f>IF(AND($B428=$B427,ISNUMBER(E427),E427&gt;0),E428/E427-1,"")</f>
        <v/>
      </c>
      <c r="G428" s="19" t="inlineStr">
        <is>
          <t>Voir</t>
        </is>
      </c>
    </row>
    <row r="429">
      <c r="A429" s="10" t="inlineStr">
        <is>
          <t>Porsche 911 997 Carrera S</t>
        </is>
      </c>
      <c r="B429" s="10" t="inlineStr">
        <is>
          <t>3242206815</t>
        </is>
      </c>
      <c r="C429" s="10" t="inlineStr">
        <is>
          <t>Porsche 911 CABRIOLET (997) CARRERA S 3.8 355</t>
        </is>
      </c>
      <c r="D429" s="18" t="n">
        <v>46296</v>
      </c>
      <c r="E429" s="12" t="n">
        <v>49990</v>
      </c>
      <c r="F429" s="14">
        <f>IF(AND($B429=$B428,ISNUMBER(E428),E428&gt;0),E429/E428-1,"")</f>
        <v/>
      </c>
      <c r="G429" s="19" t="inlineStr">
        <is>
          <t>Voir</t>
        </is>
      </c>
    </row>
    <row r="430">
      <c r="A430" s="10" t="inlineStr">
        <is>
          <t>Porsche 911 997 Carrera S</t>
        </is>
      </c>
      <c r="B430" s="10" t="inlineStr">
        <is>
          <t>3244949226</t>
        </is>
      </c>
      <c r="C430" s="10" t="inlineStr">
        <is>
          <t>Porsche 911/997 carrera S</t>
        </is>
      </c>
      <c r="D430" s="18" t="n">
        <v>46310</v>
      </c>
      <c r="E430" s="12" t="n">
        <v>46000</v>
      </c>
      <c r="F430" s="14">
        <f>IF(AND($B430=$B429,ISNUMBER(E429),E429&gt;0),E430/E429-1,"")</f>
        <v/>
      </c>
      <c r="G430" s="19" t="inlineStr">
        <is>
          <t>Voir</t>
        </is>
      </c>
    </row>
    <row r="431">
      <c r="A431" s="10" t="inlineStr">
        <is>
          <t>Porsche 911 997 Carrera S</t>
        </is>
      </c>
      <c r="B431" s="10" t="inlineStr">
        <is>
          <t>3252911291</t>
        </is>
      </c>
      <c r="C431" s="10" t="inlineStr">
        <is>
          <t>Porsche 911 COUPE 997 3.8 355 CARRERA S</t>
        </is>
      </c>
      <c r="D431" s="18" t="n">
        <v>46310</v>
      </c>
      <c r="E431" s="12" t="n">
        <v>59900</v>
      </c>
      <c r="F431" s="14">
        <f>IF(AND($B431=$B430,ISNUMBER(E430),E430&gt;0),E431/E430-1,"")</f>
        <v/>
      </c>
      <c r="G431" s="19" t="inlineStr">
        <is>
          <t>Voir</t>
        </is>
      </c>
    </row>
    <row r="432">
      <c r="A432" s="10" t="inlineStr">
        <is>
          <t>Porsche 911 997 Carrera S</t>
        </is>
      </c>
      <c r="B432" s="10" t="inlineStr">
        <is>
          <t>3255178405</t>
        </is>
      </c>
      <c r="C432" s="10" t="inlineStr">
        <is>
          <t>Porsche 911 997 Carrera S 3.8 355ch BVM / Pack Sport Chrono Entretien complet Porsche</t>
        </is>
      </c>
      <c r="D432" s="18" t="n">
        <v>46296</v>
      </c>
      <c r="E432" s="12" t="n">
        <v>58990</v>
      </c>
      <c r="F432" s="14">
        <f>IF(AND($B432=$B431,ISNUMBER(E431),E431&gt;0),E432/E431-1,"")</f>
        <v/>
      </c>
      <c r="G432" s="19" t="inlineStr">
        <is>
          <t>Voir</t>
        </is>
      </c>
    </row>
    <row r="433">
      <c r="A433" s="10" t="inlineStr">
        <is>
          <t>Porsche 911 997 Carrera S</t>
        </is>
      </c>
      <c r="B433" s="10" t="inlineStr">
        <is>
          <t>3258299180</t>
        </is>
      </c>
      <c r="C433" s="10" t="inlineStr">
        <is>
          <t>Porsche 911 Carrera S Cab (997.2) 3.8 385ch PDK – Gris Argent GT – Suivi Porsche exclusif</t>
        </is>
      </c>
      <c r="D433" s="18" t="n">
        <v>46310</v>
      </c>
      <c r="E433" s="12" t="n">
        <v>69990</v>
      </c>
      <c r="F433" s="14">
        <f>IF(AND($B433=$B432,ISNUMBER(E432),E432&gt;0),E433/E432-1,"")</f>
        <v/>
      </c>
      <c r="G433" s="19" t="inlineStr">
        <is>
          <t>Voir</t>
        </is>
      </c>
    </row>
    <row r="434">
      <c r="A434" s="10" t="inlineStr">
        <is>
          <t>Porsche 911 997 Carrera S</t>
        </is>
      </c>
      <c r="B434" s="10" t="inlineStr">
        <is>
          <t>3260467720</t>
        </is>
      </c>
      <c r="C434" s="10" t="inlineStr">
        <is>
          <t>Porsche 911 997.1 Carrera 4S Cabriolet 3.8L 355 ch BVM - Suivi - Jantes Carrera S 19" - Garantie</t>
        </is>
      </c>
      <c r="D434" s="18" t="n">
        <v>46296</v>
      </c>
      <c r="E434" s="12" t="n">
        <v>63500</v>
      </c>
      <c r="F434" s="14">
        <f>IF(AND($B434=$B433,ISNUMBER(E433),E433&gt;0),E434/E433-1,"")</f>
        <v/>
      </c>
      <c r="G434" s="19" t="inlineStr">
        <is>
          <t>Voir</t>
        </is>
      </c>
    </row>
    <row r="435">
      <c r="A435" s="10" t="inlineStr">
        <is>
          <t>Porsche 911 997 Carrera S</t>
        </is>
      </c>
      <c r="B435" s="10" t="inlineStr">
        <is>
          <t>3260820600</t>
        </is>
      </c>
      <c r="C435" s="10" t="inlineStr">
        <is>
          <t>Porsche 911 (997) carrera s cabriolet 3.8 – 355 ch – bvm6 – pack sport chrono –</t>
        </is>
      </c>
      <c r="D435" s="18" t="n">
        <v>46296</v>
      </c>
      <c r="E435" s="12" t="n">
        <v>50990</v>
      </c>
      <c r="F435" s="14">
        <f>IF(AND($B435=$B434,ISNUMBER(E434),E434&gt;0),E435/E434-1,"")</f>
        <v/>
      </c>
      <c r="G435" s="19" t="inlineStr">
        <is>
          <t>Voir</t>
        </is>
      </c>
    </row>
    <row r="436">
      <c r="A436" s="10" t="inlineStr">
        <is>
          <t>Porsche 911 997 Carrera S</t>
        </is>
      </c>
      <c r="B436" s="10" t="inlineStr">
        <is>
          <t>3262657061</t>
        </is>
      </c>
      <c r="C436" s="10" t="inlineStr">
        <is>
          <t>Porsche 911 997.1 Coupe 3.8 355 ch Carrera S TIPTRONIC / Toit ouvrant / PASM / IMS OK / Gris Météor</t>
        </is>
      </c>
      <c r="D436" s="18" t="n">
        <v>46296</v>
      </c>
      <c r="E436" s="12" t="n">
        <v>55490</v>
      </c>
      <c r="F436" s="14">
        <f>IF(AND($B436=$B435,ISNUMBER(E435),E435&gt;0),E436/E435-1,"")</f>
        <v/>
      </c>
      <c r="G436" s="19" t="inlineStr">
        <is>
          <t>Voir</t>
        </is>
      </c>
    </row>
    <row r="437">
      <c r="A437" s="10" t="inlineStr">
        <is>
          <t>Porsche 911 997 Carrera S</t>
        </is>
      </c>
      <c r="B437" s="10" t="inlineStr">
        <is>
          <t>3265883612</t>
        </is>
      </c>
      <c r="C437" s="10" t="inlineStr">
        <is>
          <t>PORSCHE 911 Coupé Type 997 Phase 1 CARRERA S 3.8 355ch Boite Manuelle</t>
        </is>
      </c>
      <c r="D437" s="18" t="n">
        <v>46296</v>
      </c>
      <c r="E437" s="12" t="n">
        <v>64900</v>
      </c>
      <c r="F437" s="14">
        <f>IF(AND($B437=$B436,ISNUMBER(E436),E436&gt;0),E437/E436-1,"")</f>
        <v/>
      </c>
      <c r="G437" s="19" t="inlineStr">
        <is>
          <t>Voir</t>
        </is>
      </c>
    </row>
    <row r="438">
      <c r="A438" s="10" t="inlineStr">
        <is>
          <t>Porsche 911 997 Carrera S</t>
        </is>
      </c>
      <c r="B438" s="10" t="inlineStr">
        <is>
          <t>3268528129</t>
        </is>
      </c>
      <c r="C438" s="10" t="inlineStr">
        <is>
          <t>Porsche 911 Coupe 997-1 Carrera S 3.8 BVM 355ch</t>
        </is>
      </c>
      <c r="D438" s="18" t="n">
        <v>46310</v>
      </c>
      <c r="E438" s="12" t="n">
        <v>58990</v>
      </c>
      <c r="F438" s="14">
        <f>IF(AND($B438=$B437,ISNUMBER(E437),E437&gt;0),E438/E437-1,"")</f>
        <v/>
      </c>
      <c r="G438" s="19" t="inlineStr">
        <is>
          <t>Voir</t>
        </is>
      </c>
    </row>
    <row r="439">
      <c r="A439" s="10" t="inlineStr">
        <is>
          <t>Porsche 911 997 Carrera S</t>
        </is>
      </c>
      <c r="B439" s="10" t="inlineStr">
        <is>
          <t>3268572742</t>
        </is>
      </c>
      <c r="C439" s="10" t="inlineStr">
        <is>
          <t>Porsche 911 997 Carrera S 3.8 355ch BVM6 – 99 500 km – Sport – 19"</t>
        </is>
      </c>
      <c r="D439" s="18" t="n">
        <v>46296</v>
      </c>
      <c r="E439" s="12" t="n">
        <v>55000</v>
      </c>
      <c r="F439" s="14">
        <f>IF(AND($B439=$B438,ISNUMBER(E438),E438&gt;0),E439/E438-1,"")</f>
        <v/>
      </c>
      <c r="G439" s="19" t="inlineStr">
        <is>
          <t>Voir</t>
        </is>
      </c>
    </row>
    <row r="440">
      <c r="A440" s="10" t="inlineStr">
        <is>
          <t>Porsche 911 997 Carrera S</t>
        </is>
      </c>
      <c r="B440" s="10" t="inlineStr">
        <is>
          <t>3270837815</t>
        </is>
      </c>
      <c r="C440" s="10" t="inlineStr">
        <is>
          <t>Porsche 911 CARRERA CABRIOLET 997 S 3.8i Flat 6 Tiptronic Suivi Porsche</t>
        </is>
      </c>
      <c r="D440" s="18" t="n">
        <v>46296</v>
      </c>
      <c r="E440" s="12" t="n">
        <v>49990</v>
      </c>
      <c r="F440" s="14">
        <f>IF(AND($B440=$B439,ISNUMBER(E439),E439&gt;0),E440/E439-1,"")</f>
        <v/>
      </c>
      <c r="G440" s="19" t="inlineStr">
        <is>
          <t>Voir</t>
        </is>
      </c>
    </row>
    <row r="441">
      <c r="A441" s="10" t="inlineStr">
        <is>
          <t>Porsche 911 997 Carrera S</t>
        </is>
      </c>
      <c r="B441" s="10" t="inlineStr">
        <is>
          <t>3270837815</t>
        </is>
      </c>
      <c r="C441" s="10" t="inlineStr">
        <is>
          <t>Porsche 911 CARRERA CABRIOLET 997 S 3.8i Flat 6 Tiptronic Suivi Porsche</t>
        </is>
      </c>
      <c r="D441" s="18" t="n">
        <v>46310</v>
      </c>
      <c r="E441" s="12" t="n">
        <v>48990</v>
      </c>
      <c r="F441" s="14">
        <f>IF(AND($B441=$B440,ISNUMBER(E440),E440&gt;0),E441/E440-1,"")</f>
        <v/>
      </c>
      <c r="G441" s="19" t="inlineStr">
        <is>
          <t>Voir</t>
        </is>
      </c>
    </row>
    <row r="442">
      <c r="A442" s="10" t="inlineStr">
        <is>
          <t>Porsche 911 997 Carrera S</t>
        </is>
      </c>
      <c r="B442" s="10" t="inlineStr">
        <is>
          <t>3271951396</t>
        </is>
      </c>
      <c r="C442" s="10" t="inlineStr">
        <is>
          <t>Porsche 911 997 Carrera S 3.8 355ch BVM / SUIVI COMPLET / ECHAPPEMENT SCART / TOIT OUVRANT / PACK CHRONO / SIEGES ELECTRIQUES /</t>
        </is>
      </c>
      <c r="D442" s="18" t="n">
        <v>46296</v>
      </c>
      <c r="E442" s="12" t="n">
        <v>51000</v>
      </c>
      <c r="F442" s="14">
        <f>IF(AND($B442=$B441,ISNUMBER(E441),E441&gt;0),E442/E441-1,"")</f>
        <v/>
      </c>
      <c r="G442" s="19" t="inlineStr">
        <is>
          <t>Voir</t>
        </is>
      </c>
    </row>
    <row r="443">
      <c r="A443" s="10" t="inlineStr">
        <is>
          <t>Porsche 911 997 Carrera S</t>
        </is>
      </c>
      <c r="B443" s="10" t="inlineStr">
        <is>
          <t>3272054365</t>
        </is>
      </c>
      <c r="C443" s="10" t="inlineStr">
        <is>
          <t>Porsche 911 997 carrera s cabriolet bvm 3.8 355</t>
        </is>
      </c>
      <c r="D443" s="18" t="n">
        <v>46296</v>
      </c>
      <c r="E443" s="12" t="n">
        <v>48980</v>
      </c>
      <c r="F443" s="14">
        <f>IF(AND($B443=$B442,ISNUMBER(E442),E442&gt;0),E443/E442-1,"")</f>
        <v/>
      </c>
      <c r="G443" s="19" t="inlineStr">
        <is>
          <t>Voir</t>
        </is>
      </c>
    </row>
    <row r="444">
      <c r="A444" s="10" t="inlineStr">
        <is>
          <t>Porsche 911 997 Carrera S</t>
        </is>
      </c>
      <c r="B444" s="10" t="inlineStr">
        <is>
          <t>3272281258</t>
        </is>
      </c>
      <c r="C444" s="10" t="inlineStr">
        <is>
          <t>Porsche 911 CABRIOLET (997) CARRERA 4S TIPTRONIC S</t>
        </is>
      </c>
      <c r="D444" s="18" t="n">
        <v>46296</v>
      </c>
      <c r="E444" s="12" t="n">
        <v>57890</v>
      </c>
      <c r="F444" s="14">
        <f>IF(AND($B444=$B443,ISNUMBER(E443),E443&gt;0),E444/E443-1,"")</f>
        <v/>
      </c>
      <c r="G444" s="19" t="inlineStr">
        <is>
          <t>Voir</t>
        </is>
      </c>
    </row>
    <row r="445">
      <c r="A445" s="10" t="inlineStr">
        <is>
          <t>Porsche 911 997 Carrera S</t>
        </is>
      </c>
      <c r="B445" s="10" t="inlineStr">
        <is>
          <t>3272652346</t>
        </is>
      </c>
      <c r="C445" s="10" t="inlineStr">
        <is>
          <t>PORSCHE 911 (997) Carrera S 3.8l</t>
        </is>
      </c>
      <c r="D445" s="18" t="n">
        <v>46296</v>
      </c>
      <c r="E445" s="12" t="n">
        <v>49997</v>
      </c>
      <c r="F445" s="14">
        <f>IF(AND($B445=$B444,ISNUMBER(E444),E444&gt;0),E445/E444-1,"")</f>
        <v/>
      </c>
      <c r="G445" s="19" t="inlineStr">
        <is>
          <t>Voir</t>
        </is>
      </c>
    </row>
    <row r="446">
      <c r="A446" s="10" t="inlineStr">
        <is>
          <t>Porsche 911 997 Carrera S</t>
        </is>
      </c>
      <c r="B446" s="10" t="inlineStr">
        <is>
          <t>3274429079</t>
        </is>
      </c>
      <c r="C446" s="10" t="inlineStr">
        <is>
          <t>Porsche 911 (997) Carrera S Cabriolet – Boîte Manuelle – Configuration Rare – 118 500 km</t>
        </is>
      </c>
      <c r="D446" s="18" t="n">
        <v>46296</v>
      </c>
      <c r="E446" s="12" t="n">
        <v>59911</v>
      </c>
      <c r="F446" s="14">
        <f>IF(AND($B446=$B445,ISNUMBER(E445),E445&gt;0),E446/E445-1,"")</f>
        <v/>
      </c>
      <c r="G446" s="19" t="inlineStr">
        <is>
          <t>Voir</t>
        </is>
      </c>
    </row>
    <row r="447">
      <c r="A447" s="10" t="inlineStr">
        <is>
          <t>Porsche 911 997 Carrera S</t>
        </is>
      </c>
      <c r="B447" s="10" t="inlineStr">
        <is>
          <t>3274821732</t>
        </is>
      </c>
      <c r="C447" s="10" t="inlineStr">
        <is>
          <t>Porsche 911 IV (997) Carrera S TipTronic</t>
        </is>
      </c>
      <c r="D447" s="18" t="n">
        <v>46296</v>
      </c>
      <c r="E447" s="12" t="n">
        <v>53990</v>
      </c>
      <c r="F447" s="14">
        <f>IF(AND($B447=$B446,ISNUMBER(E446),E446&gt;0),E447/E446-1,"")</f>
        <v/>
      </c>
      <c r="G447" s="19" t="inlineStr">
        <is>
          <t>Voir</t>
        </is>
      </c>
    </row>
    <row r="448">
      <c r="A448" s="10" t="inlineStr">
        <is>
          <t>Porsche 911 997 Carrera S</t>
        </is>
      </c>
      <c r="B448" s="10" t="inlineStr">
        <is>
          <t>3277227146</t>
        </is>
      </c>
      <c r="C448" s="10" t="inlineStr">
        <is>
          <t>Porsche 911 997 Carrera S</t>
        </is>
      </c>
      <c r="D448" s="18" t="n">
        <v>46296</v>
      </c>
      <c r="E448" s="12" t="n">
        <v>44997</v>
      </c>
      <c r="F448" s="14">
        <f>IF(AND($B448=$B447,ISNUMBER(E447),E447&gt;0),E448/E447-1,"")</f>
        <v/>
      </c>
      <c r="G448" s="19" t="inlineStr">
        <is>
          <t>Voir</t>
        </is>
      </c>
    </row>
    <row r="449">
      <c r="A449" s="10" t="inlineStr">
        <is>
          <t>Porsche 911 997 Carrera S</t>
        </is>
      </c>
      <c r="B449" s="10" t="inlineStr">
        <is>
          <t>3278165059</t>
        </is>
      </c>
      <c r="C449" s="10" t="inlineStr">
        <is>
          <t>Porsche 911 coupe 3.8i type 997 355 ch - carrera s - garantie 1 an</t>
        </is>
      </c>
      <c r="D449" s="18" t="n">
        <v>46296</v>
      </c>
      <c r="E449" s="12" t="n">
        <v>51790</v>
      </c>
      <c r="F449" s="14">
        <f>IF(AND($B449=$B448,ISNUMBER(E448),E448&gt;0),E449/E448-1,"")</f>
        <v/>
      </c>
      <c r="G449" s="19" t="inlineStr">
        <is>
          <t>Voir</t>
        </is>
      </c>
    </row>
    <row r="450">
      <c r="A450" s="10" t="inlineStr">
        <is>
          <t>Porsche 911 997 Carrera S</t>
        </is>
      </c>
      <c r="B450" s="10" t="inlineStr">
        <is>
          <t>3278211461</t>
        </is>
      </c>
      <c r="C450" s="10" t="inlineStr">
        <is>
          <t>Porsche 911 porsche (997.1) carrera s tiptronic s - flat-6 3.8 355 ch - pack sport chrono - toit ouvrant</t>
        </is>
      </c>
      <c r="D450" s="18" t="n">
        <v>46310</v>
      </c>
      <c r="E450" s="12" t="n">
        <v>49580</v>
      </c>
      <c r="F450" s="14">
        <f>IF(AND($B450=$B449,ISNUMBER(E449),E449&gt;0),E450/E449-1,"")</f>
        <v/>
      </c>
      <c r="G450" s="19" t="inlineStr">
        <is>
          <t>Voir</t>
        </is>
      </c>
    </row>
    <row r="451">
      <c r="A451" s="10" t="inlineStr">
        <is>
          <t>Porsche 911 997 Carrera S</t>
        </is>
      </c>
      <c r="B451" s="10" t="inlineStr">
        <is>
          <t>3278304511</t>
        </is>
      </c>
      <c r="C451" s="10" t="inlineStr">
        <is>
          <t>Porsche 911 997 3.8 355 ch carrera s bvm</t>
        </is>
      </c>
      <c r="D451" s="18" t="n">
        <v>46296</v>
      </c>
      <c r="E451" s="12" t="n">
        <v>56990</v>
      </c>
      <c r="F451" s="14">
        <f>IF(AND($B451=$B450,ISNUMBER(E450),E450&gt;0),E451/E450-1,"")</f>
        <v/>
      </c>
      <c r="G451" s="19" t="inlineStr">
        <is>
          <t>Voir</t>
        </is>
      </c>
    </row>
    <row r="452">
      <c r="A452" s="10" t="inlineStr">
        <is>
          <t>Porsche 911 997 Carrera S</t>
        </is>
      </c>
      <c r="B452" s="10" t="inlineStr">
        <is>
          <t>3278308119</t>
        </is>
      </c>
      <c r="C452" s="10" t="inlineStr">
        <is>
          <t>PORSCHE 911 997 3.8L Carrera S - boite PDK</t>
        </is>
      </c>
      <c r="D452" s="18" t="n">
        <v>46310</v>
      </c>
      <c r="E452" s="12" t="n">
        <v>66990</v>
      </c>
      <c r="F452" s="14">
        <f>IF(AND($B452=$B451,ISNUMBER(E451),E451&gt;0),E452/E451-1,"")</f>
        <v/>
      </c>
      <c r="G452" s="19" t="inlineStr">
        <is>
          <t>Voir</t>
        </is>
      </c>
    </row>
    <row r="453">
      <c r="A453" s="10" t="inlineStr">
        <is>
          <t>Porsche 911 997 Carrera S</t>
        </is>
      </c>
      <c r="B453" s="10" t="inlineStr">
        <is>
          <t>3278377513</t>
        </is>
      </c>
      <c r="C453" s="10" t="inlineStr">
        <is>
          <t>PORSCHE 911 Cabriolet 3.8i - BV PDK TYPE 997 II 2009 CABRIOLET Carrera S</t>
        </is>
      </c>
      <c r="D453" s="18" t="n">
        <v>46310</v>
      </c>
      <c r="E453" s="12" t="n">
        <v>60900</v>
      </c>
      <c r="F453" s="14">
        <f>IF(AND($B453=$B452,ISNUMBER(E452),E452&gt;0),E453/E452-1,"")</f>
        <v/>
      </c>
      <c r="G453" s="19" t="inlineStr">
        <is>
          <t>Voir</t>
        </is>
      </c>
    </row>
    <row r="454">
      <c r="A454" s="10" t="inlineStr">
        <is>
          <t>Porsche 911 997 Carrera S</t>
        </is>
      </c>
      <c r="B454" s="10" t="inlineStr">
        <is>
          <t>3278388453</t>
        </is>
      </c>
      <c r="C454" s="10" t="inlineStr">
        <is>
          <t>PORSCHE 911 3.8i - BV PDK TYPE 997 II Carrera S - Suivi Porsche - Pack Chrono - ech Sport</t>
        </is>
      </c>
      <c r="D454" s="18" t="n">
        <v>46296</v>
      </c>
      <c r="E454" s="12" t="n">
        <v>69599</v>
      </c>
      <c r="F454" s="14">
        <f>IF(AND($B454=$B453,ISNUMBER(E453),E453&gt;0),E454/E453-1,"")</f>
        <v/>
      </c>
      <c r="G454" s="19" t="inlineStr">
        <is>
          <t>Voir</t>
        </is>
      </c>
    </row>
    <row r="455">
      <c r="A455" s="10" t="inlineStr">
        <is>
          <t>Porsche 911 997 Carrera S</t>
        </is>
      </c>
      <c r="B455" s="10" t="inlineStr">
        <is>
          <t>3278537127</t>
        </is>
      </c>
      <c r="C455" s="10" t="inlineStr">
        <is>
          <t>PORSCHE 911 Cabriolet 3.8i - BV PDK TYPE 997 II 2009 CABRIOLET Carrera S</t>
        </is>
      </c>
      <c r="D455" s="18" t="n">
        <v>46310</v>
      </c>
      <c r="E455" s="12" t="n">
        <v>65990</v>
      </c>
      <c r="F455" s="14">
        <f>IF(AND($B455=$B454,ISNUMBER(E454),E454&gt;0),E455/E454-1,"")</f>
        <v/>
      </c>
      <c r="G455" s="19" t="inlineStr">
        <is>
          <t>Voir</t>
        </is>
      </c>
    </row>
    <row r="456">
      <c r="A456" s="10" t="inlineStr">
        <is>
          <t>Porsche 911 997 Carrera S</t>
        </is>
      </c>
      <c r="B456" s="10" t="inlineStr">
        <is>
          <t>3278584788</t>
        </is>
      </c>
      <c r="C456" s="10" t="inlineStr">
        <is>
          <t>Porsche 911 997.1 carrera s-tronic</t>
        </is>
      </c>
      <c r="D456" s="18" t="n">
        <v>46310</v>
      </c>
      <c r="E456" s="12" t="n">
        <v>46980</v>
      </c>
      <c r="F456" s="14">
        <f>IF(AND($B456=$B455,ISNUMBER(E455),E455&gt;0),E456/E455-1,"")</f>
        <v/>
      </c>
      <c r="G456" s="19" t="inlineStr">
        <is>
          <t>Voir</t>
        </is>
      </c>
    </row>
    <row r="457">
      <c r="A457" s="10" t="inlineStr">
        <is>
          <t>Porsche 911 997 Carrera S</t>
        </is>
      </c>
      <c r="B457" s="10" t="inlineStr">
        <is>
          <t>3278787277</t>
        </is>
      </c>
      <c r="C457" s="10" t="inlineStr">
        <is>
          <t>Porsche 911 997 Carrera S Cabriolet</t>
        </is>
      </c>
      <c r="D457" s="18" t="n">
        <v>46296</v>
      </c>
      <c r="E457" s="12" t="n">
        <v>45997</v>
      </c>
      <c r="F457" s="14">
        <f>IF(AND($B457=$B456,ISNUMBER(E456),E456&gt;0),E457/E456-1,"")</f>
        <v/>
      </c>
      <c r="G457" s="19" t="inlineStr">
        <is>
          <t>Voir</t>
        </is>
      </c>
    </row>
    <row r="458">
      <c r="A458" s="10" t="inlineStr">
        <is>
          <t>Porsche 911 997 Carrera S</t>
        </is>
      </c>
      <c r="B458" s="10" t="inlineStr">
        <is>
          <t>3280091446</t>
        </is>
      </c>
      <c r="C458" s="10" t="inlineStr">
        <is>
          <t>PORSCHE 911 3.8i - BVA Tiptronic TYPE 997 COUPE Carrera S</t>
        </is>
      </c>
      <c r="D458" s="18" t="n">
        <v>46310</v>
      </c>
      <c r="E458" s="12" t="n">
        <v>54990</v>
      </c>
      <c r="F458" s="14">
        <f>IF(AND($B458=$B457,ISNUMBER(E457),E457&gt;0),E458/E457-1,"")</f>
        <v/>
      </c>
      <c r="G458" s="19" t="inlineStr">
        <is>
          <t>Voir</t>
        </is>
      </c>
    </row>
    <row r="459">
      <c r="A459" s="10" t="inlineStr">
        <is>
          <t>Porsche 911 997 Carrera S</t>
        </is>
      </c>
      <c r="B459" s="10" t="inlineStr">
        <is>
          <t>3280482015</t>
        </is>
      </c>
      <c r="C459" s="10" t="inlineStr">
        <is>
          <t>Porsche 911 CABRIOLET (997) CARRERA S PDK</t>
        </is>
      </c>
      <c r="D459" s="18" t="n">
        <v>46310</v>
      </c>
      <c r="E459" s="12" t="n">
        <v>59900</v>
      </c>
      <c r="F459" s="14">
        <f>IF(AND($B459=$B458,ISNUMBER(E458),E458&gt;0),E459/E458-1,"")</f>
        <v/>
      </c>
      <c r="G459" s="19" t="inlineStr">
        <is>
          <t>Voir</t>
        </is>
      </c>
    </row>
    <row r="460">
      <c r="A460" s="10" t="inlineStr">
        <is>
          <t>Porsche 911 997 Carrera S</t>
        </is>
      </c>
      <c r="B460" s="10" t="inlineStr">
        <is>
          <t>3280814617</t>
        </is>
      </c>
      <c r="C460" s="10" t="inlineStr">
        <is>
          <t>Porsche 911 997 carrera S - Deuxième main</t>
        </is>
      </c>
      <c r="D460" s="18" t="n">
        <v>46310</v>
      </c>
      <c r="E460" s="12" t="n">
        <v>69900</v>
      </c>
      <c r="F460" s="14">
        <f>IF(AND($B460=$B459,ISNUMBER(E459),E459&gt;0),E460/E459-1,"")</f>
        <v/>
      </c>
      <c r="G460" s="19" t="inlineStr">
        <is>
          <t>Voir</t>
        </is>
      </c>
    </row>
    <row r="461">
      <c r="A461" s="10" t="inlineStr">
        <is>
          <t>Porsche 911 997 Carrera S</t>
        </is>
      </c>
      <c r="B461" s="10" t="inlineStr">
        <is>
          <t>3281380686</t>
        </is>
      </c>
      <c r="C461" s="10" t="inlineStr">
        <is>
          <t>Porsche 911 997 Carrera S cabriolet 385 cv PDK</t>
        </is>
      </c>
      <c r="D461" s="18" t="n">
        <v>46310</v>
      </c>
      <c r="E461" s="12" t="n">
        <v>68900</v>
      </c>
      <c r="F461" s="14">
        <f>IF(AND($B461=$B460,ISNUMBER(E460),E460&gt;0),E461/E460-1,"")</f>
        <v/>
      </c>
      <c r="G461" s="19" t="inlineStr">
        <is>
          <t>Voir</t>
        </is>
      </c>
    </row>
    <row r="462">
      <c r="A462" s="10" t="inlineStr">
        <is>
          <t>Porsche 911 997 Carrera S</t>
        </is>
      </c>
      <c r="B462" s="10" t="inlineStr">
        <is>
          <t>3282147896</t>
        </is>
      </c>
      <c r="C462" s="10" t="inlineStr">
        <is>
          <t>Porsche 911 997 carrera s</t>
        </is>
      </c>
      <c r="D462" s="18" t="n">
        <v>46310</v>
      </c>
      <c r="E462" s="12" t="n">
        <v>49900</v>
      </c>
      <c r="F462" s="14">
        <f>IF(AND($B462=$B461,ISNUMBER(E461),E461&gt;0),E462/E461-1,"")</f>
        <v/>
      </c>
      <c r="G462" s="19" t="inlineStr">
        <is>
          <t>Voir</t>
        </is>
      </c>
    </row>
    <row r="463">
      <c r="A463" s="10" t="inlineStr">
        <is>
          <t>Porsche 911 997 Carrera S</t>
        </is>
      </c>
      <c r="B463" s="10" t="inlineStr">
        <is>
          <t>3283563885</t>
        </is>
      </c>
      <c r="C463" s="10" t="inlineStr">
        <is>
          <t>Porsche 911 997 Carrera S cabriolet</t>
        </is>
      </c>
      <c r="D463" s="18" t="n">
        <v>46310</v>
      </c>
      <c r="E463" s="12" t="n">
        <v>59990</v>
      </c>
      <c r="F463" s="14">
        <f>IF(AND($B463=$B462,ISNUMBER(E462),E462&gt;0),E463/E462-1,"")</f>
        <v/>
      </c>
      <c r="G463" s="19" t="inlineStr">
        <is>
          <t>Voir</t>
        </is>
      </c>
    </row>
    <row r="464">
      <c r="A464" s="10" t="inlineStr">
        <is>
          <t>Porsche 911 997 Carrera S</t>
        </is>
      </c>
      <c r="B464" s="10" t="inlineStr">
        <is>
          <t>3284038154</t>
        </is>
      </c>
      <c r="C464" s="10" t="inlineStr">
        <is>
          <t>Porsche 911 IV (997) Carrera S</t>
        </is>
      </c>
      <c r="D464" s="18" t="n">
        <v>46310</v>
      </c>
      <c r="E464" s="12" t="n">
        <v>64997</v>
      </c>
      <c r="F464" s="14">
        <f>IF(AND($B464=$B463,ISNUMBER(E463),E463&gt;0),E464/E463-1,"")</f>
        <v/>
      </c>
      <c r="G464" s="19" t="inlineStr">
        <is>
          <t>Voir</t>
        </is>
      </c>
    </row>
    <row r="465">
      <c r="A465" s="10" t="inlineStr">
        <is>
          <t>Porsche 911 997 Carrera S</t>
        </is>
      </c>
      <c r="B465" s="10" t="inlineStr">
        <is>
          <t>3284862818</t>
        </is>
      </c>
      <c r="C465" s="10" t="inlineStr">
        <is>
          <t>Porsche 911 CABRIOLET (997) Carrera 3.6 325 Ch Tiptronic S / SportDesign / Bose / PSE</t>
        </is>
      </c>
      <c r="D465" s="18" t="n">
        <v>46310</v>
      </c>
      <c r="E465" s="12" t="n">
        <v>46990</v>
      </c>
      <c r="F465" s="14">
        <f>IF(AND($B465=$B464,ISNUMBER(E464),E464&gt;0),E465/E464-1,"")</f>
        <v/>
      </c>
      <c r="G465" s="19" t="inlineStr">
        <is>
          <t>Voir</t>
        </is>
      </c>
    </row>
    <row r="466">
      <c r="A466" s="10" t="inlineStr">
        <is>
          <t>Porsche 911 997 Carrera S</t>
        </is>
      </c>
      <c r="B466" s="10" t="inlineStr">
        <is>
          <t>3285868046</t>
        </is>
      </c>
      <c r="C466" s="10" t="inlineStr">
        <is>
          <t>Porsche 911 997 Carrera S Tiptronic</t>
        </is>
      </c>
      <c r="D466" s="18" t="n">
        <v>46310</v>
      </c>
      <c r="E466" s="12" t="n">
        <v>48900</v>
      </c>
      <c r="F466" s="14">
        <f>IF(AND($B466=$B465,ISNUMBER(E465),E465&gt;0),E466/E465-1,"")</f>
        <v/>
      </c>
      <c r="G466" s="19" t="inlineStr">
        <is>
          <t>Voir</t>
        </is>
      </c>
    </row>
    <row r="467">
      <c r="A467" s="10" t="inlineStr">
        <is>
          <t>Porsche 911 997 Carrera S</t>
        </is>
      </c>
      <c r="B467" s="10" t="inlineStr">
        <is>
          <t>3287596929</t>
        </is>
      </c>
      <c r="C467" s="10" t="inlineStr">
        <is>
          <t>Porsche,911/997, Carrera S. 3, 8l 355cv</t>
        </is>
      </c>
      <c r="D467" s="18" t="n">
        <v>46310</v>
      </c>
      <c r="E467" s="12" t="n">
        <v>51997</v>
      </c>
      <c r="F467" s="14">
        <f>IF(AND($B467=$B466,ISNUMBER(E466),E466&gt;0),E467/E466-1,"")</f>
        <v/>
      </c>
      <c r="G467" s="19" t="inlineStr">
        <is>
          <t>Voir</t>
        </is>
      </c>
    </row>
    <row r="468">
      <c r="A468" s="10" t="inlineStr">
        <is>
          <t>Porsche Boxster 986</t>
        </is>
      </c>
      <c r="B468" s="10" t="inlineStr">
        <is>
          <t>3089498689</t>
        </is>
      </c>
      <c r="C468" s="10" t="inlineStr">
        <is>
          <t>PORSCHE BOXSTER 986 2.5 i 204CH</t>
        </is>
      </c>
      <c r="D468" s="18" t="n">
        <v>46296</v>
      </c>
      <c r="E468" s="12" t="n">
        <v>13990</v>
      </c>
      <c r="F468" s="14">
        <f>IF(AND($B468=$B467,ISNUMBER(E467),E467&gt;0),E468/E467-1,"")</f>
        <v/>
      </c>
      <c r="G468" s="19" t="inlineStr">
        <is>
          <t>Voir</t>
        </is>
      </c>
    </row>
    <row r="469">
      <c r="A469" s="10" t="inlineStr">
        <is>
          <t>Porsche Boxster 986</t>
        </is>
      </c>
      <c r="B469" s="10" t="inlineStr">
        <is>
          <t>3106206580</t>
        </is>
      </c>
      <c r="C469" s="10" t="inlineStr">
        <is>
          <t>Porsche BOXSTER (986) 2.7 220cv</t>
        </is>
      </c>
      <c r="D469" s="18" t="n">
        <v>46296</v>
      </c>
      <c r="E469" s="12" t="n">
        <v>19990</v>
      </c>
      <c r="F469" s="14">
        <f>IF(AND($B469=$B468,ISNUMBER(E468),E468&gt;0),E469/E468-1,"")</f>
        <v/>
      </c>
      <c r="G469" s="19" t="inlineStr">
        <is>
          <t>Voir</t>
        </is>
      </c>
    </row>
    <row r="470">
      <c r="A470" s="10" t="inlineStr">
        <is>
          <t>Porsche Boxster 986</t>
        </is>
      </c>
      <c r="B470" s="10" t="inlineStr">
        <is>
          <t>3147288483</t>
        </is>
      </c>
      <c r="C470" s="10" t="inlineStr">
        <is>
          <t>Porsche Boxster 986</t>
        </is>
      </c>
      <c r="D470" s="18" t="n">
        <v>46296</v>
      </c>
      <c r="E470" s="12" t="n">
        <v>14500</v>
      </c>
      <c r="F470" s="14">
        <f>IF(AND($B470=$B469,ISNUMBER(E469),E469&gt;0),E470/E469-1,"")</f>
        <v/>
      </c>
      <c r="G470" s="19" t="inlineStr">
        <is>
          <t>Voir</t>
        </is>
      </c>
    </row>
    <row r="471">
      <c r="A471" s="10" t="inlineStr">
        <is>
          <t>Porsche Boxster 986</t>
        </is>
      </c>
      <c r="B471" s="10" t="inlineStr">
        <is>
          <t>3151264594</t>
        </is>
      </c>
      <c r="C471" s="10" t="inlineStr">
        <is>
          <t>Porsche Boxster 986 2.7 i Roadster 220cv</t>
        </is>
      </c>
      <c r="D471" s="18" t="n">
        <v>46296</v>
      </c>
      <c r="E471" s="12" t="n">
        <v>18490</v>
      </c>
      <c r="F471" s="14">
        <f>IF(AND($B471=$B470,ISNUMBER(E470),E470&gt;0),E471/E470-1,"")</f>
        <v/>
      </c>
      <c r="G471" s="19" t="inlineStr">
        <is>
          <t>Voir</t>
        </is>
      </c>
    </row>
    <row r="472">
      <c r="A472" s="10" t="inlineStr">
        <is>
          <t>Porsche Boxster 986</t>
        </is>
      </c>
      <c r="B472" s="10" t="inlineStr">
        <is>
          <t>3161953342</t>
        </is>
      </c>
      <c r="C472" s="10" t="inlineStr">
        <is>
          <t>Porsche BOXSTER (986) 3.2 S</t>
        </is>
      </c>
      <c r="D472" s="18" t="n">
        <v>46296</v>
      </c>
      <c r="E472" s="12" t="n">
        <v>25950</v>
      </c>
      <c r="F472" s="14">
        <f>IF(AND($B472=$B471,ISNUMBER(E471),E471&gt;0),E472/E471-1,"")</f>
        <v/>
      </c>
      <c r="G472" s="19" t="inlineStr">
        <is>
          <t>Voir</t>
        </is>
      </c>
    </row>
    <row r="473">
      <c r="A473" s="10" t="inlineStr">
        <is>
          <t>Porsche Boxster 986</t>
        </is>
      </c>
      <c r="B473" s="10" t="inlineStr">
        <is>
          <t>3171445222</t>
        </is>
      </c>
      <c r="C473" s="10" t="inlineStr">
        <is>
          <t>Porsche Boxster 986 (Vente ou Echange)</t>
        </is>
      </c>
      <c r="D473" s="18" t="n">
        <v>46296</v>
      </c>
      <c r="E473" s="12" t="n">
        <v>9700</v>
      </c>
      <c r="F473" s="14">
        <f>IF(AND($B473=$B472,ISNUMBER(E472),E472&gt;0),E473/E472-1,"")</f>
        <v/>
      </c>
      <c r="G473" s="19" t="inlineStr">
        <is>
          <t>Voir</t>
        </is>
      </c>
    </row>
    <row r="474">
      <c r="A474" s="10" t="inlineStr">
        <is>
          <t>Porsche Boxster 986</t>
        </is>
      </c>
      <c r="B474" s="10" t="inlineStr">
        <is>
          <t>3175911144</t>
        </is>
      </c>
      <c r="C474" s="10" t="inlineStr">
        <is>
          <t>Vends Porsche Boxster 986</t>
        </is>
      </c>
      <c r="D474" s="18" t="n">
        <v>46310</v>
      </c>
      <c r="E474" s="12" t="n">
        <v>19500</v>
      </c>
      <c r="F474" s="14">
        <f>IF(AND($B474=$B473,ISNUMBER(E473),E473&gt;0),E474/E473-1,"")</f>
        <v/>
      </c>
      <c r="G474" s="19" t="inlineStr">
        <is>
          <t>Voir</t>
        </is>
      </c>
    </row>
    <row r="475">
      <c r="A475" s="10" t="inlineStr">
        <is>
          <t>Porsche Boxster 986</t>
        </is>
      </c>
      <c r="B475" s="10" t="inlineStr">
        <is>
          <t>3194804756</t>
        </is>
      </c>
      <c r="C475" s="10" t="inlineStr">
        <is>
          <t>PORSCHE BOXSTER 986 1998 avec HARD TOP</t>
        </is>
      </c>
      <c r="D475" s="18" t="n">
        <v>46296</v>
      </c>
      <c r="E475" s="12" t="n">
        <v>16000</v>
      </c>
      <c r="F475" s="14">
        <f>IF(AND($B475=$B474,ISNUMBER(E474),E474&gt;0),E475/E474-1,"")</f>
        <v/>
      </c>
      <c r="G475" s="19" t="inlineStr">
        <is>
          <t>Voir</t>
        </is>
      </c>
    </row>
    <row r="476">
      <c r="A476" s="10" t="inlineStr">
        <is>
          <t>Porsche Boxster 986</t>
        </is>
      </c>
      <c r="B476" s="10" t="inlineStr">
        <is>
          <t>3205141466</t>
        </is>
      </c>
      <c r="C476" s="10" t="inlineStr">
        <is>
          <t>Porsche Boxster 986 S</t>
        </is>
      </c>
      <c r="D476" s="18" t="n">
        <v>46296</v>
      </c>
      <c r="E476" s="12" t="n">
        <v>26000</v>
      </c>
      <c r="F476" s="14">
        <f>IF(AND($B476=$B475,ISNUMBER(E475),E475&gt;0),E476/E475-1,"")</f>
        <v/>
      </c>
      <c r="G476" s="19" t="inlineStr">
        <is>
          <t>Voir</t>
        </is>
      </c>
    </row>
    <row r="477">
      <c r="A477" s="10" t="inlineStr">
        <is>
          <t>Porsche Boxster 986</t>
        </is>
      </c>
      <c r="B477" s="10" t="inlineStr">
        <is>
          <t>3208942462</t>
        </is>
      </c>
      <c r="C477" s="10" t="inlineStr">
        <is>
          <t>Porsche BOXSTER (986) 3.2 S Cabriolet</t>
        </is>
      </c>
      <c r="D477" s="18" t="n">
        <v>46296</v>
      </c>
      <c r="E477" s="12" t="n">
        <v>18990</v>
      </c>
      <c r="F477" s="14">
        <f>IF(AND($B477=$B476,ISNUMBER(E476),E476&gt;0),E477/E476-1,"")</f>
        <v/>
      </c>
      <c r="G477" s="19" t="inlineStr">
        <is>
          <t>Voir</t>
        </is>
      </c>
    </row>
    <row r="478">
      <c r="A478" s="10" t="inlineStr">
        <is>
          <t>Porsche Boxster 986</t>
        </is>
      </c>
      <c r="B478" s="10" t="inlineStr">
        <is>
          <t>3213662506</t>
        </is>
      </c>
      <c r="C478" s="10" t="inlineStr">
        <is>
          <t>Porsche BOXSTER (986) 2.7</t>
        </is>
      </c>
      <c r="D478" s="18" t="n">
        <v>46310</v>
      </c>
      <c r="E478" s="12" t="n">
        <v>17900</v>
      </c>
      <c r="F478" s="14">
        <f>IF(AND($B478=$B477,ISNUMBER(E477),E477&gt;0),E478/E477-1,"")</f>
        <v/>
      </c>
      <c r="G478" s="19" t="inlineStr">
        <is>
          <t>Voir</t>
        </is>
      </c>
    </row>
    <row r="479">
      <c r="A479" s="10" t="inlineStr">
        <is>
          <t>Porsche Boxster 986</t>
        </is>
      </c>
      <c r="B479" s="10" t="inlineStr">
        <is>
          <t>3214892442</t>
        </is>
      </c>
      <c r="C479" s="10" t="inlineStr">
        <is>
          <t>Porsche BOXSTER (986) 3.2 S BV6 252CH JTES 18 PCM ÉCHAP SPORT XÉNON CARNET ET FACTURES</t>
        </is>
      </c>
      <c r="D479" s="18" t="n">
        <v>46296</v>
      </c>
      <c r="E479" s="12" t="n">
        <v>19990</v>
      </c>
      <c r="F479" s="14">
        <f>IF(AND($B479=$B478,ISNUMBER(E478),E478&gt;0),E479/E478-1,"")</f>
        <v/>
      </c>
      <c r="G479" s="19" t="inlineStr">
        <is>
          <t>Voir</t>
        </is>
      </c>
    </row>
    <row r="480">
      <c r="A480" s="10" t="inlineStr">
        <is>
          <t>Porsche Boxster 986</t>
        </is>
      </c>
      <c r="B480" s="10" t="inlineStr">
        <is>
          <t>3216720126</t>
        </is>
      </c>
      <c r="C480" s="10" t="inlineStr">
        <is>
          <t>Porsche Boxster 986</t>
        </is>
      </c>
      <c r="D480" s="18" t="n">
        <v>46310</v>
      </c>
      <c r="E480" s="12" t="n">
        <v>17000</v>
      </c>
      <c r="F480" s="14">
        <f>IF(AND($B480=$B479,ISNUMBER(E479),E479&gt;0),E480/E479-1,"")</f>
        <v/>
      </c>
      <c r="G480" s="19" t="inlineStr">
        <is>
          <t>Voir</t>
        </is>
      </c>
    </row>
    <row r="481">
      <c r="A481" s="10" t="inlineStr">
        <is>
          <t>Porsche Boxster 986</t>
        </is>
      </c>
      <c r="B481" s="10" t="inlineStr">
        <is>
          <t>3223210758</t>
        </is>
      </c>
      <c r="C481" s="10" t="inlineStr">
        <is>
          <t>Boxster 986</t>
        </is>
      </c>
      <c r="D481" s="18" t="n">
        <v>46296</v>
      </c>
      <c r="E481" s="12" t="n">
        <v>14900</v>
      </c>
      <c r="F481" s="14">
        <f>IF(AND($B481=$B480,ISNUMBER(E480),E480&gt;0),E481/E480-1,"")</f>
        <v/>
      </c>
      <c r="G481" s="19" t="inlineStr">
        <is>
          <t>Voir</t>
        </is>
      </c>
    </row>
    <row r="482">
      <c r="A482" s="10" t="inlineStr">
        <is>
          <t>Porsche Boxster 986</t>
        </is>
      </c>
      <c r="B482" s="10" t="inlineStr">
        <is>
          <t>3224716293</t>
        </is>
      </c>
      <c r="C482" s="10" t="inlineStr">
        <is>
          <t>PORSCHE Porsche Boxster Type 986 3.2 S 986 250CV BOITE MECANIQUE</t>
        </is>
      </c>
      <c r="D482" s="18" t="n">
        <v>46310</v>
      </c>
      <c r="E482" s="12" t="n">
        <v>22990</v>
      </c>
      <c r="F482" s="14">
        <f>IF(AND($B482=$B481,ISNUMBER(E481),E481&gt;0),E482/E481-1,"")</f>
        <v/>
      </c>
      <c r="G482" s="19" t="inlineStr">
        <is>
          <t>Voir</t>
        </is>
      </c>
    </row>
    <row r="483">
      <c r="A483" s="10" t="inlineStr">
        <is>
          <t>Porsche Boxster 986</t>
        </is>
      </c>
      <c r="B483" s="10" t="inlineStr">
        <is>
          <t>3226389764</t>
        </is>
      </c>
      <c r="C483" s="10" t="inlineStr">
        <is>
          <t>Porsche boxster 986</t>
        </is>
      </c>
      <c r="D483" s="18" t="n">
        <v>46296</v>
      </c>
      <c r="E483" s="12" t="n">
        <v>21500</v>
      </c>
      <c r="F483" s="14">
        <f>IF(AND($B483=$B482,ISNUMBER(E482),E482&gt;0),E483/E482-1,"")</f>
        <v/>
      </c>
      <c r="G483" s="19" t="inlineStr">
        <is>
          <t>Voir</t>
        </is>
      </c>
    </row>
    <row r="484">
      <c r="A484" s="10" t="inlineStr">
        <is>
          <t>Porsche Boxster 986</t>
        </is>
      </c>
      <c r="B484" s="10" t="inlineStr">
        <is>
          <t>3227346667</t>
        </is>
      </c>
      <c r="C484" s="10" t="inlineStr">
        <is>
          <t>Porsche Boxster 986 2.7 228 ch BVM</t>
        </is>
      </c>
      <c r="D484" s="18" t="n">
        <v>46296</v>
      </c>
      <c r="E484" s="12" t="n">
        <v>20990</v>
      </c>
      <c r="F484" s="14">
        <f>IF(AND($B484=$B483,ISNUMBER(E483),E483&gt;0),E484/E483-1,"")</f>
        <v/>
      </c>
      <c r="G484" s="19" t="inlineStr">
        <is>
          <t>Voir</t>
        </is>
      </c>
    </row>
    <row r="485">
      <c r="A485" s="10" t="inlineStr">
        <is>
          <t>Porsche Boxster 986</t>
        </is>
      </c>
      <c r="B485" s="10" t="inlineStr">
        <is>
          <t>3228200524</t>
        </is>
      </c>
      <c r="C485" s="10" t="inlineStr">
        <is>
          <t>Porsche Boxster 986</t>
        </is>
      </c>
      <c r="D485" s="18" t="n">
        <v>46296</v>
      </c>
      <c r="E485" s="12" t="n">
        <v>21000</v>
      </c>
      <c r="F485" s="14">
        <f>IF(AND($B485=$B484,ISNUMBER(E484),E484&gt;0),E485/E484-1,"")</f>
        <v/>
      </c>
      <c r="G485" s="19" t="inlineStr">
        <is>
          <t>Voir</t>
        </is>
      </c>
    </row>
    <row r="486">
      <c r="A486" s="10" t="inlineStr">
        <is>
          <t>Porsche Boxster 986</t>
        </is>
      </c>
      <c r="B486" s="10" t="inlineStr">
        <is>
          <t>3233339199</t>
        </is>
      </c>
      <c r="C486" s="10" t="inlineStr">
        <is>
          <t>Porsche Boxster 986 2.5 204ch 1999</t>
        </is>
      </c>
      <c r="D486" s="18" t="n">
        <v>46310</v>
      </c>
      <c r="E486" s="12" t="n">
        <v>19980</v>
      </c>
      <c r="F486" s="14">
        <f>IF(AND($B486=$B485,ISNUMBER(E485),E485&gt;0),E486/E485-1,"")</f>
        <v/>
      </c>
      <c r="G486" s="19" t="inlineStr">
        <is>
          <t>Voir</t>
        </is>
      </c>
    </row>
    <row r="487">
      <c r="A487" s="10" t="inlineStr">
        <is>
          <t>Porsche Boxster 986</t>
        </is>
      </c>
      <c r="B487" s="10" t="inlineStr">
        <is>
          <t>3234830440</t>
        </is>
      </c>
      <c r="C487" s="10" t="inlineStr">
        <is>
          <t>Porsche Boxster 986 2.7 228 BVM</t>
        </is>
      </c>
      <c r="D487" s="18" t="n">
        <v>46296</v>
      </c>
      <c r="E487" s="12" t="n">
        <v>22990</v>
      </c>
      <c r="F487" s="14">
        <f>IF(AND($B487=$B486,ISNUMBER(E486),E486&gt;0),E487/E486-1,"")</f>
        <v/>
      </c>
      <c r="G487" s="19" t="inlineStr">
        <is>
          <t>Voir</t>
        </is>
      </c>
    </row>
    <row r="488">
      <c r="A488" s="10" t="inlineStr">
        <is>
          <t>Porsche Boxster 986</t>
        </is>
      </c>
      <c r="B488" s="10" t="inlineStr">
        <is>
          <t>3234830440</t>
        </is>
      </c>
      <c r="C488" s="10" t="inlineStr">
        <is>
          <t>Porsche Boxster 986 2.7 228 BVM</t>
        </is>
      </c>
      <c r="D488" s="18" t="n">
        <v>46310</v>
      </c>
      <c r="E488" s="12" t="n">
        <v>20990</v>
      </c>
      <c r="F488" s="14">
        <f>IF(AND($B488=$B487,ISNUMBER(E487),E487&gt;0),E488/E487-1,"")</f>
        <v/>
      </c>
      <c r="G488" s="19" t="inlineStr">
        <is>
          <t>Voir</t>
        </is>
      </c>
    </row>
    <row r="489">
      <c r="A489" s="10" t="inlineStr">
        <is>
          <t>Porsche Boxster 986</t>
        </is>
      </c>
      <c r="B489" s="10" t="inlineStr">
        <is>
          <t>3235072145</t>
        </is>
      </c>
      <c r="C489" s="10" t="inlineStr">
        <is>
          <t>Porsche Boxster 986 2,5 L</t>
        </is>
      </c>
      <c r="D489" s="18" t="n">
        <v>46296</v>
      </c>
      <c r="E489" s="12" t="n">
        <v>18000</v>
      </c>
      <c r="F489" s="14">
        <f>IF(AND($B489=$B488,ISNUMBER(E488),E488&gt;0),E489/E488-1,"")</f>
        <v/>
      </c>
      <c r="G489" s="19" t="inlineStr">
        <is>
          <t>Voir</t>
        </is>
      </c>
    </row>
    <row r="490">
      <c r="A490" s="10" t="inlineStr">
        <is>
          <t>Porsche Boxster 986</t>
        </is>
      </c>
      <c r="B490" s="10" t="inlineStr">
        <is>
          <t>3236629923</t>
        </is>
      </c>
      <c r="C490" s="10" t="inlineStr">
        <is>
          <t>PORSCHE BOXSTER 986 3.2 i Roadster Cabriolet 252cv - Suivi d'entretien - Hardtop - Capote Alpaga -</t>
        </is>
      </c>
      <c r="D490" s="18" t="n">
        <v>46296</v>
      </c>
      <c r="E490" s="12" t="n">
        <v>16990</v>
      </c>
      <c r="F490" s="14">
        <f>IF(AND($B490=$B489,ISNUMBER(E489),E489&gt;0),E490/E489-1,"")</f>
        <v/>
      </c>
      <c r="G490" s="19" t="inlineStr">
        <is>
          <t>Voir</t>
        </is>
      </c>
    </row>
    <row r="491">
      <c r="A491" s="10" t="inlineStr">
        <is>
          <t>Porsche Boxster 986</t>
        </is>
      </c>
      <c r="B491" s="10" t="inlineStr">
        <is>
          <t>3244969526</t>
        </is>
      </c>
      <c r="C491" s="10" t="inlineStr">
        <is>
          <t>Porsche Boxster I (986) 3.2 S</t>
        </is>
      </c>
      <c r="D491" s="18" t="n">
        <v>46310</v>
      </c>
      <c r="E491" s="12" t="n">
        <v>20990</v>
      </c>
      <c r="F491" s="14">
        <f>IF(AND($B491=$B490,ISNUMBER(E490),E490&gt;0),E491/E490-1,"")</f>
        <v/>
      </c>
      <c r="G491" s="19" t="inlineStr">
        <is>
          <t>Voir</t>
        </is>
      </c>
    </row>
    <row r="492">
      <c r="A492" s="10" t="inlineStr">
        <is>
          <t>Porsche Boxster 986</t>
        </is>
      </c>
      <c r="B492" s="10" t="inlineStr">
        <is>
          <t>3249044905</t>
        </is>
      </c>
      <c r="C492" s="10" t="inlineStr">
        <is>
          <t>Porsche Boxster I (986) 3.2 S</t>
        </is>
      </c>
      <c r="D492" s="18" t="n">
        <v>46296</v>
      </c>
      <c r="E492" s="12" t="n">
        <v>25380</v>
      </c>
      <c r="F492" s="14">
        <f>IF(AND($B492=$B491,ISNUMBER(E491),E491&gt;0),E492/E491-1,"")</f>
        <v/>
      </c>
      <c r="G492" s="19" t="inlineStr">
        <is>
          <t>Voir</t>
        </is>
      </c>
    </row>
    <row r="493">
      <c r="A493" s="10" t="inlineStr">
        <is>
          <t>Porsche Boxster 986</t>
        </is>
      </c>
      <c r="B493" s="10" t="inlineStr">
        <is>
          <t>3255993553</t>
        </is>
      </c>
      <c r="C493" s="10" t="inlineStr">
        <is>
          <t>Porsche Boxster 986 2.7 220cv - Boîte manuelle - Historique limpide - Rapport d'expertise - Capote neuve</t>
        </is>
      </c>
      <c r="D493" s="18" t="n">
        <v>46310</v>
      </c>
      <c r="E493" s="12" t="n">
        <v>19990</v>
      </c>
      <c r="F493" s="14">
        <f>IF(AND($B493=$B492,ISNUMBER(E492),E492&gt;0),E493/E492-1,"")</f>
        <v/>
      </c>
      <c r="G493" s="19" t="inlineStr">
        <is>
          <t>Voir</t>
        </is>
      </c>
    </row>
    <row r="494">
      <c r="A494" s="10" t="inlineStr">
        <is>
          <t>Porsche Boxster 986</t>
        </is>
      </c>
      <c r="B494" s="10" t="inlineStr">
        <is>
          <t>3257381352</t>
        </is>
      </c>
      <c r="C494" s="10" t="inlineStr">
        <is>
          <t>Porsche Boxster 986</t>
        </is>
      </c>
      <c r="D494" s="18" t="n">
        <v>46296</v>
      </c>
      <c r="E494" s="12" t="n">
        <v>18500</v>
      </c>
      <c r="F494" s="14">
        <f>IF(AND($B494=$B493,ISNUMBER(E493),E493&gt;0),E494/E493-1,"")</f>
        <v/>
      </c>
      <c r="G494" s="19" t="inlineStr">
        <is>
          <t>Voir</t>
        </is>
      </c>
    </row>
    <row r="495">
      <c r="A495" s="10" t="inlineStr">
        <is>
          <t>Porsche Boxster 986</t>
        </is>
      </c>
      <c r="B495" s="10" t="inlineStr">
        <is>
          <t>3261091532</t>
        </is>
      </c>
      <c r="C495" s="10" t="inlineStr">
        <is>
          <t>PORSCHE Boxster 986 2.7 220 BV5 - Historique complet - Origine France</t>
        </is>
      </c>
      <c r="D495" s="18" t="n">
        <v>46296</v>
      </c>
      <c r="E495" s="12" t="n">
        <v>14490</v>
      </c>
      <c r="F495" s="14">
        <f>IF(AND($B495=$B494,ISNUMBER(E494),E494&gt;0),E495/E494-1,"")</f>
        <v/>
      </c>
      <c r="G495" s="19" t="inlineStr">
        <is>
          <t>Voir</t>
        </is>
      </c>
    </row>
    <row r="496">
      <c r="A496" s="10" t="inlineStr">
        <is>
          <t>Porsche Boxster 986</t>
        </is>
      </c>
      <c r="B496" s="10" t="inlineStr">
        <is>
          <t>3261152041</t>
        </is>
      </c>
      <c r="C496" s="10" t="inlineStr">
        <is>
          <t>Porsche boxster 986 phase 2</t>
        </is>
      </c>
      <c r="D496" s="18" t="n">
        <v>46296</v>
      </c>
      <c r="E496" s="12" t="n">
        <v>19900</v>
      </c>
      <c r="F496" s="14">
        <f>IF(AND($B496=$B495,ISNUMBER(E495),E495&gt;0),E496/E495-1,"")</f>
        <v/>
      </c>
      <c r="G496" s="19" t="inlineStr">
        <is>
          <t>Voir</t>
        </is>
      </c>
    </row>
    <row r="497">
      <c r="A497" s="10" t="inlineStr">
        <is>
          <t>Porsche Boxster 986</t>
        </is>
      </c>
      <c r="B497" s="10" t="inlineStr">
        <is>
          <t>3265294019</t>
        </is>
      </c>
      <c r="C497" s="10" t="inlineStr">
        <is>
          <t>Boxster 986</t>
        </is>
      </c>
      <c r="D497" s="18" t="n">
        <v>46296</v>
      </c>
      <c r="E497" s="12" t="n">
        <v>17500</v>
      </c>
      <c r="F497" s="14">
        <f>IF(AND($B497=$B496,ISNUMBER(E496),E496&gt;0),E497/E496-1,"")</f>
        <v/>
      </c>
      <c r="G497" s="19" t="inlineStr">
        <is>
          <t>Voir</t>
        </is>
      </c>
    </row>
    <row r="498">
      <c r="A498" s="10" t="inlineStr">
        <is>
          <t>Porsche Boxster 986</t>
        </is>
      </c>
      <c r="B498" s="10" t="inlineStr">
        <is>
          <t>3266137442</t>
        </is>
      </c>
      <c r="C498" s="10" t="inlineStr">
        <is>
          <t>Porsche BOXSTER (986) 3.2 S 252 CH</t>
        </is>
      </c>
      <c r="D498" s="18" t="n">
        <v>46296</v>
      </c>
      <c r="E498" s="12" t="n">
        <v>6990</v>
      </c>
      <c r="F498" s="14">
        <f>IF(AND($B498=$B497,ISNUMBER(E497),E497&gt;0),E498/E497-1,"")</f>
        <v/>
      </c>
      <c r="G498" s="19" t="inlineStr">
        <is>
          <t>Voir</t>
        </is>
      </c>
    </row>
    <row r="499">
      <c r="A499" s="10" t="inlineStr">
        <is>
          <t>Porsche Boxster 986</t>
        </is>
      </c>
      <c r="B499" s="10" t="inlineStr">
        <is>
          <t>3266468992</t>
        </is>
      </c>
      <c r="C499" s="10" t="inlineStr">
        <is>
          <t>Porsche Boxster (986) 260 S</t>
        </is>
      </c>
      <c r="D499" s="18" t="n">
        <v>46296</v>
      </c>
      <c r="E499" s="12" t="n">
        <v>14900</v>
      </c>
      <c r="F499" s="14">
        <f>IF(AND($B499=$B498,ISNUMBER(E498),E498&gt;0),E499/E498-1,"")</f>
        <v/>
      </c>
      <c r="G499" s="19" t="inlineStr">
        <is>
          <t>Voir</t>
        </is>
      </c>
    </row>
    <row r="500">
      <c r="A500" s="10" t="inlineStr">
        <is>
          <t>Porsche Boxster 986</t>
        </is>
      </c>
      <c r="B500" s="10" t="inlineStr">
        <is>
          <t>3267019398</t>
        </is>
      </c>
      <c r="C500" s="10" t="inlineStr">
        <is>
          <t>Porsche Boxster 986 2.5l</t>
        </is>
      </c>
      <c r="D500" s="18" t="n">
        <v>46296</v>
      </c>
      <c r="E500" s="12" t="n">
        <v>14800</v>
      </c>
      <c r="F500" s="14">
        <f>IF(AND($B500=$B499,ISNUMBER(E499),E499&gt;0),E500/E499-1,"")</f>
        <v/>
      </c>
      <c r="G500" s="19" t="inlineStr">
        <is>
          <t>Voir</t>
        </is>
      </c>
    </row>
    <row r="501">
      <c r="A501" s="10" t="inlineStr">
        <is>
          <t>Porsche Boxster 986</t>
        </is>
      </c>
      <c r="B501" s="10" t="inlineStr">
        <is>
          <t>3267529893</t>
        </is>
      </c>
      <c r="C501" s="10" t="inlineStr">
        <is>
          <t>Porsche Boxster 986</t>
        </is>
      </c>
      <c r="D501" s="18" t="n">
        <v>46296</v>
      </c>
      <c r="E501" s="12" t="n">
        <v>13990</v>
      </c>
      <c r="F501" s="14">
        <f>IF(AND($B501=$B500,ISNUMBER(E500),E500&gt;0),E501/E500-1,"")</f>
        <v/>
      </c>
      <c r="G501" s="19" t="inlineStr">
        <is>
          <t>Voir</t>
        </is>
      </c>
    </row>
    <row r="502">
      <c r="A502" s="10" t="inlineStr">
        <is>
          <t>Porsche Boxster 986</t>
        </is>
      </c>
      <c r="B502" s="10" t="inlineStr">
        <is>
          <t>3267627094</t>
        </is>
      </c>
      <c r="C502" s="10" t="inlineStr">
        <is>
          <t>Porsche Boxster 986</t>
        </is>
      </c>
      <c r="D502" s="18" t="n">
        <v>46296</v>
      </c>
      <c r="E502" s="12" t="n">
        <v>11450</v>
      </c>
      <c r="F502" s="14">
        <f>IF(AND($B502=$B501,ISNUMBER(E501),E501&gt;0),E502/E501-1,"")</f>
        <v/>
      </c>
      <c r="G502" s="19" t="inlineStr">
        <is>
          <t>Voir</t>
        </is>
      </c>
    </row>
    <row r="503">
      <c r="A503" s="10" t="inlineStr">
        <is>
          <t>Porsche Boxster 986</t>
        </is>
      </c>
      <c r="B503" s="10" t="inlineStr">
        <is>
          <t>3269059217</t>
        </is>
      </c>
      <c r="C503" s="10" t="inlineStr">
        <is>
          <t>Porsche boxster 986</t>
        </is>
      </c>
      <c r="D503" s="18" t="n">
        <v>46296</v>
      </c>
      <c r="E503" s="12" t="n">
        <v>17900</v>
      </c>
      <c r="F503" s="14">
        <f>IF(AND($B503=$B502,ISNUMBER(E502),E502&gt;0),E503/E502-1,"")</f>
        <v/>
      </c>
      <c r="G503" s="19" t="inlineStr">
        <is>
          <t>Voir</t>
        </is>
      </c>
    </row>
    <row r="504">
      <c r="A504" s="10" t="inlineStr">
        <is>
          <t>Porsche Boxster 986</t>
        </is>
      </c>
      <c r="B504" s="10" t="inlineStr">
        <is>
          <t>3270983963</t>
        </is>
      </c>
      <c r="C504" s="10" t="inlineStr">
        <is>
          <t>Porsche boxster 986 2.5</t>
        </is>
      </c>
      <c r="D504" s="18" t="n">
        <v>46296</v>
      </c>
      <c r="E504" s="12" t="n">
        <v>11500</v>
      </c>
      <c r="F504" s="14">
        <f>IF(AND($B504=$B503,ISNUMBER(E503),E503&gt;0),E504/E503-1,"")</f>
        <v/>
      </c>
      <c r="G504" s="19" t="inlineStr">
        <is>
          <t>Voir</t>
        </is>
      </c>
    </row>
    <row r="505">
      <c r="A505" s="10" t="inlineStr">
        <is>
          <t>Porsche Boxster 986</t>
        </is>
      </c>
      <c r="B505" s="10" t="inlineStr">
        <is>
          <t>3271472221</t>
        </is>
      </c>
      <c r="C505" s="10" t="inlineStr">
        <is>
          <t>Porsche boxster 986</t>
        </is>
      </c>
      <c r="D505" s="18" t="n">
        <v>46296</v>
      </c>
      <c r="E505" s="12" t="n">
        <v>17500</v>
      </c>
      <c r="F505" s="14">
        <f>IF(AND($B505=$B504,ISNUMBER(E504),E504&gt;0),E505/E504-1,"")</f>
        <v/>
      </c>
      <c r="G505" s="19" t="inlineStr">
        <is>
          <t>Voir</t>
        </is>
      </c>
    </row>
    <row r="506">
      <c r="A506" s="10" t="inlineStr">
        <is>
          <t>Porsche Boxster 986</t>
        </is>
      </c>
      <c r="B506" s="10" t="inlineStr">
        <is>
          <t>3272564375</t>
        </is>
      </c>
      <c r="C506" s="10" t="inlineStr">
        <is>
          <t>Porsche Boxster S 986 3.2 260 CH - HARDTOP / SUIVI D'ENTRETIEN</t>
        </is>
      </c>
      <c r="D506" s="18" t="n">
        <v>46310</v>
      </c>
      <c r="E506" s="12" t="n">
        <v>21990</v>
      </c>
      <c r="F506" s="14">
        <f>IF(AND($B506=$B505,ISNUMBER(E505),E505&gt;0),E506/E505-1,"")</f>
        <v/>
      </c>
      <c r="G506" s="19" t="inlineStr">
        <is>
          <t>Voir</t>
        </is>
      </c>
    </row>
    <row r="507">
      <c r="A507" s="10" t="inlineStr">
        <is>
          <t>Porsche Boxster 986</t>
        </is>
      </c>
      <c r="B507" s="10" t="inlineStr">
        <is>
          <t>3272892582</t>
        </is>
      </c>
      <c r="C507" s="10" t="inlineStr">
        <is>
          <t>Porsche boxster 986</t>
        </is>
      </c>
      <c r="D507" s="18" t="n">
        <v>46296</v>
      </c>
      <c r="E507" s="12" t="n">
        <v>12000</v>
      </c>
      <c r="F507" s="14">
        <f>IF(AND($B507=$B506,ISNUMBER(E506),E506&gt;0),E507/E506-1,"")</f>
        <v/>
      </c>
      <c r="G507" s="19" t="inlineStr">
        <is>
          <t>Voir</t>
        </is>
      </c>
    </row>
    <row r="508">
      <c r="A508" s="10" t="inlineStr">
        <is>
          <t>Porsche Boxster 986</t>
        </is>
      </c>
      <c r="B508" s="10" t="inlineStr">
        <is>
          <t>3272963366</t>
        </is>
      </c>
      <c r="C508" s="10" t="inlineStr">
        <is>
          <t>Porsche BOXSTER (986) 2.7</t>
        </is>
      </c>
      <c r="D508" s="18" t="n">
        <v>46296</v>
      </c>
      <c r="E508" s="12" t="n">
        <v>18990</v>
      </c>
      <c r="F508" s="14">
        <f>IF(AND($B508=$B507,ISNUMBER(E507),E507&gt;0),E508/E507-1,"")</f>
        <v/>
      </c>
      <c r="G508" s="19" t="inlineStr">
        <is>
          <t>Voir</t>
        </is>
      </c>
    </row>
    <row r="509">
      <c r="A509" s="10" t="inlineStr">
        <is>
          <t>Porsche Boxster 986</t>
        </is>
      </c>
      <c r="B509" s="10" t="inlineStr">
        <is>
          <t>3274504040</t>
        </is>
      </c>
      <c r="C509" s="10" t="inlineStr">
        <is>
          <t>Porsche Boxster 986.1 2.7 220 ch Tiptronic</t>
        </is>
      </c>
      <c r="D509" s="18" t="n">
        <v>46310</v>
      </c>
      <c r="E509" s="12" t="n">
        <v>20990</v>
      </c>
      <c r="F509" s="14">
        <f>IF(AND($B509=$B508,ISNUMBER(E508),E508&gt;0),E509/E508-1,"")</f>
        <v/>
      </c>
      <c r="G509" s="19" t="inlineStr">
        <is>
          <t>Voir</t>
        </is>
      </c>
    </row>
    <row r="510">
      <c r="A510" s="10" t="inlineStr">
        <is>
          <t>Porsche Boxster 986</t>
        </is>
      </c>
      <c r="B510" s="10" t="inlineStr">
        <is>
          <t>3275167558</t>
        </is>
      </c>
      <c r="C510" s="10" t="inlineStr">
        <is>
          <t>Porsche Boxster 986</t>
        </is>
      </c>
      <c r="D510" s="18" t="n">
        <v>46296</v>
      </c>
      <c r="E510" s="12" t="n">
        <v>19500</v>
      </c>
      <c r="F510" s="14">
        <f>IF(AND($B510=$B509,ISNUMBER(E509),E509&gt;0),E510/E509-1,"")</f>
        <v/>
      </c>
      <c r="G510" s="19" t="inlineStr">
        <is>
          <t>Voir</t>
        </is>
      </c>
    </row>
    <row r="511">
      <c r="A511" s="10" t="inlineStr">
        <is>
          <t>Porsche Boxster 986</t>
        </is>
      </c>
      <c r="B511" s="10" t="inlineStr">
        <is>
          <t>3275432969</t>
        </is>
      </c>
      <c r="C511" s="10" t="inlineStr">
        <is>
          <t>Porsche Boxster 986 2.5 éthanol</t>
        </is>
      </c>
      <c r="D511" s="18" t="n">
        <v>46296</v>
      </c>
      <c r="E511" s="12" t="n">
        <v>10900</v>
      </c>
      <c r="F511" s="14">
        <f>IF(AND($B511=$B510,ISNUMBER(E510),E510&gt;0),E511/E510-1,"")</f>
        <v/>
      </c>
      <c r="G511" s="19" t="inlineStr">
        <is>
          <t>Voir</t>
        </is>
      </c>
    </row>
    <row r="512">
      <c r="A512" s="10" t="inlineStr">
        <is>
          <t>Porsche Boxster 986</t>
        </is>
      </c>
      <c r="B512" s="10" t="inlineStr">
        <is>
          <t>3276464340</t>
        </is>
      </c>
      <c r="C512" s="10" t="inlineStr">
        <is>
          <t>Porsche Boxster 986 2.7</t>
        </is>
      </c>
      <c r="D512" s="18" t="n">
        <v>46296</v>
      </c>
      <c r="E512" s="12" t="n">
        <v>5000</v>
      </c>
      <c r="F512" s="14">
        <f>IF(AND($B512=$B511,ISNUMBER(E511),E511&gt;0),E512/E511-1,"")</f>
        <v/>
      </c>
      <c r="G512" s="19" t="inlineStr">
        <is>
          <t>Voir</t>
        </is>
      </c>
    </row>
    <row r="513">
      <c r="A513" s="10" t="inlineStr">
        <is>
          <t>Porsche Boxster 986</t>
        </is>
      </c>
      <c r="B513" s="10" t="inlineStr">
        <is>
          <t>3277303432</t>
        </is>
      </c>
      <c r="C513" s="10" t="inlineStr">
        <is>
          <t>Porsche Boxster 986 avec 77053 km</t>
        </is>
      </c>
      <c r="D513" s="18" t="n">
        <v>46296</v>
      </c>
      <c r="E513" s="12" t="n">
        <v>13650</v>
      </c>
      <c r="F513" s="14">
        <f>IF(AND($B513=$B512,ISNUMBER(E512),E512&gt;0),E513/E512-1,"")</f>
        <v/>
      </c>
      <c r="G513" s="19" t="inlineStr">
        <is>
          <t>Voir</t>
        </is>
      </c>
    </row>
    <row r="514">
      <c r="A514" s="10" t="inlineStr">
        <is>
          <t>Porsche Boxster 986</t>
        </is>
      </c>
      <c r="B514" s="10" t="inlineStr">
        <is>
          <t>3277850572</t>
        </is>
      </c>
      <c r="C514" s="10" t="inlineStr">
        <is>
          <t>Porsche Boxster 986</t>
        </is>
      </c>
      <c r="D514" s="18" t="n">
        <v>46296</v>
      </c>
      <c r="E514" s="12" t="n">
        <v>14000</v>
      </c>
      <c r="F514" s="14">
        <f>IF(AND($B514=$B513,ISNUMBER(E513),E513&gt;0),E514/E513-1,"")</f>
        <v/>
      </c>
      <c r="G514" s="19" t="inlineStr">
        <is>
          <t>Voir</t>
        </is>
      </c>
    </row>
    <row r="515">
      <c r="A515" s="10" t="inlineStr">
        <is>
          <t>Porsche Boxster 986</t>
        </is>
      </c>
      <c r="B515" s="10" t="inlineStr">
        <is>
          <t>3278140957</t>
        </is>
      </c>
      <c r="C515" s="10" t="inlineStr">
        <is>
          <t>PORSCHE BOXSTER 2.7i - 228ch TYPE 986 CABRIOLET PHASE 2</t>
        </is>
      </c>
      <c r="D515" s="18" t="n">
        <v>46296</v>
      </c>
      <c r="E515" s="12" t="n">
        <v>18290</v>
      </c>
      <c r="F515" s="14">
        <f>IF(AND($B515=$B514,ISNUMBER(E514),E514&gt;0),E515/E514-1,"")</f>
        <v/>
      </c>
      <c r="G515" s="19" t="inlineStr">
        <is>
          <t>Voir</t>
        </is>
      </c>
    </row>
    <row r="516">
      <c r="A516" s="10" t="inlineStr">
        <is>
          <t>Porsche Boxster 986</t>
        </is>
      </c>
      <c r="B516" s="10" t="inlineStr">
        <is>
          <t>3278292369</t>
        </is>
      </c>
      <c r="C516" s="10" t="inlineStr">
        <is>
          <t>PORSCHE BOXSTER 2.5i TYPE 986 CABRIOLET . PHASE 1 - GARANTIE 12 MOIS</t>
        </is>
      </c>
      <c r="D516" s="18" t="n">
        <v>46310</v>
      </c>
      <c r="E516" s="12" t="n">
        <v>15490</v>
      </c>
      <c r="F516" s="14">
        <f>IF(AND($B516=$B515,ISNUMBER(E515),E515&gt;0),E516/E515-1,"")</f>
        <v/>
      </c>
      <c r="G516" s="19" t="inlineStr">
        <is>
          <t>Voir</t>
        </is>
      </c>
    </row>
    <row r="517">
      <c r="A517" s="10" t="inlineStr">
        <is>
          <t>Porsche Boxster 986</t>
        </is>
      </c>
      <c r="B517" s="10" t="inlineStr">
        <is>
          <t>3279539872</t>
        </is>
      </c>
      <c r="C517" s="10" t="inlineStr">
        <is>
          <t>Porsche Boxster 986 - 2L7</t>
        </is>
      </c>
      <c r="D517" s="18" t="n">
        <v>46296</v>
      </c>
      <c r="E517" s="12" t="n">
        <v>17800</v>
      </c>
      <c r="F517" s="14">
        <f>IF(AND($B517=$B516,ISNUMBER(E516),E516&gt;0),E517/E516-1,"")</f>
        <v/>
      </c>
      <c r="G517" s="19" t="inlineStr">
        <is>
          <t>Voir</t>
        </is>
      </c>
    </row>
    <row r="518">
      <c r="A518" s="10" t="inlineStr">
        <is>
          <t>Porsche Boxster 986</t>
        </is>
      </c>
      <c r="B518" s="10" t="inlineStr">
        <is>
          <t>3279820769</t>
        </is>
      </c>
      <c r="C518" s="10" t="inlineStr">
        <is>
          <t>Porsche boxster 986</t>
        </is>
      </c>
      <c r="D518" s="18" t="n">
        <v>46296</v>
      </c>
      <c r="E518" s="12" t="n">
        <v>19900</v>
      </c>
      <c r="F518" s="14">
        <f>IF(AND($B518=$B517,ISNUMBER(E517),E517&gt;0),E518/E517-1,"")</f>
        <v/>
      </c>
      <c r="G518" s="19" t="inlineStr">
        <is>
          <t>Voir</t>
        </is>
      </c>
    </row>
    <row r="519">
      <c r="A519" s="10" t="inlineStr">
        <is>
          <t>Porsche Boxster 986</t>
        </is>
      </c>
      <c r="B519" s="10" t="inlineStr">
        <is>
          <t>3280631151</t>
        </is>
      </c>
      <c r="C519" s="10" t="inlineStr">
        <is>
          <t>Porsche Boxster 986 2.7L 220CH</t>
        </is>
      </c>
      <c r="D519" s="18" t="n">
        <v>46310</v>
      </c>
      <c r="E519" s="12" t="n">
        <v>15900</v>
      </c>
      <c r="F519" s="14">
        <f>IF(AND($B519=$B518,ISNUMBER(E518),E518&gt;0),E519/E518-1,"")</f>
        <v/>
      </c>
      <c r="G519" s="19" t="inlineStr">
        <is>
          <t>Voir</t>
        </is>
      </c>
    </row>
    <row r="520">
      <c r="A520" s="10" t="inlineStr">
        <is>
          <t>Porsche Boxster 986</t>
        </is>
      </c>
      <c r="B520" s="10" t="inlineStr">
        <is>
          <t>3280951759</t>
        </is>
      </c>
      <c r="C520" s="10" t="inlineStr">
        <is>
          <t>Porsche Boxster BOXTER 986 3.2i S</t>
        </is>
      </c>
      <c r="D520" s="18" t="n">
        <v>46310</v>
      </c>
      <c r="E520" s="12" t="n">
        <v>21990</v>
      </c>
      <c r="F520" s="14">
        <f>IF(AND($B520=$B519,ISNUMBER(E519),E519&gt;0),E520/E519-1,"")</f>
        <v/>
      </c>
      <c r="G520" s="19" t="inlineStr">
        <is>
          <t>Voir</t>
        </is>
      </c>
    </row>
    <row r="521">
      <c r="A521" s="10" t="inlineStr">
        <is>
          <t>Porsche Boxster 986</t>
        </is>
      </c>
      <c r="B521" s="10" t="inlineStr">
        <is>
          <t>3281142481</t>
        </is>
      </c>
      <c r="C521" s="10" t="inlineStr">
        <is>
          <t>Porsche boxster 986 s phase ii</t>
        </is>
      </c>
      <c r="D521" s="18" t="n">
        <v>46310</v>
      </c>
      <c r="E521" s="12" t="n">
        <v>22986</v>
      </c>
      <c r="F521" s="14">
        <f>IF(AND($B521=$B520,ISNUMBER(E520),E520&gt;0),E521/E520-1,"")</f>
        <v/>
      </c>
      <c r="G521" s="19" t="inlineStr">
        <is>
          <t>Voir</t>
        </is>
      </c>
    </row>
    <row r="522">
      <c r="A522" s="10" t="inlineStr">
        <is>
          <t>Porsche Boxster 986</t>
        </is>
      </c>
      <c r="B522" s="10" t="inlineStr">
        <is>
          <t>3281269760</t>
        </is>
      </c>
      <c r="C522" s="10" t="inlineStr">
        <is>
          <t>Porsche boxster 986 2.7</t>
        </is>
      </c>
      <c r="D522" s="18" t="n">
        <v>46310</v>
      </c>
      <c r="E522" s="12" t="n">
        <v>17000</v>
      </c>
      <c r="F522" s="14">
        <f>IF(AND($B522=$B521,ISNUMBER(E521),E521&gt;0),E522/E521-1,"")</f>
        <v/>
      </c>
      <c r="G522" s="19" t="inlineStr">
        <is>
          <t>Voir</t>
        </is>
      </c>
    </row>
    <row r="523">
      <c r="A523" s="10" t="inlineStr">
        <is>
          <t>Porsche Boxster 986</t>
        </is>
      </c>
      <c r="B523" s="10" t="inlineStr">
        <is>
          <t>3281743699</t>
        </is>
      </c>
      <c r="C523" s="10" t="inlineStr">
        <is>
          <t>Porsche boxster 986 2.5 tiptronic — 1998</t>
        </is>
      </c>
      <c r="D523" s="18" t="n">
        <v>46310</v>
      </c>
      <c r="E523" s="12" t="n">
        <v>23000</v>
      </c>
      <c r="F523" s="14">
        <f>IF(AND($B523=$B522,ISNUMBER(E522),E522&gt;0),E523/E522-1,"")</f>
        <v/>
      </c>
      <c r="G523" s="19" t="inlineStr">
        <is>
          <t>Voir</t>
        </is>
      </c>
    </row>
    <row r="524">
      <c r="A524" s="10" t="inlineStr">
        <is>
          <t>Porsche Boxster 986</t>
        </is>
      </c>
      <c r="B524" s="10" t="inlineStr">
        <is>
          <t>3282908902</t>
        </is>
      </c>
      <c r="C524" s="10" t="inlineStr">
        <is>
          <t>Porsche Boxster 986 2.5 i 204ch</t>
        </is>
      </c>
      <c r="D524" s="18" t="n">
        <v>46310</v>
      </c>
      <c r="E524" s="12" t="n">
        <v>15990</v>
      </c>
      <c r="F524" s="14">
        <f>IF(AND($B524=$B523,ISNUMBER(E523),E523&gt;0),E524/E523-1,"")</f>
        <v/>
      </c>
      <c r="G524" s="19" t="inlineStr">
        <is>
          <t>Voir</t>
        </is>
      </c>
    </row>
    <row r="525">
      <c r="A525" s="10" t="inlineStr">
        <is>
          <t>Porsche Boxster 986</t>
        </is>
      </c>
      <c r="B525" s="10" t="inlineStr">
        <is>
          <t>3282993849</t>
        </is>
      </c>
      <c r="C525" s="10" t="inlineStr">
        <is>
          <t>Porsche boxster 986 2.5</t>
        </is>
      </c>
      <c r="D525" s="18" t="n">
        <v>46310</v>
      </c>
      <c r="E525" s="12" t="n">
        <v>10999</v>
      </c>
      <c r="F525" s="14">
        <f>IF(AND($B525=$B524,ISNUMBER(E524),E524&gt;0),E525/E524-1,"")</f>
        <v/>
      </c>
      <c r="G525" s="19" t="inlineStr">
        <is>
          <t>Voir</t>
        </is>
      </c>
    </row>
    <row r="526">
      <c r="A526" s="10" t="inlineStr">
        <is>
          <t>Porsche Boxster 986</t>
        </is>
      </c>
      <c r="B526" s="10" t="inlineStr">
        <is>
          <t>3283155837</t>
        </is>
      </c>
      <c r="C526" s="10" t="inlineStr">
        <is>
          <t>A vendre Porsche Boxster 986 décapotable</t>
        </is>
      </c>
      <c r="D526" s="18" t="n">
        <v>46310</v>
      </c>
      <c r="E526" s="12" t="n">
        <v>20400</v>
      </c>
      <c r="F526" s="14">
        <f>IF(AND($B526=$B525,ISNUMBER(E525),E525&gt;0),E526/E525-1,"")</f>
        <v/>
      </c>
      <c r="G526" s="19" t="inlineStr">
        <is>
          <t>Voir</t>
        </is>
      </c>
    </row>
    <row r="527">
      <c r="A527" s="10" t="inlineStr">
        <is>
          <t>Porsche Boxster 986</t>
        </is>
      </c>
      <c r="B527" s="10" t="inlineStr">
        <is>
          <t>3283554799</t>
        </is>
      </c>
      <c r="C527" s="10" t="inlineStr">
        <is>
          <t>Porsche Boxster 986 3.2 252 ch</t>
        </is>
      </c>
      <c r="D527" s="18" t="n">
        <v>46310</v>
      </c>
      <c r="E527" s="12" t="n">
        <v>22090</v>
      </c>
      <c r="F527" s="14">
        <f>IF(AND($B527=$B526,ISNUMBER(E526),E526&gt;0),E527/E526-1,"")</f>
        <v/>
      </c>
      <c r="G527" s="19" t="inlineStr">
        <is>
          <t>Voir</t>
        </is>
      </c>
    </row>
    <row r="528">
      <c r="A528" s="10" t="inlineStr">
        <is>
          <t>Porsche Boxster 986</t>
        </is>
      </c>
      <c r="B528" s="10" t="inlineStr">
        <is>
          <t>3283952066</t>
        </is>
      </c>
      <c r="C528" s="10" t="inlineStr">
        <is>
          <t>Porsche boxster 986</t>
        </is>
      </c>
      <c r="D528" s="18" t="n">
        <v>46310</v>
      </c>
      <c r="E528" s="12" t="n">
        <v>19500</v>
      </c>
      <c r="F528" s="14">
        <f>IF(AND($B528=$B527,ISNUMBER(E527),E527&gt;0),E528/E527-1,"")</f>
        <v/>
      </c>
      <c r="G528" s="19" t="inlineStr">
        <is>
          <t>Voir</t>
        </is>
      </c>
    </row>
    <row r="529">
      <c r="A529" s="10" t="inlineStr">
        <is>
          <t>Porsche Boxster 986</t>
        </is>
      </c>
      <c r="B529" s="10" t="inlineStr">
        <is>
          <t>3284594155</t>
        </is>
      </c>
      <c r="C529" s="10" t="inlineStr">
        <is>
          <t>Porsche Boxster 986 Faible Kms</t>
        </is>
      </c>
      <c r="D529" s="18" t="n">
        <v>46310</v>
      </c>
      <c r="E529" s="12" t="n">
        <v>19800</v>
      </c>
      <c r="F529" s="14">
        <f>IF(AND($B529=$B528,ISNUMBER(E528),E528&gt;0),E529/E528-1,"")</f>
        <v/>
      </c>
      <c r="G529" s="19" t="inlineStr">
        <is>
          <t>Voir</t>
        </is>
      </c>
    </row>
    <row r="530">
      <c r="A530" s="10" t="inlineStr">
        <is>
          <t>Porsche Boxster 986</t>
        </is>
      </c>
      <c r="B530" s="10" t="inlineStr">
        <is>
          <t>3284730229</t>
        </is>
      </c>
      <c r="C530" s="10" t="inlineStr">
        <is>
          <t>Porsche Boxster 986</t>
        </is>
      </c>
      <c r="D530" s="18" t="n">
        <v>46310</v>
      </c>
      <c r="E530" s="12" t="n">
        <v>22500</v>
      </c>
      <c r="F530" s="14">
        <f>IF(AND($B530=$B529,ISNUMBER(E529),E529&gt;0),E530/E529-1,"")</f>
        <v/>
      </c>
      <c r="G530" s="19" t="inlineStr">
        <is>
          <t>Voir</t>
        </is>
      </c>
    </row>
    <row r="531">
      <c r="A531" s="10" t="inlineStr">
        <is>
          <t>Porsche Boxster 986</t>
        </is>
      </c>
      <c r="B531" s="10" t="inlineStr">
        <is>
          <t>3286790616</t>
        </is>
      </c>
      <c r="C531" s="10" t="inlineStr">
        <is>
          <t>Porsche boxster 986 s</t>
        </is>
      </c>
      <c r="D531" s="18" t="n">
        <v>46310</v>
      </c>
      <c r="E531" s="12" t="n">
        <v>22500</v>
      </c>
      <c r="F531" s="14">
        <f>IF(AND($B531=$B530,ISNUMBER(E530),E530&gt;0),E531/E530-1,"")</f>
        <v/>
      </c>
      <c r="G531" s="19" t="inlineStr">
        <is>
          <t>Voir</t>
        </is>
      </c>
    </row>
    <row r="532">
      <c r="A532" s="10" t="inlineStr">
        <is>
          <t>Porsche Boxster 987</t>
        </is>
      </c>
      <c r="B532" s="10" t="inlineStr">
        <is>
          <t>3128001937</t>
        </is>
      </c>
      <c r="C532" s="10" t="inlineStr">
        <is>
          <t>PORSCHE BOXSTER 987-1 2.7 i Cabriolet 240cv</t>
        </is>
      </c>
      <c r="D532" s="18" t="n">
        <v>46296</v>
      </c>
      <c r="E532" s="12" t="n">
        <v>24490</v>
      </c>
      <c r="F532" s="14">
        <f>IF(AND($B532=$B531,ISNUMBER(E531),E531&gt;0),E532/E531-1,"")</f>
        <v/>
      </c>
      <c r="G532" s="19" t="inlineStr">
        <is>
          <t>Voir</t>
        </is>
      </c>
    </row>
    <row r="533">
      <c r="A533" s="10" t="inlineStr">
        <is>
          <t>Porsche Boxster 987</t>
        </is>
      </c>
      <c r="B533" s="10" t="inlineStr">
        <is>
          <t>3138081600</t>
        </is>
      </c>
      <c r="C533" s="10" t="inlineStr">
        <is>
          <t>Porsche BOXSTER (987) 3.4 S</t>
        </is>
      </c>
      <c r="D533" s="18" t="n">
        <v>46296</v>
      </c>
      <c r="E533" s="12" t="n">
        <v>29990</v>
      </c>
      <c r="F533" s="14">
        <f>IF(AND($B533=$B532,ISNUMBER(E532),E532&gt;0),E533/E532-1,"")</f>
        <v/>
      </c>
      <c r="G533" s="19" t="inlineStr">
        <is>
          <t>Voir</t>
        </is>
      </c>
    </row>
    <row r="534">
      <c r="A534" s="10" t="inlineStr">
        <is>
          <t>Porsche Boxster 987</t>
        </is>
      </c>
      <c r="B534" s="10" t="inlineStr">
        <is>
          <t>3192502697</t>
        </is>
      </c>
      <c r="C534" s="10" t="inlineStr">
        <is>
          <t>Porsche BOXSTER 987 3.2 S 280CV</t>
        </is>
      </c>
      <c r="D534" s="18" t="n">
        <v>46296</v>
      </c>
      <c r="E534" s="12" t="n">
        <v>37900</v>
      </c>
      <c r="F534" s="14">
        <f>IF(AND($B534=$B533,ISNUMBER(E533),E533&gt;0),E534/E533-1,"")</f>
        <v/>
      </c>
      <c r="G534" s="19" t="inlineStr">
        <is>
          <t>Voir</t>
        </is>
      </c>
    </row>
    <row r="535">
      <c r="A535" s="10" t="inlineStr">
        <is>
          <t>Porsche Boxster 987</t>
        </is>
      </c>
      <c r="B535" s="10" t="inlineStr">
        <is>
          <t>3192502697</t>
        </is>
      </c>
      <c r="C535" s="10" t="inlineStr">
        <is>
          <t>Porsche BOXSTER 987 3.2 S 280CV</t>
        </is>
      </c>
      <c r="D535" s="18" t="n">
        <v>46310</v>
      </c>
      <c r="E535" s="12" t="n">
        <v>36900</v>
      </c>
      <c r="F535" s="14">
        <f>IF(AND($B535=$B534,ISNUMBER(E534),E534&gt;0),E535/E534-1,"")</f>
        <v/>
      </c>
      <c r="G535" s="19" t="inlineStr">
        <is>
          <t>Voir</t>
        </is>
      </c>
    </row>
    <row r="536">
      <c r="A536" s="10" t="inlineStr">
        <is>
          <t>Porsche Boxster 987</t>
        </is>
      </c>
      <c r="B536" s="10" t="inlineStr">
        <is>
          <t>3194330539</t>
        </is>
      </c>
      <c r="C536" s="10" t="inlineStr">
        <is>
          <t>Porsche BOXSTER (987) 3.4 S</t>
        </is>
      </c>
      <c r="D536" s="18" t="n">
        <v>46296</v>
      </c>
      <c r="E536" s="12" t="n">
        <v>29990</v>
      </c>
      <c r="F536" s="14">
        <f>IF(AND($B536=$B535,ISNUMBER(E535),E535&gt;0),E536/E535-1,"")</f>
        <v/>
      </c>
      <c r="G536" s="19" t="inlineStr">
        <is>
          <t>Voir</t>
        </is>
      </c>
    </row>
    <row r="537">
      <c r="A537" s="10" t="inlineStr">
        <is>
          <t>Porsche Boxster 987</t>
        </is>
      </c>
      <c r="B537" s="10" t="inlineStr">
        <is>
          <t>3196043714</t>
        </is>
      </c>
      <c r="C537" s="10" t="inlineStr">
        <is>
          <t>Porsche Boxster S (987) 3.4 320 Black Edition</t>
        </is>
      </c>
      <c r="D537" s="18" t="n">
        <v>46296</v>
      </c>
      <c r="E537" s="12" t="n">
        <v>45990</v>
      </c>
      <c r="F537" s="14">
        <f>IF(AND($B537=$B536,ISNUMBER(E536),E536&gt;0),E537/E536-1,"")</f>
        <v/>
      </c>
      <c r="G537" s="19" t="inlineStr">
        <is>
          <t>Voir</t>
        </is>
      </c>
    </row>
    <row r="538">
      <c r="A538" s="10" t="inlineStr">
        <is>
          <t>Porsche Boxster 987</t>
        </is>
      </c>
      <c r="B538" s="10" t="inlineStr">
        <is>
          <t>3203094670</t>
        </is>
      </c>
      <c r="C538" s="10" t="inlineStr">
        <is>
          <t>Porsche Boxster S II (987) 3.4 303ch Design Edition 2</t>
        </is>
      </c>
      <c r="D538" s="18" t="n">
        <v>46310</v>
      </c>
      <c r="E538" s="12" t="n">
        <v>43990</v>
      </c>
      <c r="F538" s="14">
        <f>IF(AND($B538=$B537,ISNUMBER(E537),E537&gt;0),E538/E537-1,"")</f>
        <v/>
      </c>
      <c r="G538" s="19" t="inlineStr">
        <is>
          <t>Voir</t>
        </is>
      </c>
    </row>
    <row r="539">
      <c r="A539" s="10" t="inlineStr">
        <is>
          <t>Porsche Boxster 987</t>
        </is>
      </c>
      <c r="B539" s="10" t="inlineStr">
        <is>
          <t>3206698877</t>
        </is>
      </c>
      <c r="C539" s="10" t="inlineStr">
        <is>
          <t>Porche Boxster 987 2,7l 240ch</t>
        </is>
      </c>
      <c r="D539" s="18" t="n">
        <v>46296</v>
      </c>
      <c r="E539" s="12" t="n">
        <v>24000</v>
      </c>
      <c r="F539" s="14">
        <f>IF(AND($B539=$B538,ISNUMBER(E538),E538&gt;0),E539/E538-1,"")</f>
        <v/>
      </c>
      <c r="G539" s="19" t="inlineStr">
        <is>
          <t>Voir</t>
        </is>
      </c>
    </row>
    <row r="540">
      <c r="A540" s="10" t="inlineStr">
        <is>
          <t>Porsche Boxster 987</t>
        </is>
      </c>
      <c r="B540" s="10" t="inlineStr">
        <is>
          <t>3213417811</t>
        </is>
      </c>
      <c r="C540" s="10" t="inlineStr">
        <is>
          <t>Porsche BOXSTER (987) 2.7 240CH</t>
        </is>
      </c>
      <c r="D540" s="18" t="n">
        <v>46310</v>
      </c>
      <c r="E540" s="12" t="n">
        <v>19900</v>
      </c>
      <c r="F540" s="14">
        <f>IF(AND($B540=$B539,ISNUMBER(E539),E539&gt;0),E540/E539-1,"")</f>
        <v/>
      </c>
      <c r="G540" s="19" t="inlineStr">
        <is>
          <t>Voir</t>
        </is>
      </c>
    </row>
    <row r="541">
      <c r="A541" s="10" t="inlineStr">
        <is>
          <t>Porsche Boxster 987</t>
        </is>
      </c>
      <c r="B541" s="10" t="inlineStr">
        <is>
          <t>3213424345</t>
        </is>
      </c>
      <c r="C541" s="10" t="inlineStr">
        <is>
          <t>Porsche BOXSTER S 987 PDK BLACK EDITION</t>
        </is>
      </c>
      <c r="D541" s="18" t="n">
        <v>46296</v>
      </c>
      <c r="E541" s="12" t="n">
        <v>44990</v>
      </c>
      <c r="F541" s="14">
        <f>IF(AND($B541=$B540,ISNUMBER(E540),E540&gt;0),E541/E540-1,"")</f>
        <v/>
      </c>
      <c r="G541" s="19" t="inlineStr">
        <is>
          <t>Voir</t>
        </is>
      </c>
    </row>
    <row r="542">
      <c r="A542" s="10" t="inlineStr">
        <is>
          <t>Porsche Boxster 987</t>
        </is>
      </c>
      <c r="B542" s="10" t="inlineStr">
        <is>
          <t>3213662086</t>
        </is>
      </c>
      <c r="C542" s="10" t="inlineStr">
        <is>
          <t>Porsche BOXSTER (987) 3.2 S ENTRETIEN COMPLET</t>
        </is>
      </c>
      <c r="D542" s="18" t="n">
        <v>46296</v>
      </c>
      <c r="E542" s="12" t="n">
        <v>28490</v>
      </c>
      <c r="F542" s="14">
        <f>IF(AND($B542=$B541,ISNUMBER(E541),E541&gt;0),E542/E541-1,"")</f>
        <v/>
      </c>
      <c r="G542" s="19" t="inlineStr">
        <is>
          <t>Voir</t>
        </is>
      </c>
    </row>
    <row r="543">
      <c r="A543" s="10" t="inlineStr">
        <is>
          <t>Porsche Boxster 987</t>
        </is>
      </c>
      <c r="B543" s="10" t="inlineStr">
        <is>
          <t>3214095058</t>
        </is>
      </c>
      <c r="C543" s="10" t="inlineStr">
        <is>
          <t>PORSCHE BOXSTER 987 phase 2</t>
        </is>
      </c>
      <c r="D543" s="18" t="n">
        <v>46310</v>
      </c>
      <c r="E543" s="12" t="n">
        <v>34500</v>
      </c>
      <c r="F543" s="14">
        <f>IF(AND($B543=$B542,ISNUMBER(E542),E542&gt;0),E543/E542-1,"")</f>
        <v/>
      </c>
      <c r="G543" s="19" t="inlineStr">
        <is>
          <t>Voir</t>
        </is>
      </c>
    </row>
    <row r="544">
      <c r="A544" s="10" t="inlineStr">
        <is>
          <t>Porsche Boxster 987</t>
        </is>
      </c>
      <c r="B544" s="10" t="inlineStr">
        <is>
          <t>3214587287</t>
        </is>
      </c>
      <c r="C544" s="10" t="inlineStr">
        <is>
          <t>Porsche Boxster 987</t>
        </is>
      </c>
      <c r="D544" s="18" t="n">
        <v>46296</v>
      </c>
      <c r="E544" s="12" t="n">
        <v>27600</v>
      </c>
      <c r="F544" s="14">
        <f>IF(AND($B544=$B543,ISNUMBER(E543),E543&gt;0),E544/E543-1,"")</f>
        <v/>
      </c>
      <c r="G544" s="19" t="inlineStr">
        <is>
          <t>Voir</t>
        </is>
      </c>
    </row>
    <row r="545">
      <c r="A545" s="10" t="inlineStr">
        <is>
          <t>Porsche Boxster 987</t>
        </is>
      </c>
      <c r="B545" s="10" t="inlineStr">
        <is>
          <t>3215149218</t>
        </is>
      </c>
      <c r="C545" s="10" t="inlineStr">
        <is>
          <t>Porsche Boxster II (987.2) 2.9 BVM ORIGINE FRANCE</t>
        </is>
      </c>
      <c r="D545" s="18" t="n">
        <v>46310</v>
      </c>
      <c r="E545" s="12" t="n">
        <v>38990</v>
      </c>
      <c r="F545" s="14">
        <f>IF(AND($B545=$B544,ISNUMBER(E544),E544&gt;0),E545/E544-1,"")</f>
        <v/>
      </c>
      <c r="G545" s="19" t="inlineStr">
        <is>
          <t>Voir</t>
        </is>
      </c>
    </row>
    <row r="546">
      <c r="A546" s="10" t="inlineStr">
        <is>
          <t>Porsche Boxster 987</t>
        </is>
      </c>
      <c r="B546" s="10" t="inlineStr">
        <is>
          <t>3227303911</t>
        </is>
      </c>
      <c r="C546" s="10" t="inlineStr">
        <is>
          <t>Porsche Boxster 987 2.9 PDK 255 ch Sport Chrono + Yellow speed + Sportdesign</t>
        </is>
      </c>
      <c r="D546" s="18" t="n">
        <v>46310</v>
      </c>
      <c r="E546" s="12" t="n">
        <v>35990</v>
      </c>
      <c r="F546" s="14">
        <f>IF(AND($B546=$B545,ISNUMBER(E545),E545&gt;0),E546/E545-1,"")</f>
        <v/>
      </c>
      <c r="G546" s="19" t="inlineStr">
        <is>
          <t>Voir</t>
        </is>
      </c>
    </row>
    <row r="547">
      <c r="A547" s="10" t="inlineStr">
        <is>
          <t>Porsche Boxster 987</t>
        </is>
      </c>
      <c r="B547" s="10" t="inlineStr">
        <is>
          <t>3228156690</t>
        </is>
      </c>
      <c r="C547" s="10" t="inlineStr">
        <is>
          <t>Porsche Boxster 987 S</t>
        </is>
      </c>
      <c r="D547" s="18" t="n">
        <v>46296</v>
      </c>
      <c r="E547" s="12" t="n">
        <v>29500</v>
      </c>
      <c r="F547" s="14">
        <f>IF(AND($B547=$B546,ISNUMBER(E546),E546&gt;0),E547/E546-1,"")</f>
        <v/>
      </c>
      <c r="G547" s="19" t="inlineStr">
        <is>
          <t>Voir</t>
        </is>
      </c>
    </row>
    <row r="548">
      <c r="A548" s="10" t="inlineStr">
        <is>
          <t>Porsche Boxster 987</t>
        </is>
      </c>
      <c r="B548" s="10" t="inlineStr">
        <is>
          <t>3232184088</t>
        </is>
      </c>
      <c r="C548" s="10" t="inlineStr">
        <is>
          <t>Porsche Boxster 987</t>
        </is>
      </c>
      <c r="D548" s="18" t="n">
        <v>46296</v>
      </c>
      <c r="E548" s="12" t="n">
        <v>28990</v>
      </c>
      <c r="F548" s="14">
        <f>IF(AND($B548=$B547,ISNUMBER(E547),E547&gt;0),E548/E547-1,"")</f>
        <v/>
      </c>
      <c r="G548" s="19" t="inlineStr">
        <is>
          <t>Voir</t>
        </is>
      </c>
    </row>
    <row r="549">
      <c r="A549" s="10" t="inlineStr">
        <is>
          <t>Porsche Boxster 987</t>
        </is>
      </c>
      <c r="B549" s="10" t="inlineStr">
        <is>
          <t>3239890949</t>
        </is>
      </c>
      <c r="C549" s="10" t="inlineStr">
        <is>
          <t>Porsche Boxster 987 Phase 2 - 2.9 L 256 Ch -BVM - 60000 Km -Full Black / Financement &amp; Reprise</t>
        </is>
      </c>
      <c r="D549" s="18" t="n">
        <v>46296</v>
      </c>
      <c r="E549" s="12" t="n">
        <v>35900</v>
      </c>
      <c r="F549" s="14">
        <f>IF(AND($B549=$B548,ISNUMBER(E548),E548&gt;0),E549/E548-1,"")</f>
        <v/>
      </c>
      <c r="G549" s="19" t="inlineStr">
        <is>
          <t>Voir</t>
        </is>
      </c>
    </row>
    <row r="550">
      <c r="A550" s="10" t="inlineStr">
        <is>
          <t>Porsche Boxster 987</t>
        </is>
      </c>
      <c r="B550" s="10" t="inlineStr">
        <is>
          <t>3241715497</t>
        </is>
      </c>
      <c r="C550" s="10" t="inlineStr">
        <is>
          <t>Porsche BOXSTER (987) 2.7 245CH</t>
        </is>
      </c>
      <c r="D550" s="18" t="n">
        <v>46296</v>
      </c>
      <c r="E550" s="12" t="n">
        <v>26900</v>
      </c>
      <c r="F550" s="14">
        <f>IF(AND($B550=$B549,ISNUMBER(E549),E549&gt;0),E550/E549-1,"")</f>
        <v/>
      </c>
      <c r="G550" s="19" t="inlineStr">
        <is>
          <t>Voir</t>
        </is>
      </c>
    </row>
    <row r="551">
      <c r="A551" s="10" t="inlineStr">
        <is>
          <t>Porsche Boxster 987</t>
        </is>
      </c>
      <c r="B551" s="10" t="inlineStr">
        <is>
          <t>3244467786</t>
        </is>
      </c>
      <c r="C551" s="10" t="inlineStr">
        <is>
          <t>Porsche Boxster 987-2.7L 240 ch</t>
        </is>
      </c>
      <c r="D551" s="18" t="n">
        <v>46310</v>
      </c>
      <c r="E551" s="12" t="n">
        <v>28000</v>
      </c>
      <c r="F551" s="14">
        <f>IF(AND($B551=$B550,ISNUMBER(E550),E550&gt;0),E551/E550-1,"")</f>
        <v/>
      </c>
      <c r="G551" s="19" t="inlineStr">
        <is>
          <t>Voir</t>
        </is>
      </c>
    </row>
    <row r="552">
      <c r="A552" s="10" t="inlineStr">
        <is>
          <t>Porsche Boxster 987</t>
        </is>
      </c>
      <c r="B552" s="10" t="inlineStr">
        <is>
          <t>3247666341</t>
        </is>
      </c>
      <c r="C552" s="10" t="inlineStr">
        <is>
          <t>Porsche Boxster 987 S 3.4 310 jaune vitesse CARPLAY boite manuelle</t>
        </is>
      </c>
      <c r="D552" s="18" t="n">
        <v>46296</v>
      </c>
      <c r="E552" s="12" t="n">
        <v>46990</v>
      </c>
      <c r="F552" s="14">
        <f>IF(AND($B552=$B551,ISNUMBER(E551),E551&gt;0),E552/E551-1,"")</f>
        <v/>
      </c>
      <c r="G552" s="19" t="inlineStr">
        <is>
          <t>Voir</t>
        </is>
      </c>
    </row>
    <row r="553">
      <c r="A553" s="10" t="inlineStr">
        <is>
          <t>Porsche Boxster 987</t>
        </is>
      </c>
      <c r="B553" s="10" t="inlineStr">
        <is>
          <t>3249020837</t>
        </is>
      </c>
      <c r="C553" s="10" t="inlineStr">
        <is>
          <t>PORSCHE BOXSTER 987-1 3.2 i Cabriolet 280cv</t>
        </is>
      </c>
      <c r="D553" s="18" t="n">
        <v>46310</v>
      </c>
      <c r="E553" s="12" t="n">
        <v>26000</v>
      </c>
      <c r="F553" s="14">
        <f>IF(AND($B553=$B552,ISNUMBER(E552),E552&gt;0),E553/E552-1,"")</f>
        <v/>
      </c>
      <c r="G553" s="19" t="inlineStr">
        <is>
          <t>Voir</t>
        </is>
      </c>
    </row>
    <row r="554">
      <c r="A554" s="10" t="inlineStr">
        <is>
          <t>Porsche Boxster 987</t>
        </is>
      </c>
      <c r="B554" s="10" t="inlineStr">
        <is>
          <t>3253304934</t>
        </is>
      </c>
      <c r="C554" s="10" t="inlineStr">
        <is>
          <t>Porsche Boxster S 987.2 3.4 310CH PDK – SPORT CHRONO PLUS | CUIR ÉTENDU | PCM | XÉNON | 19”</t>
        </is>
      </c>
      <c r="D554" s="18" t="n">
        <v>46296</v>
      </c>
      <c r="E554" s="12" t="n">
        <v>34990</v>
      </c>
      <c r="F554" s="14">
        <f>IF(AND($B554=$B553,ISNUMBER(E553),E553&gt;0),E554/E553-1,"")</f>
        <v/>
      </c>
      <c r="G554" s="19" t="inlineStr">
        <is>
          <t>Voir</t>
        </is>
      </c>
    </row>
    <row r="555">
      <c r="A555" s="10" t="inlineStr">
        <is>
          <t>Porsche Boxster 987</t>
        </is>
      </c>
      <c r="B555" s="10" t="inlineStr">
        <is>
          <t>3258419971</t>
        </is>
      </c>
      <c r="C555" s="10" t="inlineStr">
        <is>
          <t>Porsche boxster 987</t>
        </is>
      </c>
      <c r="D555" s="18" t="n">
        <v>46296</v>
      </c>
      <c r="E555" s="12" t="n">
        <v>20000</v>
      </c>
      <c r="F555" s="14">
        <f>IF(AND($B555=$B554,ISNUMBER(E554),E554&gt;0),E555/E554-1,"")</f>
        <v/>
      </c>
      <c r="G555" s="19" t="inlineStr">
        <is>
          <t>Voir</t>
        </is>
      </c>
    </row>
    <row r="556">
      <c r="A556" s="10" t="inlineStr">
        <is>
          <t>Porsche Boxster 987</t>
        </is>
      </c>
      <c r="B556" s="10" t="inlineStr">
        <is>
          <t>3258520263</t>
        </is>
      </c>
      <c r="C556" s="10" t="inlineStr">
        <is>
          <t>Porsche Boxster II (987) 2.9</t>
        </is>
      </c>
      <c r="D556" s="18" t="n">
        <v>46296</v>
      </c>
      <c r="E556" s="12" t="n">
        <v>39990</v>
      </c>
      <c r="F556" s="14">
        <f>IF(AND($B556=$B555,ISNUMBER(E555),E555&gt;0),E556/E555-1,"")</f>
        <v/>
      </c>
      <c r="G556" s="19" t="inlineStr">
        <is>
          <t>Voir</t>
        </is>
      </c>
    </row>
    <row r="557">
      <c r="A557" s="10" t="inlineStr">
        <is>
          <t>Porsche Boxster 987</t>
        </is>
      </c>
      <c r="B557" s="10" t="inlineStr">
        <is>
          <t>3263120554</t>
        </is>
      </c>
      <c r="C557" s="10" t="inlineStr">
        <is>
          <t>Porsche Boxster 987 S</t>
        </is>
      </c>
      <c r="D557" s="18" t="n">
        <v>46296</v>
      </c>
      <c r="E557" s="12" t="n">
        <v>18950</v>
      </c>
      <c r="F557" s="14">
        <f>IF(AND($B557=$B556,ISNUMBER(E556),E556&gt;0),E557/E556-1,"")</f>
        <v/>
      </c>
      <c r="G557" s="19" t="inlineStr">
        <is>
          <t>Voir</t>
        </is>
      </c>
    </row>
    <row r="558">
      <c r="A558" s="10" t="inlineStr">
        <is>
          <t>Porsche Boxster 987</t>
        </is>
      </c>
      <c r="B558" s="10" t="inlineStr">
        <is>
          <t>3266721735</t>
        </is>
      </c>
      <c r="C558" s="10" t="inlineStr">
        <is>
          <t>Porsche Boxster 987.1 2.7L 240CV</t>
        </is>
      </c>
      <c r="D558" s="18" t="n">
        <v>46296</v>
      </c>
      <c r="E558" s="12" t="n">
        <v>28000</v>
      </c>
      <c r="F558" s="14">
        <f>IF(AND($B558=$B557,ISNUMBER(E557),E557&gt;0),E558/E557-1,"")</f>
        <v/>
      </c>
      <c r="G558" s="19" t="inlineStr">
        <is>
          <t>Voir</t>
        </is>
      </c>
    </row>
    <row r="559">
      <c r="A559" s="10" t="inlineStr">
        <is>
          <t>Porsche Boxster 987</t>
        </is>
      </c>
      <c r="B559" s="10" t="inlineStr">
        <is>
          <t>3267035560</t>
        </is>
      </c>
      <c r="C559" s="10" t="inlineStr">
        <is>
          <t>Porsche Boxster 987 2.9 6 cyl. 256 ch PDK / 48 973 km Bi-Xénon Alcantara-Cuir Sièges chauffants</t>
        </is>
      </c>
      <c r="D559" s="18" t="n">
        <v>46296</v>
      </c>
      <c r="E559" s="12" t="n">
        <v>34350</v>
      </c>
      <c r="F559" s="14">
        <f>IF(AND($B559=$B558,ISNUMBER(E558),E558&gt;0),E559/E558-1,"")</f>
        <v/>
      </c>
      <c r="G559" s="19" t="inlineStr">
        <is>
          <t>Voir</t>
        </is>
      </c>
    </row>
    <row r="560">
      <c r="A560" s="10" t="inlineStr">
        <is>
          <t>Porsche Boxster 987</t>
        </is>
      </c>
      <c r="B560" s="10" t="inlineStr">
        <is>
          <t>3270378486</t>
        </is>
      </c>
      <c r="C560" s="10" t="inlineStr">
        <is>
          <t>Porsche Boxster S (987.2) 3.4 310ch PDK - Pack Chrono / Sport Design PCM</t>
        </is>
      </c>
      <c r="D560" s="18" t="n">
        <v>46296</v>
      </c>
      <c r="E560" s="12" t="n">
        <v>36990</v>
      </c>
      <c r="F560" s="14">
        <f>IF(AND($B560=$B559,ISNUMBER(E559),E559&gt;0),E560/E559-1,"")</f>
        <v/>
      </c>
      <c r="G560" s="19" t="inlineStr">
        <is>
          <t>Voir</t>
        </is>
      </c>
    </row>
    <row r="561">
      <c r="A561" s="10" t="inlineStr">
        <is>
          <t>Porsche Boxster 987</t>
        </is>
      </c>
      <c r="B561" s="10" t="inlineStr">
        <is>
          <t>3270568277</t>
        </is>
      </c>
      <c r="C561" s="10" t="inlineStr">
        <is>
          <t>Porsche boxster 987</t>
        </is>
      </c>
      <c r="D561" s="18" t="n">
        <v>46296</v>
      </c>
      <c r="E561" s="12" t="n">
        <v>25000</v>
      </c>
      <c r="F561" s="14">
        <f>IF(AND($B561=$B560,ISNUMBER(E560),E560&gt;0),E561/E560-1,"")</f>
        <v/>
      </c>
      <c r="G561" s="19" t="inlineStr">
        <is>
          <t>Voir</t>
        </is>
      </c>
    </row>
    <row r="562">
      <c r="A562" s="10" t="inlineStr">
        <is>
          <t>Porsche Boxster 987</t>
        </is>
      </c>
      <c r="B562" s="10" t="inlineStr">
        <is>
          <t>3270821976</t>
        </is>
      </c>
      <c r="C562" s="10" t="inlineStr">
        <is>
          <t>Porsche Boxster 987 Phase 2</t>
        </is>
      </c>
      <c r="D562" s="18" t="n">
        <v>46296</v>
      </c>
      <c r="E562" s="12" t="n">
        <v>38900</v>
      </c>
      <c r="F562" s="14">
        <f>IF(AND($B562=$B561,ISNUMBER(E561),E561&gt;0),E562/E561-1,"")</f>
        <v/>
      </c>
      <c r="G562" s="19" t="inlineStr">
        <is>
          <t>Voir</t>
        </is>
      </c>
    </row>
    <row r="563">
      <c r="A563" s="10" t="inlineStr">
        <is>
          <t>Porsche Boxster 987</t>
        </is>
      </c>
      <c r="B563" s="10" t="inlineStr">
        <is>
          <t>3271574505</t>
        </is>
      </c>
      <c r="C563" s="10" t="inlineStr">
        <is>
          <t>Porsche Boxster 987 2.7L BVA</t>
        </is>
      </c>
      <c r="D563" s="18" t="n">
        <v>46296</v>
      </c>
      <c r="E563" s="12" t="n">
        <v>23500</v>
      </c>
      <c r="F563" s="14">
        <f>IF(AND($B563=$B562,ISNUMBER(E562),E562&gt;0),E563/E562-1,"")</f>
        <v/>
      </c>
      <c r="G563" s="19" t="inlineStr">
        <is>
          <t>Voir</t>
        </is>
      </c>
    </row>
    <row r="564">
      <c r="A564" s="10" t="inlineStr">
        <is>
          <t>Porsche Boxster 987</t>
        </is>
      </c>
      <c r="B564" s="10" t="inlineStr">
        <is>
          <t>3271944032</t>
        </is>
      </c>
      <c r="C564" s="10" t="inlineStr">
        <is>
          <t>Boxster 987.2</t>
        </is>
      </c>
      <c r="D564" s="18" t="n">
        <v>46296</v>
      </c>
      <c r="E564" s="12" t="n">
        <v>32000</v>
      </c>
      <c r="F564" s="14">
        <f>IF(AND($B564=$B563,ISNUMBER(E563),E563&gt;0),E564/E563-1,"")</f>
        <v/>
      </c>
      <c r="G564" s="19" t="inlineStr">
        <is>
          <t>Voir</t>
        </is>
      </c>
    </row>
    <row r="565">
      <c r="A565" s="10" t="inlineStr">
        <is>
          <t>Porsche Boxster 987</t>
        </is>
      </c>
      <c r="B565" s="10" t="inlineStr">
        <is>
          <t>3272175602</t>
        </is>
      </c>
      <c r="C565" s="10" t="inlineStr">
        <is>
          <t>PORSCHE BOXSTER Type 987 3.4 295 S Entretien Porsche</t>
        </is>
      </c>
      <c r="D565" s="18" t="n">
        <v>46296</v>
      </c>
      <c r="E565" s="12" t="n">
        <v>23990</v>
      </c>
      <c r="F565" s="14">
        <f>IF(AND($B565=$B564,ISNUMBER(E564),E564&gt;0),E565/E564-1,"")</f>
        <v/>
      </c>
      <c r="G565" s="19" t="inlineStr">
        <is>
          <t>Voir</t>
        </is>
      </c>
    </row>
    <row r="566">
      <c r="A566" s="10" t="inlineStr">
        <is>
          <t>Porsche Boxster 987</t>
        </is>
      </c>
      <c r="B566" s="10" t="inlineStr">
        <is>
          <t>3272603300</t>
        </is>
      </c>
      <c r="C566" s="10" t="inlineStr">
        <is>
          <t>Porsche Boxster Type 987.1 (2.7) *BVM / Intérieur Cuir / Sièges chauffants / Jantes Boxster S 18"</t>
        </is>
      </c>
      <c r="D566" s="18" t="n">
        <v>46296</v>
      </c>
      <c r="E566" s="12" t="n">
        <v>27490</v>
      </c>
      <c r="F566" s="14">
        <f>IF(AND($B566=$B565,ISNUMBER(E565),E565&gt;0),E566/E565-1,"")</f>
        <v/>
      </c>
      <c r="G566" s="19" t="inlineStr">
        <is>
          <t>Voir</t>
        </is>
      </c>
    </row>
    <row r="567">
      <c r="A567" s="10" t="inlineStr">
        <is>
          <t>Porsche Boxster 987</t>
        </is>
      </c>
      <c r="B567" s="10" t="inlineStr">
        <is>
          <t>3273797460</t>
        </is>
      </c>
      <c r="C567" s="10" t="inlineStr">
        <is>
          <t>Porsche boxster 987</t>
        </is>
      </c>
      <c r="D567" s="18" t="n">
        <v>46296</v>
      </c>
      <c r="E567" s="12" t="n">
        <v>25900</v>
      </c>
      <c r="F567" s="14">
        <f>IF(AND($B567=$B566,ISNUMBER(E566),E566&gt;0),E567/E566-1,"")</f>
        <v/>
      </c>
      <c r="G567" s="19" t="inlineStr">
        <is>
          <t>Voir</t>
        </is>
      </c>
    </row>
    <row r="568">
      <c r="A568" s="10" t="inlineStr">
        <is>
          <t>Porsche Boxster 987</t>
        </is>
      </c>
      <c r="B568" s="10" t="inlineStr">
        <is>
          <t>3274728979</t>
        </is>
      </c>
      <c r="C568" s="10" t="inlineStr">
        <is>
          <t>PORSCHE BOXSTER 987 2.7 245ch Boite Mécanique Origine France</t>
        </is>
      </c>
      <c r="D568" s="18" t="n">
        <v>46296</v>
      </c>
      <c r="E568" s="12" t="n">
        <v>29900</v>
      </c>
      <c r="F568" s="14">
        <f>IF(AND($B568=$B567,ISNUMBER(E567),E567&gt;0),E568/E567-1,"")</f>
        <v/>
      </c>
      <c r="G568" s="19" t="inlineStr">
        <is>
          <t>Voir</t>
        </is>
      </c>
    </row>
    <row r="569">
      <c r="A569" s="10" t="inlineStr">
        <is>
          <t>Porsche Boxster 987</t>
        </is>
      </c>
      <c r="B569" s="10" t="inlineStr">
        <is>
          <t>3275857883</t>
        </is>
      </c>
      <c r="C569" s="10" t="inlineStr">
        <is>
          <t>Porsche Boxster 987 2.7 240CH</t>
        </is>
      </c>
      <c r="D569" s="18" t="n">
        <v>46296</v>
      </c>
      <c r="E569" s="12" t="n">
        <v>24990</v>
      </c>
      <c r="F569" s="14">
        <f>IF(AND($B569=$B568,ISNUMBER(E568),E568&gt;0),E569/E568-1,"")</f>
        <v/>
      </c>
      <c r="G569" s="19" t="inlineStr">
        <is>
          <t>Voir</t>
        </is>
      </c>
    </row>
    <row r="570">
      <c r="A570" s="10" t="inlineStr">
        <is>
          <t>Porsche Boxster 987</t>
        </is>
      </c>
      <c r="B570" s="10" t="inlineStr">
        <is>
          <t>3276480306</t>
        </is>
      </c>
      <c r="C570" s="10" t="inlineStr">
        <is>
          <t>Porsche Boxster 987 72500 kms 2006</t>
        </is>
      </c>
      <c r="D570" s="18" t="n">
        <v>46296</v>
      </c>
      <c r="E570" s="12" t="n">
        <v>28500</v>
      </c>
      <c r="F570" s="14">
        <f>IF(AND($B570=$B569,ISNUMBER(E569),E569&gt;0),E570/E569-1,"")</f>
        <v/>
      </c>
      <c r="G570" s="19" t="inlineStr">
        <is>
          <t>Voir</t>
        </is>
      </c>
    </row>
    <row r="571">
      <c r="A571" s="10" t="inlineStr">
        <is>
          <t>Porsche Boxster 987</t>
        </is>
      </c>
      <c r="B571" s="10" t="inlineStr">
        <is>
          <t>3277011288</t>
        </is>
      </c>
      <c r="C571" s="10" t="inlineStr">
        <is>
          <t>Porsche Boxster 987.2</t>
        </is>
      </c>
      <c r="D571" s="18" t="n">
        <v>46296</v>
      </c>
      <c r="E571" s="12" t="n">
        <v>33500</v>
      </c>
      <c r="F571" s="14">
        <f>IF(AND($B571=$B570,ISNUMBER(E570),E570&gt;0),E571/E570-1,"")</f>
        <v/>
      </c>
      <c r="G571" s="19" t="inlineStr">
        <is>
          <t>Voir</t>
        </is>
      </c>
    </row>
    <row r="572">
      <c r="A572" s="10" t="inlineStr">
        <is>
          <t>Porsche Boxster 987</t>
        </is>
      </c>
      <c r="B572" s="10" t="inlineStr">
        <is>
          <t>3277083239</t>
        </is>
      </c>
      <c r="C572" s="10" t="inlineStr">
        <is>
          <t>Porsche Boxster 987-3.4 310ch</t>
        </is>
      </c>
      <c r="D572" s="18" t="n">
        <v>46296</v>
      </c>
      <c r="E572" s="12" t="n">
        <v>35500</v>
      </c>
      <c r="F572" s="14">
        <f>IF(AND($B572=$B571,ISNUMBER(E571),E571&gt;0),E572/E571-1,"")</f>
        <v/>
      </c>
      <c r="G572" s="19" t="inlineStr">
        <is>
          <t>Voir</t>
        </is>
      </c>
    </row>
    <row r="573">
      <c r="A573" s="10" t="inlineStr">
        <is>
          <t>Porsche Boxster 987</t>
        </is>
      </c>
      <c r="B573" s="10" t="inlineStr">
        <is>
          <t>3278139565</t>
        </is>
      </c>
      <c r="C573" s="10" t="inlineStr">
        <is>
          <t>PORSCHE BOXSTER 987 2.7i 240 CH boite manuelle - Entretien Porsche - Test Piwi - Immat France</t>
        </is>
      </c>
      <c r="D573" s="18" t="n">
        <v>46310</v>
      </c>
      <c r="E573" s="12" t="n">
        <v>23490</v>
      </c>
      <c r="F573" s="14">
        <f>IF(AND($B573=$B572,ISNUMBER(E572),E572&gt;0),E573/E572-1,"")</f>
        <v/>
      </c>
      <c r="G573" s="19" t="inlineStr">
        <is>
          <t>Voir</t>
        </is>
      </c>
    </row>
    <row r="574">
      <c r="A574" s="10" t="inlineStr">
        <is>
          <t>Porsche Boxster 987</t>
        </is>
      </c>
      <c r="B574" s="10" t="inlineStr">
        <is>
          <t>3278151888</t>
        </is>
      </c>
      <c r="C574" s="10" t="inlineStr">
        <is>
          <t>PORSCHE BOXSTER 987.1 2,7 L 245ch</t>
        </is>
      </c>
      <c r="D574" s="18" t="n">
        <v>46296</v>
      </c>
      <c r="E574" s="12" t="n">
        <v>27499</v>
      </c>
      <c r="F574" s="14">
        <f>IF(AND($B574=$B573,ISNUMBER(E573),E573&gt;0),E574/E573-1,"")</f>
        <v/>
      </c>
      <c r="G574" s="19" t="inlineStr">
        <is>
          <t>Voir</t>
        </is>
      </c>
    </row>
    <row r="575">
      <c r="A575" s="10" t="inlineStr">
        <is>
          <t>Porsche Boxster 987</t>
        </is>
      </c>
      <c r="B575" s="10" t="inlineStr">
        <is>
          <t>3278205054</t>
        </is>
      </c>
      <c r="C575" s="10" t="inlineStr">
        <is>
          <t>Porsche boxster s 3.4 310 pdk type 987</t>
        </is>
      </c>
      <c r="D575" s="18" t="n">
        <v>46296</v>
      </c>
      <c r="E575" s="12" t="n">
        <v>45990</v>
      </c>
      <c r="F575" s="14">
        <f>IF(AND($B575=$B574,ISNUMBER(E574),E574&gt;0),E575/E574-1,"")</f>
        <v/>
      </c>
      <c r="G575" s="19" t="inlineStr">
        <is>
          <t>Voir</t>
        </is>
      </c>
    </row>
    <row r="576">
      <c r="A576" s="10" t="inlineStr">
        <is>
          <t>Porsche Boxster 987</t>
        </is>
      </c>
      <c r="B576" s="10" t="inlineStr">
        <is>
          <t>3278209806</t>
        </is>
      </c>
      <c r="C576" s="10" t="inlineStr">
        <is>
          <t>PORSCHE BOXSTER 2.7i - 245 TYPE 987 CABRIOLET</t>
        </is>
      </c>
      <c r="D576" s="18" t="n">
        <v>46310</v>
      </c>
      <c r="E576" s="12" t="n">
        <v>26990</v>
      </c>
      <c r="F576" s="14">
        <f>IF(AND($B576=$B575,ISNUMBER(E575),E575&gt;0),E576/E575-1,"")</f>
        <v/>
      </c>
      <c r="G576" s="19" t="inlineStr">
        <is>
          <t>Voir</t>
        </is>
      </c>
    </row>
    <row r="577">
      <c r="A577" s="10" t="inlineStr">
        <is>
          <t>Porsche Boxster 987</t>
        </is>
      </c>
      <c r="B577" s="10" t="inlineStr">
        <is>
          <t>3278260839</t>
        </is>
      </c>
      <c r="C577" s="10" t="inlineStr">
        <is>
          <t>PORSCHE BOXSTER 2.7i 240 TYPE 987 CABRIOLET</t>
        </is>
      </c>
      <c r="D577" s="18" t="n">
        <v>46296</v>
      </c>
      <c r="E577" s="12" t="n">
        <v>27990</v>
      </c>
      <c r="F577" s="14">
        <f>IF(AND($B577=$B576,ISNUMBER(E576),E576&gt;0),E577/E576-1,"")</f>
        <v/>
      </c>
      <c r="G577" s="19" t="inlineStr">
        <is>
          <t>Voir</t>
        </is>
      </c>
    </row>
    <row r="578">
      <c r="A578" s="10" t="inlineStr">
        <is>
          <t>Porsche Boxster 987</t>
        </is>
      </c>
      <c r="B578" s="10" t="inlineStr">
        <is>
          <t>3278728030</t>
        </is>
      </c>
      <c r="C578" s="10" t="inlineStr">
        <is>
          <t>Porsche BOXSTER (987) 3.4 S</t>
        </is>
      </c>
      <c r="D578" s="18" t="n">
        <v>46296</v>
      </c>
      <c r="E578" s="12" t="n">
        <v>34490</v>
      </c>
      <c r="F578" s="14">
        <f>IF(AND($B578=$B577,ISNUMBER(E577),E577&gt;0),E578/E577-1,"")</f>
        <v/>
      </c>
      <c r="G578" s="19" t="inlineStr">
        <is>
          <t>Voir</t>
        </is>
      </c>
    </row>
    <row r="579">
      <c r="A579" s="10" t="inlineStr">
        <is>
          <t>Porsche Boxster 987</t>
        </is>
      </c>
      <c r="B579" s="10" t="inlineStr">
        <is>
          <t>3278728030</t>
        </is>
      </c>
      <c r="C579" s="10" t="inlineStr">
        <is>
          <t>Porsche BOXSTER (987) 3.4 S</t>
        </is>
      </c>
      <c r="D579" s="18" t="n">
        <v>46310</v>
      </c>
      <c r="E579" s="12" t="n">
        <v>32890</v>
      </c>
      <c r="F579" s="14">
        <f>IF(AND($B579=$B578,ISNUMBER(E578),E578&gt;0),E579/E578-1,"")</f>
        <v/>
      </c>
      <c r="G579" s="19" t="inlineStr">
        <is>
          <t>Voir</t>
        </is>
      </c>
    </row>
    <row r="580">
      <c r="A580" s="10" t="inlineStr">
        <is>
          <t>Porsche Boxster 987</t>
        </is>
      </c>
      <c r="B580" s="10" t="inlineStr">
        <is>
          <t>3278966054</t>
        </is>
      </c>
      <c r="C580" s="10" t="inlineStr">
        <is>
          <t>PORSCHE BOXSTER 987 2.7 240 ch</t>
        </is>
      </c>
      <c r="D580" s="18" t="n">
        <v>46310</v>
      </c>
      <c r="E580" s="12" t="n">
        <v>25990</v>
      </c>
      <c r="F580" s="14">
        <f>IF(AND($B580=$B579,ISNUMBER(E579),E579&gt;0),E580/E579-1,"")</f>
        <v/>
      </c>
      <c r="G580" s="19" t="inlineStr">
        <is>
          <t>Voir</t>
        </is>
      </c>
    </row>
    <row r="581">
      <c r="A581" s="10" t="inlineStr">
        <is>
          <t>Porsche Boxster 987</t>
        </is>
      </c>
      <c r="B581" s="10" t="inlineStr">
        <is>
          <t>3279041618</t>
        </is>
      </c>
      <c r="C581" s="10" t="inlineStr">
        <is>
          <t>Porsche Boxster 987</t>
        </is>
      </c>
      <c r="D581" s="18" t="n">
        <v>46296</v>
      </c>
      <c r="E581" s="12" t="n">
        <v>27500</v>
      </c>
      <c r="F581" s="14">
        <f>IF(AND($B581=$B580,ISNUMBER(E580),E580&gt;0),E581/E580-1,"")</f>
        <v/>
      </c>
      <c r="G581" s="19" t="inlineStr">
        <is>
          <t>Voir</t>
        </is>
      </c>
    </row>
    <row r="582">
      <c r="A582" s="10" t="inlineStr">
        <is>
          <t>Porsche Boxster 987</t>
        </is>
      </c>
      <c r="B582" s="10" t="inlineStr">
        <is>
          <t>3279739780</t>
        </is>
      </c>
      <c r="C582" s="10" t="inlineStr">
        <is>
          <t>PORSCHE BOXSTER Porsche 987 *Black Edition</t>
        </is>
      </c>
      <c r="D582" s="18" t="n">
        <v>46310</v>
      </c>
      <c r="E582" s="12" t="n">
        <v>49900</v>
      </c>
      <c r="F582" s="14">
        <f>IF(AND($B582=$B581,ISNUMBER(E581),E581&gt;0),E582/E581-1,"")</f>
        <v/>
      </c>
      <c r="G582" s="19" t="inlineStr">
        <is>
          <t>Voir</t>
        </is>
      </c>
    </row>
    <row r="583">
      <c r="A583" s="10" t="inlineStr">
        <is>
          <t>Porsche Boxster 987</t>
        </is>
      </c>
      <c r="B583" s="10" t="inlineStr">
        <is>
          <t>3280329204</t>
        </is>
      </c>
      <c r="C583" s="10" t="inlineStr">
        <is>
          <t>PORSCHE Boxster 987 2.7 245 CH</t>
        </is>
      </c>
      <c r="D583" s="18" t="n">
        <v>46310</v>
      </c>
      <c r="E583" s="12" t="n">
        <v>31990</v>
      </c>
      <c r="F583" s="14">
        <f>IF(AND($B583=$B582,ISNUMBER(E582),E582&gt;0),E583/E582-1,"")</f>
        <v/>
      </c>
      <c r="G583" s="19" t="inlineStr">
        <is>
          <t>Voir</t>
        </is>
      </c>
    </row>
    <row r="584">
      <c r="A584" s="10" t="inlineStr">
        <is>
          <t>Porsche Boxster 987</t>
        </is>
      </c>
      <c r="B584" s="10" t="inlineStr">
        <is>
          <t>3280508090</t>
        </is>
      </c>
      <c r="C584" s="10" t="inlineStr">
        <is>
          <t>Porsche boxster 987</t>
        </is>
      </c>
      <c r="D584" s="18" t="n">
        <v>46310</v>
      </c>
      <c r="E584" s="12" t="n">
        <v>29000</v>
      </c>
      <c r="F584" s="14">
        <f>IF(AND($B584=$B583,ISNUMBER(E583),E583&gt;0),E584/E583-1,"")</f>
        <v/>
      </c>
      <c r="G584" s="19" t="inlineStr">
        <is>
          <t>Voir</t>
        </is>
      </c>
    </row>
    <row r="585">
      <c r="A585" s="10" t="inlineStr">
        <is>
          <t>Porsche Boxster 987</t>
        </is>
      </c>
      <c r="B585" s="10" t="inlineStr">
        <is>
          <t>3280631564</t>
        </is>
      </c>
      <c r="C585" s="10" t="inlineStr">
        <is>
          <t>PORSCHE BOXSTER 987 II 2.9i 255 CH PDK - IMMAT FRANCE</t>
        </is>
      </c>
      <c r="D585" s="18" t="n">
        <v>46310</v>
      </c>
      <c r="E585" s="12" t="n">
        <v>34490</v>
      </c>
      <c r="F585" s="14">
        <f>IF(AND($B585=$B584,ISNUMBER(E584),E584&gt;0),E585/E584-1,"")</f>
        <v/>
      </c>
      <c r="G585" s="19" t="inlineStr">
        <is>
          <t>Voir</t>
        </is>
      </c>
    </row>
    <row r="586">
      <c r="A586" s="10" t="inlineStr">
        <is>
          <t>Porsche Boxster 987</t>
        </is>
      </c>
      <c r="B586" s="10" t="inlineStr">
        <is>
          <t>3281973414</t>
        </is>
      </c>
      <c r="C586" s="10" t="inlineStr">
        <is>
          <t>Porsche boxster 987</t>
        </is>
      </c>
      <c r="D586" s="18" t="n">
        <v>46310</v>
      </c>
      <c r="E586" s="12" t="n">
        <v>20000</v>
      </c>
      <c r="F586" s="14">
        <f>IF(AND($B586=$B585,ISNUMBER(E585),E585&gt;0),E586/E585-1,"")</f>
        <v/>
      </c>
      <c r="G586" s="19" t="inlineStr">
        <is>
          <t>Voir</t>
        </is>
      </c>
    </row>
    <row r="587">
      <c r="A587" s="10" t="inlineStr">
        <is>
          <t>Porsche Boxster 987</t>
        </is>
      </c>
      <c r="B587" s="10" t="inlineStr">
        <is>
          <t>3283262378</t>
        </is>
      </c>
      <c r="C587" s="10" t="inlineStr">
        <is>
          <t>Porsche Boxster 987 2.7L 245cv</t>
        </is>
      </c>
      <c r="D587" s="18" t="n">
        <v>46310</v>
      </c>
      <c r="E587" s="12" t="n">
        <v>29000</v>
      </c>
      <c r="F587" s="14">
        <f>IF(AND($B587=$B586,ISNUMBER(E586),E586&gt;0),E587/E586-1,"")</f>
        <v/>
      </c>
      <c r="G587" s="19" t="inlineStr">
        <is>
          <t>Voir</t>
        </is>
      </c>
    </row>
    <row r="588">
      <c r="A588" s="10" t="inlineStr">
        <is>
          <t>Porsche Boxster 987</t>
        </is>
      </c>
      <c r="B588" s="10" t="inlineStr">
        <is>
          <t>3283833054</t>
        </is>
      </c>
      <c r="C588" s="10" t="inlineStr">
        <is>
          <t>Porsche boxster 987</t>
        </is>
      </c>
      <c r="D588" s="18" t="n">
        <v>46310</v>
      </c>
      <c r="E588" s="12" t="n">
        <v>23990</v>
      </c>
      <c r="F588" s="14">
        <f>IF(AND($B588=$B587,ISNUMBER(E587),E587&gt;0),E588/E587-1,"")</f>
        <v/>
      </c>
      <c r="G588" s="19" t="inlineStr">
        <is>
          <t>Voir</t>
        </is>
      </c>
    </row>
    <row r="589">
      <c r="A589" s="10" t="inlineStr">
        <is>
          <t>Porsche Boxster 987</t>
        </is>
      </c>
      <c r="B589" s="10" t="inlineStr">
        <is>
          <t>3284158987</t>
        </is>
      </c>
      <c r="C589" s="10" t="inlineStr">
        <is>
          <t>PORSCHE BOXSTER 2.7i - 245 TYPE 987 CABRIOLET</t>
        </is>
      </c>
      <c r="D589" s="18" t="n">
        <v>46310</v>
      </c>
      <c r="E589" s="12" t="n">
        <v>29499</v>
      </c>
      <c r="F589" s="14">
        <f>IF(AND($B589=$B588,ISNUMBER(E588),E588&gt;0),E589/E588-1,"")</f>
        <v/>
      </c>
      <c r="G589" s="19" t="inlineStr">
        <is>
          <t>Voir</t>
        </is>
      </c>
    </row>
    <row r="590">
      <c r="A590" s="10" t="inlineStr">
        <is>
          <t>Porsche Boxster 987</t>
        </is>
      </c>
      <c r="B590" s="10" t="inlineStr">
        <is>
          <t>3284607283</t>
        </is>
      </c>
      <c r="C590" s="10" t="inlineStr">
        <is>
          <t>Porsche Boxster 987 3.4S</t>
        </is>
      </c>
      <c r="D590" s="18" t="n">
        <v>46310</v>
      </c>
      <c r="E590" s="12" t="n">
        <v>38900</v>
      </c>
      <c r="F590" s="14">
        <f>IF(AND($B590=$B589,ISNUMBER(E589),E589&gt;0),E590/E589-1,"")</f>
        <v/>
      </c>
      <c r="G590" s="19" t="inlineStr">
        <is>
          <t>Voir</t>
        </is>
      </c>
    </row>
    <row r="591">
      <c r="A591" s="10" t="inlineStr">
        <is>
          <t>Porsche Boxster 987</t>
        </is>
      </c>
      <c r="B591" s="10" t="inlineStr">
        <is>
          <t>3284841554</t>
        </is>
      </c>
      <c r="C591" s="10" t="inlineStr">
        <is>
          <t>Porsche BOXSTER (987) 2.9 PDK</t>
        </is>
      </c>
      <c r="D591" s="18" t="n">
        <v>46310</v>
      </c>
      <c r="E591" s="12" t="n">
        <v>31990</v>
      </c>
      <c r="F591" s="14">
        <f>IF(AND($B591=$B590,ISNUMBER(E590),E590&gt;0),E591/E590-1,"")</f>
        <v/>
      </c>
      <c r="G591" s="19" t="inlineStr">
        <is>
          <t>Voir</t>
        </is>
      </c>
    </row>
    <row r="592">
      <c r="A592" s="10" t="inlineStr">
        <is>
          <t>Porsche Boxster 987</t>
        </is>
      </c>
      <c r="B592" s="10" t="inlineStr">
        <is>
          <t>3284882444</t>
        </is>
      </c>
      <c r="C592" s="10" t="inlineStr">
        <is>
          <t>Porsche Boxster 987 Pack Sport Chrono</t>
        </is>
      </c>
      <c r="D592" s="18" t="n">
        <v>46310</v>
      </c>
      <c r="E592" s="12" t="n">
        <v>29500</v>
      </c>
      <c r="F592" s="14">
        <f>IF(AND($B592=$B591,ISNUMBER(E591),E591&gt;0),E592/E591-1,"")</f>
        <v/>
      </c>
      <c r="G592" s="19" t="inlineStr">
        <is>
          <t>Voir</t>
        </is>
      </c>
    </row>
    <row r="593">
      <c r="A593" s="10" t="inlineStr">
        <is>
          <t>Porsche Boxster 987</t>
        </is>
      </c>
      <c r="B593" s="10" t="inlineStr">
        <is>
          <t>3286583539</t>
        </is>
      </c>
      <c r="C593" s="10" t="inlineStr">
        <is>
          <t>Porsche boxster 987</t>
        </is>
      </c>
      <c r="D593" s="18" t="n">
        <v>46310</v>
      </c>
      <c r="E593" s="12" t="n">
        <v>29990</v>
      </c>
      <c r="F593" s="14">
        <f>IF(AND($B593=$B592,ISNUMBER(E592),E592&gt;0),E593/E592-1,"")</f>
        <v/>
      </c>
      <c r="G593" s="19" t="inlineStr">
        <is>
          <t>Voir</t>
        </is>
      </c>
    </row>
    <row r="594">
      <c r="A594" s="10" t="inlineStr">
        <is>
          <t>Porsche Boxster 987</t>
        </is>
      </c>
      <c r="B594" s="10" t="inlineStr">
        <is>
          <t>3288187003</t>
        </is>
      </c>
      <c r="C594" s="10" t="inlineStr">
        <is>
          <t>Porsche boxster 987 phase 1</t>
        </is>
      </c>
      <c r="D594" s="18" t="n">
        <v>46310</v>
      </c>
      <c r="E594" s="12" t="n">
        <v>21000</v>
      </c>
      <c r="F594" s="14">
        <f>IF(AND($B594=$B593,ISNUMBER(E593),E593&gt;0),E594/E593-1,"")</f>
        <v/>
      </c>
      <c r="G594" s="19" t="inlineStr">
        <is>
          <t>Voir</t>
        </is>
      </c>
    </row>
    <row r="595">
      <c r="A595" s="10" t="inlineStr">
        <is>
          <t>Porsche Boxster 987</t>
        </is>
      </c>
      <c r="B595" s="10" t="inlineStr">
        <is>
          <t>3288653677</t>
        </is>
      </c>
      <c r="C595" s="10" t="inlineStr">
        <is>
          <t>Porsche boxster 987 s</t>
        </is>
      </c>
      <c r="D595" s="18" t="n">
        <v>46310</v>
      </c>
      <c r="E595" s="12" t="n">
        <v>29900</v>
      </c>
      <c r="F595" s="14">
        <f>IF(AND($B595=$B594,ISNUMBER(E594),E594&gt;0),E595/E594-1,"")</f>
        <v/>
      </c>
      <c r="G595" s="19" t="inlineStr">
        <is>
          <t>Voir</t>
        </is>
      </c>
    </row>
    <row r="596">
      <c r="A596" s="10" t="inlineStr">
        <is>
          <t>Renault Clio II RS (172/182 ch)</t>
        </is>
      </c>
      <c r="B596" s="10" t="inlineStr">
        <is>
          <t>3111952979</t>
        </is>
      </c>
      <c r="C596" s="10" t="inlineStr">
        <is>
          <t>RENAULT Clio rs 2.0i 16v 182cHv 2.0I 182chvv sport</t>
        </is>
      </c>
      <c r="D596" s="18" t="n">
        <v>46296</v>
      </c>
      <c r="E596" s="12" t="n">
        <v>12990</v>
      </c>
      <c r="F596" s="14">
        <f>IF(AND($B596=$B595,ISNUMBER(E595),E595&gt;0),E596/E595-1,"")</f>
        <v/>
      </c>
      <c r="G596" s="19" t="inlineStr">
        <is>
          <t>Voir</t>
        </is>
      </c>
    </row>
    <row r="597">
      <c r="A597" s="10" t="inlineStr">
        <is>
          <t>Renault Clio II RS (172/182 ch)</t>
        </is>
      </c>
      <c r="B597" s="10" t="inlineStr">
        <is>
          <t>3148980518</t>
        </is>
      </c>
      <c r="C597" s="10" t="inlineStr">
        <is>
          <t>Renault clio rs 1er main</t>
        </is>
      </c>
      <c r="D597" s="18" t="n">
        <v>46296</v>
      </c>
      <c r="E597" s="12" t="n">
        <v>19500</v>
      </c>
      <c r="F597" s="14">
        <f>IF(AND($B597=$B596,ISNUMBER(E596),E596&gt;0),E597/E596-1,"")</f>
        <v/>
      </c>
      <c r="G597" s="19" t="inlineStr">
        <is>
          <t>Voir</t>
        </is>
      </c>
    </row>
    <row r="598">
      <c r="A598" s="10" t="inlineStr">
        <is>
          <t>Renault Clio II RS (172/182 ch)</t>
        </is>
      </c>
      <c r="B598" s="10" t="inlineStr">
        <is>
          <t>3155317939</t>
        </is>
      </c>
      <c r="C598" s="10" t="inlineStr">
        <is>
          <t>Clio rs ps2</t>
        </is>
      </c>
      <c r="D598" s="18" t="n">
        <v>46296</v>
      </c>
      <c r="E598" s="12" t="n">
        <v>10900</v>
      </c>
      <c r="F598" s="14">
        <f>IF(AND($B598=$B597,ISNUMBER(E597),E597&gt;0),E598/E597-1,"")</f>
        <v/>
      </c>
      <c r="G598" s="19" t="inlineStr">
        <is>
          <t>Voir</t>
        </is>
      </c>
    </row>
    <row r="599">
      <c r="A599" s="10" t="inlineStr">
        <is>
          <t>Renault Clio II RS (172/182 ch)</t>
        </is>
      </c>
      <c r="B599" s="10" t="inlineStr">
        <is>
          <t>3162482298</t>
        </is>
      </c>
      <c r="C599" s="10" t="inlineStr">
        <is>
          <t>Clio rs piste</t>
        </is>
      </c>
      <c r="D599" s="18" t="n">
        <v>46296</v>
      </c>
      <c r="E599" s="12" t="n">
        <v>8500</v>
      </c>
      <c r="F599" s="14">
        <f>IF(AND($B599=$B598,ISNUMBER(E598),E598&gt;0),E599/E598-1,"")</f>
        <v/>
      </c>
      <c r="G599" s="19" t="inlineStr">
        <is>
          <t>Voir</t>
        </is>
      </c>
    </row>
    <row r="600">
      <c r="A600" s="10" t="inlineStr">
        <is>
          <t>Renault Clio II RS (172/182 ch)</t>
        </is>
      </c>
      <c r="B600" s="10" t="inlineStr">
        <is>
          <t>3220887451</t>
        </is>
      </c>
      <c r="C600" s="10" t="inlineStr">
        <is>
          <t>Clio rs 182</t>
        </is>
      </c>
      <c r="D600" s="18" t="n">
        <v>46296</v>
      </c>
      <c r="E600" s="12" t="n">
        <v>8000</v>
      </c>
      <c r="F600" s="14">
        <f>IF(AND($B600=$B599,ISNUMBER(E599),E599&gt;0),E600/E599-1,"")</f>
        <v/>
      </c>
      <c r="G600" s="19" t="inlineStr">
        <is>
          <t>Voir</t>
        </is>
      </c>
    </row>
    <row r="601">
      <c r="A601" s="10" t="inlineStr">
        <is>
          <t>Renault Clio II RS (172/182 ch)</t>
        </is>
      </c>
      <c r="B601" s="10" t="inlineStr">
        <is>
          <t>3225541573</t>
        </is>
      </c>
      <c r="C601" s="10" t="inlineStr">
        <is>
          <t>Clio rs ps2 edition / ragnotti</t>
        </is>
      </c>
      <c r="D601" s="18" t="n">
        <v>46296</v>
      </c>
      <c r="E601" s="12" t="n">
        <v>11990</v>
      </c>
      <c r="F601" s="14">
        <f>IF(AND($B601=$B600,ISNUMBER(E600),E600&gt;0),E601/E600-1,"")</f>
        <v/>
      </c>
      <c r="G601" s="19" t="inlineStr">
        <is>
          <t>Voir</t>
        </is>
      </c>
    </row>
    <row r="602">
      <c r="A602" s="10" t="inlineStr">
        <is>
          <t>Renault Clio II RS (172/182 ch)</t>
        </is>
      </c>
      <c r="B602" s="10" t="inlineStr">
        <is>
          <t>3229733456</t>
        </is>
      </c>
      <c r="C602" s="10" t="inlineStr">
        <is>
          <t>Clio rs</t>
        </is>
      </c>
      <c r="D602" s="18" t="n">
        <v>46296</v>
      </c>
      <c r="E602" s="12" t="n">
        <v>12000</v>
      </c>
      <c r="F602" s="14">
        <f>IF(AND($B602=$B601,ISNUMBER(E601),E601&gt;0),E602/E601-1,"")</f>
        <v/>
      </c>
      <c r="G602" s="19" t="inlineStr">
        <is>
          <t>Voir</t>
        </is>
      </c>
    </row>
    <row r="603">
      <c r="A603" s="10" t="inlineStr">
        <is>
          <t>Renault Clio II RS (172/182 ch)</t>
        </is>
      </c>
      <c r="B603" s="10" t="inlineStr">
        <is>
          <t>3234959156</t>
        </is>
      </c>
      <c r="C603" s="10" t="inlineStr">
        <is>
          <t>Clio 2 Rs</t>
        </is>
      </c>
      <c r="D603" s="18" t="n">
        <v>46296</v>
      </c>
      <c r="E603" s="12" t="n">
        <v>11000</v>
      </c>
      <c r="F603" s="14">
        <f>IF(AND($B603=$B602,ISNUMBER(E602),E602&gt;0),E603/E602-1,"")</f>
        <v/>
      </c>
      <c r="G603" s="19" t="inlineStr">
        <is>
          <t>Voir</t>
        </is>
      </c>
    </row>
    <row r="604">
      <c r="A604" s="10" t="inlineStr">
        <is>
          <t>Renault Clio II RS (172/182 ch)</t>
        </is>
      </c>
      <c r="B604" s="10" t="inlineStr">
        <is>
          <t>3235031075</t>
        </is>
      </c>
      <c r="C604" s="10" t="inlineStr">
        <is>
          <t>Clio 2 rs</t>
        </is>
      </c>
      <c r="D604" s="18" t="n">
        <v>46296</v>
      </c>
      <c r="E604" s="12" t="n">
        <v>8999</v>
      </c>
      <c r="F604" s="14">
        <f>IF(AND($B604=$B603,ISNUMBER(E603),E603&gt;0),E604/E603-1,"")</f>
        <v/>
      </c>
      <c r="G604" s="19" t="inlineStr">
        <is>
          <t>Voir</t>
        </is>
      </c>
    </row>
    <row r="605">
      <c r="A605" s="10" t="inlineStr">
        <is>
          <t>Renault Clio II RS (172/182 ch)</t>
        </is>
      </c>
      <c r="B605" s="10" t="inlineStr">
        <is>
          <t>3243861904</t>
        </is>
      </c>
      <c r="C605" s="10" t="inlineStr">
        <is>
          <t>Renault Clio 2.0 200 RS / Garantie 12 mois</t>
        </is>
      </c>
      <c r="D605" s="18" t="n">
        <v>46310</v>
      </c>
      <c r="E605" s="12" t="n">
        <v>17990</v>
      </c>
      <c r="F605" s="14">
        <f>IF(AND($B605=$B604,ISNUMBER(E604),E604&gt;0),E605/E604-1,"")</f>
        <v/>
      </c>
      <c r="G605" s="19" t="inlineStr">
        <is>
          <t>Voir</t>
        </is>
      </c>
    </row>
    <row r="606">
      <c r="A606" s="10" t="inlineStr">
        <is>
          <t>Renault Clio II RS (172/182 ch)</t>
        </is>
      </c>
      <c r="B606" s="10" t="inlineStr">
        <is>
          <t>3248026868</t>
        </is>
      </c>
      <c r="C606" s="10" t="inlineStr">
        <is>
          <t>Vend clio rs 182</t>
        </is>
      </c>
      <c r="D606" s="18" t="n">
        <v>46296</v>
      </c>
      <c r="E606" s="12" t="n">
        <v>12000</v>
      </c>
      <c r="F606" s="14">
        <f>IF(AND($B606=$B605,ISNUMBER(E605),E605&gt;0),E606/E605-1,"")</f>
        <v/>
      </c>
      <c r="G606" s="19" t="inlineStr">
        <is>
          <t>Voir</t>
        </is>
      </c>
    </row>
    <row r="607">
      <c r="A607" s="10" t="inlineStr">
        <is>
          <t>Renault Clio II RS (172/182 ch)</t>
        </is>
      </c>
      <c r="B607" s="10" t="inlineStr">
        <is>
          <t>3252273657</t>
        </is>
      </c>
      <c r="C607" s="10" t="inlineStr">
        <is>
          <t>Clio rs 182 rhd</t>
        </is>
      </c>
      <c r="D607" s="18" t="n">
        <v>46296</v>
      </c>
      <c r="E607" s="12" t="n">
        <v>5500</v>
      </c>
      <c r="F607" s="14">
        <f>IF(AND($B607=$B606,ISNUMBER(E606),E606&gt;0),E607/E606-1,"")</f>
        <v/>
      </c>
      <c r="G607" s="19" t="inlineStr">
        <is>
          <t>Voir</t>
        </is>
      </c>
    </row>
    <row r="608">
      <c r="A608" s="10" t="inlineStr">
        <is>
          <t>Renault Clio II RS (172/182 ch)</t>
        </is>
      </c>
      <c r="B608" s="10" t="inlineStr">
        <is>
          <t>3254332412</t>
        </is>
      </c>
      <c r="C608" s="10" t="inlineStr">
        <is>
          <t>Clio 2 rs</t>
        </is>
      </c>
      <c r="D608" s="18" t="n">
        <v>46296</v>
      </c>
      <c r="E608" s="12" t="n">
        <v>10500</v>
      </c>
      <c r="F608" s="14">
        <f>IF(AND($B608=$B607,ISNUMBER(E607),E607&gt;0),E608/E607-1,"")</f>
        <v/>
      </c>
      <c r="G608" s="19" t="inlineStr">
        <is>
          <t>Voir</t>
        </is>
      </c>
    </row>
    <row r="609">
      <c r="A609" s="10" t="inlineStr">
        <is>
          <t>Renault Clio II RS (172/182 ch)</t>
        </is>
      </c>
      <c r="B609" s="10" t="inlineStr">
        <is>
          <t>3258667592</t>
        </is>
      </c>
      <c r="C609" s="10" t="inlineStr">
        <is>
          <t>Clio 2 rs phase 2, 2L 16v 172chv</t>
        </is>
      </c>
      <c r="D609" s="18" t="n">
        <v>46296</v>
      </c>
      <c r="E609" s="12" t="n">
        <v>6000</v>
      </c>
      <c r="F609" s="14">
        <f>IF(AND($B609=$B608,ISNUMBER(E608),E608&gt;0),E609/E608-1,"")</f>
        <v/>
      </c>
      <c r="G609" s="19" t="inlineStr">
        <is>
          <t>Voir</t>
        </is>
      </c>
    </row>
    <row r="610">
      <c r="A610" s="10" t="inlineStr">
        <is>
          <t>Renault Clio II RS (172/182 ch)</t>
        </is>
      </c>
      <c r="B610" s="10" t="inlineStr">
        <is>
          <t>3260553786</t>
        </is>
      </c>
      <c r="C610" s="10" t="inlineStr">
        <is>
          <t>Clio rs</t>
        </is>
      </c>
      <c r="D610" s="18" t="n">
        <v>46296</v>
      </c>
      <c r="E610" s="12" t="n">
        <v>8500</v>
      </c>
      <c r="F610" s="14">
        <f>IF(AND($B610=$B609,ISNUMBER(E609),E609&gt;0),E610/E609-1,"")</f>
        <v/>
      </c>
      <c r="G610" s="19" t="inlineStr">
        <is>
          <t>Voir</t>
        </is>
      </c>
    </row>
    <row r="611">
      <c r="A611" s="10" t="inlineStr">
        <is>
          <t>Renault Clio II RS (172/182 ch)</t>
        </is>
      </c>
      <c r="B611" s="10" t="inlineStr">
        <is>
          <t>3260826413</t>
        </is>
      </c>
      <c r="C611" s="10" t="inlineStr">
        <is>
          <t>Renault Clio 2.0 16v 172ch RS 3p</t>
        </is>
      </c>
      <c r="D611" s="18" t="n">
        <v>46296</v>
      </c>
      <c r="E611" s="12" t="n">
        <v>12490</v>
      </c>
      <c r="F611" s="14">
        <f>IF(AND($B611=$B610,ISNUMBER(E610),E610&gt;0),E611/E610-1,"")</f>
        <v/>
      </c>
      <c r="G611" s="19" t="inlineStr">
        <is>
          <t>Voir</t>
        </is>
      </c>
    </row>
    <row r="612">
      <c r="A612" s="10" t="inlineStr">
        <is>
          <t>Renault Clio II RS (172/182 ch)</t>
        </is>
      </c>
      <c r="B612" s="10" t="inlineStr">
        <is>
          <t>3260826413</t>
        </is>
      </c>
      <c r="C612" s="10" t="inlineStr">
        <is>
          <t>Renault Clio 2.0 16v 172ch RS 3p</t>
        </is>
      </c>
      <c r="D612" s="18" t="n">
        <v>46310</v>
      </c>
      <c r="E612" s="12" t="n">
        <v>10390</v>
      </c>
      <c r="F612" s="14">
        <f>IF(AND($B612=$B611,ISNUMBER(E611),E611&gt;0),E612/E611-1,"")</f>
        <v/>
      </c>
      <c r="G612" s="19" t="inlineStr">
        <is>
          <t>Voir</t>
        </is>
      </c>
    </row>
    <row r="613">
      <c r="A613" s="10" t="inlineStr">
        <is>
          <t>Renault Clio II RS (172/182 ch)</t>
        </is>
      </c>
      <c r="B613" s="10" t="inlineStr">
        <is>
          <t>3261006166</t>
        </is>
      </c>
      <c r="C613" s="10" t="inlineStr">
        <is>
          <t>Renault clio rs 2.0 16s</t>
        </is>
      </c>
      <c r="D613" s="18" t="n">
        <v>46296</v>
      </c>
      <c r="E613" s="12" t="n">
        <v>10500</v>
      </c>
      <c r="F613" s="14">
        <f>IF(AND($B613=$B612,ISNUMBER(E612),E612&gt;0),E613/E612-1,"")</f>
        <v/>
      </c>
      <c r="G613" s="19" t="inlineStr">
        <is>
          <t>Voir</t>
        </is>
      </c>
    </row>
    <row r="614">
      <c r="A614" s="10" t="inlineStr">
        <is>
          <t>Renault Clio II RS (172/182 ch)</t>
        </is>
      </c>
      <c r="B614" s="10" t="inlineStr">
        <is>
          <t>3261622205</t>
        </is>
      </c>
      <c r="C614" s="10" t="inlineStr">
        <is>
          <t>Renault Clio RS Ph1</t>
        </is>
      </c>
      <c r="D614" s="18" t="n">
        <v>46296</v>
      </c>
      <c r="E614" s="12" t="n">
        <v>10000</v>
      </c>
      <c r="F614" s="14">
        <f>IF(AND($B614=$B613,ISNUMBER(E613),E613&gt;0),E614/E613-1,"")</f>
        <v/>
      </c>
      <c r="G614" s="19" t="inlineStr">
        <is>
          <t>Voir</t>
        </is>
      </c>
    </row>
    <row r="615">
      <c r="A615" s="10" t="inlineStr">
        <is>
          <t>Renault Clio II RS (172/182 ch)</t>
        </is>
      </c>
      <c r="B615" s="10" t="inlineStr">
        <is>
          <t>3261693737</t>
        </is>
      </c>
      <c r="C615" s="10" t="inlineStr">
        <is>
          <t>RENAULT Clio RS 2.0L 200ch Renault Sport - 2006 - 141 500 km</t>
        </is>
      </c>
      <c r="D615" s="18" t="n">
        <v>46296</v>
      </c>
      <c r="E615" s="12" t="n">
        <v>12990</v>
      </c>
      <c r="F615" s="14">
        <f>IF(AND($B615=$B614,ISNUMBER(E614),E614&gt;0),E615/E614-1,"")</f>
        <v/>
      </c>
      <c r="G615" s="19" t="inlineStr">
        <is>
          <t>Voir</t>
        </is>
      </c>
    </row>
    <row r="616">
      <c r="A616" s="10" t="inlineStr">
        <is>
          <t>Renault Clio II RS (172/182 ch)</t>
        </is>
      </c>
      <c r="B616" s="10" t="inlineStr">
        <is>
          <t>3261693737</t>
        </is>
      </c>
      <c r="C616" s="10" t="inlineStr">
        <is>
          <t>RENAULT Clio RS 2.0L 200ch Renault Sport - 2006 - 141 500 km</t>
        </is>
      </c>
      <c r="D616" s="18" t="n">
        <v>46310</v>
      </c>
      <c r="E616" s="12" t="n">
        <v>10990</v>
      </c>
      <c r="F616" s="14">
        <f>IF(AND($B616=$B615,ISNUMBER(E615),E615&gt;0),E616/E615-1,"")</f>
        <v/>
      </c>
      <c r="G616" s="19" t="inlineStr">
        <is>
          <t>Voir</t>
        </is>
      </c>
    </row>
    <row r="617">
      <c r="A617" s="10" t="inlineStr">
        <is>
          <t>Renault Clio II RS (172/182 ch)</t>
        </is>
      </c>
      <c r="B617" s="10" t="inlineStr">
        <is>
          <t>3262040554</t>
        </is>
      </c>
      <c r="C617" s="10" t="inlineStr">
        <is>
          <t>Clio rs</t>
        </is>
      </c>
      <c r="D617" s="18" t="n">
        <v>46296</v>
      </c>
      <c r="E617" s="12" t="n">
        <v>8900</v>
      </c>
      <c r="F617" s="14">
        <f>IF(AND($B617=$B616,ISNUMBER(E616),E616&gt;0),E617/E616-1,"")</f>
        <v/>
      </c>
      <c r="G617" s="19" t="inlineStr">
        <is>
          <t>Voir</t>
        </is>
      </c>
    </row>
    <row r="618">
      <c r="A618" s="10" t="inlineStr">
        <is>
          <t>Renault Clio II RS (172/182 ch)</t>
        </is>
      </c>
      <c r="B618" s="10" t="inlineStr">
        <is>
          <t>3262391547</t>
        </is>
      </c>
      <c r="C618" s="10" t="inlineStr">
        <is>
          <t>Clio RS</t>
        </is>
      </c>
      <c r="D618" s="18" t="n">
        <v>46296</v>
      </c>
      <c r="E618" s="12" t="n">
        <v>6500</v>
      </c>
      <c r="F618" s="14">
        <f>IF(AND($B618=$B617,ISNUMBER(E617),E617&gt;0),E618/E617-1,"")</f>
        <v/>
      </c>
      <c r="G618" s="19" t="inlineStr">
        <is>
          <t>Voir</t>
        </is>
      </c>
    </row>
    <row r="619">
      <c r="A619" s="10" t="inlineStr">
        <is>
          <t>Renault Clio II RS (172/182 ch)</t>
        </is>
      </c>
      <c r="B619" s="10" t="inlineStr">
        <is>
          <t>3262391547</t>
        </is>
      </c>
      <c r="C619" s="10" t="inlineStr">
        <is>
          <t>Clio RS</t>
        </is>
      </c>
      <c r="D619" s="18" t="n">
        <v>46310</v>
      </c>
      <c r="E619" s="12" t="n">
        <v>5990</v>
      </c>
      <c r="F619" s="14">
        <f>IF(AND($B619=$B618,ISNUMBER(E618),E618&gt;0),E619/E618-1,"")</f>
        <v/>
      </c>
      <c r="G619" s="19" t="inlineStr">
        <is>
          <t>Voir</t>
        </is>
      </c>
    </row>
    <row r="620">
      <c r="A620" s="10" t="inlineStr">
        <is>
          <t>Renault Clio II RS (172/182 ch)</t>
        </is>
      </c>
      <c r="B620" s="10" t="inlineStr">
        <is>
          <t>3262638000</t>
        </is>
      </c>
      <c r="C620" s="10" t="inlineStr">
        <is>
          <t>Clio RS exceptionnel</t>
        </is>
      </c>
      <c r="D620" s="18" t="n">
        <v>46296</v>
      </c>
      <c r="E620" s="12" t="n">
        <v>18800</v>
      </c>
      <c r="F620" s="14">
        <f>IF(AND($B620=$B619,ISNUMBER(E619),E619&gt;0),E620/E619-1,"")</f>
        <v/>
      </c>
      <c r="G620" s="19" t="inlineStr">
        <is>
          <t>Voir</t>
        </is>
      </c>
    </row>
    <row r="621">
      <c r="A621" s="10" t="inlineStr">
        <is>
          <t>Renault Clio II RS (172/182 ch)</t>
        </is>
      </c>
      <c r="B621" s="10" t="inlineStr">
        <is>
          <t>3264837795</t>
        </is>
      </c>
      <c r="C621" s="10" t="inlineStr">
        <is>
          <t>Clio rs</t>
        </is>
      </c>
      <c r="D621" s="18" t="n">
        <v>46296</v>
      </c>
      <c r="E621" s="12" t="n">
        <v>7300</v>
      </c>
      <c r="F621" s="14">
        <f>IF(AND($B621=$B620,ISNUMBER(E620),E620&gt;0),E621/E620-1,"")</f>
        <v/>
      </c>
      <c r="G621" s="19" t="inlineStr">
        <is>
          <t>Voir</t>
        </is>
      </c>
    </row>
    <row r="622">
      <c r="A622" s="10" t="inlineStr">
        <is>
          <t>Renault Clio II RS (172/182 ch)</t>
        </is>
      </c>
      <c r="B622" s="10" t="inlineStr">
        <is>
          <t>3266864057</t>
        </is>
      </c>
      <c r="C622" s="10" t="inlineStr">
        <is>
          <t>Clio RS 2.0i Phase 3 182 cv</t>
        </is>
      </c>
      <c r="D622" s="18" t="n">
        <v>46296</v>
      </c>
      <c r="E622" s="12" t="n">
        <v>14500</v>
      </c>
      <c r="F622" s="14">
        <f>IF(AND($B622=$B621,ISNUMBER(E621),E621&gt;0),E622/E621-1,"")</f>
        <v/>
      </c>
      <c r="G622" s="19" t="inlineStr">
        <is>
          <t>Voir</t>
        </is>
      </c>
    </row>
    <row r="623">
      <c r="A623" s="10" t="inlineStr">
        <is>
          <t>Renault Clio II RS (172/182 ch)</t>
        </is>
      </c>
      <c r="B623" s="10" t="inlineStr">
        <is>
          <t>3270112718</t>
        </is>
      </c>
      <c r="C623" s="10" t="inlineStr">
        <is>
          <t>RENAULT CLIO RS 2.0l 172Ch Renault Sport</t>
        </is>
      </c>
      <c r="D623" s="18" t="n">
        <v>46296</v>
      </c>
      <c r="E623" s="12" t="n">
        <v>8990</v>
      </c>
      <c r="F623" s="14">
        <f>IF(AND($B623=$B622,ISNUMBER(E622),E622&gt;0),E623/E622-1,"")</f>
        <v/>
      </c>
      <c r="G623" s="19" t="inlineStr">
        <is>
          <t>Voir</t>
        </is>
      </c>
    </row>
    <row r="624">
      <c r="A624" s="10" t="inlineStr">
        <is>
          <t>Renault Clio II RS (172/182 ch)</t>
        </is>
      </c>
      <c r="B624" s="10" t="inlineStr">
        <is>
          <t>3270289698</t>
        </is>
      </c>
      <c r="C624" s="10" t="inlineStr">
        <is>
          <t>Clio RS 172</t>
        </is>
      </c>
      <c r="D624" s="18" t="n">
        <v>46296</v>
      </c>
      <c r="E624" s="12" t="n">
        <v>7500</v>
      </c>
      <c r="F624" s="14">
        <f>IF(AND($B624=$B623,ISNUMBER(E623),E623&gt;0),E624/E623-1,"")</f>
        <v/>
      </c>
      <c r="G624" s="19" t="inlineStr">
        <is>
          <t>Voir</t>
        </is>
      </c>
    </row>
    <row r="625">
      <c r="A625" s="10" t="inlineStr">
        <is>
          <t>Renault Clio II RS (172/182 ch)</t>
        </is>
      </c>
      <c r="B625" s="10" t="inlineStr">
        <is>
          <t>3272175500</t>
        </is>
      </c>
      <c r="C625" s="10" t="inlineStr">
        <is>
          <t>Clio 2 rs</t>
        </is>
      </c>
      <c r="D625" s="18" t="n">
        <v>46296</v>
      </c>
      <c r="E625" s="12" t="n">
        <v>9990</v>
      </c>
      <c r="F625" s="14">
        <f>IF(AND($B625=$B624,ISNUMBER(E624),E624&gt;0),E625/E624-1,"")</f>
        <v/>
      </c>
      <c r="G625" s="19" t="inlineStr">
        <is>
          <t>Voir</t>
        </is>
      </c>
    </row>
    <row r="626">
      <c r="A626" s="10" t="inlineStr">
        <is>
          <t>Renault Clio II RS (172/182 ch)</t>
        </is>
      </c>
      <c r="B626" s="10" t="inlineStr">
        <is>
          <t>3272349615</t>
        </is>
      </c>
      <c r="C626" s="10" t="inlineStr">
        <is>
          <t>Clio rs 172cv 2.016v ct ok 185000km</t>
        </is>
      </c>
      <c r="D626" s="18" t="n">
        <v>46296</v>
      </c>
      <c r="E626" s="12" t="n">
        <v>9500</v>
      </c>
      <c r="F626" s="14">
        <f>IF(AND($B626=$B625,ISNUMBER(E625),E625&gt;0),E626/E625-1,"")</f>
        <v/>
      </c>
      <c r="G626" s="19" t="inlineStr">
        <is>
          <t>Voir</t>
        </is>
      </c>
    </row>
    <row r="627">
      <c r="A627" s="10" t="inlineStr">
        <is>
          <t>Renault Clio II RS (172/182 ch)</t>
        </is>
      </c>
      <c r="B627" s="10" t="inlineStr">
        <is>
          <t>3272615687</t>
        </is>
      </c>
      <c r="C627" s="10" t="inlineStr">
        <is>
          <t>Clio RS 2002</t>
        </is>
      </c>
      <c r="D627" s="18" t="n">
        <v>46296</v>
      </c>
      <c r="E627" s="12" t="n">
        <v>16500</v>
      </c>
      <c r="F627" s="14">
        <f>IF(AND($B627=$B626,ISNUMBER(E626),E626&gt;0),E627/E626-1,"")</f>
        <v/>
      </c>
      <c r="G627" s="19" t="inlineStr">
        <is>
          <t>Voir</t>
        </is>
      </c>
    </row>
    <row r="628">
      <c r="A628" s="10" t="inlineStr">
        <is>
          <t>Renault Clio II RS (172/182 ch)</t>
        </is>
      </c>
      <c r="B628" s="10" t="inlineStr">
        <is>
          <t>3273076212</t>
        </is>
      </c>
      <c r="C628" s="10" t="inlineStr">
        <is>
          <t>Clio rs</t>
        </is>
      </c>
      <c r="D628" s="18" t="n">
        <v>46296</v>
      </c>
      <c r="E628" s="12" t="n">
        <v>14000</v>
      </c>
      <c r="F628" s="14">
        <f>IF(AND($B628=$B627,ISNUMBER(E627),E627&gt;0),E628/E627-1,"")</f>
        <v/>
      </c>
      <c r="G628" s="19" t="inlineStr">
        <is>
          <t>Voir</t>
        </is>
      </c>
    </row>
    <row r="629">
      <c r="A629" s="10" t="inlineStr">
        <is>
          <t>Renault Clio II RS (172/182 ch)</t>
        </is>
      </c>
      <c r="B629" s="10" t="inlineStr">
        <is>
          <t>3273260142</t>
        </is>
      </c>
      <c r="C629" s="10" t="inlineStr">
        <is>
          <t>Clio RS série limitée team</t>
        </is>
      </c>
      <c r="D629" s="18" t="n">
        <v>46296</v>
      </c>
      <c r="E629" s="12" t="n">
        <v>10000</v>
      </c>
      <c r="F629" s="14">
        <f>IF(AND($B629=$B628,ISNUMBER(E628),E628&gt;0),E629/E628-1,"")</f>
        <v/>
      </c>
      <c r="G629" s="19" t="inlineStr">
        <is>
          <t>Voir</t>
        </is>
      </c>
    </row>
    <row r="630">
      <c r="A630" s="10" t="inlineStr">
        <is>
          <t>Renault Clio II RS (172/182 ch)</t>
        </is>
      </c>
      <c r="B630" s="10" t="inlineStr">
        <is>
          <t>3275029879</t>
        </is>
      </c>
      <c r="C630" s="10" t="inlineStr">
        <is>
          <t>Renault Clio RS</t>
        </is>
      </c>
      <c r="D630" s="18" t="n">
        <v>46296</v>
      </c>
      <c r="E630" s="12" t="n">
        <v>10500</v>
      </c>
      <c r="F630" s="14">
        <f>IF(AND($B630=$B629,ISNUMBER(E629),E629&gt;0),E630/E629-1,"")</f>
        <v/>
      </c>
      <c r="G630" s="19" t="inlineStr">
        <is>
          <t>Voir</t>
        </is>
      </c>
    </row>
    <row r="631">
      <c r="A631" s="10" t="inlineStr">
        <is>
          <t>Renault Clio II RS (172/182 ch)</t>
        </is>
      </c>
      <c r="B631" s="10" t="inlineStr">
        <is>
          <t>3275151981</t>
        </is>
      </c>
      <c r="C631" s="10" t="inlineStr">
        <is>
          <t>Clio RS 2 phase 1</t>
        </is>
      </c>
      <c r="D631" s="18" t="n">
        <v>46296</v>
      </c>
      <c r="E631" s="12" t="n">
        <v>8000</v>
      </c>
      <c r="F631" s="14">
        <f>IF(AND($B631=$B630,ISNUMBER(E630),E630&gt;0),E631/E630-1,"")</f>
        <v/>
      </c>
      <c r="G631" s="19" t="inlineStr">
        <is>
          <t>Voir</t>
        </is>
      </c>
    </row>
    <row r="632">
      <c r="A632" s="10" t="inlineStr">
        <is>
          <t>Renault Clio II RS (172/182 ch)</t>
        </is>
      </c>
      <c r="B632" s="10" t="inlineStr">
        <is>
          <t>3276649870</t>
        </is>
      </c>
      <c r="C632" s="10" t="inlineStr">
        <is>
          <t>Clio 2 rs</t>
        </is>
      </c>
      <c r="D632" s="18" t="n">
        <v>46296</v>
      </c>
      <c r="E632" s="12" t="n">
        <v>7900</v>
      </c>
      <c r="F632" s="14">
        <f>IF(AND($B632=$B631,ISNUMBER(E631),E631&gt;0),E632/E631-1,"")</f>
        <v/>
      </c>
      <c r="G632" s="19" t="inlineStr">
        <is>
          <t>Voir</t>
        </is>
      </c>
    </row>
    <row r="633">
      <c r="A633" s="10" t="inlineStr">
        <is>
          <t>Renault Clio II RS (172/182 ch)</t>
        </is>
      </c>
      <c r="B633" s="10" t="inlineStr">
        <is>
          <t>3276674920</t>
        </is>
      </c>
      <c r="C633" s="10" t="inlineStr">
        <is>
          <t>Clio 2 rs</t>
        </is>
      </c>
      <c r="D633" s="18" t="n">
        <v>46296</v>
      </c>
      <c r="E633" s="12" t="n">
        <v>14500</v>
      </c>
      <c r="F633" s="14">
        <f>IF(AND($B633=$B632,ISNUMBER(E632),E632&gt;0),E633/E632-1,"")</f>
        <v/>
      </c>
      <c r="G633" s="19" t="inlineStr">
        <is>
          <t>Voir</t>
        </is>
      </c>
    </row>
    <row r="634">
      <c r="A634" s="10" t="inlineStr">
        <is>
          <t>Renault Clio II RS (172/182 ch)</t>
        </is>
      </c>
      <c r="B634" s="10" t="inlineStr">
        <is>
          <t>3277297648</t>
        </is>
      </c>
      <c r="C634" s="10" t="inlineStr">
        <is>
          <t>Clio rs 182</t>
        </is>
      </c>
      <c r="D634" s="18" t="n">
        <v>46296</v>
      </c>
      <c r="E634" s="12" t="n">
        <v>12000</v>
      </c>
      <c r="F634" s="14">
        <f>IF(AND($B634=$B633,ISNUMBER(E633),E633&gt;0),E634/E633-1,"")</f>
        <v/>
      </c>
      <c r="G634" s="19" t="inlineStr">
        <is>
          <t>Voir</t>
        </is>
      </c>
    </row>
    <row r="635">
      <c r="A635" s="10" t="inlineStr">
        <is>
          <t>Renault Clio II RS (172/182 ch)</t>
        </is>
      </c>
      <c r="B635" s="10" t="inlineStr">
        <is>
          <t>3277619840</t>
        </is>
      </c>
      <c r="C635" s="10" t="inlineStr">
        <is>
          <t>Clio Rs</t>
        </is>
      </c>
      <c r="D635" s="18" t="n">
        <v>46296</v>
      </c>
      <c r="E635" s="12" t="n">
        <v>13000</v>
      </c>
      <c r="F635" s="14">
        <f>IF(AND($B635=$B634,ISNUMBER(E634),E634&gt;0),E635/E634-1,"")</f>
        <v/>
      </c>
      <c r="G635" s="19" t="inlineStr">
        <is>
          <t>Voir</t>
        </is>
      </c>
    </row>
    <row r="636">
      <c r="A636" s="10" t="inlineStr">
        <is>
          <t>Renault Clio II RS (172/182 ch)</t>
        </is>
      </c>
      <c r="B636" s="10" t="inlineStr">
        <is>
          <t>3278178962</t>
        </is>
      </c>
      <c r="C636" s="10" t="inlineStr">
        <is>
          <t>RENAULT CLIO 2.0 170 RS / Garantie 3 mois</t>
        </is>
      </c>
      <c r="D636" s="18" t="n">
        <v>46310</v>
      </c>
      <c r="E636" s="12" t="n">
        <v>12990</v>
      </c>
      <c r="F636" s="14">
        <f>IF(AND($B636=$B635,ISNUMBER(E635),E635&gt;0),E636/E635-1,"")</f>
        <v/>
      </c>
      <c r="G636" s="19" t="inlineStr">
        <is>
          <t>Voir</t>
        </is>
      </c>
    </row>
    <row r="637">
      <c r="A637" s="10" t="inlineStr">
        <is>
          <t>Renault Clio II RS (172/182 ch)</t>
        </is>
      </c>
      <c r="B637" s="10" t="inlineStr">
        <is>
          <t>3278695532</t>
        </is>
      </c>
      <c r="C637" s="10" t="inlineStr">
        <is>
          <t>Clio 2 rs</t>
        </is>
      </c>
      <c r="D637" s="18" t="n">
        <v>46296</v>
      </c>
      <c r="E637" s="12" t="n">
        <v>13900</v>
      </c>
      <c r="F637" s="14">
        <f>IF(AND($B637=$B636,ISNUMBER(E636),E636&gt;0),E637/E636-1,"")</f>
        <v/>
      </c>
      <c r="G637" s="19" t="inlineStr">
        <is>
          <t>Voir</t>
        </is>
      </c>
    </row>
    <row r="638">
      <c r="A638" s="10" t="inlineStr">
        <is>
          <t>Renault Clio II RS (172/182 ch)</t>
        </is>
      </c>
      <c r="B638" s="10" t="inlineStr">
        <is>
          <t>3279867090</t>
        </is>
      </c>
      <c r="C638" s="10" t="inlineStr">
        <is>
          <t>Clio rs</t>
        </is>
      </c>
      <c r="D638" s="18" t="n">
        <v>46296</v>
      </c>
      <c r="E638" s="12" t="n">
        <v>10999</v>
      </c>
      <c r="F638" s="14">
        <f>IF(AND($B638=$B637,ISNUMBER(E637),E637&gt;0),E638/E637-1,"")</f>
        <v/>
      </c>
      <c r="G638" s="19" t="inlineStr">
        <is>
          <t>Voir</t>
        </is>
      </c>
    </row>
    <row r="639">
      <c r="A639" s="10" t="inlineStr">
        <is>
          <t>Renault Clio II RS (172/182 ch)</t>
        </is>
      </c>
      <c r="B639" s="10" t="inlineStr">
        <is>
          <t>3281829027</t>
        </is>
      </c>
      <c r="C639" s="10" t="inlineStr">
        <is>
          <t>Clio rs 3</t>
        </is>
      </c>
      <c r="D639" s="18" t="n">
        <v>46310</v>
      </c>
      <c r="E639" s="12" t="n">
        <v>8000</v>
      </c>
      <c r="F639" s="14">
        <f>IF(AND($B639=$B638,ISNUMBER(E638),E638&gt;0),E639/E638-1,"")</f>
        <v/>
      </c>
      <c r="G639" s="19" t="inlineStr">
        <is>
          <t>Voir</t>
        </is>
      </c>
    </row>
    <row r="640">
      <c r="A640" s="10" t="inlineStr">
        <is>
          <t>Renault Clio II RS (172/182 ch)</t>
        </is>
      </c>
      <c r="B640" s="10" t="inlineStr">
        <is>
          <t>3282299969</t>
        </is>
      </c>
      <c r="C640" s="10" t="inlineStr">
        <is>
          <t>Clio RS</t>
        </is>
      </c>
      <c r="D640" s="18" t="n">
        <v>46310</v>
      </c>
      <c r="E640" s="12" t="n">
        <v>11000</v>
      </c>
      <c r="F640" s="14">
        <f>IF(AND($B640=$B639,ISNUMBER(E639),E639&gt;0),E640/E639-1,"")</f>
        <v/>
      </c>
      <c r="G640" s="19" t="inlineStr">
        <is>
          <t>Voir</t>
        </is>
      </c>
    </row>
    <row r="641">
      <c r="A641" s="10" t="inlineStr">
        <is>
          <t>Renault Clio II RS (172/182 ch)</t>
        </is>
      </c>
      <c r="B641" s="10" t="inlineStr">
        <is>
          <t>3282432895</t>
        </is>
      </c>
      <c r="C641" s="10" t="inlineStr">
        <is>
          <t>Clio 2 rs</t>
        </is>
      </c>
      <c r="D641" s="18" t="n">
        <v>46310</v>
      </c>
      <c r="E641" s="12" t="n">
        <v>4300</v>
      </c>
      <c r="F641" s="14">
        <f>IF(AND($B641=$B640,ISNUMBER(E640),E640&gt;0),E641/E640-1,"")</f>
        <v/>
      </c>
      <c r="G641" s="19" t="inlineStr">
        <is>
          <t>Voir</t>
        </is>
      </c>
    </row>
    <row r="642">
      <c r="A642" s="10" t="inlineStr">
        <is>
          <t>Renault Clio II RS (172/182 ch)</t>
        </is>
      </c>
      <c r="B642" s="10" t="inlineStr">
        <is>
          <t>3284044209</t>
        </is>
      </c>
      <c r="C642" s="10" t="inlineStr">
        <is>
          <t>CLIO RS PlayStation</t>
        </is>
      </c>
      <c r="D642" s="18" t="n">
        <v>46310</v>
      </c>
      <c r="E642" s="12" t="n">
        <v>9999</v>
      </c>
      <c r="F642" s="14">
        <f>IF(AND($B642=$B641,ISNUMBER(E641),E641&gt;0),E642/E641-1,"")</f>
        <v/>
      </c>
      <c r="G642" s="19" t="inlineStr">
        <is>
          <t>Voir</t>
        </is>
      </c>
    </row>
    <row r="643">
      <c r="A643" s="10" t="inlineStr">
        <is>
          <t>Renault Clio II RS (172/182 ch)</t>
        </is>
      </c>
      <c r="B643" s="10" t="inlineStr">
        <is>
          <t>3285271531</t>
        </is>
      </c>
      <c r="C643" s="10" t="inlineStr">
        <is>
          <t>RENAULT CLIO RS 2.0 16v , 168000km</t>
        </is>
      </c>
      <c r="D643" s="18" t="n">
        <v>46310</v>
      </c>
      <c r="E643" s="12" t="n">
        <v>6490</v>
      </c>
      <c r="F643" s="14">
        <f>IF(AND($B643=$B642,ISNUMBER(E642),E642&gt;0),E643/E642-1,"")</f>
        <v/>
      </c>
      <c r="G643" s="19" t="inlineStr">
        <is>
          <t>Voir</t>
        </is>
      </c>
    </row>
    <row r="644">
      <c r="A644" s="10" t="inlineStr">
        <is>
          <t>Renault Clio II RS (172/182 ch)</t>
        </is>
      </c>
      <c r="B644" s="10" t="inlineStr">
        <is>
          <t>3285680308</t>
        </is>
      </c>
      <c r="C644" s="10" t="inlineStr">
        <is>
          <t>Clio RS phase 2</t>
        </is>
      </c>
      <c r="D644" s="18" t="n">
        <v>46310</v>
      </c>
      <c r="E644" s="12" t="n">
        <v>7000</v>
      </c>
      <c r="F644" s="14">
        <f>IF(AND($B644=$B643,ISNUMBER(E643),E643&gt;0),E644/E643-1,"")</f>
        <v/>
      </c>
      <c r="G644" s="19" t="inlineStr">
        <is>
          <t>Voir</t>
        </is>
      </c>
    </row>
    <row r="645">
      <c r="A645" s="10" t="inlineStr">
        <is>
          <t>Renault Clio II RS (172/182 ch)</t>
        </is>
      </c>
      <c r="B645" s="10" t="inlineStr">
        <is>
          <t>3286310573</t>
        </is>
      </c>
      <c r="C645" s="10" t="inlineStr">
        <is>
          <t>Vends clio rs 2002</t>
        </is>
      </c>
      <c r="D645" s="18" t="n">
        <v>46310</v>
      </c>
      <c r="E645" s="12" t="n">
        <v>9000</v>
      </c>
      <c r="F645" s="14">
        <f>IF(AND($B645=$B644,ISNUMBER(E644),E644&gt;0),E645/E644-1,"")</f>
        <v/>
      </c>
      <c r="G645" s="19" t="inlineStr">
        <is>
          <t>Voir</t>
        </is>
      </c>
    </row>
    <row r="646">
      <c r="A646" s="10" t="inlineStr">
        <is>
          <t>Renault Clio II RS (172/182 ch)</t>
        </is>
      </c>
      <c r="B646" s="10" t="inlineStr">
        <is>
          <t>3286902597</t>
        </is>
      </c>
      <c r="C646" s="10" t="inlineStr">
        <is>
          <t>Renault Clio RS 2 182 noire</t>
        </is>
      </c>
      <c r="D646" s="18" t="n">
        <v>46310</v>
      </c>
      <c r="E646" s="12" t="n">
        <v>11900</v>
      </c>
      <c r="F646" s="14">
        <f>IF(AND($B646=$B645,ISNUMBER(E645),E645&gt;0),E646/E645-1,"")</f>
        <v/>
      </c>
      <c r="G646" s="19" t="inlineStr">
        <is>
          <t>Voir</t>
        </is>
      </c>
    </row>
    <row r="647">
      <c r="A647" s="10" t="inlineStr">
        <is>
          <t>Renault Clio II RS (172/182 ch)</t>
        </is>
      </c>
      <c r="B647" s="10" t="inlineStr">
        <is>
          <t>3287358182</t>
        </is>
      </c>
      <c r="C647" s="10" t="inlineStr">
        <is>
          <t>Clio rs phase 1 additionnel bio éthanol</t>
        </is>
      </c>
      <c r="D647" s="18" t="n">
        <v>46310</v>
      </c>
      <c r="E647" s="12" t="n">
        <v>7599</v>
      </c>
      <c r="F647" s="14">
        <f>IF(AND($B647=$B646,ISNUMBER(E646),E646&gt;0),E647/E646-1,"")</f>
        <v/>
      </c>
      <c r="G647" s="19" t="inlineStr">
        <is>
          <t>Voir</t>
        </is>
      </c>
    </row>
    <row r="648">
      <c r="A648" s="10" t="inlineStr">
        <is>
          <t>Renault Clio II RS (172/182 ch)</t>
        </is>
      </c>
      <c r="B648" s="10" t="inlineStr">
        <is>
          <t>3287481751</t>
        </is>
      </c>
      <c r="C648" s="10" t="inlineStr">
        <is>
          <t>Renault Clio rs 2.0i 16v 182cHv 2.0I 182chvv sport</t>
        </is>
      </c>
      <c r="D648" s="18" t="n">
        <v>46310</v>
      </c>
      <c r="E648" s="12" t="n">
        <v>12990</v>
      </c>
      <c r="F648" s="14">
        <f>IF(AND($B648=$B647,ISNUMBER(E647),E647&gt;0),E648/E647-1,"")</f>
        <v/>
      </c>
      <c r="G648" s="19" t="inlineStr">
        <is>
          <t>Voir</t>
        </is>
      </c>
    </row>
    <row r="649">
      <c r="A649" s="10" t="inlineStr">
        <is>
          <t>Renault Clio II RS (172/182 ch)</t>
        </is>
      </c>
      <c r="B649" s="10" t="inlineStr">
        <is>
          <t>3287640164</t>
        </is>
      </c>
      <c r="C649" s="10" t="inlineStr">
        <is>
          <t>Clio rs 182</t>
        </is>
      </c>
      <c r="D649" s="18" t="n">
        <v>46310</v>
      </c>
      <c r="E649" s="12" t="n">
        <v>10990</v>
      </c>
      <c r="F649" s="14">
        <f>IF(AND($B649=$B648,ISNUMBER(E648),E648&gt;0),E649/E648-1,"")</f>
        <v/>
      </c>
      <c r="G649" s="19" t="inlineStr">
        <is>
          <t>Voir</t>
        </is>
      </c>
    </row>
    <row r="650">
      <c r="A650" s="10" t="inlineStr">
        <is>
          <t>Renault Clio II RS (172/182 ch)</t>
        </is>
      </c>
      <c r="B650" s="10" t="inlineStr">
        <is>
          <t>3287649228</t>
        </is>
      </c>
      <c r="C650" s="10" t="inlineStr">
        <is>
          <t>Renault Clio RS</t>
        </is>
      </c>
      <c r="D650" s="18" t="n">
        <v>46310</v>
      </c>
      <c r="E650" s="12" t="n">
        <v>4000</v>
      </c>
      <c r="F650" s="14">
        <f>IF(AND($B650=$B649,ISNUMBER(E649),E649&gt;0),E650/E649-1,"")</f>
        <v/>
      </c>
      <c r="G650" s="19" t="inlineStr">
        <is>
          <t>Voir</t>
        </is>
      </c>
    </row>
    <row r="651">
      <c r="A651" s="10" t="inlineStr">
        <is>
          <t>Renault Clio II RS (172/182 ch)</t>
        </is>
      </c>
      <c r="B651" s="10" t="inlineStr">
        <is>
          <t>3287894943</t>
        </is>
      </c>
      <c r="C651" s="10" t="inlineStr">
        <is>
          <t>Renault clio rs</t>
        </is>
      </c>
      <c r="D651" s="18" t="n">
        <v>46310</v>
      </c>
      <c r="E651" s="12" t="n">
        <v>6500</v>
      </c>
      <c r="F651" s="14">
        <f>IF(AND($B651=$B650,ISNUMBER(E650),E650&gt;0),E651/E650-1,"")</f>
        <v/>
      </c>
      <c r="G651" s="19" t="inlineStr">
        <is>
          <t>Voir</t>
        </is>
      </c>
    </row>
    <row r="652">
      <c r="A652" s="10" t="inlineStr">
        <is>
          <t>Renault Mégane II RS R26</t>
        </is>
      </c>
      <c r="B652" s="10" t="inlineStr">
        <is>
          <t>3093503886</t>
        </is>
      </c>
      <c r="C652" s="10" t="inlineStr">
        <is>
          <t>Renault Mégane rs r26</t>
        </is>
      </c>
      <c r="D652" s="18" t="n">
        <v>46296</v>
      </c>
      <c r="E652" s="12" t="n">
        <v>17500</v>
      </c>
      <c r="F652" s="14">
        <f>IF(AND($B652=$B651,ISNUMBER(E651),E651&gt;0),E652/E651-1,"")</f>
        <v/>
      </c>
      <c r="G652" s="19" t="inlineStr">
        <is>
          <t>Voir</t>
        </is>
      </c>
    </row>
    <row r="653">
      <c r="A653" s="10" t="inlineStr">
        <is>
          <t>Renault Mégane II RS R26</t>
        </is>
      </c>
      <c r="B653" s="10" t="inlineStr">
        <is>
          <t>3152592919</t>
        </is>
      </c>
      <c r="C653" s="10" t="inlineStr">
        <is>
          <t>Renault megane rs 2.0t 16v 230 f1 team r26 numerotee 41mkm</t>
        </is>
      </c>
      <c r="D653" s="18" t="n">
        <v>46296</v>
      </c>
      <c r="E653" s="12" t="n">
        <v>19900</v>
      </c>
      <c r="F653" s="14">
        <f>IF(AND($B653=$B652,ISNUMBER(E652),E652&gt;0),E653/E652-1,"")</f>
        <v/>
      </c>
      <c r="G653" s="19" t="inlineStr">
        <is>
          <t>Voir</t>
        </is>
      </c>
    </row>
    <row r="654">
      <c r="A654" s="10" t="inlineStr">
        <is>
          <t>Renault Mégane II RS R26</t>
        </is>
      </c>
      <c r="B654" s="10" t="inlineStr">
        <is>
          <t>3165656670</t>
        </is>
      </c>
      <c r="C654" s="10" t="inlineStr">
        <is>
          <t>Renault Megane II RS F1 Team R26 2.0 230 ch - Équipé Complet R26-R</t>
        </is>
      </c>
      <c r="D654" s="18" t="n">
        <v>46296</v>
      </c>
      <c r="E654" s="12" t="n">
        <v>31490</v>
      </c>
      <c r="F654" s="14">
        <f>IF(AND($B654=$B653,ISNUMBER(E653),E653&gt;0),E654/E653-1,"")</f>
        <v/>
      </c>
      <c r="G654" s="19" t="inlineStr">
        <is>
          <t>Voir</t>
        </is>
      </c>
    </row>
    <row r="655">
      <c r="A655" s="10" t="inlineStr">
        <is>
          <t>Renault Mégane II RS R26</t>
        </is>
      </c>
      <c r="B655" s="10" t="inlineStr">
        <is>
          <t>3169074583</t>
        </is>
      </c>
      <c r="C655" s="10" t="inlineStr">
        <is>
          <t>Renault Megane 2.0 R26 F1-TEAM RS 230 ch "ECHAPPEMENT N°15/34"</t>
        </is>
      </c>
      <c r="D655" s="18" t="n">
        <v>46296</v>
      </c>
      <c r="E655" s="12" t="n">
        <v>27489</v>
      </c>
      <c r="F655" s="14">
        <f>IF(AND($B655=$B654,ISNUMBER(E654),E654&gt;0),E655/E654-1,"")</f>
        <v/>
      </c>
      <c r="G655" s="19" t="inlineStr">
        <is>
          <t>Voir</t>
        </is>
      </c>
    </row>
    <row r="656">
      <c r="A656" s="10" t="inlineStr">
        <is>
          <t>Renault Mégane II RS R26</t>
        </is>
      </c>
      <c r="B656" s="10" t="inlineStr">
        <is>
          <t>3216991704</t>
        </is>
      </c>
      <c r="C656" s="10" t="inlineStr">
        <is>
          <t>Renault Mégane 2 RS R26 F1 Team</t>
        </is>
      </c>
      <c r="D656" s="18" t="n">
        <v>46296</v>
      </c>
      <c r="E656" s="12" t="n">
        <v>20500</v>
      </c>
      <c r="F656" s="14">
        <f>IF(AND($B656=$B655,ISNUMBER(E655),E655&gt;0),E656/E655-1,"")</f>
        <v/>
      </c>
      <c r="G656" s="19" t="inlineStr">
        <is>
          <t>Voir</t>
        </is>
      </c>
    </row>
    <row r="657">
      <c r="A657" s="10" t="inlineStr">
        <is>
          <t>Renault Mégane II RS R26</t>
        </is>
      </c>
      <c r="B657" s="10" t="inlineStr">
        <is>
          <t>3237229836</t>
        </is>
      </c>
      <c r="C657" s="10" t="inlineStr">
        <is>
          <t>Renault Megane 2 RS 2.0l R26 F1 Team</t>
        </is>
      </c>
      <c r="D657" s="18" t="n">
        <v>46296</v>
      </c>
      <c r="E657" s="12" t="n">
        <v>19900</v>
      </c>
      <c r="F657" s="14">
        <f>IF(AND($B657=$B656,ISNUMBER(E656),E656&gt;0),E657/E656-1,"")</f>
        <v/>
      </c>
      <c r="G657" s="19" t="inlineStr">
        <is>
          <t>Voir</t>
        </is>
      </c>
    </row>
    <row r="658">
      <c r="A658" s="10" t="inlineStr">
        <is>
          <t>Renault Mégane II RS R26</t>
        </is>
      </c>
      <c r="B658" s="10" t="inlineStr">
        <is>
          <t>3243865675</t>
        </is>
      </c>
      <c r="C658" s="10" t="inlineStr">
        <is>
          <t>Renault Mégane 230 R26 F1-TEAM RS / N°6/34 Origine France</t>
        </is>
      </c>
      <c r="D658" s="18" t="n">
        <v>46296</v>
      </c>
      <c r="E658" s="12" t="n">
        <v>24490</v>
      </c>
      <c r="F658" s="14">
        <f>IF(AND($B658=$B657,ISNUMBER(E657),E657&gt;0),E658/E657-1,"")</f>
        <v/>
      </c>
      <c r="G658" s="19" t="inlineStr">
        <is>
          <t>Voir</t>
        </is>
      </c>
    </row>
    <row r="659">
      <c r="A659" s="10" t="inlineStr">
        <is>
          <t>Renault Mégane II RS R26</t>
        </is>
      </c>
      <c r="B659" s="10" t="inlineStr">
        <is>
          <t>3243871328</t>
        </is>
      </c>
      <c r="C659" s="10" t="inlineStr">
        <is>
          <t>Mégane 2 rs f1 Team r26</t>
        </is>
      </c>
      <c r="D659" s="18" t="n">
        <v>46296</v>
      </c>
      <c r="E659" s="12" t="n">
        <v>22000</v>
      </c>
      <c r="F659" s="14">
        <f>IF(AND($B659=$B658,ISNUMBER(E658),E658&gt;0),E659/E658-1,"")</f>
        <v/>
      </c>
      <c r="G659" s="19" t="inlineStr">
        <is>
          <t>Voir</t>
        </is>
      </c>
    </row>
    <row r="660">
      <c r="A660" s="10" t="inlineStr">
        <is>
          <t>Renault Mégane II RS R26</t>
        </is>
      </c>
      <c r="B660" s="10" t="inlineStr">
        <is>
          <t>3245939851</t>
        </is>
      </c>
      <c r="C660" s="10" t="inlineStr">
        <is>
          <t>Megane RS R26</t>
        </is>
      </c>
      <c r="D660" s="18" t="n">
        <v>46296</v>
      </c>
      <c r="E660" s="12" t="n">
        <v>19000</v>
      </c>
      <c r="F660" s="14">
        <f>IF(AND($B660=$B659,ISNUMBER(E659),E659&gt;0),E660/E659-1,"")</f>
        <v/>
      </c>
      <c r="G660" s="19" t="inlineStr">
        <is>
          <t>Voir</t>
        </is>
      </c>
    </row>
    <row r="661">
      <c r="A661" s="10" t="inlineStr">
        <is>
          <t>Renault Mégane II RS R26</t>
        </is>
      </c>
      <c r="B661" s="10" t="inlineStr">
        <is>
          <t>3252684628</t>
        </is>
      </c>
      <c r="C661" s="10" t="inlineStr">
        <is>
          <t>Renault Megane 2 RS R26 F1 Team</t>
        </is>
      </c>
      <c r="D661" s="18" t="n">
        <v>46296</v>
      </c>
      <c r="E661" s="12" t="n">
        <v>24990</v>
      </c>
      <c r="F661" s="14">
        <f>IF(AND($B661=$B660,ISNUMBER(E660),E660&gt;0),E661/E660-1,"")</f>
        <v/>
      </c>
      <c r="G661" s="19" t="inlineStr">
        <is>
          <t>Voir</t>
        </is>
      </c>
    </row>
    <row r="662">
      <c r="A662" s="10" t="inlineStr">
        <is>
          <t>Renault Mégane II RS R26</t>
        </is>
      </c>
      <c r="B662" s="10" t="inlineStr">
        <is>
          <t>3256587657</t>
        </is>
      </c>
      <c r="C662" s="10" t="inlineStr">
        <is>
          <t>Renault Mégane 2.0 RS F1 TEAM R26 - Série Échappement N° 4/34 230 Ch DISTRIBUTION ÉFFECTUÉE</t>
        </is>
      </c>
      <c r="D662" s="18" t="n">
        <v>46296</v>
      </c>
      <c r="E662" s="12" t="n">
        <v>24990</v>
      </c>
      <c r="F662" s="14">
        <f>IF(AND($B662=$B661,ISNUMBER(E661),E661&gt;0),E662/E661-1,"")</f>
        <v/>
      </c>
      <c r="G662" s="19" t="inlineStr">
        <is>
          <t>Voir</t>
        </is>
      </c>
    </row>
    <row r="663">
      <c r="A663" s="10" t="inlineStr">
        <is>
          <t>Renault Mégane II RS R26</t>
        </is>
      </c>
      <c r="B663" s="10" t="inlineStr">
        <is>
          <t>3256587657</t>
        </is>
      </c>
      <c r="C663" s="10" t="inlineStr">
        <is>
          <t>Renault Mégane 2.0 RS F1 TEAM R26 - Série Échappement N° 4/34 230 Ch DISTRIBUTION ÉFFECTUÉE</t>
        </is>
      </c>
      <c r="D663" s="18" t="n">
        <v>46310</v>
      </c>
      <c r="E663" s="12" t="n">
        <v>23990</v>
      </c>
      <c r="F663" s="14">
        <f>IF(AND($B663=$B662,ISNUMBER(E662),E662&gt;0),E663/E662-1,"")</f>
        <v/>
      </c>
      <c r="G663" s="19" t="inlineStr">
        <is>
          <t>Voir</t>
        </is>
      </c>
    </row>
    <row r="664">
      <c r="A664" s="10" t="inlineStr">
        <is>
          <t>Renault Mégane II RS R26</t>
        </is>
      </c>
      <c r="B664" s="10" t="inlineStr">
        <is>
          <t>3261154881</t>
        </is>
      </c>
      <c r="C664" s="10" t="inlineStr">
        <is>
          <t>Renault MEGANE II (2) 2.0 T RS F1 TEAM R26 / USAGE CIRCUIT, PISTE, TRACKDAY, TRACKTOOL</t>
        </is>
      </c>
      <c r="D664" s="18" t="n">
        <v>46296</v>
      </c>
      <c r="E664" s="12" t="n">
        <v>14900</v>
      </c>
      <c r="F664" s="14">
        <f>IF(AND($B664=$B663,ISNUMBER(E663),E663&gt;0),E664/E663-1,"")</f>
        <v/>
      </c>
      <c r="G664" s="19" t="inlineStr">
        <is>
          <t>Voir</t>
        </is>
      </c>
    </row>
    <row r="665">
      <c r="A665" s="10" t="inlineStr">
        <is>
          <t>Renault Mégane II RS R26</t>
        </is>
      </c>
      <c r="B665" s="10" t="inlineStr">
        <is>
          <t>3262231451</t>
        </is>
      </c>
      <c r="C665" s="10" t="inlineStr">
        <is>
          <t>Renault Megane 2.0 R.S F1 TEAM R26 Série limitée (Échappement N° 25/34)</t>
        </is>
      </c>
      <c r="D665" s="18" t="n">
        <v>46296</v>
      </c>
      <c r="E665" s="12" t="n">
        <v>25500</v>
      </c>
      <c r="F665" s="14">
        <f>IF(AND($B665=$B664,ISNUMBER(E664),E664&gt;0),E665/E664-1,"")</f>
        <v/>
      </c>
      <c r="G665" s="19" t="inlineStr">
        <is>
          <t>Voir</t>
        </is>
      </c>
    </row>
    <row r="666">
      <c r="A666" s="10" t="inlineStr">
        <is>
          <t>Renault Mégane II RS R26</t>
        </is>
      </c>
      <c r="B666" s="10" t="inlineStr">
        <is>
          <t>3262231451</t>
        </is>
      </c>
      <c r="C666" s="10" t="inlineStr">
        <is>
          <t>Renault Megane 2.0 R.S F1 TEAM R26 Série limitée (Échappement N° 25/34)</t>
        </is>
      </c>
      <c r="D666" s="18" t="n">
        <v>46310</v>
      </c>
      <c r="E666" s="12" t="n">
        <v>24500</v>
      </c>
      <c r="F666" s="14">
        <f>IF(AND($B666=$B665,ISNUMBER(E665),E665&gt;0),E666/E665-1,"")</f>
        <v/>
      </c>
      <c r="G666" s="19" t="inlineStr">
        <is>
          <t>Voir</t>
        </is>
      </c>
    </row>
    <row r="667">
      <c r="A667" s="10" t="inlineStr">
        <is>
          <t>Renault Mégane II RS R26</t>
        </is>
      </c>
      <c r="B667" s="10" t="inlineStr">
        <is>
          <t>3271644740</t>
        </is>
      </c>
      <c r="C667" s="10" t="inlineStr">
        <is>
          <t>Renault Megane 2.0 230 R26 F1-TEAM RS - jaune Sirius - 40250 KM</t>
        </is>
      </c>
      <c r="D667" s="18" t="n">
        <v>46296</v>
      </c>
      <c r="E667" s="12" t="n">
        <v>29490</v>
      </c>
      <c r="F667" s="14">
        <f>IF(AND($B667=$B666,ISNUMBER(E666),E666&gt;0),E667/E666-1,"")</f>
        <v/>
      </c>
      <c r="G667" s="19" t="inlineStr">
        <is>
          <t>Voir</t>
        </is>
      </c>
    </row>
    <row r="668">
      <c r="A668" s="10" t="inlineStr">
        <is>
          <t>Renault Mégane II RS R26</t>
        </is>
      </c>
      <c r="B668" s="10" t="inlineStr">
        <is>
          <t>3273010014</t>
        </is>
      </c>
      <c r="C668" s="10" t="inlineStr">
        <is>
          <t>Mégane 2 RS R26 jaune Sirius</t>
        </is>
      </c>
      <c r="D668" s="18" t="n">
        <v>46296</v>
      </c>
      <c r="E668" s="12" t="n">
        <v>20500</v>
      </c>
      <c r="F668" s="14">
        <f>IF(AND($B668=$B667,ISNUMBER(E667),E667&gt;0),E668/E667-1,"")</f>
        <v/>
      </c>
      <c r="G668" s="19" t="inlineStr">
        <is>
          <t>Voir</t>
        </is>
      </c>
    </row>
    <row r="669">
      <c r="A669" s="10" t="inlineStr">
        <is>
          <t>Renault Mégane II RS R26</t>
        </is>
      </c>
      <c r="B669" s="10" t="inlineStr">
        <is>
          <t>3276458601</t>
        </is>
      </c>
      <c r="C669" s="10" t="inlineStr">
        <is>
          <t>Renault Mégane 2 rs F1 Team R26</t>
        </is>
      </c>
      <c r="D669" s="18" t="n">
        <v>46296</v>
      </c>
      <c r="E669" s="12" t="n">
        <v>22990</v>
      </c>
      <c r="F669" s="14">
        <f>IF(AND($B669=$B668,ISNUMBER(E668),E668&gt;0),E669/E668-1,"")</f>
        <v/>
      </c>
      <c r="G669" s="19" t="inlineStr">
        <is>
          <t>Voir</t>
        </is>
      </c>
    </row>
    <row r="670">
      <c r="A670" s="10" t="inlineStr">
        <is>
          <t>Renault Mégane II RS R26</t>
        </is>
      </c>
      <c r="B670" s="10" t="inlineStr">
        <is>
          <t>3276459475</t>
        </is>
      </c>
      <c r="C670" s="10" t="inlineStr">
        <is>
          <t>Mégane 2 RS R26 F1 TEAM</t>
        </is>
      </c>
      <c r="D670" s="18" t="n">
        <v>46296</v>
      </c>
      <c r="E670" s="12" t="n">
        <v>23990</v>
      </c>
      <c r="F670" s="14">
        <f>IF(AND($B670=$B669,ISNUMBER(E669),E669&gt;0),E670/E669-1,"")</f>
        <v/>
      </c>
      <c r="G670" s="19" t="inlineStr">
        <is>
          <t>Voir</t>
        </is>
      </c>
    </row>
    <row r="671">
      <c r="A671" s="10" t="inlineStr">
        <is>
          <t>Renault Mégane II RS R26</t>
        </is>
      </c>
      <c r="B671" s="10" t="inlineStr">
        <is>
          <t>3280273275</t>
        </is>
      </c>
      <c r="C671" s="10" t="inlineStr">
        <is>
          <t>RENAULT MEGANE Mégane 2 RS COUPÉ - 230 F1 Team R26 PHASE 2</t>
        </is>
      </c>
      <c r="D671" s="18" t="n">
        <v>46296</v>
      </c>
      <c r="E671" s="12" t="n">
        <v>23980</v>
      </c>
      <c r="F671" s="14">
        <f>IF(AND($B671=$B670,ISNUMBER(E670),E670&gt;0),E671/E670-1,"")</f>
        <v/>
      </c>
      <c r="G671" s="19" t="inlineStr">
        <is>
          <t>Voir</t>
        </is>
      </c>
    </row>
    <row r="672">
      <c r="A672" s="10" t="inlineStr">
        <is>
          <t>Renault Mégane II RS R26</t>
        </is>
      </c>
      <c r="B672" s="10" t="inlineStr">
        <is>
          <t>3285387218</t>
        </is>
      </c>
      <c r="C672" s="10" t="inlineStr">
        <is>
          <t>Megane rs f1 team r26 parfaite</t>
        </is>
      </c>
      <c r="D672" s="18" t="n">
        <v>46310</v>
      </c>
      <c r="E672" s="12" t="n">
        <v>23900</v>
      </c>
      <c r="F672" s="14">
        <f>IF(AND($B672=$B671,ISNUMBER(E671),E671&gt;0),E672/E671-1,"")</f>
        <v/>
      </c>
      <c r="G672" s="19" t="inlineStr">
        <is>
          <t>Voir</t>
        </is>
      </c>
    </row>
    <row r="673">
      <c r="A673" s="10" t="inlineStr">
        <is>
          <t>Renault Mégane II RS R26</t>
        </is>
      </c>
      <c r="B673" s="10" t="inlineStr">
        <is>
          <t>3285622672</t>
        </is>
      </c>
      <c r="C673" s="10" t="inlineStr">
        <is>
          <t>Megane 2 rs r26</t>
        </is>
      </c>
      <c r="D673" s="18" t="n">
        <v>46310</v>
      </c>
      <c r="E673" s="12" t="n">
        <v>15000</v>
      </c>
      <c r="F673" s="14">
        <f>IF(AND($B673=$B672,ISNUMBER(E672),E672&gt;0),E673/E672-1,"")</f>
        <v/>
      </c>
      <c r="G673" s="19" t="inlineStr">
        <is>
          <t>Voir</t>
        </is>
      </c>
    </row>
    <row r="674">
      <c r="A674" s="10" t="inlineStr">
        <is>
          <t>Renault Twingo 1 découvrable</t>
        </is>
      </c>
      <c r="B674" s="10" t="inlineStr">
        <is>
          <t>3201621635</t>
        </is>
      </c>
      <c r="C674" s="10" t="inlineStr">
        <is>
          <t>RENAULT TWINGO PACK AUTHENTIQUE 1.2 60Ch Toit Ouvrant Garantie 12 mois</t>
        </is>
      </c>
      <c r="D674" s="18" t="n">
        <v>46296</v>
      </c>
      <c r="E674" s="12" t="n">
        <v>2980</v>
      </c>
      <c r="F674" s="14">
        <f>IF(AND($B674=$B673,ISNUMBER(E673),E673&gt;0),E674/E673-1,"")</f>
        <v/>
      </c>
      <c r="G674" s="19" t="inlineStr">
        <is>
          <t>Voir</t>
        </is>
      </c>
    </row>
    <row r="675">
      <c r="A675" s="10" t="inlineStr">
        <is>
          <t>Renault Twingo 1 découvrable</t>
        </is>
      </c>
      <c r="B675" s="10" t="inlineStr">
        <is>
          <t>3228654929</t>
        </is>
      </c>
      <c r="C675" s="10" t="inlineStr">
        <is>
          <t>Renault Twingo 1.2 HELIOS TOIT OUVRANT ELECTRIQUE</t>
        </is>
      </c>
      <c r="D675" s="18" t="n">
        <v>46296</v>
      </c>
      <c r="E675" s="12" t="n">
        <v>3490</v>
      </c>
      <c r="F675" s="14">
        <f>IF(AND($B675=$B674,ISNUMBER(E674),E674&gt;0),E675/E674-1,"")</f>
        <v/>
      </c>
      <c r="G675" s="19" t="inlineStr">
        <is>
          <t>Voir</t>
        </is>
      </c>
    </row>
    <row r="676">
      <c r="A676" s="10" t="inlineStr">
        <is>
          <t>Renault Twingo 1 découvrable</t>
        </is>
      </c>
      <c r="B676" s="10" t="inlineStr">
        <is>
          <t>3232797806</t>
        </is>
      </c>
      <c r="C676" s="10" t="inlineStr">
        <is>
          <t>Twingo série 1 avec toit ouvrant decouvrable</t>
        </is>
      </c>
      <c r="D676" s="18" t="n">
        <v>46296</v>
      </c>
      <c r="E676" s="12" t="n">
        <v>5490</v>
      </c>
      <c r="F676" s="14">
        <f>IF(AND($B676=$B675,ISNUMBER(E675),E675&gt;0),E676/E675-1,"")</f>
        <v/>
      </c>
      <c r="G676" s="19" t="inlineStr">
        <is>
          <t>Voir</t>
        </is>
      </c>
    </row>
    <row r="677">
      <c r="A677" s="10" t="inlineStr">
        <is>
          <t>Renault Twingo 1 découvrable</t>
        </is>
      </c>
      <c r="B677" s="10" t="inlineStr">
        <is>
          <t>3235601533</t>
        </is>
      </c>
      <c r="C677" s="10" t="inlineStr">
        <is>
          <t>Renault Twingo Wind 1.2 Essence – Toit ouvrant – Très bon état – CT OK</t>
        </is>
      </c>
      <c r="D677" s="18" t="n">
        <v>46296</v>
      </c>
      <c r="E677" s="12" t="n">
        <v>2800</v>
      </c>
      <c r="F677" s="14">
        <f>IF(AND($B677=$B676,ISNUMBER(E676),E676&gt;0),E677/E676-1,"")</f>
        <v/>
      </c>
      <c r="G677" s="19" t="inlineStr">
        <is>
          <t>Voir</t>
        </is>
      </c>
    </row>
    <row r="678">
      <c r="A678" s="10" t="inlineStr">
        <is>
          <t>Renault Twingo 1 découvrable</t>
        </is>
      </c>
      <c r="B678" s="10" t="inlineStr">
        <is>
          <t>3236310353</t>
        </is>
      </c>
      <c r="C678" s="10" t="inlineStr">
        <is>
          <t>Renault Twingo Initiale Paris 1.2 16V 75 ch – Juin 2004 – Toit ouvrant – Cuir – Clim - 140 000 km</t>
        </is>
      </c>
      <c r="D678" s="18" t="n">
        <v>46296</v>
      </c>
      <c r="E678" s="12" t="n">
        <v>4900</v>
      </c>
      <c r="F678" s="14">
        <f>IF(AND($B678=$B677,ISNUMBER(E677),E677&gt;0),E678/E677-1,"")</f>
        <v/>
      </c>
      <c r="G678" s="19" t="inlineStr">
        <is>
          <t>Voir</t>
        </is>
      </c>
    </row>
    <row r="679">
      <c r="A679" s="10" t="inlineStr">
        <is>
          <t>Renault Twingo 1 découvrable</t>
        </is>
      </c>
      <c r="B679" s="10" t="inlineStr">
        <is>
          <t>3236310353</t>
        </is>
      </c>
      <c r="C679" s="10" t="inlineStr">
        <is>
          <t>Renault Twingo Initiale Paris 1.2 16V 75 ch – Juin 2004 – Toit ouvrant – Cuir – Clim - 140 000 km</t>
        </is>
      </c>
      <c r="D679" s="18" t="n">
        <v>46310</v>
      </c>
      <c r="E679" s="12" t="n">
        <v>3900</v>
      </c>
      <c r="F679" s="14">
        <f>IF(AND($B679=$B678,ISNUMBER(E678),E678&gt;0),E679/E678-1,"")</f>
        <v/>
      </c>
      <c r="G679" s="19" t="inlineStr">
        <is>
          <t>Voir</t>
        </is>
      </c>
    </row>
    <row r="680">
      <c r="A680" s="10" t="inlineStr">
        <is>
          <t>Renault Twingo 1 découvrable</t>
        </is>
      </c>
      <c r="B680" s="10" t="inlineStr">
        <is>
          <t>3246605855</t>
        </is>
      </c>
      <c r="C680" s="10" t="inlineStr">
        <is>
          <t>Twingo I Matic toit ouvrant</t>
        </is>
      </c>
      <c r="D680" s="18" t="n">
        <v>46296</v>
      </c>
      <c r="E680" s="12" t="n">
        <v>699</v>
      </c>
      <c r="F680" s="14">
        <f>IF(AND($B680=$B679,ISNUMBER(E679),E679&gt;0),E680/E679-1,"")</f>
        <v/>
      </c>
      <c r="G680" s="19" t="inlineStr">
        <is>
          <t>Voir</t>
        </is>
      </c>
    </row>
    <row r="681">
      <c r="A681" s="10" t="inlineStr">
        <is>
          <t>Renault Twingo 1 découvrable</t>
        </is>
      </c>
      <c r="B681" s="10" t="inlineStr">
        <is>
          <t>3254091933</t>
        </is>
      </c>
      <c r="C681" s="10" t="inlineStr">
        <is>
          <t>Renault Twingo 1.2 16V 75 ch – Climatisation – Toit ouvrant</t>
        </is>
      </c>
      <c r="D681" s="18" t="n">
        <v>46296</v>
      </c>
      <c r="E681" s="12" t="n">
        <v>3500</v>
      </c>
      <c r="F681" s="14">
        <f>IF(AND($B681=$B680,ISNUMBER(E680),E680&gt;0),E681/E680-1,"")</f>
        <v/>
      </c>
      <c r="G681" s="19" t="inlineStr">
        <is>
          <t>Voir</t>
        </is>
      </c>
    </row>
    <row r="682">
      <c r="A682" s="10" t="inlineStr">
        <is>
          <t>Renault Twingo 1 découvrable</t>
        </is>
      </c>
      <c r="B682" s="10" t="inlineStr">
        <is>
          <t>3254592892</t>
        </is>
      </c>
      <c r="C682" s="10" t="inlineStr">
        <is>
          <t>RENAULT TWINGO PHASE 2 1.2i 60CH Cinetic Toit ouvrant…</t>
        </is>
      </c>
      <c r="D682" s="18" t="n">
        <v>46296</v>
      </c>
      <c r="E682" s="12" t="n">
        <v>3490</v>
      </c>
      <c r="F682" s="14">
        <f>IF(AND($B682=$B681,ISNUMBER(E681),E681&gt;0),E682/E681-1,"")</f>
        <v/>
      </c>
      <c r="G682" s="19" t="inlineStr">
        <is>
          <t>Voir</t>
        </is>
      </c>
    </row>
    <row r="683">
      <c r="A683" s="10" t="inlineStr">
        <is>
          <t>Renault Twingo 1 découvrable</t>
        </is>
      </c>
      <c r="B683" s="10" t="inlineStr">
        <is>
          <t>3254592892</t>
        </is>
      </c>
      <c r="C683" s="10" t="inlineStr">
        <is>
          <t>RENAULT TWINGO PHASE 2 1.2i 60CH Cinetic Toit ouvrant…</t>
        </is>
      </c>
      <c r="D683" s="18" t="n">
        <v>46310</v>
      </c>
      <c r="E683" s="12" t="n">
        <v>2990</v>
      </c>
      <c r="F683" s="14">
        <f>IF(AND($B683=$B682,ISNUMBER(E682),E682&gt;0),E683/E682-1,"")</f>
        <v/>
      </c>
      <c r="G683" s="19" t="inlineStr">
        <is>
          <t>Voir</t>
        </is>
      </c>
    </row>
    <row r="684">
      <c r="A684" s="10" t="inlineStr">
        <is>
          <t>Renault Twingo 1 découvrable</t>
        </is>
      </c>
      <c r="B684" s="10" t="inlineStr">
        <is>
          <t>3264401233</t>
        </is>
      </c>
      <c r="C684" s="10" t="inlineStr">
        <is>
          <t>Renault Twingo 1.2 16V - Toit ouvrant - CT OK</t>
        </is>
      </c>
      <c r="D684" s="18" t="n">
        <v>46296</v>
      </c>
      <c r="E684" s="12" t="n">
        <v>3100</v>
      </c>
      <c r="F684" s="14">
        <f>IF(AND($B684=$B683,ISNUMBER(E683),E683&gt;0),E684/E683-1,"")</f>
        <v/>
      </c>
      <c r="G684" s="19" t="inlineStr">
        <is>
          <t>Voir</t>
        </is>
      </c>
    </row>
    <row r="685">
      <c r="A685" s="10" t="inlineStr">
        <is>
          <t>Renault Twingo 1 découvrable</t>
        </is>
      </c>
      <c r="B685" s="10" t="inlineStr">
        <is>
          <t>3265072540</t>
        </is>
      </c>
      <c r="C685" s="10" t="inlineStr">
        <is>
          <t>Renault Twingo 1.2 16V 75 ch Initiale – Toit ouvrant</t>
        </is>
      </c>
      <c r="D685" s="18" t="n">
        <v>46296</v>
      </c>
      <c r="E685" s="12" t="n">
        <v>2200</v>
      </c>
      <c r="F685" s="14">
        <f>IF(AND($B685=$B684,ISNUMBER(E684),E684&gt;0),E685/E684-1,"")</f>
        <v/>
      </c>
      <c r="G685" s="19" t="inlineStr">
        <is>
          <t>Voir</t>
        </is>
      </c>
    </row>
    <row r="686">
      <c r="A686" s="10" t="inlineStr">
        <is>
          <t>Renault Twingo 1 découvrable</t>
        </is>
      </c>
      <c r="B686" s="10" t="inlineStr">
        <is>
          <t>3265411834</t>
        </is>
      </c>
      <c r="C686" s="10" t="inlineStr">
        <is>
          <t>Renault Twingo 1.2 4CV – 215 365 km – Toit ouvrant – CT 2027</t>
        </is>
      </c>
      <c r="D686" s="18" t="n">
        <v>46296</v>
      </c>
      <c r="E686" s="12" t="n">
        <v>2500</v>
      </c>
      <c r="F686" s="14">
        <f>IF(AND($B686=$B685,ISNUMBER(E685),E685&gt;0),E686/E685-1,"")</f>
        <v/>
      </c>
      <c r="G686" s="19" t="inlineStr">
        <is>
          <t>Voir</t>
        </is>
      </c>
    </row>
    <row r="687">
      <c r="A687" s="10" t="inlineStr">
        <is>
          <t>Renault Twingo 1 découvrable</t>
        </is>
      </c>
      <c r="B687" s="10" t="inlineStr">
        <is>
          <t>3265418338</t>
        </is>
      </c>
      <c r="C687" s="10" t="inlineStr">
        <is>
          <t>Twingo 1 toit ouvrant</t>
        </is>
      </c>
      <c r="D687" s="18" t="n">
        <v>46296</v>
      </c>
      <c r="E687" s="12" t="n">
        <v>1200</v>
      </c>
      <c r="F687" s="14">
        <f>IF(AND($B687=$B686,ISNUMBER(E686),E686&gt;0),E687/E686-1,"")</f>
        <v/>
      </c>
      <c r="G687" s="19" t="inlineStr">
        <is>
          <t>Voir</t>
        </is>
      </c>
    </row>
    <row r="688">
      <c r="A688" s="10" t="inlineStr">
        <is>
          <t>Renault Twingo 1 découvrable</t>
        </is>
      </c>
      <c r="B688" s="10" t="inlineStr">
        <is>
          <t>3266701696</t>
        </is>
      </c>
      <c r="C688" s="10" t="inlineStr">
        <is>
          <t>Twingo 1 phase 2 élios toit ouvrant panoramique 4500e</t>
        </is>
      </c>
      <c r="D688" s="18" t="n">
        <v>46296</v>
      </c>
      <c r="E688" s="12" t="n">
        <v>4500</v>
      </c>
      <c r="F688" s="14">
        <f>IF(AND($B688=$B687,ISNUMBER(E687),E687&gt;0),E688/E687-1,"")</f>
        <v/>
      </c>
      <c r="G688" s="19" t="inlineStr">
        <is>
          <t>Voir</t>
        </is>
      </c>
    </row>
    <row r="689">
      <c r="A689" s="10" t="inlineStr">
        <is>
          <t>Renault Twingo 1 découvrable</t>
        </is>
      </c>
      <c r="B689" s="10" t="inlineStr">
        <is>
          <t>3266949797</t>
        </is>
      </c>
      <c r="C689" s="10" t="inlineStr">
        <is>
          <t>Rare Twingo I Initiale Paris 1.2 16V 75ch – Cuir – Clim – Toit ouvrant</t>
        </is>
      </c>
      <c r="D689" s="18" t="n">
        <v>46296</v>
      </c>
      <c r="E689" s="12" t="n">
        <v>1690</v>
      </c>
      <c r="F689" s="14">
        <f>IF(AND($B689=$B688,ISNUMBER(E688),E688&gt;0),E689/E688-1,"")</f>
        <v/>
      </c>
      <c r="G689" s="19" t="inlineStr">
        <is>
          <t>Voir</t>
        </is>
      </c>
    </row>
    <row r="690">
      <c r="A690" s="10" t="inlineStr">
        <is>
          <t>Renault Twingo 1 découvrable</t>
        </is>
      </c>
      <c r="B690" s="10" t="inlineStr">
        <is>
          <t>3268258543</t>
        </is>
      </c>
      <c r="C690" s="10" t="inlineStr">
        <is>
          <t>Twingo 1 phase 2 Clim toit ouvrant</t>
        </is>
      </c>
      <c r="D690" s="18" t="n">
        <v>46296</v>
      </c>
      <c r="E690" s="12" t="n">
        <v>2990</v>
      </c>
      <c r="F690" s="14">
        <f>IF(AND($B690=$B689,ISNUMBER(E689),E689&gt;0),E690/E689-1,"")</f>
        <v/>
      </c>
      <c r="G690" s="19" t="inlineStr">
        <is>
          <t>Voir</t>
        </is>
      </c>
    </row>
    <row r="691">
      <c r="A691" s="10" t="inlineStr">
        <is>
          <t>Renault Twingo 1 découvrable</t>
        </is>
      </c>
      <c r="B691" s="10" t="inlineStr">
        <is>
          <t>3268824297</t>
        </is>
      </c>
      <c r="C691" s="10" t="inlineStr">
        <is>
          <t>Twingo 1 1.2 60cv toit ouvrant</t>
        </is>
      </c>
      <c r="D691" s="18" t="n">
        <v>46296</v>
      </c>
      <c r="E691" s="12" t="n">
        <v>3600</v>
      </c>
      <c r="F691" s="14">
        <f>IF(AND($B691=$B690,ISNUMBER(E690),E690&gt;0),E691/E690-1,"")</f>
        <v/>
      </c>
      <c r="G691" s="19" t="inlineStr">
        <is>
          <t>Voir</t>
        </is>
      </c>
    </row>
    <row r="692">
      <c r="A692" s="10" t="inlineStr">
        <is>
          <t>Renault Twingo 1 découvrable</t>
        </is>
      </c>
      <c r="B692" s="10" t="inlineStr">
        <is>
          <t>3269180003</t>
        </is>
      </c>
      <c r="C692" s="10" t="inlineStr">
        <is>
          <t>Twingo, Expression 16V toit ouvrant</t>
        </is>
      </c>
      <c r="D692" s="18" t="n">
        <v>46296</v>
      </c>
      <c r="E692" s="12" t="n">
        <v>1700</v>
      </c>
      <c r="F692" s="14">
        <f>IF(AND($B692=$B691,ISNUMBER(E691),E691&gt;0),E692/E691-1,"")</f>
        <v/>
      </c>
      <c r="G692" s="19" t="inlineStr">
        <is>
          <t>Voir</t>
        </is>
      </c>
    </row>
    <row r="693">
      <c r="A693" s="10" t="inlineStr">
        <is>
          <t>Renault Twingo 1 découvrable</t>
        </is>
      </c>
      <c r="B693" s="10" t="inlineStr">
        <is>
          <t>3269220561</t>
        </is>
      </c>
      <c r="C693" s="10" t="inlineStr">
        <is>
          <t>Twingo 1 Phase 2 – Toit ouvrant – 1.2 essence – Fiable</t>
        </is>
      </c>
      <c r="D693" s="18" t="n">
        <v>46296</v>
      </c>
      <c r="E693" s="12" t="n">
        <v>1800</v>
      </c>
      <c r="F693" s="14">
        <f>IF(AND($B693=$B692,ISNUMBER(E692),E692&gt;0),E693/E692-1,"")</f>
        <v/>
      </c>
      <c r="G693" s="19" t="inlineStr">
        <is>
          <t>Voir</t>
        </is>
      </c>
    </row>
    <row r="694">
      <c r="A694" s="10" t="inlineStr">
        <is>
          <t>Renault Twingo 1 découvrable</t>
        </is>
      </c>
      <c r="B694" s="10" t="inlineStr">
        <is>
          <t>3269820668</t>
        </is>
      </c>
      <c r="C694" s="10" t="inlineStr">
        <is>
          <t>TWINGO I, toit ouvrant</t>
        </is>
      </c>
      <c r="D694" s="18" t="n">
        <v>46296</v>
      </c>
      <c r="E694" s="12" t="n">
        <v>2900</v>
      </c>
      <c r="F694" s="14">
        <f>IF(AND($B694=$B693,ISNUMBER(E693),E693&gt;0),E694/E693-1,"")</f>
        <v/>
      </c>
      <c r="G694" s="19" t="inlineStr">
        <is>
          <t>Voir</t>
        </is>
      </c>
    </row>
    <row r="695">
      <c r="A695" s="10" t="inlineStr">
        <is>
          <t>Renault Twingo 1 découvrable</t>
        </is>
      </c>
      <c r="B695" s="10" t="inlineStr">
        <is>
          <t>3270178988</t>
        </is>
      </c>
      <c r="C695" s="10" t="inlineStr">
        <is>
          <t>RENAULT TWINGO 1.2L 75CV Dynamique Toit ouvrant</t>
        </is>
      </c>
      <c r="D695" s="18" t="n">
        <v>46296</v>
      </c>
      <c r="E695" s="12" t="n">
        <v>3490</v>
      </c>
      <c r="F695" s="14">
        <f>IF(AND($B695=$B694,ISNUMBER(E694),E694&gt;0),E695/E694-1,"")</f>
        <v/>
      </c>
      <c r="G695" s="19" t="inlineStr">
        <is>
          <t>Voir</t>
        </is>
      </c>
    </row>
    <row r="696">
      <c r="A696" s="10" t="inlineStr">
        <is>
          <t>Renault Twingo 1 découvrable</t>
        </is>
      </c>
      <c r="B696" s="10" t="inlineStr">
        <is>
          <t>3271251775</t>
        </is>
      </c>
      <c r="C696" s="10" t="inlineStr">
        <is>
          <t>Twingo 2003 toit ouvrant</t>
        </is>
      </c>
      <c r="D696" s="18" t="n">
        <v>46296</v>
      </c>
      <c r="E696" s="12" t="n">
        <v>1750</v>
      </c>
      <c r="F696" s="14">
        <f>IF(AND($B696=$B695,ISNUMBER(E695),E695&gt;0),E696/E695-1,"")</f>
        <v/>
      </c>
      <c r="G696" s="19" t="inlineStr">
        <is>
          <t>Voir</t>
        </is>
      </c>
    </row>
    <row r="697">
      <c r="A697" s="10" t="inlineStr">
        <is>
          <t>Renault Twingo 1 découvrable</t>
        </is>
      </c>
      <c r="B697" s="10" t="inlineStr">
        <is>
          <t>3271536730</t>
        </is>
      </c>
      <c r="C697" s="10" t="inlineStr">
        <is>
          <t>Twingo Campus 1.2 - Toit ouvrant panoramique</t>
        </is>
      </c>
      <c r="D697" s="18" t="n">
        <v>46296</v>
      </c>
      <c r="E697" s="12" t="n">
        <v>3500</v>
      </c>
      <c r="F697" s="14">
        <f>IF(AND($B697=$B696,ISNUMBER(E696),E696&gt;0),E697/E696-1,"")</f>
        <v/>
      </c>
      <c r="G697" s="19" t="inlineStr">
        <is>
          <t>Voir</t>
        </is>
      </c>
    </row>
    <row r="698">
      <c r="A698" s="10" t="inlineStr">
        <is>
          <t>Renault Twingo 1 découvrable</t>
        </is>
      </c>
      <c r="B698" s="10" t="inlineStr">
        <is>
          <t>3273813000</t>
        </is>
      </c>
      <c r="C698" s="10" t="inlineStr">
        <is>
          <t>Twingo 1 boîte automatique toit ouvrant</t>
        </is>
      </c>
      <c r="D698" s="18" t="n">
        <v>46296</v>
      </c>
      <c r="E698" s="12" t="n">
        <v>3650</v>
      </c>
      <c r="F698" s="14">
        <f>IF(AND($B698=$B697,ISNUMBER(E697),E697&gt;0),E698/E697-1,"")</f>
        <v/>
      </c>
      <c r="G698" s="19" t="inlineStr">
        <is>
          <t>Voir</t>
        </is>
      </c>
    </row>
    <row r="699">
      <c r="A699" s="10" t="inlineStr">
        <is>
          <t>Renault Twingo 1 découvrable</t>
        </is>
      </c>
      <c r="B699" s="10" t="inlineStr">
        <is>
          <t>3276478695</t>
        </is>
      </c>
      <c r="C699" s="10" t="inlineStr">
        <is>
          <t>Twingo phase 2 1.2I 16V 75vh toit ouvrant</t>
        </is>
      </c>
      <c r="D699" s="18" t="n">
        <v>46296</v>
      </c>
      <c r="E699" s="12" t="n">
        <v>1990</v>
      </c>
      <c r="F699" s="14">
        <f>IF(AND($B699=$B698,ISNUMBER(E698),E698&gt;0),E699/E698-1,"")</f>
        <v/>
      </c>
      <c r="G699" s="19" t="inlineStr">
        <is>
          <t>Voir</t>
        </is>
      </c>
    </row>
    <row r="700">
      <c r="A700" s="10" t="inlineStr">
        <is>
          <t>Renault Twingo 1 découvrable</t>
        </is>
      </c>
      <c r="B700" s="10" t="inlineStr">
        <is>
          <t>3277403260</t>
        </is>
      </c>
      <c r="C700" s="10" t="inlineStr">
        <is>
          <t>Voiture twingo</t>
        </is>
      </c>
      <c r="D700" s="18" t="n">
        <v>46310</v>
      </c>
      <c r="E700" s="12" t="n">
        <v>2000</v>
      </c>
      <c r="F700" s="14">
        <f>IF(AND($B700=$B699,ISNUMBER(E699),E699&gt;0),E700/E699-1,"")</f>
        <v/>
      </c>
      <c r="G700" s="19" t="inlineStr">
        <is>
          <t>Voir</t>
        </is>
      </c>
    </row>
    <row r="701">
      <c r="A701" s="10" t="inlineStr">
        <is>
          <t>Renault Twingo 1 découvrable</t>
        </is>
      </c>
      <c r="B701" s="10" t="inlineStr">
        <is>
          <t>3277928130</t>
        </is>
      </c>
      <c r="C701" s="10" t="inlineStr">
        <is>
          <t>Twingo initiale</t>
        </is>
      </c>
      <c r="D701" s="18" t="n">
        <v>46310</v>
      </c>
      <c r="E701" s="12" t="n">
        <v>4100</v>
      </c>
      <c r="F701" s="14">
        <f>IF(AND($B701=$B700,ISNUMBER(E700),E700&gt;0),E701/E700-1,"")</f>
        <v/>
      </c>
      <c r="G701" s="19" t="inlineStr">
        <is>
          <t>Voir</t>
        </is>
      </c>
    </row>
    <row r="702">
      <c r="A702" s="10" t="inlineStr">
        <is>
          <t>Renault Twingo 1 découvrable</t>
        </is>
      </c>
      <c r="B702" s="10" t="inlineStr">
        <is>
          <t>3278196482</t>
        </is>
      </c>
      <c r="C702" s="10" t="inlineStr">
        <is>
          <t>Twingo 1</t>
        </is>
      </c>
      <c r="D702" s="18" t="n">
        <v>46310</v>
      </c>
      <c r="E702" s="12" t="n">
        <v>3000</v>
      </c>
      <c r="F702" s="14">
        <f>IF(AND($B702=$B701,ISNUMBER(E701),E701&gt;0),E702/E701-1,"")</f>
        <v/>
      </c>
      <c r="G702" s="19" t="inlineStr">
        <is>
          <t>Voir</t>
        </is>
      </c>
    </row>
    <row r="703">
      <c r="A703" s="10" t="inlineStr">
        <is>
          <t>Renault Twingo 1 découvrable</t>
        </is>
      </c>
      <c r="B703" s="10" t="inlineStr">
        <is>
          <t>3278551940</t>
        </is>
      </c>
      <c r="C703" s="10" t="inlineStr">
        <is>
          <t>Twingo 1 (phase 2) toit ouvrant (panoramique) en Parfait état</t>
        </is>
      </c>
      <c r="D703" s="18" t="n">
        <v>46296</v>
      </c>
      <c r="E703" s="12" t="n">
        <v>2850</v>
      </c>
      <c r="F703" s="14">
        <f>IF(AND($B703=$B702,ISNUMBER(E702),E702&gt;0),E703/E702-1,"")</f>
        <v/>
      </c>
      <c r="G703" s="19" t="inlineStr">
        <is>
          <t>Voir</t>
        </is>
      </c>
    </row>
    <row r="704">
      <c r="A704" s="10" t="inlineStr">
        <is>
          <t>Renault Twingo 1 découvrable</t>
        </is>
      </c>
      <c r="B704" s="10" t="inlineStr">
        <is>
          <t>3279054855</t>
        </is>
      </c>
      <c r="C704" s="10" t="inlineStr">
        <is>
          <t>Renault Twingo 1 16v</t>
        </is>
      </c>
      <c r="D704" s="18" t="n">
        <v>46310</v>
      </c>
      <c r="E704" s="12" t="n">
        <v>2000</v>
      </c>
      <c r="F704" s="14">
        <f>IF(AND($B704=$B703,ISNUMBER(E703),E703&gt;0),E704/E703-1,"")</f>
        <v/>
      </c>
      <c r="G704" s="19" t="inlineStr">
        <is>
          <t>Voir</t>
        </is>
      </c>
    </row>
    <row r="705">
      <c r="A705" s="10" t="inlineStr">
        <is>
          <t>Renault Twingo 1 découvrable</t>
        </is>
      </c>
      <c r="B705" s="10" t="inlineStr">
        <is>
          <t>3279265139</t>
        </is>
      </c>
      <c r="C705" s="10" t="inlineStr">
        <is>
          <t>Twingo 1 toit ouvrant</t>
        </is>
      </c>
      <c r="D705" s="18" t="n">
        <v>46296</v>
      </c>
      <c r="E705" s="12" t="n">
        <v>3800</v>
      </c>
      <c r="F705" s="14">
        <f>IF(AND($B705=$B704,ISNUMBER(E704),E704&gt;0),E705/E704-1,"")</f>
        <v/>
      </c>
      <c r="G705" s="19" t="inlineStr">
        <is>
          <t>Voir</t>
        </is>
      </c>
    </row>
    <row r="706">
      <c r="A706" s="10" t="inlineStr">
        <is>
          <t>Renault Twingo 1 découvrable</t>
        </is>
      </c>
      <c r="B706" s="10" t="inlineStr">
        <is>
          <t>3280012848</t>
        </is>
      </c>
      <c r="C706" s="10" t="inlineStr">
        <is>
          <t>RENAULT TWINGO 1.2 16v 75 CH INITIALE boite automatique TOIT OUVRANT FAIBLE KILOMETRAGE 68 201 KM ETAT RARE TRES BI</t>
        </is>
      </c>
      <c r="D706" s="18" t="n">
        <v>46296</v>
      </c>
      <c r="E706" s="12" t="n">
        <v>5990</v>
      </c>
      <c r="F706" s="14">
        <f>IF(AND($B706=$B705,ISNUMBER(E705),E705&gt;0),E706/E705-1,"")</f>
        <v/>
      </c>
      <c r="G706" s="19" t="inlineStr">
        <is>
          <t>Voir</t>
        </is>
      </c>
    </row>
    <row r="707">
      <c r="A707" s="10" t="inlineStr">
        <is>
          <t>Renault Twingo 1 découvrable</t>
        </is>
      </c>
      <c r="B707" s="10" t="inlineStr">
        <is>
          <t>3280760419</t>
        </is>
      </c>
      <c r="C707" s="10" t="inlineStr">
        <is>
          <t>RENAULT Twingo 1.2 QUICKSHIFT 3P</t>
        </is>
      </c>
      <c r="D707" s="18" t="n">
        <v>46310</v>
      </c>
      <c r="E707" s="12" t="n">
        <v>5990</v>
      </c>
      <c r="F707" s="14">
        <f>IF(AND($B707=$B706,ISNUMBER(E706),E706&gt;0),E707/E706-1,"")</f>
        <v/>
      </c>
      <c r="G707" s="19" t="inlineStr">
        <is>
          <t>Voir</t>
        </is>
      </c>
    </row>
    <row r="708">
      <c r="A708" s="10" t="inlineStr">
        <is>
          <t>Renault Twingo 1 découvrable</t>
        </is>
      </c>
      <c r="B708" s="10" t="inlineStr">
        <is>
          <t>3281895385</t>
        </is>
      </c>
      <c r="C708" s="10" t="inlineStr">
        <is>
          <t>Twingo 1 phase 3 clim</t>
        </is>
      </c>
      <c r="D708" s="18" t="n">
        <v>46310</v>
      </c>
      <c r="E708" s="12" t="n">
        <v>3000</v>
      </c>
      <c r="F708" s="14">
        <f>IF(AND($B708=$B707,ISNUMBER(E707),E707&gt;0),E708/E707-1,"")</f>
        <v/>
      </c>
      <c r="G708" s="19" t="inlineStr">
        <is>
          <t>Voir</t>
        </is>
      </c>
    </row>
    <row r="709">
      <c r="A709" s="10" t="inlineStr">
        <is>
          <t>Renault Twingo 1 découvrable</t>
        </is>
      </c>
      <c r="B709" s="10" t="inlineStr">
        <is>
          <t>3282160498</t>
        </is>
      </c>
      <c r="C709" s="10" t="inlineStr">
        <is>
          <t>Twingo</t>
        </is>
      </c>
      <c r="D709" s="18" t="n">
        <v>46310</v>
      </c>
      <c r="E709" s="12" t="n">
        <v>1700</v>
      </c>
      <c r="F709" s="14">
        <f>IF(AND($B709=$B708,ISNUMBER(E708),E708&gt;0),E709/E708-1,"")</f>
        <v/>
      </c>
      <c r="G709" s="19" t="inlineStr">
        <is>
          <t>Voir</t>
        </is>
      </c>
    </row>
    <row r="710">
      <c r="A710" s="10" t="inlineStr">
        <is>
          <t>Renault Twingo 1 découvrable</t>
        </is>
      </c>
      <c r="B710" s="10" t="inlineStr">
        <is>
          <t>3282185714</t>
        </is>
      </c>
      <c r="C710" s="10" t="inlineStr">
        <is>
          <t>Renault Twingo Kenzo série 1 – 1995 – 62 573 km – Toit ouvrant</t>
        </is>
      </c>
      <c r="D710" s="18" t="n">
        <v>46310</v>
      </c>
      <c r="E710" s="12" t="n">
        <v>5990</v>
      </c>
      <c r="F710" s="14">
        <f>IF(AND($B710=$B709,ISNUMBER(E709),E709&gt;0),E710/E709-1,"")</f>
        <v/>
      </c>
      <c r="G710" s="19" t="inlineStr">
        <is>
          <t>Voir</t>
        </is>
      </c>
    </row>
    <row r="711">
      <c r="A711" s="10" t="inlineStr">
        <is>
          <t>Renault Twingo 1 découvrable</t>
        </is>
      </c>
      <c r="B711" s="10" t="inlineStr">
        <is>
          <t>3284375384</t>
        </is>
      </c>
      <c r="C711" s="10" t="inlineStr">
        <is>
          <t>Twingo 16v de 2002</t>
        </is>
      </c>
      <c r="D711" s="18" t="n">
        <v>46310</v>
      </c>
      <c r="E711" s="12" t="n">
        <v>2400</v>
      </c>
      <c r="F711" s="14">
        <f>IF(AND($B711=$B710,ISNUMBER(E710),E710&gt;0),E711/E710-1,"")</f>
        <v/>
      </c>
      <c r="G711" s="19" t="inlineStr">
        <is>
          <t>Voir</t>
        </is>
      </c>
    </row>
    <row r="712">
      <c r="A712" s="10" t="inlineStr">
        <is>
          <t>Renault Twingo 1 découvrable</t>
        </is>
      </c>
      <c r="B712" s="10" t="inlineStr">
        <is>
          <t>3284985731</t>
        </is>
      </c>
      <c r="C712" s="10" t="inlineStr">
        <is>
          <t>Belle twingo 1.2 99 boite auto pack 122000 kms garanti reprise possible</t>
        </is>
      </c>
      <c r="D712" s="18" t="n">
        <v>46310</v>
      </c>
      <c r="E712" s="12" t="n">
        <v>3200</v>
      </c>
      <c r="F712" s="14">
        <f>IF(AND($B712=$B711,ISNUMBER(E711),E711&gt;0),E712/E711-1,"")</f>
        <v/>
      </c>
      <c r="G712" s="19" t="inlineStr">
        <is>
          <t>Voir</t>
        </is>
      </c>
    </row>
    <row r="713">
      <c r="A713" s="10" t="inlineStr">
        <is>
          <t>Renault Twingo 1 découvrable</t>
        </is>
      </c>
      <c r="B713" s="10" t="inlineStr">
        <is>
          <t>3285167114</t>
        </is>
      </c>
      <c r="C713" s="10" t="inlineStr">
        <is>
          <t>Twingo 1.2 hélios toit ouvrant</t>
        </is>
      </c>
      <c r="D713" s="18" t="n">
        <v>46310</v>
      </c>
      <c r="E713" s="12" t="n">
        <v>2200</v>
      </c>
      <c r="F713" s="14">
        <f>IF(AND($B713=$B712,ISNUMBER(E712),E712&gt;0),E713/E712-1,"")</f>
        <v/>
      </c>
      <c r="G713" s="19" t="inlineStr">
        <is>
          <t>Voir</t>
        </is>
      </c>
    </row>
    <row r="714">
      <c r="A714" s="10" t="inlineStr">
        <is>
          <t>Renault Twingo 1 découvrable</t>
        </is>
      </c>
      <c r="B714" s="10" t="inlineStr">
        <is>
          <t>3285168601</t>
        </is>
      </c>
      <c r="C714" s="10" t="inlineStr">
        <is>
          <t>Twingo toit ouvrant électrique</t>
        </is>
      </c>
      <c r="D714" s="18" t="n">
        <v>46310</v>
      </c>
      <c r="E714" s="12" t="n">
        <v>2990</v>
      </c>
      <c r="F714" s="14">
        <f>IF(AND($B714=$B713,ISNUMBER(E713),E713&gt;0),E714/E713-1,"")</f>
        <v/>
      </c>
      <c r="G714" s="19" t="inlineStr">
        <is>
          <t>Voir</t>
        </is>
      </c>
    </row>
    <row r="715">
      <c r="A715" s="10" t="inlineStr">
        <is>
          <t>Renault Twingo 1 découvrable</t>
        </is>
      </c>
      <c r="B715" s="10" t="inlineStr">
        <is>
          <t>3285782305</t>
        </is>
      </c>
      <c r="C715" s="10" t="inlineStr">
        <is>
          <t>Twingo 1.2 16 V initiale toit ouvrant,cuir</t>
        </is>
      </c>
      <c r="D715" s="18" t="n">
        <v>46310</v>
      </c>
      <c r="E715" s="12" t="n">
        <v>4990</v>
      </c>
      <c r="F715" s="14">
        <f>IF(AND($B715=$B714,ISNUMBER(E714),E714&gt;0),E715/E714-1,"")</f>
        <v/>
      </c>
      <c r="G715" s="19" t="inlineStr">
        <is>
          <t>Voir</t>
        </is>
      </c>
    </row>
    <row r="716">
      <c r="A716" s="10" t="inlineStr">
        <is>
          <t>Renault Twingo 1 découvrable</t>
        </is>
      </c>
      <c r="B716" s="10" t="inlineStr">
        <is>
          <t>3285996576</t>
        </is>
      </c>
      <c r="C716" s="10" t="inlineStr">
        <is>
          <t>Twingo 1 1,2 essence toit ouvrant</t>
        </is>
      </c>
      <c r="D716" s="18" t="n">
        <v>46310</v>
      </c>
      <c r="E716" s="12" t="n">
        <v>1900</v>
      </c>
      <c r="F716" s="14">
        <f>IF(AND($B716=$B715,ISNUMBER(E715),E715&gt;0),E716/E715-1,"")</f>
        <v/>
      </c>
      <c r="G716" s="19" t="inlineStr">
        <is>
          <t>Voir</t>
        </is>
      </c>
    </row>
    <row r="717">
      <c r="A717" s="10" t="inlineStr">
        <is>
          <t>Renault Twingo 1 découvrable</t>
        </is>
      </c>
      <c r="B717" s="10" t="inlineStr">
        <is>
          <t>3286579626</t>
        </is>
      </c>
      <c r="C717" s="10" t="inlineStr">
        <is>
          <t>Twingo 1</t>
        </is>
      </c>
      <c r="D717" s="18" t="n">
        <v>46310</v>
      </c>
      <c r="E717" s="12" t="n">
        <v>3500</v>
      </c>
      <c r="F717" s="14">
        <f>IF(AND($B717=$B716,ISNUMBER(E716),E716&gt;0),E717/E716-1,"")</f>
        <v/>
      </c>
      <c r="G717" s="19" t="inlineStr">
        <is>
          <t>Voir</t>
        </is>
      </c>
    </row>
    <row r="718">
      <c r="A718" s="10" t="inlineStr">
        <is>
          <t>Renault Twingo 1 découvrable</t>
        </is>
      </c>
      <c r="B718" s="10" t="inlineStr">
        <is>
          <t>3287201353</t>
        </is>
      </c>
      <c r="C718" s="10" t="inlineStr">
        <is>
          <t>Twingo 1</t>
        </is>
      </c>
      <c r="D718" s="18" t="n">
        <v>46310</v>
      </c>
      <c r="E718" s="12" t="n">
        <v>2500</v>
      </c>
      <c r="F718" s="14">
        <f>IF(AND($B718=$B717,ISNUMBER(E717),E717&gt;0),E718/E717-1,"")</f>
        <v/>
      </c>
      <c r="G718" s="19" t="inlineStr">
        <is>
          <t>Voir</t>
        </is>
      </c>
    </row>
    <row r="719">
      <c r="A719" s="10" t="inlineStr">
        <is>
          <t>Renault Twingo 1 découvrable</t>
        </is>
      </c>
      <c r="B719" s="10" t="inlineStr">
        <is>
          <t>3287724780</t>
        </is>
      </c>
      <c r="C719" s="10" t="inlineStr">
        <is>
          <t>Renault Twingo 1 1,2i Open Air (toit ouvrant)</t>
        </is>
      </c>
      <c r="D719" s="18" t="n">
        <v>46310</v>
      </c>
      <c r="E719" s="12" t="n">
        <v>3700</v>
      </c>
      <c r="F719" s="14">
        <f>IF(AND($B719=$B718,ISNUMBER(E718),E718&gt;0),E719/E718-1,"")</f>
        <v/>
      </c>
      <c r="G719" s="19" t="inlineStr">
        <is>
          <t>Voir</t>
        </is>
      </c>
    </row>
    <row r="720">
      <c r="A720" s="10" t="inlineStr">
        <is>
          <t>Renault Twingo 1 découvrable</t>
        </is>
      </c>
      <c r="B720" s="10" t="inlineStr">
        <is>
          <t>3288007453</t>
        </is>
      </c>
      <c r="C720" s="10" t="inlineStr">
        <is>
          <t>Renault Twingo Initiale Paris</t>
        </is>
      </c>
      <c r="D720" s="18" t="n">
        <v>46310</v>
      </c>
      <c r="E720" s="12" t="n">
        <v>3950</v>
      </c>
      <c r="F720" s="14">
        <f>IF(AND($B720=$B719,ISNUMBER(E719),E719&gt;0),E720/E719-1,"")</f>
        <v/>
      </c>
      <c r="G720" s="19" t="inlineStr">
        <is>
          <t>Voir</t>
        </is>
      </c>
    </row>
    <row r="721">
      <c r="A721" s="10" t="inlineStr">
        <is>
          <t>Renault Twingo 1 découvrable</t>
        </is>
      </c>
      <c r="B721" s="10" t="inlineStr">
        <is>
          <t>3288029658</t>
        </is>
      </c>
      <c r="C721" s="10" t="inlineStr">
        <is>
          <t>Renault Twingo1 Phase1 décapotable</t>
        </is>
      </c>
      <c r="D721" s="18" t="n">
        <v>46310</v>
      </c>
      <c r="E721" s="12" t="n">
        <v>3000</v>
      </c>
      <c r="F721" s="14">
        <f>IF(AND($B721=$B720,ISNUMBER(E720),E720&gt;0),E721/E720-1,"")</f>
        <v/>
      </c>
      <c r="G721" s="19" t="inlineStr">
        <is>
          <t>Voir</t>
        </is>
      </c>
    </row>
    <row r="722">
      <c r="A722" s="10" t="inlineStr">
        <is>
          <t>Renault Twingo 1 découvrable</t>
        </is>
      </c>
      <c r="B722" s="10" t="inlineStr">
        <is>
          <t>3288055400</t>
        </is>
      </c>
      <c r="C722" s="10" t="inlineStr">
        <is>
          <t>Twingo 1 cinetic</t>
        </is>
      </c>
      <c r="D722" s="18" t="n">
        <v>46310</v>
      </c>
      <c r="E722" s="12" t="n">
        <v>3890</v>
      </c>
      <c r="F722" s="14">
        <f>IF(AND($B722=$B721,ISNUMBER(E721),E721&gt;0),E722/E721-1,"")</f>
        <v/>
      </c>
      <c r="G722" s="19" t="inlineStr">
        <is>
          <t>Voir</t>
        </is>
      </c>
    </row>
    <row r="723">
      <c r="A723" s="10" t="inlineStr">
        <is>
          <t>Renault Twingo 1 découvrable</t>
        </is>
      </c>
      <c r="B723" s="10" t="inlineStr">
        <is>
          <t>3288098887</t>
        </is>
      </c>
      <c r="C723" s="10" t="inlineStr">
        <is>
          <t>Renault Twingo phase 1</t>
        </is>
      </c>
      <c r="D723" s="18" t="n">
        <v>46310</v>
      </c>
      <c r="E723" s="12" t="n">
        <v>3500</v>
      </c>
      <c r="F723" s="14">
        <f>IF(AND($B723=$B722,ISNUMBER(E722),E722&gt;0),E723/E722-1,"")</f>
        <v/>
      </c>
      <c r="G723" s="19" t="inlineStr">
        <is>
          <t>Voir</t>
        </is>
      </c>
    </row>
    <row r="724">
      <c r="A724" s="10" t="inlineStr">
        <is>
          <t>Renault Twingo 1 découvrable</t>
        </is>
      </c>
      <c r="B724" s="10" t="inlineStr">
        <is>
          <t>3288361415</t>
        </is>
      </c>
      <c r="C724" s="10" t="inlineStr">
        <is>
          <t>Renault twingo initiale 2999 euros</t>
        </is>
      </c>
      <c r="D724" s="18" t="n">
        <v>46310</v>
      </c>
      <c r="E724" s="12" t="n">
        <v>2999</v>
      </c>
      <c r="F724" s="14">
        <f>IF(AND($B724=$B723,ISNUMBER(E723),E723&gt;0),E724/E723-1,"")</f>
        <v/>
      </c>
      <c r="G724" s="19" t="inlineStr">
        <is>
          <t>Voir</t>
        </is>
      </c>
    </row>
    <row r="725">
      <c r="A725" s="10" t="inlineStr">
        <is>
          <t>Renault Twingo 1 découvrable</t>
        </is>
      </c>
      <c r="B725" s="10" t="inlineStr">
        <is>
          <t>3288442729</t>
        </is>
      </c>
      <c r="C725" s="10" t="inlineStr">
        <is>
          <t>Renault Twingo Kenzo 1.2</t>
        </is>
      </c>
      <c r="D725" s="18" t="n">
        <v>46310</v>
      </c>
      <c r="E725" s="12" t="n">
        <v>3000</v>
      </c>
      <c r="F725" s="14">
        <f>IF(AND($B725=$B724,ISNUMBER(E724),E724&gt;0),E725/E724-1,"")</f>
        <v/>
      </c>
      <c r="G725" s="19" t="inlineStr">
        <is>
          <t>Voir</t>
        </is>
      </c>
    </row>
    <row r="726">
      <c r="A726" s="10" t="inlineStr">
        <is>
          <t>Volkswagen Golf IV GTI 25th Anniversary</t>
        </is>
      </c>
      <c r="B726" s="10" t="inlineStr">
        <is>
          <t>3284612097</t>
        </is>
      </c>
      <c r="C726" s="10" t="inlineStr">
        <is>
          <t>Golf 4 gti 25</t>
        </is>
      </c>
      <c r="D726" s="18" t="n">
        <v>46310</v>
      </c>
      <c r="E726" s="12" t="n">
        <v>11000</v>
      </c>
      <c r="F726" s="14">
        <f>IF(AND($B726=$B725,ISNUMBER(E725),E725&gt;0),E726/E725-1,"")</f>
        <v/>
      </c>
      <c r="G726" s="19" t="inlineStr">
        <is>
          <t>Voir</t>
        </is>
      </c>
    </row>
  </sheetData>
  <autoFilter ref="A1:G72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0" customWidth="1" min="3" max="3"/>
    <col width="12" customWidth="1" min="4" max="4"/>
    <col width="13" customWidth="1" min="5" max="5"/>
    <col width="13" customWidth="1" min="6" max="6"/>
    <col width="12" customWidth="1" min="7" max="7"/>
  </cols>
  <sheetData>
    <row r="1">
      <c r="A1" s="6" t="inlineStr">
        <is>
          <t>Annonces en vente, par véhicule et année-modèle (formules sur l'onglet Annonces)</t>
        </is>
      </c>
    </row>
    <row r="2" ht="30" customHeight="1">
      <c r="A2" s="9" t="inlineStr">
        <is>
          <t>Véhicule</t>
        </is>
      </c>
      <c r="B2" s="9" t="inlineStr">
        <is>
          <t>Année-modèle</t>
        </is>
      </c>
      <c r="C2" s="9" t="inlineStr">
        <is>
          <t>Annonces</t>
        </is>
      </c>
      <c r="D2" s="9" t="inlineStr">
        <is>
          <t>Prix moyen</t>
        </is>
      </c>
      <c r="E2" s="9" t="inlineStr">
        <is>
          <t>Prix le plus bas</t>
        </is>
      </c>
      <c r="F2" s="9" t="inlineStr">
        <is>
          <t>Prix le plus haut</t>
        </is>
      </c>
      <c r="G2" s="9" t="inlineStr">
        <is>
          <t>Km moyen</t>
        </is>
      </c>
    </row>
    <row r="3">
      <c r="A3" s="10" t="inlineStr">
        <is>
          <t>Alfa Romeo 156 2.5 V6 24V</t>
        </is>
      </c>
      <c r="B3" s="10" t="n">
        <v>1997</v>
      </c>
      <c r="C3" s="16">
        <f>COUNTIFS(Annonces!$A$2:$A$701,$A3,Annonces!$E$2:$E$701,"En vente",Annonces!$U$2:$U$701,$B3)</f>
        <v/>
      </c>
      <c r="D3" s="12">
        <f>IFERROR(AVERAGEIFS(Annonces!$L$2:$L$701,Annonces!$A$2:$A$701,$A3,Annonces!$E$2:$E$701,"En vente",Annonces!$U$2:$U$701,$B3),"")</f>
        <v/>
      </c>
      <c r="E3" s="12">
        <f>IF(C3&gt;0,_xlfn.MINIFS(Annonces!$L$2:$L$701,Annonces!$A$2:$A$701,$A3,Annonces!$E$2:$E$701,"En vente",Annonces!$U$2:$U$701,$B3),"")</f>
        <v/>
      </c>
      <c r="F3" s="12">
        <f>IF(C3&gt;0,_xlfn.MAXIFS(Annonces!$L$2:$L$701,Annonces!$A$2:$A$701,$A3,Annonces!$E$2:$E$701,"En vente",Annonces!$U$2:$U$701,$B3),"")</f>
        <v/>
      </c>
      <c r="G3" s="15">
        <f>IFERROR(AVERAGEIFS(Annonces!$T$2:$T$701,Annonces!$A$2:$A$701,$A3,Annonces!$E$2:$E$701,"En vente",Annonces!$U$2:$U$701,$B3),"")</f>
        <v/>
      </c>
    </row>
    <row r="4">
      <c r="A4" s="10" t="inlineStr">
        <is>
          <t>Alfa Romeo 156 2.5 V6 24V</t>
        </is>
      </c>
      <c r="B4" s="10" t="n">
        <v>1998</v>
      </c>
      <c r="C4" s="16">
        <f>COUNTIFS(Annonces!$A$2:$A$701,$A4,Annonces!$E$2:$E$701,"En vente",Annonces!$U$2:$U$701,$B4)</f>
        <v/>
      </c>
      <c r="D4" s="12">
        <f>IFERROR(AVERAGEIFS(Annonces!$L$2:$L$701,Annonces!$A$2:$A$701,$A4,Annonces!$E$2:$E$701,"En vente",Annonces!$U$2:$U$701,$B4),"")</f>
        <v/>
      </c>
      <c r="E4" s="12">
        <f>IF(C4&gt;0,_xlfn.MINIFS(Annonces!$L$2:$L$701,Annonces!$A$2:$A$701,$A4,Annonces!$E$2:$E$701,"En vente",Annonces!$U$2:$U$701,$B4),"")</f>
        <v/>
      </c>
      <c r="F4" s="12">
        <f>IF(C4&gt;0,_xlfn.MAXIFS(Annonces!$L$2:$L$701,Annonces!$A$2:$A$701,$A4,Annonces!$E$2:$E$701,"En vente",Annonces!$U$2:$U$701,$B4),"")</f>
        <v/>
      </c>
      <c r="G4" s="15">
        <f>IFERROR(AVERAGEIFS(Annonces!$T$2:$T$701,Annonces!$A$2:$A$701,$A4,Annonces!$E$2:$E$701,"En vente",Annonces!$U$2:$U$701,$B4),"")</f>
        <v/>
      </c>
    </row>
    <row r="5">
      <c r="A5" s="10" t="inlineStr">
        <is>
          <t>Alfa Romeo 156 2.5 V6 24V</t>
        </is>
      </c>
      <c r="B5" s="10" t="n">
        <v>1999</v>
      </c>
      <c r="C5" s="16">
        <f>COUNTIFS(Annonces!$A$2:$A$701,$A5,Annonces!$E$2:$E$701,"En vente",Annonces!$U$2:$U$701,$B5)</f>
        <v/>
      </c>
      <c r="D5" s="12">
        <f>IFERROR(AVERAGEIFS(Annonces!$L$2:$L$701,Annonces!$A$2:$A$701,$A5,Annonces!$E$2:$E$701,"En vente",Annonces!$U$2:$U$701,$B5),"")</f>
        <v/>
      </c>
      <c r="E5" s="12">
        <f>IF(C5&gt;0,_xlfn.MINIFS(Annonces!$L$2:$L$701,Annonces!$A$2:$A$701,$A5,Annonces!$E$2:$E$701,"En vente",Annonces!$U$2:$U$701,$B5),"")</f>
        <v/>
      </c>
      <c r="F5" s="12">
        <f>IF(C5&gt;0,_xlfn.MAXIFS(Annonces!$L$2:$L$701,Annonces!$A$2:$A$701,$A5,Annonces!$E$2:$E$701,"En vente",Annonces!$U$2:$U$701,$B5),"")</f>
        <v/>
      </c>
      <c r="G5" s="15">
        <f>IFERROR(AVERAGEIFS(Annonces!$T$2:$T$701,Annonces!$A$2:$A$701,$A5,Annonces!$E$2:$E$701,"En vente",Annonces!$U$2:$U$701,$B5),"")</f>
        <v/>
      </c>
    </row>
    <row r="6">
      <c r="A6" s="10" t="inlineStr">
        <is>
          <t>Alfa Romeo 156 2.5 V6 24V</t>
        </is>
      </c>
      <c r="B6" s="10" t="n">
        <v>2001</v>
      </c>
      <c r="C6" s="16">
        <f>COUNTIFS(Annonces!$A$2:$A$701,$A6,Annonces!$E$2:$E$701,"En vente",Annonces!$U$2:$U$701,$B6)</f>
        <v/>
      </c>
      <c r="D6" s="12">
        <f>IFERROR(AVERAGEIFS(Annonces!$L$2:$L$701,Annonces!$A$2:$A$701,$A6,Annonces!$E$2:$E$701,"En vente",Annonces!$U$2:$U$701,$B6),"")</f>
        <v/>
      </c>
      <c r="E6" s="12">
        <f>IF(C6&gt;0,_xlfn.MINIFS(Annonces!$L$2:$L$701,Annonces!$A$2:$A$701,$A6,Annonces!$E$2:$E$701,"En vente",Annonces!$U$2:$U$701,$B6),"")</f>
        <v/>
      </c>
      <c r="F6" s="12">
        <f>IF(C6&gt;0,_xlfn.MAXIFS(Annonces!$L$2:$L$701,Annonces!$A$2:$A$701,$A6,Annonces!$E$2:$E$701,"En vente",Annonces!$U$2:$U$701,$B6),"")</f>
        <v/>
      </c>
      <c r="G6" s="15">
        <f>IFERROR(AVERAGEIFS(Annonces!$T$2:$T$701,Annonces!$A$2:$A$701,$A6,Annonces!$E$2:$E$701,"En vente",Annonces!$U$2:$U$701,$B6),"")</f>
        <v/>
      </c>
    </row>
    <row r="7">
      <c r="A7" s="10" t="inlineStr">
        <is>
          <t>Alfa Romeo 156 2.5 V6 24V</t>
        </is>
      </c>
      <c r="B7" s="10" t="n">
        <v>2002</v>
      </c>
      <c r="C7" s="16">
        <f>COUNTIFS(Annonces!$A$2:$A$701,$A7,Annonces!$E$2:$E$701,"En vente",Annonces!$U$2:$U$701,$B7)</f>
        <v/>
      </c>
      <c r="D7" s="12">
        <f>IFERROR(AVERAGEIFS(Annonces!$L$2:$L$701,Annonces!$A$2:$A$701,$A7,Annonces!$E$2:$E$701,"En vente",Annonces!$U$2:$U$701,$B7),"")</f>
        <v/>
      </c>
      <c r="E7" s="12">
        <f>IF(C7&gt;0,_xlfn.MINIFS(Annonces!$L$2:$L$701,Annonces!$A$2:$A$701,$A7,Annonces!$E$2:$E$701,"En vente",Annonces!$U$2:$U$701,$B7),"")</f>
        <v/>
      </c>
      <c r="F7" s="12">
        <f>IF(C7&gt;0,_xlfn.MAXIFS(Annonces!$L$2:$L$701,Annonces!$A$2:$A$701,$A7,Annonces!$E$2:$E$701,"En vente",Annonces!$U$2:$U$701,$B7),"")</f>
        <v/>
      </c>
      <c r="G7" s="15">
        <f>IFERROR(AVERAGEIFS(Annonces!$T$2:$T$701,Annonces!$A$2:$A$701,$A7,Annonces!$E$2:$E$701,"En vente",Annonces!$U$2:$U$701,$B7),"")</f>
        <v/>
      </c>
    </row>
    <row r="8">
      <c r="A8" s="10" t="inlineStr">
        <is>
          <t>Alfa Romeo 156 2.5 V6 24V</t>
        </is>
      </c>
      <c r="B8" s="10" t="n">
        <v>2003</v>
      </c>
      <c r="C8" s="16">
        <f>COUNTIFS(Annonces!$A$2:$A$701,$A8,Annonces!$E$2:$E$701,"En vente",Annonces!$U$2:$U$701,$B8)</f>
        <v/>
      </c>
      <c r="D8" s="12">
        <f>IFERROR(AVERAGEIFS(Annonces!$L$2:$L$701,Annonces!$A$2:$A$701,$A8,Annonces!$E$2:$E$701,"En vente",Annonces!$U$2:$U$701,$B8),"")</f>
        <v/>
      </c>
      <c r="E8" s="12">
        <f>IF(C8&gt;0,_xlfn.MINIFS(Annonces!$L$2:$L$701,Annonces!$A$2:$A$701,$A8,Annonces!$E$2:$E$701,"En vente",Annonces!$U$2:$U$701,$B8),"")</f>
        <v/>
      </c>
      <c r="F8" s="12">
        <f>IF(C8&gt;0,_xlfn.MAXIFS(Annonces!$L$2:$L$701,Annonces!$A$2:$A$701,$A8,Annonces!$E$2:$E$701,"En vente",Annonces!$U$2:$U$701,$B8),"")</f>
        <v/>
      </c>
      <c r="G8" s="15">
        <f>IFERROR(AVERAGEIFS(Annonces!$T$2:$T$701,Annonces!$A$2:$A$701,$A8,Annonces!$E$2:$E$701,"En vente",Annonces!$U$2:$U$701,$B8),"")</f>
        <v/>
      </c>
    </row>
    <row r="9">
      <c r="A9" s="10" t="inlineStr">
        <is>
          <t>Alfa Romeo 156 2.5 V6 24V</t>
        </is>
      </c>
      <c r="B9" s="10" t="n">
        <v>2004</v>
      </c>
      <c r="C9" s="16">
        <f>COUNTIFS(Annonces!$A$2:$A$701,$A9,Annonces!$E$2:$E$701,"En vente",Annonces!$U$2:$U$701,$B9)</f>
        <v/>
      </c>
      <c r="D9" s="12">
        <f>IFERROR(AVERAGEIFS(Annonces!$L$2:$L$701,Annonces!$A$2:$A$701,$A9,Annonces!$E$2:$E$701,"En vente",Annonces!$U$2:$U$701,$B9),"")</f>
        <v/>
      </c>
      <c r="E9" s="12">
        <f>IF(C9&gt;0,_xlfn.MINIFS(Annonces!$L$2:$L$701,Annonces!$A$2:$A$701,$A9,Annonces!$E$2:$E$701,"En vente",Annonces!$U$2:$U$701,$B9),"")</f>
        <v/>
      </c>
      <c r="F9" s="12">
        <f>IF(C9&gt;0,_xlfn.MAXIFS(Annonces!$L$2:$L$701,Annonces!$A$2:$A$701,$A9,Annonces!$E$2:$E$701,"En vente",Annonces!$U$2:$U$701,$B9),"")</f>
        <v/>
      </c>
      <c r="G9" s="15">
        <f>IFERROR(AVERAGEIFS(Annonces!$T$2:$T$701,Annonces!$A$2:$A$701,$A9,Annonces!$E$2:$E$701,"En vente",Annonces!$U$2:$U$701,$B9),"")</f>
        <v/>
      </c>
    </row>
    <row r="10">
      <c r="A10" s="10" t="inlineStr">
        <is>
          <t>BMW Z3 1.9i / 2.0i</t>
        </is>
      </c>
      <c r="B10" s="10" t="n">
        <v>1996</v>
      </c>
      <c r="C10" s="16">
        <f>COUNTIFS(Annonces!$A$2:$A$701,$A10,Annonces!$E$2:$E$701,"En vente",Annonces!$U$2:$U$701,$B10)</f>
        <v/>
      </c>
      <c r="D10" s="12">
        <f>IFERROR(AVERAGEIFS(Annonces!$L$2:$L$701,Annonces!$A$2:$A$701,$A10,Annonces!$E$2:$E$701,"En vente",Annonces!$U$2:$U$701,$B10),"")</f>
        <v/>
      </c>
      <c r="E10" s="12">
        <f>IF(C10&gt;0,_xlfn.MINIFS(Annonces!$L$2:$L$701,Annonces!$A$2:$A$701,$A10,Annonces!$E$2:$E$701,"En vente",Annonces!$U$2:$U$701,$B10),"")</f>
        <v/>
      </c>
      <c r="F10" s="12">
        <f>IF(C10&gt;0,_xlfn.MAXIFS(Annonces!$L$2:$L$701,Annonces!$A$2:$A$701,$A10,Annonces!$E$2:$E$701,"En vente",Annonces!$U$2:$U$701,$B10),"")</f>
        <v/>
      </c>
      <c r="G10" s="15">
        <f>IFERROR(AVERAGEIFS(Annonces!$T$2:$T$701,Annonces!$A$2:$A$701,$A10,Annonces!$E$2:$E$701,"En vente",Annonces!$U$2:$U$701,$B10),"")</f>
        <v/>
      </c>
    </row>
    <row r="11">
      <c r="A11" s="10" t="inlineStr">
        <is>
          <t>BMW Z3 1.9i / 2.0i</t>
        </is>
      </c>
      <c r="B11" s="10" t="n">
        <v>1997</v>
      </c>
      <c r="C11" s="16">
        <f>COUNTIFS(Annonces!$A$2:$A$701,$A11,Annonces!$E$2:$E$701,"En vente",Annonces!$U$2:$U$701,$B11)</f>
        <v/>
      </c>
      <c r="D11" s="12">
        <f>IFERROR(AVERAGEIFS(Annonces!$L$2:$L$701,Annonces!$A$2:$A$701,$A11,Annonces!$E$2:$E$701,"En vente",Annonces!$U$2:$U$701,$B11),"")</f>
        <v/>
      </c>
      <c r="E11" s="12">
        <f>IF(C11&gt;0,_xlfn.MINIFS(Annonces!$L$2:$L$701,Annonces!$A$2:$A$701,$A11,Annonces!$E$2:$E$701,"En vente",Annonces!$U$2:$U$701,$B11),"")</f>
        <v/>
      </c>
      <c r="F11" s="12">
        <f>IF(C11&gt;0,_xlfn.MAXIFS(Annonces!$L$2:$L$701,Annonces!$A$2:$A$701,$A11,Annonces!$E$2:$E$701,"En vente",Annonces!$U$2:$U$701,$B11),"")</f>
        <v/>
      </c>
      <c r="G11" s="15">
        <f>IFERROR(AVERAGEIFS(Annonces!$T$2:$T$701,Annonces!$A$2:$A$701,$A11,Annonces!$E$2:$E$701,"En vente",Annonces!$U$2:$U$701,$B11),"")</f>
        <v/>
      </c>
    </row>
    <row r="12">
      <c r="A12" s="10" t="inlineStr">
        <is>
          <t>BMW Z3 1.9i / 2.0i</t>
        </is>
      </c>
      <c r="B12" s="10" t="n">
        <v>1998</v>
      </c>
      <c r="C12" s="16">
        <f>COUNTIFS(Annonces!$A$2:$A$701,$A12,Annonces!$E$2:$E$701,"En vente",Annonces!$U$2:$U$701,$B12)</f>
        <v/>
      </c>
      <c r="D12" s="12">
        <f>IFERROR(AVERAGEIFS(Annonces!$L$2:$L$701,Annonces!$A$2:$A$701,$A12,Annonces!$E$2:$E$701,"En vente",Annonces!$U$2:$U$701,$B12),"")</f>
        <v/>
      </c>
      <c r="E12" s="12">
        <f>IF(C12&gt;0,_xlfn.MINIFS(Annonces!$L$2:$L$701,Annonces!$A$2:$A$701,$A12,Annonces!$E$2:$E$701,"En vente",Annonces!$U$2:$U$701,$B12),"")</f>
        <v/>
      </c>
      <c r="F12" s="12">
        <f>IF(C12&gt;0,_xlfn.MAXIFS(Annonces!$L$2:$L$701,Annonces!$A$2:$A$701,$A12,Annonces!$E$2:$E$701,"En vente",Annonces!$U$2:$U$701,$B12),"")</f>
        <v/>
      </c>
      <c r="G12" s="15">
        <f>IFERROR(AVERAGEIFS(Annonces!$T$2:$T$701,Annonces!$A$2:$A$701,$A12,Annonces!$E$2:$E$701,"En vente",Annonces!$U$2:$U$701,$B12),"")</f>
        <v/>
      </c>
    </row>
    <row r="13">
      <c r="A13" s="10" t="inlineStr">
        <is>
          <t>BMW Z3 1.9i / 2.0i</t>
        </is>
      </c>
      <c r="B13" s="10" t="n">
        <v>1999</v>
      </c>
      <c r="C13" s="16">
        <f>COUNTIFS(Annonces!$A$2:$A$701,$A13,Annonces!$E$2:$E$701,"En vente",Annonces!$U$2:$U$701,$B13)</f>
        <v/>
      </c>
      <c r="D13" s="12">
        <f>IFERROR(AVERAGEIFS(Annonces!$L$2:$L$701,Annonces!$A$2:$A$701,$A13,Annonces!$E$2:$E$701,"En vente",Annonces!$U$2:$U$701,$B13),"")</f>
        <v/>
      </c>
      <c r="E13" s="12">
        <f>IF(C13&gt;0,_xlfn.MINIFS(Annonces!$L$2:$L$701,Annonces!$A$2:$A$701,$A13,Annonces!$E$2:$E$701,"En vente",Annonces!$U$2:$U$701,$B13),"")</f>
        <v/>
      </c>
      <c r="F13" s="12">
        <f>IF(C13&gt;0,_xlfn.MAXIFS(Annonces!$L$2:$L$701,Annonces!$A$2:$A$701,$A13,Annonces!$E$2:$E$701,"En vente",Annonces!$U$2:$U$701,$B13),"")</f>
        <v/>
      </c>
      <c r="G13" s="15">
        <f>IFERROR(AVERAGEIFS(Annonces!$T$2:$T$701,Annonces!$A$2:$A$701,$A13,Annonces!$E$2:$E$701,"En vente",Annonces!$U$2:$U$701,$B13),"")</f>
        <v/>
      </c>
    </row>
    <row r="14">
      <c r="A14" s="10" t="inlineStr">
        <is>
          <t>BMW Z3 1.9i / 2.0i</t>
        </is>
      </c>
      <c r="B14" s="10" t="n">
        <v>2000</v>
      </c>
      <c r="C14" s="16">
        <f>COUNTIFS(Annonces!$A$2:$A$701,$A14,Annonces!$E$2:$E$701,"En vente",Annonces!$U$2:$U$701,$B14)</f>
        <v/>
      </c>
      <c r="D14" s="12">
        <f>IFERROR(AVERAGEIFS(Annonces!$L$2:$L$701,Annonces!$A$2:$A$701,$A14,Annonces!$E$2:$E$701,"En vente",Annonces!$U$2:$U$701,$B14),"")</f>
        <v/>
      </c>
      <c r="E14" s="12">
        <f>IF(C14&gt;0,_xlfn.MINIFS(Annonces!$L$2:$L$701,Annonces!$A$2:$A$701,$A14,Annonces!$E$2:$E$701,"En vente",Annonces!$U$2:$U$701,$B14),"")</f>
        <v/>
      </c>
      <c r="F14" s="12">
        <f>IF(C14&gt;0,_xlfn.MAXIFS(Annonces!$L$2:$L$701,Annonces!$A$2:$A$701,$A14,Annonces!$E$2:$E$701,"En vente",Annonces!$U$2:$U$701,$B14),"")</f>
        <v/>
      </c>
      <c r="G14" s="15">
        <f>IFERROR(AVERAGEIFS(Annonces!$T$2:$T$701,Annonces!$A$2:$A$701,$A14,Annonces!$E$2:$E$701,"En vente",Annonces!$U$2:$U$701,$B14),"")</f>
        <v/>
      </c>
    </row>
    <row r="15">
      <c r="A15" s="10" t="inlineStr">
        <is>
          <t>BMW Z3 1.9i / 2.0i</t>
        </is>
      </c>
      <c r="B15" s="10" t="n">
        <v>2001</v>
      </c>
      <c r="C15" s="16">
        <f>COUNTIFS(Annonces!$A$2:$A$701,$A15,Annonces!$E$2:$E$701,"En vente",Annonces!$U$2:$U$701,$B15)</f>
        <v/>
      </c>
      <c r="D15" s="12">
        <f>IFERROR(AVERAGEIFS(Annonces!$L$2:$L$701,Annonces!$A$2:$A$701,$A15,Annonces!$E$2:$E$701,"En vente",Annonces!$U$2:$U$701,$B15),"")</f>
        <v/>
      </c>
      <c r="E15" s="12">
        <f>IF(C15&gt;0,_xlfn.MINIFS(Annonces!$L$2:$L$701,Annonces!$A$2:$A$701,$A15,Annonces!$E$2:$E$701,"En vente",Annonces!$U$2:$U$701,$B15),"")</f>
        <v/>
      </c>
      <c r="F15" s="12">
        <f>IF(C15&gt;0,_xlfn.MAXIFS(Annonces!$L$2:$L$701,Annonces!$A$2:$A$701,$A15,Annonces!$E$2:$E$701,"En vente",Annonces!$U$2:$U$701,$B15),"")</f>
        <v/>
      </c>
      <c r="G15" s="15">
        <f>IFERROR(AVERAGEIFS(Annonces!$T$2:$T$701,Annonces!$A$2:$A$701,$A15,Annonces!$E$2:$E$701,"En vente",Annonces!$U$2:$U$701,$B15),"")</f>
        <v/>
      </c>
    </row>
    <row r="16">
      <c r="A16" s="10" t="inlineStr">
        <is>
          <t>BMW Z3 1.9i / 2.0i</t>
        </is>
      </c>
      <c r="B16" s="10" t="n">
        <v>2002</v>
      </c>
      <c r="C16" s="16">
        <f>COUNTIFS(Annonces!$A$2:$A$701,$A16,Annonces!$E$2:$E$701,"En vente",Annonces!$U$2:$U$701,$B16)</f>
        <v/>
      </c>
      <c r="D16" s="12">
        <f>IFERROR(AVERAGEIFS(Annonces!$L$2:$L$701,Annonces!$A$2:$A$701,$A16,Annonces!$E$2:$E$701,"En vente",Annonces!$U$2:$U$701,$B16),"")</f>
        <v/>
      </c>
      <c r="E16" s="12">
        <f>IF(C16&gt;0,_xlfn.MINIFS(Annonces!$L$2:$L$701,Annonces!$A$2:$A$701,$A16,Annonces!$E$2:$E$701,"En vente",Annonces!$U$2:$U$701,$B16),"")</f>
        <v/>
      </c>
      <c r="F16" s="12">
        <f>IF(C16&gt;0,_xlfn.MAXIFS(Annonces!$L$2:$L$701,Annonces!$A$2:$A$701,$A16,Annonces!$E$2:$E$701,"En vente",Annonces!$U$2:$U$701,$B16),"")</f>
        <v/>
      </c>
      <c r="G16" s="15">
        <f>IFERROR(AVERAGEIFS(Annonces!$T$2:$T$701,Annonces!$A$2:$A$701,$A16,Annonces!$E$2:$E$701,"En vente",Annonces!$U$2:$U$701,$B16),"")</f>
        <v/>
      </c>
    </row>
    <row r="17">
      <c r="A17" s="10" t="inlineStr">
        <is>
          <t>Citroën Saxo VTS 16V</t>
        </is>
      </c>
      <c r="B17" s="10" t="n">
        <v>1997</v>
      </c>
      <c r="C17" s="16">
        <f>COUNTIFS(Annonces!$A$2:$A$701,$A17,Annonces!$E$2:$E$701,"En vente",Annonces!$U$2:$U$701,$B17)</f>
        <v/>
      </c>
      <c r="D17" s="12">
        <f>IFERROR(AVERAGEIFS(Annonces!$L$2:$L$701,Annonces!$A$2:$A$701,$A17,Annonces!$E$2:$E$701,"En vente",Annonces!$U$2:$U$701,$B17),"")</f>
        <v/>
      </c>
      <c r="E17" s="12">
        <f>IF(C17&gt;0,_xlfn.MINIFS(Annonces!$L$2:$L$701,Annonces!$A$2:$A$701,$A17,Annonces!$E$2:$E$701,"En vente",Annonces!$U$2:$U$701,$B17),"")</f>
        <v/>
      </c>
      <c r="F17" s="12">
        <f>IF(C17&gt;0,_xlfn.MAXIFS(Annonces!$L$2:$L$701,Annonces!$A$2:$A$701,$A17,Annonces!$E$2:$E$701,"En vente",Annonces!$U$2:$U$701,$B17),"")</f>
        <v/>
      </c>
      <c r="G17" s="15">
        <f>IFERROR(AVERAGEIFS(Annonces!$T$2:$T$701,Annonces!$A$2:$A$701,$A17,Annonces!$E$2:$E$701,"En vente",Annonces!$U$2:$U$701,$B17),"")</f>
        <v/>
      </c>
    </row>
    <row r="18">
      <c r="A18" s="10" t="inlineStr">
        <is>
          <t>Citroën Saxo VTS 16V</t>
        </is>
      </c>
      <c r="B18" s="10" t="n">
        <v>1998</v>
      </c>
      <c r="C18" s="16">
        <f>COUNTIFS(Annonces!$A$2:$A$701,$A18,Annonces!$E$2:$E$701,"En vente",Annonces!$U$2:$U$701,$B18)</f>
        <v/>
      </c>
      <c r="D18" s="12">
        <f>IFERROR(AVERAGEIFS(Annonces!$L$2:$L$701,Annonces!$A$2:$A$701,$A18,Annonces!$E$2:$E$701,"En vente",Annonces!$U$2:$U$701,$B18),"")</f>
        <v/>
      </c>
      <c r="E18" s="12">
        <f>IF(C18&gt;0,_xlfn.MINIFS(Annonces!$L$2:$L$701,Annonces!$A$2:$A$701,$A18,Annonces!$E$2:$E$701,"En vente",Annonces!$U$2:$U$701,$B18),"")</f>
        <v/>
      </c>
      <c r="F18" s="12">
        <f>IF(C18&gt;0,_xlfn.MAXIFS(Annonces!$L$2:$L$701,Annonces!$A$2:$A$701,$A18,Annonces!$E$2:$E$701,"En vente",Annonces!$U$2:$U$701,$B18),"")</f>
        <v/>
      </c>
      <c r="G18" s="15">
        <f>IFERROR(AVERAGEIFS(Annonces!$T$2:$T$701,Annonces!$A$2:$A$701,$A18,Annonces!$E$2:$E$701,"En vente",Annonces!$U$2:$U$701,$B18),"")</f>
        <v/>
      </c>
    </row>
    <row r="19">
      <c r="A19" s="10" t="inlineStr">
        <is>
          <t>Citroën Saxo VTS 16V</t>
        </is>
      </c>
      <c r="B19" s="10" t="n">
        <v>1999</v>
      </c>
      <c r="C19" s="16">
        <f>COUNTIFS(Annonces!$A$2:$A$701,$A19,Annonces!$E$2:$E$701,"En vente",Annonces!$U$2:$U$701,$B19)</f>
        <v/>
      </c>
      <c r="D19" s="12">
        <f>IFERROR(AVERAGEIFS(Annonces!$L$2:$L$701,Annonces!$A$2:$A$701,$A19,Annonces!$E$2:$E$701,"En vente",Annonces!$U$2:$U$701,$B19),"")</f>
        <v/>
      </c>
      <c r="E19" s="12">
        <f>IF(C19&gt;0,_xlfn.MINIFS(Annonces!$L$2:$L$701,Annonces!$A$2:$A$701,$A19,Annonces!$E$2:$E$701,"En vente",Annonces!$U$2:$U$701,$B19),"")</f>
        <v/>
      </c>
      <c r="F19" s="12">
        <f>IF(C19&gt;0,_xlfn.MAXIFS(Annonces!$L$2:$L$701,Annonces!$A$2:$A$701,$A19,Annonces!$E$2:$E$701,"En vente",Annonces!$U$2:$U$701,$B19),"")</f>
        <v/>
      </c>
      <c r="G19" s="15">
        <f>IFERROR(AVERAGEIFS(Annonces!$T$2:$T$701,Annonces!$A$2:$A$701,$A19,Annonces!$E$2:$E$701,"En vente",Annonces!$U$2:$U$701,$B19),"")</f>
        <v/>
      </c>
    </row>
    <row r="20">
      <c r="A20" s="10" t="inlineStr">
        <is>
          <t>Citroën Saxo VTS 16V</t>
        </is>
      </c>
      <c r="B20" s="10" t="n">
        <v>2000</v>
      </c>
      <c r="C20" s="16">
        <f>COUNTIFS(Annonces!$A$2:$A$701,$A20,Annonces!$E$2:$E$701,"En vente",Annonces!$U$2:$U$701,$B20)</f>
        <v/>
      </c>
      <c r="D20" s="12">
        <f>IFERROR(AVERAGEIFS(Annonces!$L$2:$L$701,Annonces!$A$2:$A$701,$A20,Annonces!$E$2:$E$701,"En vente",Annonces!$U$2:$U$701,$B20),"")</f>
        <v/>
      </c>
      <c r="E20" s="12">
        <f>IF(C20&gt;0,_xlfn.MINIFS(Annonces!$L$2:$L$701,Annonces!$A$2:$A$701,$A20,Annonces!$E$2:$E$701,"En vente",Annonces!$U$2:$U$701,$B20),"")</f>
        <v/>
      </c>
      <c r="F20" s="12">
        <f>IF(C20&gt;0,_xlfn.MAXIFS(Annonces!$L$2:$L$701,Annonces!$A$2:$A$701,$A20,Annonces!$E$2:$E$701,"En vente",Annonces!$U$2:$U$701,$B20),"")</f>
        <v/>
      </c>
      <c r="G20" s="15">
        <f>IFERROR(AVERAGEIFS(Annonces!$T$2:$T$701,Annonces!$A$2:$A$701,$A20,Annonces!$E$2:$E$701,"En vente",Annonces!$U$2:$U$701,$B20),"")</f>
        <v/>
      </c>
    </row>
    <row r="21">
      <c r="A21" s="10" t="inlineStr">
        <is>
          <t>Citroën Saxo VTS 16V</t>
        </is>
      </c>
      <c r="B21" s="10" t="n">
        <v>2001</v>
      </c>
      <c r="C21" s="16">
        <f>COUNTIFS(Annonces!$A$2:$A$701,$A21,Annonces!$E$2:$E$701,"En vente",Annonces!$U$2:$U$701,$B21)</f>
        <v/>
      </c>
      <c r="D21" s="12">
        <f>IFERROR(AVERAGEIFS(Annonces!$L$2:$L$701,Annonces!$A$2:$A$701,$A21,Annonces!$E$2:$E$701,"En vente",Annonces!$U$2:$U$701,$B21),"")</f>
        <v/>
      </c>
      <c r="E21" s="12">
        <f>IF(C21&gt;0,_xlfn.MINIFS(Annonces!$L$2:$L$701,Annonces!$A$2:$A$701,$A21,Annonces!$E$2:$E$701,"En vente",Annonces!$U$2:$U$701,$B21),"")</f>
        <v/>
      </c>
      <c r="F21" s="12">
        <f>IF(C21&gt;0,_xlfn.MAXIFS(Annonces!$L$2:$L$701,Annonces!$A$2:$A$701,$A21,Annonces!$E$2:$E$701,"En vente",Annonces!$U$2:$U$701,$B21),"")</f>
        <v/>
      </c>
      <c r="G21" s="15">
        <f>IFERROR(AVERAGEIFS(Annonces!$T$2:$T$701,Annonces!$A$2:$A$701,$A21,Annonces!$E$2:$E$701,"En vente",Annonces!$U$2:$U$701,$B21),"")</f>
        <v/>
      </c>
    </row>
    <row r="22">
      <c r="A22" s="10" t="inlineStr">
        <is>
          <t>Citroën Saxo VTS 16V</t>
        </is>
      </c>
      <c r="B22" s="10" t="n">
        <v>2002</v>
      </c>
      <c r="C22" s="16">
        <f>COUNTIFS(Annonces!$A$2:$A$701,$A22,Annonces!$E$2:$E$701,"En vente",Annonces!$U$2:$U$701,$B22)</f>
        <v/>
      </c>
      <c r="D22" s="12">
        <f>IFERROR(AVERAGEIFS(Annonces!$L$2:$L$701,Annonces!$A$2:$A$701,$A22,Annonces!$E$2:$E$701,"En vente",Annonces!$U$2:$U$701,$B22),"")</f>
        <v/>
      </c>
      <c r="E22" s="12">
        <f>IF(C22&gt;0,_xlfn.MINIFS(Annonces!$L$2:$L$701,Annonces!$A$2:$A$701,$A22,Annonces!$E$2:$E$701,"En vente",Annonces!$U$2:$U$701,$B22),"")</f>
        <v/>
      </c>
      <c r="F22" s="12">
        <f>IF(C22&gt;0,_xlfn.MAXIFS(Annonces!$L$2:$L$701,Annonces!$A$2:$A$701,$A22,Annonces!$E$2:$E$701,"En vente",Annonces!$U$2:$U$701,$B22),"")</f>
        <v/>
      </c>
      <c r="G22" s="15">
        <f>IFERROR(AVERAGEIFS(Annonces!$T$2:$T$701,Annonces!$A$2:$A$701,$A22,Annonces!$E$2:$E$701,"En vente",Annonces!$U$2:$U$701,$B22),"")</f>
        <v/>
      </c>
    </row>
    <row r="23">
      <c r="A23" s="10" t="inlineStr">
        <is>
          <t>Citroën Saxo VTS 16V</t>
        </is>
      </c>
      <c r="B23" s="10" t="n">
        <v>2003</v>
      </c>
      <c r="C23" s="16">
        <f>COUNTIFS(Annonces!$A$2:$A$701,$A23,Annonces!$E$2:$E$701,"En vente",Annonces!$U$2:$U$701,$B23)</f>
        <v/>
      </c>
      <c r="D23" s="12">
        <f>IFERROR(AVERAGEIFS(Annonces!$L$2:$L$701,Annonces!$A$2:$A$701,$A23,Annonces!$E$2:$E$701,"En vente",Annonces!$U$2:$U$701,$B23),"")</f>
        <v/>
      </c>
      <c r="E23" s="12">
        <f>IF(C23&gt;0,_xlfn.MINIFS(Annonces!$L$2:$L$701,Annonces!$A$2:$A$701,$A23,Annonces!$E$2:$E$701,"En vente",Annonces!$U$2:$U$701,$B23),"")</f>
        <v/>
      </c>
      <c r="F23" s="12">
        <f>IF(C23&gt;0,_xlfn.MAXIFS(Annonces!$L$2:$L$701,Annonces!$A$2:$A$701,$A23,Annonces!$E$2:$E$701,"En vente",Annonces!$U$2:$U$701,$B23),"")</f>
        <v/>
      </c>
      <c r="G23" s="15">
        <f>IFERROR(AVERAGEIFS(Annonces!$T$2:$T$701,Annonces!$A$2:$A$701,$A23,Annonces!$E$2:$E$701,"En vente",Annonces!$U$2:$U$701,$B23),"")</f>
        <v/>
      </c>
    </row>
    <row r="24">
      <c r="A24" s="10" t="inlineStr">
        <is>
          <t>Honda S2000</t>
        </is>
      </c>
      <c r="B24" s="10" t="n">
        <v>1999</v>
      </c>
      <c r="C24" s="16">
        <f>COUNTIFS(Annonces!$A$2:$A$701,$A24,Annonces!$E$2:$E$701,"En vente",Annonces!$U$2:$U$701,$B24)</f>
        <v/>
      </c>
      <c r="D24" s="12">
        <f>IFERROR(AVERAGEIFS(Annonces!$L$2:$L$701,Annonces!$A$2:$A$701,$A24,Annonces!$E$2:$E$701,"En vente",Annonces!$U$2:$U$701,$B24),"")</f>
        <v/>
      </c>
      <c r="E24" s="12">
        <f>IF(C24&gt;0,_xlfn.MINIFS(Annonces!$L$2:$L$701,Annonces!$A$2:$A$701,$A24,Annonces!$E$2:$E$701,"En vente",Annonces!$U$2:$U$701,$B24),"")</f>
        <v/>
      </c>
      <c r="F24" s="12">
        <f>IF(C24&gt;0,_xlfn.MAXIFS(Annonces!$L$2:$L$701,Annonces!$A$2:$A$701,$A24,Annonces!$E$2:$E$701,"En vente",Annonces!$U$2:$U$701,$B24),"")</f>
        <v/>
      </c>
      <c r="G24" s="15">
        <f>IFERROR(AVERAGEIFS(Annonces!$T$2:$T$701,Annonces!$A$2:$A$701,$A24,Annonces!$E$2:$E$701,"En vente",Annonces!$U$2:$U$701,$B24),"")</f>
        <v/>
      </c>
    </row>
    <row r="25">
      <c r="A25" s="10" t="inlineStr">
        <is>
          <t>Honda S2000</t>
        </is>
      </c>
      <c r="B25" s="10" t="n">
        <v>2000</v>
      </c>
      <c r="C25" s="16">
        <f>COUNTIFS(Annonces!$A$2:$A$701,$A25,Annonces!$E$2:$E$701,"En vente",Annonces!$U$2:$U$701,$B25)</f>
        <v/>
      </c>
      <c r="D25" s="12">
        <f>IFERROR(AVERAGEIFS(Annonces!$L$2:$L$701,Annonces!$A$2:$A$701,$A25,Annonces!$E$2:$E$701,"En vente",Annonces!$U$2:$U$701,$B25),"")</f>
        <v/>
      </c>
      <c r="E25" s="12">
        <f>IF(C25&gt;0,_xlfn.MINIFS(Annonces!$L$2:$L$701,Annonces!$A$2:$A$701,$A25,Annonces!$E$2:$E$701,"En vente",Annonces!$U$2:$U$701,$B25),"")</f>
        <v/>
      </c>
      <c r="F25" s="12">
        <f>IF(C25&gt;0,_xlfn.MAXIFS(Annonces!$L$2:$L$701,Annonces!$A$2:$A$701,$A25,Annonces!$E$2:$E$701,"En vente",Annonces!$U$2:$U$701,$B25),"")</f>
        <v/>
      </c>
      <c r="G25" s="15">
        <f>IFERROR(AVERAGEIFS(Annonces!$T$2:$T$701,Annonces!$A$2:$A$701,$A25,Annonces!$E$2:$E$701,"En vente",Annonces!$U$2:$U$701,$B25),"")</f>
        <v/>
      </c>
    </row>
    <row r="26">
      <c r="A26" s="10" t="inlineStr">
        <is>
          <t>Honda S2000</t>
        </is>
      </c>
      <c r="B26" s="10" t="n">
        <v>2001</v>
      </c>
      <c r="C26" s="16">
        <f>COUNTIFS(Annonces!$A$2:$A$701,$A26,Annonces!$E$2:$E$701,"En vente",Annonces!$U$2:$U$701,$B26)</f>
        <v/>
      </c>
      <c r="D26" s="12">
        <f>IFERROR(AVERAGEIFS(Annonces!$L$2:$L$701,Annonces!$A$2:$A$701,$A26,Annonces!$E$2:$E$701,"En vente",Annonces!$U$2:$U$701,$B26),"")</f>
        <v/>
      </c>
      <c r="E26" s="12">
        <f>IF(C26&gt;0,_xlfn.MINIFS(Annonces!$L$2:$L$701,Annonces!$A$2:$A$701,$A26,Annonces!$E$2:$E$701,"En vente",Annonces!$U$2:$U$701,$B26),"")</f>
        <v/>
      </c>
      <c r="F26" s="12">
        <f>IF(C26&gt;0,_xlfn.MAXIFS(Annonces!$L$2:$L$701,Annonces!$A$2:$A$701,$A26,Annonces!$E$2:$E$701,"En vente",Annonces!$U$2:$U$701,$B26),"")</f>
        <v/>
      </c>
      <c r="G26" s="15">
        <f>IFERROR(AVERAGEIFS(Annonces!$T$2:$T$701,Annonces!$A$2:$A$701,$A26,Annonces!$E$2:$E$701,"En vente",Annonces!$U$2:$U$701,$B26),"")</f>
        <v/>
      </c>
    </row>
    <row r="27">
      <c r="A27" s="10" t="inlineStr">
        <is>
          <t>Honda S2000</t>
        </is>
      </c>
      <c r="B27" s="10" t="n">
        <v>2002</v>
      </c>
      <c r="C27" s="16">
        <f>COUNTIFS(Annonces!$A$2:$A$701,$A27,Annonces!$E$2:$E$701,"En vente",Annonces!$U$2:$U$701,$B27)</f>
        <v/>
      </c>
      <c r="D27" s="12">
        <f>IFERROR(AVERAGEIFS(Annonces!$L$2:$L$701,Annonces!$A$2:$A$701,$A27,Annonces!$E$2:$E$701,"En vente",Annonces!$U$2:$U$701,$B27),"")</f>
        <v/>
      </c>
      <c r="E27" s="12">
        <f>IF(C27&gt;0,_xlfn.MINIFS(Annonces!$L$2:$L$701,Annonces!$A$2:$A$701,$A27,Annonces!$E$2:$E$701,"En vente",Annonces!$U$2:$U$701,$B27),"")</f>
        <v/>
      </c>
      <c r="F27" s="12">
        <f>IF(C27&gt;0,_xlfn.MAXIFS(Annonces!$L$2:$L$701,Annonces!$A$2:$A$701,$A27,Annonces!$E$2:$E$701,"En vente",Annonces!$U$2:$U$701,$B27),"")</f>
        <v/>
      </c>
      <c r="G27" s="15">
        <f>IFERROR(AVERAGEIFS(Annonces!$T$2:$T$701,Annonces!$A$2:$A$701,$A27,Annonces!$E$2:$E$701,"En vente",Annonces!$U$2:$U$701,$B27),"")</f>
        <v/>
      </c>
    </row>
    <row r="28">
      <c r="A28" s="10" t="inlineStr">
        <is>
          <t>Honda S2000</t>
        </is>
      </c>
      <c r="B28" s="10" t="n">
        <v>2003</v>
      </c>
      <c r="C28" s="16">
        <f>COUNTIFS(Annonces!$A$2:$A$701,$A28,Annonces!$E$2:$E$701,"En vente",Annonces!$U$2:$U$701,$B28)</f>
        <v/>
      </c>
      <c r="D28" s="12">
        <f>IFERROR(AVERAGEIFS(Annonces!$L$2:$L$701,Annonces!$A$2:$A$701,$A28,Annonces!$E$2:$E$701,"En vente",Annonces!$U$2:$U$701,$B28),"")</f>
        <v/>
      </c>
      <c r="E28" s="12">
        <f>IF(C28&gt;0,_xlfn.MINIFS(Annonces!$L$2:$L$701,Annonces!$A$2:$A$701,$A28,Annonces!$E$2:$E$701,"En vente",Annonces!$U$2:$U$701,$B28),"")</f>
        <v/>
      </c>
      <c r="F28" s="12">
        <f>IF(C28&gt;0,_xlfn.MAXIFS(Annonces!$L$2:$L$701,Annonces!$A$2:$A$701,$A28,Annonces!$E$2:$E$701,"En vente",Annonces!$U$2:$U$701,$B28),"")</f>
        <v/>
      </c>
      <c r="G28" s="15">
        <f>IFERROR(AVERAGEIFS(Annonces!$T$2:$T$701,Annonces!$A$2:$A$701,$A28,Annonces!$E$2:$E$701,"En vente",Annonces!$U$2:$U$701,$B28),"")</f>
        <v/>
      </c>
    </row>
    <row r="29">
      <c r="A29" s="10" t="inlineStr">
        <is>
          <t>Honda S2000</t>
        </is>
      </c>
      <c r="B29" s="10" t="n">
        <v>2004</v>
      </c>
      <c r="C29" s="16">
        <f>COUNTIFS(Annonces!$A$2:$A$701,$A29,Annonces!$E$2:$E$701,"En vente",Annonces!$U$2:$U$701,$B29)</f>
        <v/>
      </c>
      <c r="D29" s="12">
        <f>IFERROR(AVERAGEIFS(Annonces!$L$2:$L$701,Annonces!$A$2:$A$701,$A29,Annonces!$E$2:$E$701,"En vente",Annonces!$U$2:$U$701,$B29),"")</f>
        <v/>
      </c>
      <c r="E29" s="12">
        <f>IF(C29&gt;0,_xlfn.MINIFS(Annonces!$L$2:$L$701,Annonces!$A$2:$A$701,$A29,Annonces!$E$2:$E$701,"En vente",Annonces!$U$2:$U$701,$B29),"")</f>
        <v/>
      </c>
      <c r="F29" s="12">
        <f>IF(C29&gt;0,_xlfn.MAXIFS(Annonces!$L$2:$L$701,Annonces!$A$2:$A$701,$A29,Annonces!$E$2:$E$701,"En vente",Annonces!$U$2:$U$701,$B29),"")</f>
        <v/>
      </c>
      <c r="G29" s="15">
        <f>IFERROR(AVERAGEIFS(Annonces!$T$2:$T$701,Annonces!$A$2:$A$701,$A29,Annonces!$E$2:$E$701,"En vente",Annonces!$U$2:$U$701,$B29),"")</f>
        <v/>
      </c>
    </row>
    <row r="30">
      <c r="A30" s="10" t="inlineStr">
        <is>
          <t>Honda S2000</t>
        </is>
      </c>
      <c r="B30" s="10" t="n">
        <v>2005</v>
      </c>
      <c r="C30" s="16">
        <f>COUNTIFS(Annonces!$A$2:$A$701,$A30,Annonces!$E$2:$E$701,"En vente",Annonces!$U$2:$U$701,$B30)</f>
        <v/>
      </c>
      <c r="D30" s="12">
        <f>IFERROR(AVERAGEIFS(Annonces!$L$2:$L$701,Annonces!$A$2:$A$701,$A30,Annonces!$E$2:$E$701,"En vente",Annonces!$U$2:$U$701,$B30),"")</f>
        <v/>
      </c>
      <c r="E30" s="12">
        <f>IF(C30&gt;0,_xlfn.MINIFS(Annonces!$L$2:$L$701,Annonces!$A$2:$A$701,$A30,Annonces!$E$2:$E$701,"En vente",Annonces!$U$2:$U$701,$B30),"")</f>
        <v/>
      </c>
      <c r="F30" s="12">
        <f>IF(C30&gt;0,_xlfn.MAXIFS(Annonces!$L$2:$L$701,Annonces!$A$2:$A$701,$A30,Annonces!$E$2:$E$701,"En vente",Annonces!$U$2:$U$701,$B30),"")</f>
        <v/>
      </c>
      <c r="G30" s="15">
        <f>IFERROR(AVERAGEIFS(Annonces!$T$2:$T$701,Annonces!$A$2:$A$701,$A30,Annonces!$E$2:$E$701,"En vente",Annonces!$U$2:$U$701,$B30),"")</f>
        <v/>
      </c>
    </row>
    <row r="31">
      <c r="A31" s="10" t="inlineStr">
        <is>
          <t>Honda S2000</t>
        </is>
      </c>
      <c r="B31" s="10" t="n">
        <v>2006</v>
      </c>
      <c r="C31" s="16">
        <f>COUNTIFS(Annonces!$A$2:$A$701,$A31,Annonces!$E$2:$E$701,"En vente",Annonces!$U$2:$U$701,$B31)</f>
        <v/>
      </c>
      <c r="D31" s="12">
        <f>IFERROR(AVERAGEIFS(Annonces!$L$2:$L$701,Annonces!$A$2:$A$701,$A31,Annonces!$E$2:$E$701,"En vente",Annonces!$U$2:$U$701,$B31),"")</f>
        <v/>
      </c>
      <c r="E31" s="12">
        <f>IF(C31&gt;0,_xlfn.MINIFS(Annonces!$L$2:$L$701,Annonces!$A$2:$A$701,$A31,Annonces!$E$2:$E$701,"En vente",Annonces!$U$2:$U$701,$B31),"")</f>
        <v/>
      </c>
      <c r="F31" s="12">
        <f>IF(C31&gt;0,_xlfn.MAXIFS(Annonces!$L$2:$L$701,Annonces!$A$2:$A$701,$A31,Annonces!$E$2:$E$701,"En vente",Annonces!$U$2:$U$701,$B31),"")</f>
        <v/>
      </c>
      <c r="G31" s="15">
        <f>IFERROR(AVERAGEIFS(Annonces!$T$2:$T$701,Annonces!$A$2:$A$701,$A31,Annonces!$E$2:$E$701,"En vente",Annonces!$U$2:$U$701,$B31),"")</f>
        <v/>
      </c>
    </row>
    <row r="32">
      <c r="A32" s="10" t="inlineStr">
        <is>
          <t>Honda S2000</t>
        </is>
      </c>
      <c r="B32" s="10" t="n">
        <v>2007</v>
      </c>
      <c r="C32" s="16">
        <f>COUNTIFS(Annonces!$A$2:$A$701,$A32,Annonces!$E$2:$E$701,"En vente",Annonces!$U$2:$U$701,$B32)</f>
        <v/>
      </c>
      <c r="D32" s="12">
        <f>IFERROR(AVERAGEIFS(Annonces!$L$2:$L$701,Annonces!$A$2:$A$701,$A32,Annonces!$E$2:$E$701,"En vente",Annonces!$U$2:$U$701,$B32),"")</f>
        <v/>
      </c>
      <c r="E32" s="12">
        <f>IF(C32&gt;0,_xlfn.MINIFS(Annonces!$L$2:$L$701,Annonces!$A$2:$A$701,$A32,Annonces!$E$2:$E$701,"En vente",Annonces!$U$2:$U$701,$B32),"")</f>
        <v/>
      </c>
      <c r="F32" s="12">
        <f>IF(C32&gt;0,_xlfn.MAXIFS(Annonces!$L$2:$L$701,Annonces!$A$2:$A$701,$A32,Annonces!$E$2:$E$701,"En vente",Annonces!$U$2:$U$701,$B32),"")</f>
        <v/>
      </c>
      <c r="G32" s="15">
        <f>IFERROR(AVERAGEIFS(Annonces!$T$2:$T$701,Annonces!$A$2:$A$701,$A32,Annonces!$E$2:$E$701,"En vente",Annonces!$U$2:$U$701,$B32),"")</f>
        <v/>
      </c>
    </row>
    <row r="33">
      <c r="A33" s="10" t="inlineStr">
        <is>
          <t>Mazda MX-5 NA</t>
        </is>
      </c>
      <c r="B33" s="10" t="n">
        <v>1990</v>
      </c>
      <c r="C33" s="16">
        <f>COUNTIFS(Annonces!$A$2:$A$701,$A33,Annonces!$E$2:$E$701,"En vente",Annonces!$U$2:$U$701,$B33)</f>
        <v/>
      </c>
      <c r="D33" s="12">
        <f>IFERROR(AVERAGEIFS(Annonces!$L$2:$L$701,Annonces!$A$2:$A$701,$A33,Annonces!$E$2:$E$701,"En vente",Annonces!$U$2:$U$701,$B33),"")</f>
        <v/>
      </c>
      <c r="E33" s="12">
        <f>IF(C33&gt;0,_xlfn.MINIFS(Annonces!$L$2:$L$701,Annonces!$A$2:$A$701,$A33,Annonces!$E$2:$E$701,"En vente",Annonces!$U$2:$U$701,$B33),"")</f>
        <v/>
      </c>
      <c r="F33" s="12">
        <f>IF(C33&gt;0,_xlfn.MAXIFS(Annonces!$L$2:$L$701,Annonces!$A$2:$A$701,$A33,Annonces!$E$2:$E$701,"En vente",Annonces!$U$2:$U$701,$B33),"")</f>
        <v/>
      </c>
      <c r="G33" s="15">
        <f>IFERROR(AVERAGEIFS(Annonces!$T$2:$T$701,Annonces!$A$2:$A$701,$A33,Annonces!$E$2:$E$701,"En vente",Annonces!$U$2:$U$701,$B33),"")</f>
        <v/>
      </c>
    </row>
    <row r="34">
      <c r="A34" s="10" t="inlineStr">
        <is>
          <t>Mazda MX-5 NA</t>
        </is>
      </c>
      <c r="B34" s="10" t="n">
        <v>1991</v>
      </c>
      <c r="C34" s="16">
        <f>COUNTIFS(Annonces!$A$2:$A$701,$A34,Annonces!$E$2:$E$701,"En vente",Annonces!$U$2:$U$701,$B34)</f>
        <v/>
      </c>
      <c r="D34" s="12">
        <f>IFERROR(AVERAGEIFS(Annonces!$L$2:$L$701,Annonces!$A$2:$A$701,$A34,Annonces!$E$2:$E$701,"En vente",Annonces!$U$2:$U$701,$B34),"")</f>
        <v/>
      </c>
      <c r="E34" s="12">
        <f>IF(C34&gt;0,_xlfn.MINIFS(Annonces!$L$2:$L$701,Annonces!$A$2:$A$701,$A34,Annonces!$E$2:$E$701,"En vente",Annonces!$U$2:$U$701,$B34),"")</f>
        <v/>
      </c>
      <c r="F34" s="12">
        <f>IF(C34&gt;0,_xlfn.MAXIFS(Annonces!$L$2:$L$701,Annonces!$A$2:$A$701,$A34,Annonces!$E$2:$E$701,"En vente",Annonces!$U$2:$U$701,$B34),"")</f>
        <v/>
      </c>
      <c r="G34" s="15">
        <f>IFERROR(AVERAGEIFS(Annonces!$T$2:$T$701,Annonces!$A$2:$A$701,$A34,Annonces!$E$2:$E$701,"En vente",Annonces!$U$2:$U$701,$B34),"")</f>
        <v/>
      </c>
    </row>
    <row r="35">
      <c r="A35" s="10" t="inlineStr">
        <is>
          <t>Mazda MX-5 NA</t>
        </is>
      </c>
      <c r="B35" s="10" t="n">
        <v>1992</v>
      </c>
      <c r="C35" s="16">
        <f>COUNTIFS(Annonces!$A$2:$A$701,$A35,Annonces!$E$2:$E$701,"En vente",Annonces!$U$2:$U$701,$B35)</f>
        <v/>
      </c>
      <c r="D35" s="12">
        <f>IFERROR(AVERAGEIFS(Annonces!$L$2:$L$701,Annonces!$A$2:$A$701,$A35,Annonces!$E$2:$E$701,"En vente",Annonces!$U$2:$U$701,$B35),"")</f>
        <v/>
      </c>
      <c r="E35" s="12">
        <f>IF(C35&gt;0,_xlfn.MINIFS(Annonces!$L$2:$L$701,Annonces!$A$2:$A$701,$A35,Annonces!$E$2:$E$701,"En vente",Annonces!$U$2:$U$701,$B35),"")</f>
        <v/>
      </c>
      <c r="F35" s="12">
        <f>IF(C35&gt;0,_xlfn.MAXIFS(Annonces!$L$2:$L$701,Annonces!$A$2:$A$701,$A35,Annonces!$E$2:$E$701,"En vente",Annonces!$U$2:$U$701,$B35),"")</f>
        <v/>
      </c>
      <c r="G35" s="15">
        <f>IFERROR(AVERAGEIFS(Annonces!$T$2:$T$701,Annonces!$A$2:$A$701,$A35,Annonces!$E$2:$E$701,"En vente",Annonces!$U$2:$U$701,$B35),"")</f>
        <v/>
      </c>
    </row>
    <row r="36">
      <c r="A36" s="10" t="inlineStr">
        <is>
          <t>Mazda MX-5 NA</t>
        </is>
      </c>
      <c r="B36" s="10" t="n">
        <v>1993</v>
      </c>
      <c r="C36" s="16">
        <f>COUNTIFS(Annonces!$A$2:$A$701,$A36,Annonces!$E$2:$E$701,"En vente",Annonces!$U$2:$U$701,$B36)</f>
        <v/>
      </c>
      <c r="D36" s="12">
        <f>IFERROR(AVERAGEIFS(Annonces!$L$2:$L$701,Annonces!$A$2:$A$701,$A36,Annonces!$E$2:$E$701,"En vente",Annonces!$U$2:$U$701,$B36),"")</f>
        <v/>
      </c>
      <c r="E36" s="12">
        <f>IF(C36&gt;0,_xlfn.MINIFS(Annonces!$L$2:$L$701,Annonces!$A$2:$A$701,$A36,Annonces!$E$2:$E$701,"En vente",Annonces!$U$2:$U$701,$B36),"")</f>
        <v/>
      </c>
      <c r="F36" s="12">
        <f>IF(C36&gt;0,_xlfn.MAXIFS(Annonces!$L$2:$L$701,Annonces!$A$2:$A$701,$A36,Annonces!$E$2:$E$701,"En vente",Annonces!$U$2:$U$701,$B36),"")</f>
        <v/>
      </c>
      <c r="G36" s="15">
        <f>IFERROR(AVERAGEIFS(Annonces!$T$2:$T$701,Annonces!$A$2:$A$701,$A36,Annonces!$E$2:$E$701,"En vente",Annonces!$U$2:$U$701,$B36),"")</f>
        <v/>
      </c>
    </row>
    <row r="37">
      <c r="A37" s="10" t="inlineStr">
        <is>
          <t>Mazda MX-5 NA</t>
        </is>
      </c>
      <c r="B37" s="10" t="n">
        <v>1994</v>
      </c>
      <c r="C37" s="16">
        <f>COUNTIFS(Annonces!$A$2:$A$701,$A37,Annonces!$E$2:$E$701,"En vente",Annonces!$U$2:$U$701,$B37)</f>
        <v/>
      </c>
      <c r="D37" s="12">
        <f>IFERROR(AVERAGEIFS(Annonces!$L$2:$L$701,Annonces!$A$2:$A$701,$A37,Annonces!$E$2:$E$701,"En vente",Annonces!$U$2:$U$701,$B37),"")</f>
        <v/>
      </c>
      <c r="E37" s="12">
        <f>IF(C37&gt;0,_xlfn.MINIFS(Annonces!$L$2:$L$701,Annonces!$A$2:$A$701,$A37,Annonces!$E$2:$E$701,"En vente",Annonces!$U$2:$U$701,$B37),"")</f>
        <v/>
      </c>
      <c r="F37" s="12">
        <f>IF(C37&gt;0,_xlfn.MAXIFS(Annonces!$L$2:$L$701,Annonces!$A$2:$A$701,$A37,Annonces!$E$2:$E$701,"En vente",Annonces!$U$2:$U$701,$B37),"")</f>
        <v/>
      </c>
      <c r="G37" s="15">
        <f>IFERROR(AVERAGEIFS(Annonces!$T$2:$T$701,Annonces!$A$2:$A$701,$A37,Annonces!$E$2:$E$701,"En vente",Annonces!$U$2:$U$701,$B37),"")</f>
        <v/>
      </c>
    </row>
    <row r="38">
      <c r="A38" s="10" t="inlineStr">
        <is>
          <t>Mazda MX-5 NA</t>
        </is>
      </c>
      <c r="B38" s="10" t="n">
        <v>1995</v>
      </c>
      <c r="C38" s="16">
        <f>COUNTIFS(Annonces!$A$2:$A$701,$A38,Annonces!$E$2:$E$701,"En vente",Annonces!$U$2:$U$701,$B38)</f>
        <v/>
      </c>
      <c r="D38" s="12">
        <f>IFERROR(AVERAGEIFS(Annonces!$L$2:$L$701,Annonces!$A$2:$A$701,$A38,Annonces!$E$2:$E$701,"En vente",Annonces!$U$2:$U$701,$B38),"")</f>
        <v/>
      </c>
      <c r="E38" s="12">
        <f>IF(C38&gt;0,_xlfn.MINIFS(Annonces!$L$2:$L$701,Annonces!$A$2:$A$701,$A38,Annonces!$E$2:$E$701,"En vente",Annonces!$U$2:$U$701,$B38),"")</f>
        <v/>
      </c>
      <c r="F38" s="12">
        <f>IF(C38&gt;0,_xlfn.MAXIFS(Annonces!$L$2:$L$701,Annonces!$A$2:$A$701,$A38,Annonces!$E$2:$E$701,"En vente",Annonces!$U$2:$U$701,$B38),"")</f>
        <v/>
      </c>
      <c r="G38" s="15">
        <f>IFERROR(AVERAGEIFS(Annonces!$T$2:$T$701,Annonces!$A$2:$A$701,$A38,Annonces!$E$2:$E$701,"En vente",Annonces!$U$2:$U$701,$B38),"")</f>
        <v/>
      </c>
    </row>
    <row r="39">
      <c r="A39" s="10" t="inlineStr">
        <is>
          <t>Mazda MX-5 NA</t>
        </is>
      </c>
      <c r="B39" s="10" t="n">
        <v>1996</v>
      </c>
      <c r="C39" s="16">
        <f>COUNTIFS(Annonces!$A$2:$A$701,$A39,Annonces!$E$2:$E$701,"En vente",Annonces!$U$2:$U$701,$B39)</f>
        <v/>
      </c>
      <c r="D39" s="12">
        <f>IFERROR(AVERAGEIFS(Annonces!$L$2:$L$701,Annonces!$A$2:$A$701,$A39,Annonces!$E$2:$E$701,"En vente",Annonces!$U$2:$U$701,$B39),"")</f>
        <v/>
      </c>
      <c r="E39" s="12">
        <f>IF(C39&gt;0,_xlfn.MINIFS(Annonces!$L$2:$L$701,Annonces!$A$2:$A$701,$A39,Annonces!$E$2:$E$701,"En vente",Annonces!$U$2:$U$701,$B39),"")</f>
        <v/>
      </c>
      <c r="F39" s="12">
        <f>IF(C39&gt;0,_xlfn.MAXIFS(Annonces!$L$2:$L$701,Annonces!$A$2:$A$701,$A39,Annonces!$E$2:$E$701,"En vente",Annonces!$U$2:$U$701,$B39),"")</f>
        <v/>
      </c>
      <c r="G39" s="15">
        <f>IFERROR(AVERAGEIFS(Annonces!$T$2:$T$701,Annonces!$A$2:$A$701,$A39,Annonces!$E$2:$E$701,"En vente",Annonces!$U$2:$U$701,$B39),"")</f>
        <v/>
      </c>
    </row>
    <row r="40">
      <c r="A40" s="10" t="inlineStr">
        <is>
          <t>Mazda MX-5 NA</t>
        </is>
      </c>
      <c r="B40" s="10" t="n">
        <v>1997</v>
      </c>
      <c r="C40" s="16">
        <f>COUNTIFS(Annonces!$A$2:$A$701,$A40,Annonces!$E$2:$E$701,"En vente",Annonces!$U$2:$U$701,$B40)</f>
        <v/>
      </c>
      <c r="D40" s="12">
        <f>IFERROR(AVERAGEIFS(Annonces!$L$2:$L$701,Annonces!$A$2:$A$701,$A40,Annonces!$E$2:$E$701,"En vente",Annonces!$U$2:$U$701,$B40),"")</f>
        <v/>
      </c>
      <c r="E40" s="12">
        <f>IF(C40&gt;0,_xlfn.MINIFS(Annonces!$L$2:$L$701,Annonces!$A$2:$A$701,$A40,Annonces!$E$2:$E$701,"En vente",Annonces!$U$2:$U$701,$B40),"")</f>
        <v/>
      </c>
      <c r="F40" s="12">
        <f>IF(C40&gt;0,_xlfn.MAXIFS(Annonces!$L$2:$L$701,Annonces!$A$2:$A$701,$A40,Annonces!$E$2:$E$701,"En vente",Annonces!$U$2:$U$701,$B40),"")</f>
        <v/>
      </c>
      <c r="G40" s="15">
        <f>IFERROR(AVERAGEIFS(Annonces!$T$2:$T$701,Annonces!$A$2:$A$701,$A40,Annonces!$E$2:$E$701,"En vente",Annonces!$U$2:$U$701,$B40),"")</f>
        <v/>
      </c>
    </row>
    <row r="41">
      <c r="A41" s="10" t="inlineStr">
        <is>
          <t>Mazda MX-5 NA</t>
        </is>
      </c>
      <c r="B41" s="10" t="n">
        <v>1998</v>
      </c>
      <c r="C41" s="16">
        <f>COUNTIFS(Annonces!$A$2:$A$701,$A41,Annonces!$E$2:$E$701,"En vente",Annonces!$U$2:$U$701,$B41)</f>
        <v/>
      </c>
      <c r="D41" s="12">
        <f>IFERROR(AVERAGEIFS(Annonces!$L$2:$L$701,Annonces!$A$2:$A$701,$A41,Annonces!$E$2:$E$701,"En vente",Annonces!$U$2:$U$701,$B41),"")</f>
        <v/>
      </c>
      <c r="E41" s="12">
        <f>IF(C41&gt;0,_xlfn.MINIFS(Annonces!$L$2:$L$701,Annonces!$A$2:$A$701,$A41,Annonces!$E$2:$E$701,"En vente",Annonces!$U$2:$U$701,$B41),"")</f>
        <v/>
      </c>
      <c r="F41" s="12">
        <f>IF(C41&gt;0,_xlfn.MAXIFS(Annonces!$L$2:$L$701,Annonces!$A$2:$A$701,$A41,Annonces!$E$2:$E$701,"En vente",Annonces!$U$2:$U$701,$B41),"")</f>
        <v/>
      </c>
      <c r="G41" s="15">
        <f>IFERROR(AVERAGEIFS(Annonces!$T$2:$T$701,Annonces!$A$2:$A$701,$A41,Annonces!$E$2:$E$701,"En vente",Annonces!$U$2:$U$701,$B41),"")</f>
        <v/>
      </c>
    </row>
    <row r="42">
      <c r="A42" s="10" t="inlineStr">
        <is>
          <t>Peugeot 205 GTI</t>
        </is>
      </c>
      <c r="B42" s="10" t="n">
        <v>1984</v>
      </c>
      <c r="C42" s="16">
        <f>COUNTIFS(Annonces!$A$2:$A$701,$A42,Annonces!$E$2:$E$701,"En vente",Annonces!$U$2:$U$701,$B42)</f>
        <v/>
      </c>
      <c r="D42" s="12">
        <f>IFERROR(AVERAGEIFS(Annonces!$L$2:$L$701,Annonces!$A$2:$A$701,$A42,Annonces!$E$2:$E$701,"En vente",Annonces!$U$2:$U$701,$B42),"")</f>
        <v/>
      </c>
      <c r="E42" s="12">
        <f>IF(C42&gt;0,_xlfn.MINIFS(Annonces!$L$2:$L$701,Annonces!$A$2:$A$701,$A42,Annonces!$E$2:$E$701,"En vente",Annonces!$U$2:$U$701,$B42),"")</f>
        <v/>
      </c>
      <c r="F42" s="12">
        <f>IF(C42&gt;0,_xlfn.MAXIFS(Annonces!$L$2:$L$701,Annonces!$A$2:$A$701,$A42,Annonces!$E$2:$E$701,"En vente",Annonces!$U$2:$U$701,$B42),"")</f>
        <v/>
      </c>
      <c r="G42" s="15">
        <f>IFERROR(AVERAGEIFS(Annonces!$T$2:$T$701,Annonces!$A$2:$A$701,$A42,Annonces!$E$2:$E$701,"En vente",Annonces!$U$2:$U$701,$B42),"")</f>
        <v/>
      </c>
    </row>
    <row r="43">
      <c r="A43" s="10" t="inlineStr">
        <is>
          <t>Peugeot 205 GTI</t>
        </is>
      </c>
      <c r="B43" s="10" t="n">
        <v>1985</v>
      </c>
      <c r="C43" s="16">
        <f>COUNTIFS(Annonces!$A$2:$A$701,$A43,Annonces!$E$2:$E$701,"En vente",Annonces!$U$2:$U$701,$B43)</f>
        <v/>
      </c>
      <c r="D43" s="12">
        <f>IFERROR(AVERAGEIFS(Annonces!$L$2:$L$701,Annonces!$A$2:$A$701,$A43,Annonces!$E$2:$E$701,"En vente",Annonces!$U$2:$U$701,$B43),"")</f>
        <v/>
      </c>
      <c r="E43" s="12">
        <f>IF(C43&gt;0,_xlfn.MINIFS(Annonces!$L$2:$L$701,Annonces!$A$2:$A$701,$A43,Annonces!$E$2:$E$701,"En vente",Annonces!$U$2:$U$701,$B43),"")</f>
        <v/>
      </c>
      <c r="F43" s="12">
        <f>IF(C43&gt;0,_xlfn.MAXIFS(Annonces!$L$2:$L$701,Annonces!$A$2:$A$701,$A43,Annonces!$E$2:$E$701,"En vente",Annonces!$U$2:$U$701,$B43),"")</f>
        <v/>
      </c>
      <c r="G43" s="15">
        <f>IFERROR(AVERAGEIFS(Annonces!$T$2:$T$701,Annonces!$A$2:$A$701,$A43,Annonces!$E$2:$E$701,"En vente",Annonces!$U$2:$U$701,$B43),"")</f>
        <v/>
      </c>
    </row>
    <row r="44">
      <c r="A44" s="10" t="inlineStr">
        <is>
          <t>Peugeot 205 GTI</t>
        </is>
      </c>
      <c r="B44" s="10" t="n">
        <v>1986</v>
      </c>
      <c r="C44" s="16">
        <f>COUNTIFS(Annonces!$A$2:$A$701,$A44,Annonces!$E$2:$E$701,"En vente",Annonces!$U$2:$U$701,$B44)</f>
        <v/>
      </c>
      <c r="D44" s="12">
        <f>IFERROR(AVERAGEIFS(Annonces!$L$2:$L$701,Annonces!$A$2:$A$701,$A44,Annonces!$E$2:$E$701,"En vente",Annonces!$U$2:$U$701,$B44),"")</f>
        <v/>
      </c>
      <c r="E44" s="12">
        <f>IF(C44&gt;0,_xlfn.MINIFS(Annonces!$L$2:$L$701,Annonces!$A$2:$A$701,$A44,Annonces!$E$2:$E$701,"En vente",Annonces!$U$2:$U$701,$B44),"")</f>
        <v/>
      </c>
      <c r="F44" s="12">
        <f>IF(C44&gt;0,_xlfn.MAXIFS(Annonces!$L$2:$L$701,Annonces!$A$2:$A$701,$A44,Annonces!$E$2:$E$701,"En vente",Annonces!$U$2:$U$701,$B44),"")</f>
        <v/>
      </c>
      <c r="G44" s="15">
        <f>IFERROR(AVERAGEIFS(Annonces!$T$2:$T$701,Annonces!$A$2:$A$701,$A44,Annonces!$E$2:$E$701,"En vente",Annonces!$U$2:$U$701,$B44),"")</f>
        <v/>
      </c>
    </row>
    <row r="45">
      <c r="A45" s="10" t="inlineStr">
        <is>
          <t>Peugeot 205 GTI</t>
        </is>
      </c>
      <c r="B45" s="10" t="n">
        <v>1987</v>
      </c>
      <c r="C45" s="16">
        <f>COUNTIFS(Annonces!$A$2:$A$701,$A45,Annonces!$E$2:$E$701,"En vente",Annonces!$U$2:$U$701,$B45)</f>
        <v/>
      </c>
      <c r="D45" s="12">
        <f>IFERROR(AVERAGEIFS(Annonces!$L$2:$L$701,Annonces!$A$2:$A$701,$A45,Annonces!$E$2:$E$701,"En vente",Annonces!$U$2:$U$701,$B45),"")</f>
        <v/>
      </c>
      <c r="E45" s="12">
        <f>IF(C45&gt;0,_xlfn.MINIFS(Annonces!$L$2:$L$701,Annonces!$A$2:$A$701,$A45,Annonces!$E$2:$E$701,"En vente",Annonces!$U$2:$U$701,$B45),"")</f>
        <v/>
      </c>
      <c r="F45" s="12">
        <f>IF(C45&gt;0,_xlfn.MAXIFS(Annonces!$L$2:$L$701,Annonces!$A$2:$A$701,$A45,Annonces!$E$2:$E$701,"En vente",Annonces!$U$2:$U$701,$B45),"")</f>
        <v/>
      </c>
      <c r="G45" s="15">
        <f>IFERROR(AVERAGEIFS(Annonces!$T$2:$T$701,Annonces!$A$2:$A$701,$A45,Annonces!$E$2:$E$701,"En vente",Annonces!$U$2:$U$701,$B45),"")</f>
        <v/>
      </c>
    </row>
    <row r="46">
      <c r="A46" s="10" t="inlineStr">
        <is>
          <t>Peugeot 205 GTI</t>
        </is>
      </c>
      <c r="B46" s="10" t="n">
        <v>1988</v>
      </c>
      <c r="C46" s="16">
        <f>COUNTIFS(Annonces!$A$2:$A$701,$A46,Annonces!$E$2:$E$701,"En vente",Annonces!$U$2:$U$701,$B46)</f>
        <v/>
      </c>
      <c r="D46" s="12">
        <f>IFERROR(AVERAGEIFS(Annonces!$L$2:$L$701,Annonces!$A$2:$A$701,$A46,Annonces!$E$2:$E$701,"En vente",Annonces!$U$2:$U$701,$B46),"")</f>
        <v/>
      </c>
      <c r="E46" s="12">
        <f>IF(C46&gt;0,_xlfn.MINIFS(Annonces!$L$2:$L$701,Annonces!$A$2:$A$701,$A46,Annonces!$E$2:$E$701,"En vente",Annonces!$U$2:$U$701,$B46),"")</f>
        <v/>
      </c>
      <c r="F46" s="12">
        <f>IF(C46&gt;0,_xlfn.MAXIFS(Annonces!$L$2:$L$701,Annonces!$A$2:$A$701,$A46,Annonces!$E$2:$E$701,"En vente",Annonces!$U$2:$U$701,$B46),"")</f>
        <v/>
      </c>
      <c r="G46" s="15">
        <f>IFERROR(AVERAGEIFS(Annonces!$T$2:$T$701,Annonces!$A$2:$A$701,$A46,Annonces!$E$2:$E$701,"En vente",Annonces!$U$2:$U$701,$B46),"")</f>
        <v/>
      </c>
    </row>
    <row r="47">
      <c r="A47" s="10" t="inlineStr">
        <is>
          <t>Peugeot 205 GTI</t>
        </is>
      </c>
      <c r="B47" s="10" t="n">
        <v>1989</v>
      </c>
      <c r="C47" s="16">
        <f>COUNTIFS(Annonces!$A$2:$A$701,$A47,Annonces!$E$2:$E$701,"En vente",Annonces!$U$2:$U$701,$B47)</f>
        <v/>
      </c>
      <c r="D47" s="12">
        <f>IFERROR(AVERAGEIFS(Annonces!$L$2:$L$701,Annonces!$A$2:$A$701,$A47,Annonces!$E$2:$E$701,"En vente",Annonces!$U$2:$U$701,$B47),"")</f>
        <v/>
      </c>
      <c r="E47" s="12">
        <f>IF(C47&gt;0,_xlfn.MINIFS(Annonces!$L$2:$L$701,Annonces!$A$2:$A$701,$A47,Annonces!$E$2:$E$701,"En vente",Annonces!$U$2:$U$701,$B47),"")</f>
        <v/>
      </c>
      <c r="F47" s="12">
        <f>IF(C47&gt;0,_xlfn.MAXIFS(Annonces!$L$2:$L$701,Annonces!$A$2:$A$701,$A47,Annonces!$E$2:$E$701,"En vente",Annonces!$U$2:$U$701,$B47),"")</f>
        <v/>
      </c>
      <c r="G47" s="15">
        <f>IFERROR(AVERAGEIFS(Annonces!$T$2:$T$701,Annonces!$A$2:$A$701,$A47,Annonces!$E$2:$E$701,"En vente",Annonces!$U$2:$U$701,$B47),"")</f>
        <v/>
      </c>
    </row>
    <row r="48">
      <c r="A48" s="10" t="inlineStr">
        <is>
          <t>Peugeot 205 GTI</t>
        </is>
      </c>
      <c r="B48" s="10" t="n">
        <v>1990</v>
      </c>
      <c r="C48" s="16">
        <f>COUNTIFS(Annonces!$A$2:$A$701,$A48,Annonces!$E$2:$E$701,"En vente",Annonces!$U$2:$U$701,$B48)</f>
        <v/>
      </c>
      <c r="D48" s="12">
        <f>IFERROR(AVERAGEIFS(Annonces!$L$2:$L$701,Annonces!$A$2:$A$701,$A48,Annonces!$E$2:$E$701,"En vente",Annonces!$U$2:$U$701,$B48),"")</f>
        <v/>
      </c>
      <c r="E48" s="12">
        <f>IF(C48&gt;0,_xlfn.MINIFS(Annonces!$L$2:$L$701,Annonces!$A$2:$A$701,$A48,Annonces!$E$2:$E$701,"En vente",Annonces!$U$2:$U$701,$B48),"")</f>
        <v/>
      </c>
      <c r="F48" s="12">
        <f>IF(C48&gt;0,_xlfn.MAXIFS(Annonces!$L$2:$L$701,Annonces!$A$2:$A$701,$A48,Annonces!$E$2:$E$701,"En vente",Annonces!$U$2:$U$701,$B48),"")</f>
        <v/>
      </c>
      <c r="G48" s="15">
        <f>IFERROR(AVERAGEIFS(Annonces!$T$2:$T$701,Annonces!$A$2:$A$701,$A48,Annonces!$E$2:$E$701,"En vente",Annonces!$U$2:$U$701,$B48),"")</f>
        <v/>
      </c>
    </row>
    <row r="49">
      <c r="A49" s="10" t="inlineStr">
        <is>
          <t>Peugeot 205 GTI</t>
        </is>
      </c>
      <c r="B49" s="10" t="n">
        <v>1991</v>
      </c>
      <c r="C49" s="16">
        <f>COUNTIFS(Annonces!$A$2:$A$701,$A49,Annonces!$E$2:$E$701,"En vente",Annonces!$U$2:$U$701,$B49)</f>
        <v/>
      </c>
      <c r="D49" s="12">
        <f>IFERROR(AVERAGEIFS(Annonces!$L$2:$L$701,Annonces!$A$2:$A$701,$A49,Annonces!$E$2:$E$701,"En vente",Annonces!$U$2:$U$701,$B49),"")</f>
        <v/>
      </c>
      <c r="E49" s="12">
        <f>IF(C49&gt;0,_xlfn.MINIFS(Annonces!$L$2:$L$701,Annonces!$A$2:$A$701,$A49,Annonces!$E$2:$E$701,"En vente",Annonces!$U$2:$U$701,$B49),"")</f>
        <v/>
      </c>
      <c r="F49" s="12">
        <f>IF(C49&gt;0,_xlfn.MAXIFS(Annonces!$L$2:$L$701,Annonces!$A$2:$A$701,$A49,Annonces!$E$2:$E$701,"En vente",Annonces!$U$2:$U$701,$B49),"")</f>
        <v/>
      </c>
      <c r="G49" s="15">
        <f>IFERROR(AVERAGEIFS(Annonces!$T$2:$T$701,Annonces!$A$2:$A$701,$A49,Annonces!$E$2:$E$701,"En vente",Annonces!$U$2:$U$701,$B49),"")</f>
        <v/>
      </c>
    </row>
    <row r="50">
      <c r="A50" s="10" t="inlineStr">
        <is>
          <t>Peugeot 205 GTI</t>
        </is>
      </c>
      <c r="B50" s="10" t="n">
        <v>1992</v>
      </c>
      <c r="C50" s="16">
        <f>COUNTIFS(Annonces!$A$2:$A$701,$A50,Annonces!$E$2:$E$701,"En vente",Annonces!$U$2:$U$701,$B50)</f>
        <v/>
      </c>
      <c r="D50" s="12">
        <f>IFERROR(AVERAGEIFS(Annonces!$L$2:$L$701,Annonces!$A$2:$A$701,$A50,Annonces!$E$2:$E$701,"En vente",Annonces!$U$2:$U$701,$B50),"")</f>
        <v/>
      </c>
      <c r="E50" s="12">
        <f>IF(C50&gt;0,_xlfn.MINIFS(Annonces!$L$2:$L$701,Annonces!$A$2:$A$701,$A50,Annonces!$E$2:$E$701,"En vente",Annonces!$U$2:$U$701,$B50),"")</f>
        <v/>
      </c>
      <c r="F50" s="12">
        <f>IF(C50&gt;0,_xlfn.MAXIFS(Annonces!$L$2:$L$701,Annonces!$A$2:$A$701,$A50,Annonces!$E$2:$E$701,"En vente",Annonces!$U$2:$U$701,$B50),"")</f>
        <v/>
      </c>
      <c r="G50" s="15">
        <f>IFERROR(AVERAGEIFS(Annonces!$T$2:$T$701,Annonces!$A$2:$A$701,$A50,Annonces!$E$2:$E$701,"En vente",Annonces!$U$2:$U$701,$B50),"")</f>
        <v/>
      </c>
    </row>
    <row r="51">
      <c r="A51" s="10" t="inlineStr">
        <is>
          <t>Peugeot 205 GTI</t>
        </is>
      </c>
      <c r="B51" s="10" t="n">
        <v>1993</v>
      </c>
      <c r="C51" s="16">
        <f>COUNTIFS(Annonces!$A$2:$A$701,$A51,Annonces!$E$2:$E$701,"En vente",Annonces!$U$2:$U$701,$B51)</f>
        <v/>
      </c>
      <c r="D51" s="12">
        <f>IFERROR(AVERAGEIFS(Annonces!$L$2:$L$701,Annonces!$A$2:$A$701,$A51,Annonces!$E$2:$E$701,"En vente",Annonces!$U$2:$U$701,$B51),"")</f>
        <v/>
      </c>
      <c r="E51" s="12">
        <f>IF(C51&gt;0,_xlfn.MINIFS(Annonces!$L$2:$L$701,Annonces!$A$2:$A$701,$A51,Annonces!$E$2:$E$701,"En vente",Annonces!$U$2:$U$701,$B51),"")</f>
        <v/>
      </c>
      <c r="F51" s="12">
        <f>IF(C51&gt;0,_xlfn.MAXIFS(Annonces!$L$2:$L$701,Annonces!$A$2:$A$701,$A51,Annonces!$E$2:$E$701,"En vente",Annonces!$U$2:$U$701,$B51),"")</f>
        <v/>
      </c>
      <c r="G51" s="15">
        <f>IFERROR(AVERAGEIFS(Annonces!$T$2:$T$701,Annonces!$A$2:$A$701,$A51,Annonces!$E$2:$E$701,"En vente",Annonces!$U$2:$U$701,$B51),"")</f>
        <v/>
      </c>
    </row>
    <row r="52">
      <c r="A52" s="10" t="inlineStr">
        <is>
          <t>Peugeot 206 RC</t>
        </is>
      </c>
      <c r="B52" s="10" t="n">
        <v>2003</v>
      </c>
      <c r="C52" s="16">
        <f>COUNTIFS(Annonces!$A$2:$A$701,$A52,Annonces!$E$2:$E$701,"En vente",Annonces!$U$2:$U$701,$B52)</f>
        <v/>
      </c>
      <c r="D52" s="12">
        <f>IFERROR(AVERAGEIFS(Annonces!$L$2:$L$701,Annonces!$A$2:$A$701,$A52,Annonces!$E$2:$E$701,"En vente",Annonces!$U$2:$U$701,$B52),"")</f>
        <v/>
      </c>
      <c r="E52" s="12">
        <f>IF(C52&gt;0,_xlfn.MINIFS(Annonces!$L$2:$L$701,Annonces!$A$2:$A$701,$A52,Annonces!$E$2:$E$701,"En vente",Annonces!$U$2:$U$701,$B52),"")</f>
        <v/>
      </c>
      <c r="F52" s="12">
        <f>IF(C52&gt;0,_xlfn.MAXIFS(Annonces!$L$2:$L$701,Annonces!$A$2:$A$701,$A52,Annonces!$E$2:$E$701,"En vente",Annonces!$U$2:$U$701,$B52),"")</f>
        <v/>
      </c>
      <c r="G52" s="15">
        <f>IFERROR(AVERAGEIFS(Annonces!$T$2:$T$701,Annonces!$A$2:$A$701,$A52,Annonces!$E$2:$E$701,"En vente",Annonces!$U$2:$U$701,$B52),"")</f>
        <v/>
      </c>
    </row>
    <row r="53">
      <c r="A53" s="10" t="inlineStr">
        <is>
          <t>Peugeot 206 RC</t>
        </is>
      </c>
      <c r="B53" s="10" t="n">
        <v>2004</v>
      </c>
      <c r="C53" s="16">
        <f>COUNTIFS(Annonces!$A$2:$A$701,$A53,Annonces!$E$2:$E$701,"En vente",Annonces!$U$2:$U$701,$B53)</f>
        <v/>
      </c>
      <c r="D53" s="12">
        <f>IFERROR(AVERAGEIFS(Annonces!$L$2:$L$701,Annonces!$A$2:$A$701,$A53,Annonces!$E$2:$E$701,"En vente",Annonces!$U$2:$U$701,$B53),"")</f>
        <v/>
      </c>
      <c r="E53" s="12">
        <f>IF(C53&gt;0,_xlfn.MINIFS(Annonces!$L$2:$L$701,Annonces!$A$2:$A$701,$A53,Annonces!$E$2:$E$701,"En vente",Annonces!$U$2:$U$701,$B53),"")</f>
        <v/>
      </c>
      <c r="F53" s="12">
        <f>IF(C53&gt;0,_xlfn.MAXIFS(Annonces!$L$2:$L$701,Annonces!$A$2:$A$701,$A53,Annonces!$E$2:$E$701,"En vente",Annonces!$U$2:$U$701,$B53),"")</f>
        <v/>
      </c>
      <c r="G53" s="15">
        <f>IFERROR(AVERAGEIFS(Annonces!$T$2:$T$701,Annonces!$A$2:$A$701,$A53,Annonces!$E$2:$E$701,"En vente",Annonces!$U$2:$U$701,$B53),"")</f>
        <v/>
      </c>
    </row>
    <row r="54">
      <c r="A54" s="10" t="inlineStr">
        <is>
          <t>Peugeot 206 RC</t>
        </is>
      </c>
      <c r="B54" s="10" t="n">
        <v>2005</v>
      </c>
      <c r="C54" s="16">
        <f>COUNTIFS(Annonces!$A$2:$A$701,$A54,Annonces!$E$2:$E$701,"En vente",Annonces!$U$2:$U$701,$B54)</f>
        <v/>
      </c>
      <c r="D54" s="12">
        <f>IFERROR(AVERAGEIFS(Annonces!$L$2:$L$701,Annonces!$A$2:$A$701,$A54,Annonces!$E$2:$E$701,"En vente",Annonces!$U$2:$U$701,$B54),"")</f>
        <v/>
      </c>
      <c r="E54" s="12">
        <f>IF(C54&gt;0,_xlfn.MINIFS(Annonces!$L$2:$L$701,Annonces!$A$2:$A$701,$A54,Annonces!$E$2:$E$701,"En vente",Annonces!$U$2:$U$701,$B54),"")</f>
        <v/>
      </c>
      <c r="F54" s="12">
        <f>IF(C54&gt;0,_xlfn.MAXIFS(Annonces!$L$2:$L$701,Annonces!$A$2:$A$701,$A54,Annonces!$E$2:$E$701,"En vente",Annonces!$U$2:$U$701,$B54),"")</f>
        <v/>
      </c>
      <c r="G54" s="15">
        <f>IFERROR(AVERAGEIFS(Annonces!$T$2:$T$701,Annonces!$A$2:$A$701,$A54,Annonces!$E$2:$E$701,"En vente",Annonces!$U$2:$U$701,$B54),"")</f>
        <v/>
      </c>
    </row>
    <row r="55">
      <c r="A55" s="10" t="inlineStr">
        <is>
          <t>Peugeot 206 RC</t>
        </is>
      </c>
      <c r="B55" s="10" t="n">
        <v>2006</v>
      </c>
      <c r="C55" s="16">
        <f>COUNTIFS(Annonces!$A$2:$A$701,$A55,Annonces!$E$2:$E$701,"En vente",Annonces!$U$2:$U$701,$B55)</f>
        <v/>
      </c>
      <c r="D55" s="12">
        <f>IFERROR(AVERAGEIFS(Annonces!$L$2:$L$701,Annonces!$A$2:$A$701,$A55,Annonces!$E$2:$E$701,"En vente",Annonces!$U$2:$U$701,$B55),"")</f>
        <v/>
      </c>
      <c r="E55" s="12">
        <f>IF(C55&gt;0,_xlfn.MINIFS(Annonces!$L$2:$L$701,Annonces!$A$2:$A$701,$A55,Annonces!$E$2:$E$701,"En vente",Annonces!$U$2:$U$701,$B55),"")</f>
        <v/>
      </c>
      <c r="F55" s="12">
        <f>IF(C55&gt;0,_xlfn.MAXIFS(Annonces!$L$2:$L$701,Annonces!$A$2:$A$701,$A55,Annonces!$E$2:$E$701,"En vente",Annonces!$U$2:$U$701,$B55),"")</f>
        <v/>
      </c>
      <c r="G55" s="15">
        <f>IFERROR(AVERAGEIFS(Annonces!$T$2:$T$701,Annonces!$A$2:$A$701,$A55,Annonces!$E$2:$E$701,"En vente",Annonces!$U$2:$U$701,$B55),"")</f>
        <v/>
      </c>
    </row>
    <row r="56">
      <c r="A56" s="10" t="inlineStr">
        <is>
          <t>Peugeot 206 RC</t>
        </is>
      </c>
      <c r="B56" s="10" t="n">
        <v>2007</v>
      </c>
      <c r="C56" s="16">
        <f>COUNTIFS(Annonces!$A$2:$A$701,$A56,Annonces!$E$2:$E$701,"En vente",Annonces!$U$2:$U$701,$B56)</f>
        <v/>
      </c>
      <c r="D56" s="12">
        <f>IFERROR(AVERAGEIFS(Annonces!$L$2:$L$701,Annonces!$A$2:$A$701,$A56,Annonces!$E$2:$E$701,"En vente",Annonces!$U$2:$U$701,$B56),"")</f>
        <v/>
      </c>
      <c r="E56" s="12">
        <f>IF(C56&gt;0,_xlfn.MINIFS(Annonces!$L$2:$L$701,Annonces!$A$2:$A$701,$A56,Annonces!$E$2:$E$701,"En vente",Annonces!$U$2:$U$701,$B56),"")</f>
        <v/>
      </c>
      <c r="F56" s="12">
        <f>IF(C56&gt;0,_xlfn.MAXIFS(Annonces!$L$2:$L$701,Annonces!$A$2:$A$701,$A56,Annonces!$E$2:$E$701,"En vente",Annonces!$U$2:$U$701,$B56),"")</f>
        <v/>
      </c>
      <c r="G56" s="15">
        <f>IFERROR(AVERAGEIFS(Annonces!$T$2:$T$701,Annonces!$A$2:$A$701,$A56,Annonces!$E$2:$E$701,"En vente",Annonces!$U$2:$U$701,$B56),"")</f>
        <v/>
      </c>
    </row>
    <row r="57">
      <c r="A57" s="10" t="inlineStr">
        <is>
          <t>Peugeot 208 GTi 30th</t>
        </is>
      </c>
      <c r="B57" s="10" t="n">
        <v>2014</v>
      </c>
      <c r="C57" s="16">
        <f>COUNTIFS(Annonces!$A$2:$A$701,$A57,Annonces!$E$2:$E$701,"En vente",Annonces!$U$2:$U$701,$B57)</f>
        <v/>
      </c>
      <c r="D57" s="12">
        <f>IFERROR(AVERAGEIFS(Annonces!$L$2:$L$701,Annonces!$A$2:$A$701,$A57,Annonces!$E$2:$E$701,"En vente",Annonces!$U$2:$U$701,$B57),"")</f>
        <v/>
      </c>
      <c r="E57" s="12">
        <f>IF(C57&gt;0,_xlfn.MINIFS(Annonces!$L$2:$L$701,Annonces!$A$2:$A$701,$A57,Annonces!$E$2:$E$701,"En vente",Annonces!$U$2:$U$701,$B57),"")</f>
        <v/>
      </c>
      <c r="F57" s="12">
        <f>IF(C57&gt;0,_xlfn.MAXIFS(Annonces!$L$2:$L$701,Annonces!$A$2:$A$701,$A57,Annonces!$E$2:$E$701,"En vente",Annonces!$U$2:$U$701,$B57),"")</f>
        <v/>
      </c>
      <c r="G57" s="15">
        <f>IFERROR(AVERAGEIFS(Annonces!$T$2:$T$701,Annonces!$A$2:$A$701,$A57,Annonces!$E$2:$E$701,"En vente",Annonces!$U$2:$U$701,$B57),"")</f>
        <v/>
      </c>
    </row>
    <row r="58">
      <c r="A58" s="10" t="inlineStr">
        <is>
          <t>Peugeot 208 GTi 30th</t>
        </is>
      </c>
      <c r="B58" s="10" t="n">
        <v>2015</v>
      </c>
      <c r="C58" s="16">
        <f>COUNTIFS(Annonces!$A$2:$A$701,$A58,Annonces!$E$2:$E$701,"En vente",Annonces!$U$2:$U$701,$B58)</f>
        <v/>
      </c>
      <c r="D58" s="12">
        <f>IFERROR(AVERAGEIFS(Annonces!$L$2:$L$701,Annonces!$A$2:$A$701,$A58,Annonces!$E$2:$E$701,"En vente",Annonces!$U$2:$U$701,$B58),"")</f>
        <v/>
      </c>
      <c r="E58" s="12">
        <f>IF(C58&gt;0,_xlfn.MINIFS(Annonces!$L$2:$L$701,Annonces!$A$2:$A$701,$A58,Annonces!$E$2:$E$701,"En vente",Annonces!$U$2:$U$701,$B58),"")</f>
        <v/>
      </c>
      <c r="F58" s="12">
        <f>IF(C58&gt;0,_xlfn.MAXIFS(Annonces!$L$2:$L$701,Annonces!$A$2:$A$701,$A58,Annonces!$E$2:$E$701,"En vente",Annonces!$U$2:$U$701,$B58),"")</f>
        <v/>
      </c>
      <c r="G58" s="15">
        <f>IFERROR(AVERAGEIFS(Annonces!$T$2:$T$701,Annonces!$A$2:$A$701,$A58,Annonces!$E$2:$E$701,"En vente",Annonces!$U$2:$U$701,$B58),"")</f>
        <v/>
      </c>
    </row>
    <row r="59">
      <c r="A59" s="10" t="inlineStr">
        <is>
          <t>Peugeot 306 S16</t>
        </is>
      </c>
      <c r="B59" s="10" t="n">
        <v>1993</v>
      </c>
      <c r="C59" s="16">
        <f>COUNTIFS(Annonces!$A$2:$A$701,$A59,Annonces!$E$2:$E$701,"En vente",Annonces!$U$2:$U$701,$B59)</f>
        <v/>
      </c>
      <c r="D59" s="12">
        <f>IFERROR(AVERAGEIFS(Annonces!$L$2:$L$701,Annonces!$A$2:$A$701,$A59,Annonces!$E$2:$E$701,"En vente",Annonces!$U$2:$U$701,$B59),"")</f>
        <v/>
      </c>
      <c r="E59" s="12">
        <f>IF(C59&gt;0,_xlfn.MINIFS(Annonces!$L$2:$L$701,Annonces!$A$2:$A$701,$A59,Annonces!$E$2:$E$701,"En vente",Annonces!$U$2:$U$701,$B59),"")</f>
        <v/>
      </c>
      <c r="F59" s="12">
        <f>IF(C59&gt;0,_xlfn.MAXIFS(Annonces!$L$2:$L$701,Annonces!$A$2:$A$701,$A59,Annonces!$E$2:$E$701,"En vente",Annonces!$U$2:$U$701,$B59),"")</f>
        <v/>
      </c>
      <c r="G59" s="15">
        <f>IFERROR(AVERAGEIFS(Annonces!$T$2:$T$701,Annonces!$A$2:$A$701,$A59,Annonces!$E$2:$E$701,"En vente",Annonces!$U$2:$U$701,$B59),"")</f>
        <v/>
      </c>
    </row>
    <row r="60">
      <c r="A60" s="10" t="inlineStr">
        <is>
          <t>Peugeot 306 S16</t>
        </is>
      </c>
      <c r="B60" s="10" t="n">
        <v>1994</v>
      </c>
      <c r="C60" s="16">
        <f>COUNTIFS(Annonces!$A$2:$A$701,$A60,Annonces!$E$2:$E$701,"En vente",Annonces!$U$2:$U$701,$B60)</f>
        <v/>
      </c>
      <c r="D60" s="12">
        <f>IFERROR(AVERAGEIFS(Annonces!$L$2:$L$701,Annonces!$A$2:$A$701,$A60,Annonces!$E$2:$E$701,"En vente",Annonces!$U$2:$U$701,$B60),"")</f>
        <v/>
      </c>
      <c r="E60" s="12">
        <f>IF(C60&gt;0,_xlfn.MINIFS(Annonces!$L$2:$L$701,Annonces!$A$2:$A$701,$A60,Annonces!$E$2:$E$701,"En vente",Annonces!$U$2:$U$701,$B60),"")</f>
        <v/>
      </c>
      <c r="F60" s="12">
        <f>IF(C60&gt;0,_xlfn.MAXIFS(Annonces!$L$2:$L$701,Annonces!$A$2:$A$701,$A60,Annonces!$E$2:$E$701,"En vente",Annonces!$U$2:$U$701,$B60),"")</f>
        <v/>
      </c>
      <c r="G60" s="15">
        <f>IFERROR(AVERAGEIFS(Annonces!$T$2:$T$701,Annonces!$A$2:$A$701,$A60,Annonces!$E$2:$E$701,"En vente",Annonces!$U$2:$U$701,$B60),"")</f>
        <v/>
      </c>
    </row>
    <row r="61">
      <c r="A61" s="10" t="inlineStr">
        <is>
          <t>Peugeot 306 S16</t>
        </is>
      </c>
      <c r="B61" s="10" t="n">
        <v>1995</v>
      </c>
      <c r="C61" s="16">
        <f>COUNTIFS(Annonces!$A$2:$A$701,$A61,Annonces!$E$2:$E$701,"En vente",Annonces!$U$2:$U$701,$B61)</f>
        <v/>
      </c>
      <c r="D61" s="12">
        <f>IFERROR(AVERAGEIFS(Annonces!$L$2:$L$701,Annonces!$A$2:$A$701,$A61,Annonces!$E$2:$E$701,"En vente",Annonces!$U$2:$U$701,$B61),"")</f>
        <v/>
      </c>
      <c r="E61" s="12">
        <f>IF(C61&gt;0,_xlfn.MINIFS(Annonces!$L$2:$L$701,Annonces!$A$2:$A$701,$A61,Annonces!$E$2:$E$701,"En vente",Annonces!$U$2:$U$701,$B61),"")</f>
        <v/>
      </c>
      <c r="F61" s="12">
        <f>IF(C61&gt;0,_xlfn.MAXIFS(Annonces!$L$2:$L$701,Annonces!$A$2:$A$701,$A61,Annonces!$E$2:$E$701,"En vente",Annonces!$U$2:$U$701,$B61),"")</f>
        <v/>
      </c>
      <c r="G61" s="15">
        <f>IFERROR(AVERAGEIFS(Annonces!$T$2:$T$701,Annonces!$A$2:$A$701,$A61,Annonces!$E$2:$E$701,"En vente",Annonces!$U$2:$U$701,$B61),"")</f>
        <v/>
      </c>
    </row>
    <row r="62">
      <c r="A62" s="10" t="inlineStr">
        <is>
          <t>Peugeot 306 S16</t>
        </is>
      </c>
      <c r="B62" s="10" t="n">
        <v>1996</v>
      </c>
      <c r="C62" s="16">
        <f>COUNTIFS(Annonces!$A$2:$A$701,$A62,Annonces!$E$2:$E$701,"En vente",Annonces!$U$2:$U$701,$B62)</f>
        <v/>
      </c>
      <c r="D62" s="12">
        <f>IFERROR(AVERAGEIFS(Annonces!$L$2:$L$701,Annonces!$A$2:$A$701,$A62,Annonces!$E$2:$E$701,"En vente",Annonces!$U$2:$U$701,$B62),"")</f>
        <v/>
      </c>
      <c r="E62" s="12">
        <f>IF(C62&gt;0,_xlfn.MINIFS(Annonces!$L$2:$L$701,Annonces!$A$2:$A$701,$A62,Annonces!$E$2:$E$701,"En vente",Annonces!$U$2:$U$701,$B62),"")</f>
        <v/>
      </c>
      <c r="F62" s="12">
        <f>IF(C62&gt;0,_xlfn.MAXIFS(Annonces!$L$2:$L$701,Annonces!$A$2:$A$701,$A62,Annonces!$E$2:$E$701,"En vente",Annonces!$U$2:$U$701,$B62),"")</f>
        <v/>
      </c>
      <c r="G62" s="15">
        <f>IFERROR(AVERAGEIFS(Annonces!$T$2:$T$701,Annonces!$A$2:$A$701,$A62,Annonces!$E$2:$E$701,"En vente",Annonces!$U$2:$U$701,$B62),"")</f>
        <v/>
      </c>
    </row>
    <row r="63">
      <c r="A63" s="10" t="inlineStr">
        <is>
          <t>Peugeot 306 S16</t>
        </is>
      </c>
      <c r="B63" s="10" t="n">
        <v>1997</v>
      </c>
      <c r="C63" s="16">
        <f>COUNTIFS(Annonces!$A$2:$A$701,$A63,Annonces!$E$2:$E$701,"En vente",Annonces!$U$2:$U$701,$B63)</f>
        <v/>
      </c>
      <c r="D63" s="12">
        <f>IFERROR(AVERAGEIFS(Annonces!$L$2:$L$701,Annonces!$A$2:$A$701,$A63,Annonces!$E$2:$E$701,"En vente",Annonces!$U$2:$U$701,$B63),"")</f>
        <v/>
      </c>
      <c r="E63" s="12">
        <f>IF(C63&gt;0,_xlfn.MINIFS(Annonces!$L$2:$L$701,Annonces!$A$2:$A$701,$A63,Annonces!$E$2:$E$701,"En vente",Annonces!$U$2:$U$701,$B63),"")</f>
        <v/>
      </c>
      <c r="F63" s="12">
        <f>IF(C63&gt;0,_xlfn.MAXIFS(Annonces!$L$2:$L$701,Annonces!$A$2:$A$701,$A63,Annonces!$E$2:$E$701,"En vente",Annonces!$U$2:$U$701,$B63),"")</f>
        <v/>
      </c>
      <c r="G63" s="15">
        <f>IFERROR(AVERAGEIFS(Annonces!$T$2:$T$701,Annonces!$A$2:$A$701,$A63,Annonces!$E$2:$E$701,"En vente",Annonces!$U$2:$U$701,$B63),"")</f>
        <v/>
      </c>
    </row>
    <row r="64">
      <c r="A64" s="10" t="inlineStr">
        <is>
          <t>Peugeot 306 S16</t>
        </is>
      </c>
      <c r="B64" s="10" t="n">
        <v>1998</v>
      </c>
      <c r="C64" s="16">
        <f>COUNTIFS(Annonces!$A$2:$A$701,$A64,Annonces!$E$2:$E$701,"En vente",Annonces!$U$2:$U$701,$B64)</f>
        <v/>
      </c>
      <c r="D64" s="12">
        <f>IFERROR(AVERAGEIFS(Annonces!$L$2:$L$701,Annonces!$A$2:$A$701,$A64,Annonces!$E$2:$E$701,"En vente",Annonces!$U$2:$U$701,$B64),"")</f>
        <v/>
      </c>
      <c r="E64" s="12">
        <f>IF(C64&gt;0,_xlfn.MINIFS(Annonces!$L$2:$L$701,Annonces!$A$2:$A$701,$A64,Annonces!$E$2:$E$701,"En vente",Annonces!$U$2:$U$701,$B64),"")</f>
        <v/>
      </c>
      <c r="F64" s="12">
        <f>IF(C64&gt;0,_xlfn.MAXIFS(Annonces!$L$2:$L$701,Annonces!$A$2:$A$701,$A64,Annonces!$E$2:$E$701,"En vente",Annonces!$U$2:$U$701,$B64),"")</f>
        <v/>
      </c>
      <c r="G64" s="15">
        <f>IFERROR(AVERAGEIFS(Annonces!$T$2:$T$701,Annonces!$A$2:$A$701,$A64,Annonces!$E$2:$E$701,"En vente",Annonces!$U$2:$U$701,$B64),"")</f>
        <v/>
      </c>
    </row>
    <row r="65">
      <c r="A65" s="10" t="inlineStr">
        <is>
          <t>Peugeot 306 S16</t>
        </is>
      </c>
      <c r="B65" s="10" t="n">
        <v>1999</v>
      </c>
      <c r="C65" s="16">
        <f>COUNTIFS(Annonces!$A$2:$A$701,$A65,Annonces!$E$2:$E$701,"En vente",Annonces!$U$2:$U$701,$B65)</f>
        <v/>
      </c>
      <c r="D65" s="12">
        <f>IFERROR(AVERAGEIFS(Annonces!$L$2:$L$701,Annonces!$A$2:$A$701,$A65,Annonces!$E$2:$E$701,"En vente",Annonces!$U$2:$U$701,$B65),"")</f>
        <v/>
      </c>
      <c r="E65" s="12">
        <f>IF(C65&gt;0,_xlfn.MINIFS(Annonces!$L$2:$L$701,Annonces!$A$2:$A$701,$A65,Annonces!$E$2:$E$701,"En vente",Annonces!$U$2:$U$701,$B65),"")</f>
        <v/>
      </c>
      <c r="F65" s="12">
        <f>IF(C65&gt;0,_xlfn.MAXIFS(Annonces!$L$2:$L$701,Annonces!$A$2:$A$701,$A65,Annonces!$E$2:$E$701,"En vente",Annonces!$U$2:$U$701,$B65),"")</f>
        <v/>
      </c>
      <c r="G65" s="15">
        <f>IFERROR(AVERAGEIFS(Annonces!$T$2:$T$701,Annonces!$A$2:$A$701,$A65,Annonces!$E$2:$E$701,"En vente",Annonces!$U$2:$U$701,$B65),"")</f>
        <v/>
      </c>
    </row>
    <row r="66">
      <c r="A66" s="10" t="inlineStr">
        <is>
          <t>Peugeot 306 S16</t>
        </is>
      </c>
      <c r="B66" s="10" t="n">
        <v>2000</v>
      </c>
      <c r="C66" s="16">
        <f>COUNTIFS(Annonces!$A$2:$A$701,$A66,Annonces!$E$2:$E$701,"En vente",Annonces!$U$2:$U$701,$B66)</f>
        <v/>
      </c>
      <c r="D66" s="12">
        <f>IFERROR(AVERAGEIFS(Annonces!$L$2:$L$701,Annonces!$A$2:$A$701,$A66,Annonces!$E$2:$E$701,"En vente",Annonces!$U$2:$U$701,$B66),"")</f>
        <v/>
      </c>
      <c r="E66" s="12">
        <f>IF(C66&gt;0,_xlfn.MINIFS(Annonces!$L$2:$L$701,Annonces!$A$2:$A$701,$A66,Annonces!$E$2:$E$701,"En vente",Annonces!$U$2:$U$701,$B66),"")</f>
        <v/>
      </c>
      <c r="F66" s="12">
        <f>IF(C66&gt;0,_xlfn.MAXIFS(Annonces!$L$2:$L$701,Annonces!$A$2:$A$701,$A66,Annonces!$E$2:$E$701,"En vente",Annonces!$U$2:$U$701,$B66),"")</f>
        <v/>
      </c>
      <c r="G66" s="15">
        <f>IFERROR(AVERAGEIFS(Annonces!$T$2:$T$701,Annonces!$A$2:$A$701,$A66,Annonces!$E$2:$E$701,"En vente",Annonces!$U$2:$U$701,$B66),"")</f>
        <v/>
      </c>
    </row>
    <row r="67">
      <c r="A67" s="10" t="inlineStr">
        <is>
          <t>Peugeot 306 S16</t>
        </is>
      </c>
      <c r="B67" s="10" t="n">
        <v>2001</v>
      </c>
      <c r="C67" s="16">
        <f>COUNTIFS(Annonces!$A$2:$A$701,$A67,Annonces!$E$2:$E$701,"En vente",Annonces!$U$2:$U$701,$B67)</f>
        <v/>
      </c>
      <c r="D67" s="12">
        <f>IFERROR(AVERAGEIFS(Annonces!$L$2:$L$701,Annonces!$A$2:$A$701,$A67,Annonces!$E$2:$E$701,"En vente",Annonces!$U$2:$U$701,$B67),"")</f>
        <v/>
      </c>
      <c r="E67" s="12">
        <f>IF(C67&gt;0,_xlfn.MINIFS(Annonces!$L$2:$L$701,Annonces!$A$2:$A$701,$A67,Annonces!$E$2:$E$701,"En vente",Annonces!$U$2:$U$701,$B67),"")</f>
        <v/>
      </c>
      <c r="F67" s="12">
        <f>IF(C67&gt;0,_xlfn.MAXIFS(Annonces!$L$2:$L$701,Annonces!$A$2:$A$701,$A67,Annonces!$E$2:$E$701,"En vente",Annonces!$U$2:$U$701,$B67),"")</f>
        <v/>
      </c>
      <c r="G67" s="15">
        <f>IFERROR(AVERAGEIFS(Annonces!$T$2:$T$701,Annonces!$A$2:$A$701,$A67,Annonces!$E$2:$E$701,"En vente",Annonces!$U$2:$U$701,$B67),"")</f>
        <v/>
      </c>
    </row>
    <row r="68">
      <c r="A68" s="10" t="inlineStr">
        <is>
          <t>Porsche 911 997 Carrera S</t>
        </is>
      </c>
      <c r="B68" s="10" t="n">
        <v>2004</v>
      </c>
      <c r="C68" s="16">
        <f>COUNTIFS(Annonces!$A$2:$A$701,$A68,Annonces!$E$2:$E$701,"En vente",Annonces!$U$2:$U$701,$B68)</f>
        <v/>
      </c>
      <c r="D68" s="12">
        <f>IFERROR(AVERAGEIFS(Annonces!$L$2:$L$701,Annonces!$A$2:$A$701,$A68,Annonces!$E$2:$E$701,"En vente",Annonces!$U$2:$U$701,$B68),"")</f>
        <v/>
      </c>
      <c r="E68" s="12">
        <f>IF(C68&gt;0,_xlfn.MINIFS(Annonces!$L$2:$L$701,Annonces!$A$2:$A$701,$A68,Annonces!$E$2:$E$701,"En vente",Annonces!$U$2:$U$701,$B68),"")</f>
        <v/>
      </c>
      <c r="F68" s="12">
        <f>IF(C68&gt;0,_xlfn.MAXIFS(Annonces!$L$2:$L$701,Annonces!$A$2:$A$701,$A68,Annonces!$E$2:$E$701,"En vente",Annonces!$U$2:$U$701,$B68),"")</f>
        <v/>
      </c>
      <c r="G68" s="15">
        <f>IFERROR(AVERAGEIFS(Annonces!$T$2:$T$701,Annonces!$A$2:$A$701,$A68,Annonces!$E$2:$E$701,"En vente",Annonces!$U$2:$U$701,$B68),"")</f>
        <v/>
      </c>
    </row>
    <row r="69">
      <c r="A69" s="10" t="inlineStr">
        <is>
          <t>Porsche 911 997 Carrera S</t>
        </is>
      </c>
      <c r="B69" s="10" t="n">
        <v>2005</v>
      </c>
      <c r="C69" s="16">
        <f>COUNTIFS(Annonces!$A$2:$A$701,$A69,Annonces!$E$2:$E$701,"En vente",Annonces!$U$2:$U$701,$B69)</f>
        <v/>
      </c>
      <c r="D69" s="12">
        <f>IFERROR(AVERAGEIFS(Annonces!$L$2:$L$701,Annonces!$A$2:$A$701,$A69,Annonces!$E$2:$E$701,"En vente",Annonces!$U$2:$U$701,$B69),"")</f>
        <v/>
      </c>
      <c r="E69" s="12">
        <f>IF(C69&gt;0,_xlfn.MINIFS(Annonces!$L$2:$L$701,Annonces!$A$2:$A$701,$A69,Annonces!$E$2:$E$701,"En vente",Annonces!$U$2:$U$701,$B69),"")</f>
        <v/>
      </c>
      <c r="F69" s="12">
        <f>IF(C69&gt;0,_xlfn.MAXIFS(Annonces!$L$2:$L$701,Annonces!$A$2:$A$701,$A69,Annonces!$E$2:$E$701,"En vente",Annonces!$U$2:$U$701,$B69),"")</f>
        <v/>
      </c>
      <c r="G69" s="15">
        <f>IFERROR(AVERAGEIFS(Annonces!$T$2:$T$701,Annonces!$A$2:$A$701,$A69,Annonces!$E$2:$E$701,"En vente",Annonces!$U$2:$U$701,$B69),"")</f>
        <v/>
      </c>
    </row>
    <row r="70">
      <c r="A70" s="10" t="inlineStr">
        <is>
          <t>Porsche 911 997 Carrera S</t>
        </is>
      </c>
      <c r="B70" s="10" t="n">
        <v>2006</v>
      </c>
      <c r="C70" s="16">
        <f>COUNTIFS(Annonces!$A$2:$A$701,$A70,Annonces!$E$2:$E$701,"En vente",Annonces!$U$2:$U$701,$B70)</f>
        <v/>
      </c>
      <c r="D70" s="12">
        <f>IFERROR(AVERAGEIFS(Annonces!$L$2:$L$701,Annonces!$A$2:$A$701,$A70,Annonces!$E$2:$E$701,"En vente",Annonces!$U$2:$U$701,$B70),"")</f>
        <v/>
      </c>
      <c r="E70" s="12">
        <f>IF(C70&gt;0,_xlfn.MINIFS(Annonces!$L$2:$L$701,Annonces!$A$2:$A$701,$A70,Annonces!$E$2:$E$701,"En vente",Annonces!$U$2:$U$701,$B70),"")</f>
        <v/>
      </c>
      <c r="F70" s="12">
        <f>IF(C70&gt;0,_xlfn.MAXIFS(Annonces!$L$2:$L$701,Annonces!$A$2:$A$701,$A70,Annonces!$E$2:$E$701,"En vente",Annonces!$U$2:$U$701,$B70),"")</f>
        <v/>
      </c>
      <c r="G70" s="15">
        <f>IFERROR(AVERAGEIFS(Annonces!$T$2:$T$701,Annonces!$A$2:$A$701,$A70,Annonces!$E$2:$E$701,"En vente",Annonces!$U$2:$U$701,$B70),"")</f>
        <v/>
      </c>
    </row>
    <row r="71">
      <c r="A71" s="10" t="inlineStr">
        <is>
          <t>Porsche 911 997 Carrera S</t>
        </is>
      </c>
      <c r="B71" s="10" t="n">
        <v>2007</v>
      </c>
      <c r="C71" s="16">
        <f>COUNTIFS(Annonces!$A$2:$A$701,$A71,Annonces!$E$2:$E$701,"En vente",Annonces!$U$2:$U$701,$B71)</f>
        <v/>
      </c>
      <c r="D71" s="12">
        <f>IFERROR(AVERAGEIFS(Annonces!$L$2:$L$701,Annonces!$A$2:$A$701,$A71,Annonces!$E$2:$E$701,"En vente",Annonces!$U$2:$U$701,$B71),"")</f>
        <v/>
      </c>
      <c r="E71" s="12">
        <f>IF(C71&gt;0,_xlfn.MINIFS(Annonces!$L$2:$L$701,Annonces!$A$2:$A$701,$A71,Annonces!$E$2:$E$701,"En vente",Annonces!$U$2:$U$701,$B71),"")</f>
        <v/>
      </c>
      <c r="F71" s="12">
        <f>IF(C71&gt;0,_xlfn.MAXIFS(Annonces!$L$2:$L$701,Annonces!$A$2:$A$701,$A71,Annonces!$E$2:$E$701,"En vente",Annonces!$U$2:$U$701,$B71),"")</f>
        <v/>
      </c>
      <c r="G71" s="15">
        <f>IFERROR(AVERAGEIFS(Annonces!$T$2:$T$701,Annonces!$A$2:$A$701,$A71,Annonces!$E$2:$E$701,"En vente",Annonces!$U$2:$U$701,$B71),"")</f>
        <v/>
      </c>
    </row>
    <row r="72">
      <c r="A72" s="10" t="inlineStr">
        <is>
          <t>Porsche 911 997 Carrera S</t>
        </is>
      </c>
      <c r="B72" s="10" t="n">
        <v>2008</v>
      </c>
      <c r="C72" s="16">
        <f>COUNTIFS(Annonces!$A$2:$A$701,$A72,Annonces!$E$2:$E$701,"En vente",Annonces!$U$2:$U$701,$B72)</f>
        <v/>
      </c>
      <c r="D72" s="12">
        <f>IFERROR(AVERAGEIFS(Annonces!$L$2:$L$701,Annonces!$A$2:$A$701,$A72,Annonces!$E$2:$E$701,"En vente",Annonces!$U$2:$U$701,$B72),"")</f>
        <v/>
      </c>
      <c r="E72" s="12">
        <f>IF(C72&gt;0,_xlfn.MINIFS(Annonces!$L$2:$L$701,Annonces!$A$2:$A$701,$A72,Annonces!$E$2:$E$701,"En vente",Annonces!$U$2:$U$701,$B72),"")</f>
        <v/>
      </c>
      <c r="F72" s="12">
        <f>IF(C72&gt;0,_xlfn.MAXIFS(Annonces!$L$2:$L$701,Annonces!$A$2:$A$701,$A72,Annonces!$E$2:$E$701,"En vente",Annonces!$U$2:$U$701,$B72),"")</f>
        <v/>
      </c>
      <c r="G72" s="15">
        <f>IFERROR(AVERAGEIFS(Annonces!$T$2:$T$701,Annonces!$A$2:$A$701,$A72,Annonces!$E$2:$E$701,"En vente",Annonces!$U$2:$U$701,$B72),"")</f>
        <v/>
      </c>
    </row>
    <row r="73">
      <c r="A73" s="10" t="inlineStr">
        <is>
          <t>Porsche 911 997 Carrera S</t>
        </is>
      </c>
      <c r="B73" s="10" t="n">
        <v>2009</v>
      </c>
      <c r="C73" s="16">
        <f>COUNTIFS(Annonces!$A$2:$A$701,$A73,Annonces!$E$2:$E$701,"En vente",Annonces!$U$2:$U$701,$B73)</f>
        <v/>
      </c>
      <c r="D73" s="12">
        <f>IFERROR(AVERAGEIFS(Annonces!$L$2:$L$701,Annonces!$A$2:$A$701,$A73,Annonces!$E$2:$E$701,"En vente",Annonces!$U$2:$U$701,$B73),"")</f>
        <v/>
      </c>
      <c r="E73" s="12">
        <f>IF(C73&gt;0,_xlfn.MINIFS(Annonces!$L$2:$L$701,Annonces!$A$2:$A$701,$A73,Annonces!$E$2:$E$701,"En vente",Annonces!$U$2:$U$701,$B73),"")</f>
        <v/>
      </c>
      <c r="F73" s="12">
        <f>IF(C73&gt;0,_xlfn.MAXIFS(Annonces!$L$2:$L$701,Annonces!$A$2:$A$701,$A73,Annonces!$E$2:$E$701,"En vente",Annonces!$U$2:$U$701,$B73),"")</f>
        <v/>
      </c>
      <c r="G73" s="15">
        <f>IFERROR(AVERAGEIFS(Annonces!$T$2:$T$701,Annonces!$A$2:$A$701,$A73,Annonces!$E$2:$E$701,"En vente",Annonces!$U$2:$U$701,$B73),"")</f>
        <v/>
      </c>
    </row>
    <row r="74">
      <c r="A74" s="10" t="inlineStr">
        <is>
          <t>Porsche 911 997 Carrera S</t>
        </is>
      </c>
      <c r="B74" s="10" t="n">
        <v>2010</v>
      </c>
      <c r="C74" s="16">
        <f>COUNTIFS(Annonces!$A$2:$A$701,$A74,Annonces!$E$2:$E$701,"En vente",Annonces!$U$2:$U$701,$B74)</f>
        <v/>
      </c>
      <c r="D74" s="12">
        <f>IFERROR(AVERAGEIFS(Annonces!$L$2:$L$701,Annonces!$A$2:$A$701,$A74,Annonces!$E$2:$E$701,"En vente",Annonces!$U$2:$U$701,$B74),"")</f>
        <v/>
      </c>
      <c r="E74" s="12">
        <f>IF(C74&gt;0,_xlfn.MINIFS(Annonces!$L$2:$L$701,Annonces!$A$2:$A$701,$A74,Annonces!$E$2:$E$701,"En vente",Annonces!$U$2:$U$701,$B74),"")</f>
        <v/>
      </c>
      <c r="F74" s="12">
        <f>IF(C74&gt;0,_xlfn.MAXIFS(Annonces!$L$2:$L$701,Annonces!$A$2:$A$701,$A74,Annonces!$E$2:$E$701,"En vente",Annonces!$U$2:$U$701,$B74),"")</f>
        <v/>
      </c>
      <c r="G74" s="15">
        <f>IFERROR(AVERAGEIFS(Annonces!$T$2:$T$701,Annonces!$A$2:$A$701,$A74,Annonces!$E$2:$E$701,"En vente",Annonces!$U$2:$U$701,$B74),"")</f>
        <v/>
      </c>
    </row>
    <row r="75">
      <c r="A75" s="10" t="inlineStr">
        <is>
          <t>Porsche 911 997 Carrera S</t>
        </is>
      </c>
      <c r="B75" s="10" t="n">
        <v>2011</v>
      </c>
      <c r="C75" s="16">
        <f>COUNTIFS(Annonces!$A$2:$A$701,$A75,Annonces!$E$2:$E$701,"En vente",Annonces!$U$2:$U$701,$B75)</f>
        <v/>
      </c>
      <c r="D75" s="12">
        <f>IFERROR(AVERAGEIFS(Annonces!$L$2:$L$701,Annonces!$A$2:$A$701,$A75,Annonces!$E$2:$E$701,"En vente",Annonces!$U$2:$U$701,$B75),"")</f>
        <v/>
      </c>
      <c r="E75" s="12">
        <f>IF(C75&gt;0,_xlfn.MINIFS(Annonces!$L$2:$L$701,Annonces!$A$2:$A$701,$A75,Annonces!$E$2:$E$701,"En vente",Annonces!$U$2:$U$701,$B75),"")</f>
        <v/>
      </c>
      <c r="F75" s="12">
        <f>IF(C75&gt;0,_xlfn.MAXIFS(Annonces!$L$2:$L$701,Annonces!$A$2:$A$701,$A75,Annonces!$E$2:$E$701,"En vente",Annonces!$U$2:$U$701,$B75),"")</f>
        <v/>
      </c>
      <c r="G75" s="15">
        <f>IFERROR(AVERAGEIFS(Annonces!$T$2:$T$701,Annonces!$A$2:$A$701,$A75,Annonces!$E$2:$E$701,"En vente",Annonces!$U$2:$U$701,$B75),"")</f>
        <v/>
      </c>
    </row>
    <row r="76">
      <c r="A76" s="10" t="inlineStr">
        <is>
          <t>Porsche Boxster 986</t>
        </is>
      </c>
      <c r="B76" s="10" t="n">
        <v>1996</v>
      </c>
      <c r="C76" s="16">
        <f>COUNTIFS(Annonces!$A$2:$A$701,$A76,Annonces!$E$2:$E$701,"En vente",Annonces!$U$2:$U$701,$B76)</f>
        <v/>
      </c>
      <c r="D76" s="12">
        <f>IFERROR(AVERAGEIFS(Annonces!$L$2:$L$701,Annonces!$A$2:$A$701,$A76,Annonces!$E$2:$E$701,"En vente",Annonces!$U$2:$U$701,$B76),"")</f>
        <v/>
      </c>
      <c r="E76" s="12">
        <f>IF(C76&gt;0,_xlfn.MINIFS(Annonces!$L$2:$L$701,Annonces!$A$2:$A$701,$A76,Annonces!$E$2:$E$701,"En vente",Annonces!$U$2:$U$701,$B76),"")</f>
        <v/>
      </c>
      <c r="F76" s="12">
        <f>IF(C76&gt;0,_xlfn.MAXIFS(Annonces!$L$2:$L$701,Annonces!$A$2:$A$701,$A76,Annonces!$E$2:$E$701,"En vente",Annonces!$U$2:$U$701,$B76),"")</f>
        <v/>
      </c>
      <c r="G76" s="15">
        <f>IFERROR(AVERAGEIFS(Annonces!$T$2:$T$701,Annonces!$A$2:$A$701,$A76,Annonces!$E$2:$E$701,"En vente",Annonces!$U$2:$U$701,$B76),"")</f>
        <v/>
      </c>
    </row>
    <row r="77">
      <c r="A77" s="10" t="inlineStr">
        <is>
          <t>Porsche Boxster 986</t>
        </is>
      </c>
      <c r="B77" s="10" t="n">
        <v>1997</v>
      </c>
      <c r="C77" s="16">
        <f>COUNTIFS(Annonces!$A$2:$A$701,$A77,Annonces!$E$2:$E$701,"En vente",Annonces!$U$2:$U$701,$B77)</f>
        <v/>
      </c>
      <c r="D77" s="12">
        <f>IFERROR(AVERAGEIFS(Annonces!$L$2:$L$701,Annonces!$A$2:$A$701,$A77,Annonces!$E$2:$E$701,"En vente",Annonces!$U$2:$U$701,$B77),"")</f>
        <v/>
      </c>
      <c r="E77" s="12">
        <f>IF(C77&gt;0,_xlfn.MINIFS(Annonces!$L$2:$L$701,Annonces!$A$2:$A$701,$A77,Annonces!$E$2:$E$701,"En vente",Annonces!$U$2:$U$701,$B77),"")</f>
        <v/>
      </c>
      <c r="F77" s="12">
        <f>IF(C77&gt;0,_xlfn.MAXIFS(Annonces!$L$2:$L$701,Annonces!$A$2:$A$701,$A77,Annonces!$E$2:$E$701,"En vente",Annonces!$U$2:$U$701,$B77),"")</f>
        <v/>
      </c>
      <c r="G77" s="15">
        <f>IFERROR(AVERAGEIFS(Annonces!$T$2:$T$701,Annonces!$A$2:$A$701,$A77,Annonces!$E$2:$E$701,"En vente",Annonces!$U$2:$U$701,$B77),"")</f>
        <v/>
      </c>
    </row>
    <row r="78">
      <c r="A78" s="10" t="inlineStr">
        <is>
          <t>Porsche Boxster 986</t>
        </is>
      </c>
      <c r="B78" s="10" t="n">
        <v>1998</v>
      </c>
      <c r="C78" s="16">
        <f>COUNTIFS(Annonces!$A$2:$A$701,$A78,Annonces!$E$2:$E$701,"En vente",Annonces!$U$2:$U$701,$B78)</f>
        <v/>
      </c>
      <c r="D78" s="12">
        <f>IFERROR(AVERAGEIFS(Annonces!$L$2:$L$701,Annonces!$A$2:$A$701,$A78,Annonces!$E$2:$E$701,"En vente",Annonces!$U$2:$U$701,$B78),"")</f>
        <v/>
      </c>
      <c r="E78" s="12">
        <f>IF(C78&gt;0,_xlfn.MINIFS(Annonces!$L$2:$L$701,Annonces!$A$2:$A$701,$A78,Annonces!$E$2:$E$701,"En vente",Annonces!$U$2:$U$701,$B78),"")</f>
        <v/>
      </c>
      <c r="F78" s="12">
        <f>IF(C78&gt;0,_xlfn.MAXIFS(Annonces!$L$2:$L$701,Annonces!$A$2:$A$701,$A78,Annonces!$E$2:$E$701,"En vente",Annonces!$U$2:$U$701,$B78),"")</f>
        <v/>
      </c>
      <c r="G78" s="15">
        <f>IFERROR(AVERAGEIFS(Annonces!$T$2:$T$701,Annonces!$A$2:$A$701,$A78,Annonces!$E$2:$E$701,"En vente",Annonces!$U$2:$U$701,$B78),"")</f>
        <v/>
      </c>
    </row>
    <row r="79">
      <c r="A79" s="10" t="inlineStr">
        <is>
          <t>Porsche Boxster 986</t>
        </is>
      </c>
      <c r="B79" s="10" t="n">
        <v>1999</v>
      </c>
      <c r="C79" s="16">
        <f>COUNTIFS(Annonces!$A$2:$A$701,$A79,Annonces!$E$2:$E$701,"En vente",Annonces!$U$2:$U$701,$B79)</f>
        <v/>
      </c>
      <c r="D79" s="12">
        <f>IFERROR(AVERAGEIFS(Annonces!$L$2:$L$701,Annonces!$A$2:$A$701,$A79,Annonces!$E$2:$E$701,"En vente",Annonces!$U$2:$U$701,$B79),"")</f>
        <v/>
      </c>
      <c r="E79" s="12">
        <f>IF(C79&gt;0,_xlfn.MINIFS(Annonces!$L$2:$L$701,Annonces!$A$2:$A$701,$A79,Annonces!$E$2:$E$701,"En vente",Annonces!$U$2:$U$701,$B79),"")</f>
        <v/>
      </c>
      <c r="F79" s="12">
        <f>IF(C79&gt;0,_xlfn.MAXIFS(Annonces!$L$2:$L$701,Annonces!$A$2:$A$701,$A79,Annonces!$E$2:$E$701,"En vente",Annonces!$U$2:$U$701,$B79),"")</f>
        <v/>
      </c>
      <c r="G79" s="15">
        <f>IFERROR(AVERAGEIFS(Annonces!$T$2:$T$701,Annonces!$A$2:$A$701,$A79,Annonces!$E$2:$E$701,"En vente",Annonces!$U$2:$U$701,$B79),"")</f>
        <v/>
      </c>
    </row>
    <row r="80">
      <c r="A80" s="10" t="inlineStr">
        <is>
          <t>Porsche Boxster 986</t>
        </is>
      </c>
      <c r="B80" s="10" t="n">
        <v>2000</v>
      </c>
      <c r="C80" s="16">
        <f>COUNTIFS(Annonces!$A$2:$A$701,$A80,Annonces!$E$2:$E$701,"En vente",Annonces!$U$2:$U$701,$B80)</f>
        <v/>
      </c>
      <c r="D80" s="12">
        <f>IFERROR(AVERAGEIFS(Annonces!$L$2:$L$701,Annonces!$A$2:$A$701,$A80,Annonces!$E$2:$E$701,"En vente",Annonces!$U$2:$U$701,$B80),"")</f>
        <v/>
      </c>
      <c r="E80" s="12">
        <f>IF(C80&gt;0,_xlfn.MINIFS(Annonces!$L$2:$L$701,Annonces!$A$2:$A$701,$A80,Annonces!$E$2:$E$701,"En vente",Annonces!$U$2:$U$701,$B80),"")</f>
        <v/>
      </c>
      <c r="F80" s="12">
        <f>IF(C80&gt;0,_xlfn.MAXIFS(Annonces!$L$2:$L$701,Annonces!$A$2:$A$701,$A80,Annonces!$E$2:$E$701,"En vente",Annonces!$U$2:$U$701,$B80),"")</f>
        <v/>
      </c>
      <c r="G80" s="15">
        <f>IFERROR(AVERAGEIFS(Annonces!$T$2:$T$701,Annonces!$A$2:$A$701,$A80,Annonces!$E$2:$E$701,"En vente",Annonces!$U$2:$U$701,$B80),"")</f>
        <v/>
      </c>
    </row>
    <row r="81">
      <c r="A81" s="10" t="inlineStr">
        <is>
          <t>Porsche Boxster 986</t>
        </is>
      </c>
      <c r="B81" s="10" t="n">
        <v>2001</v>
      </c>
      <c r="C81" s="16">
        <f>COUNTIFS(Annonces!$A$2:$A$701,$A81,Annonces!$E$2:$E$701,"En vente",Annonces!$U$2:$U$701,$B81)</f>
        <v/>
      </c>
      <c r="D81" s="12">
        <f>IFERROR(AVERAGEIFS(Annonces!$L$2:$L$701,Annonces!$A$2:$A$701,$A81,Annonces!$E$2:$E$701,"En vente",Annonces!$U$2:$U$701,$B81),"")</f>
        <v/>
      </c>
      <c r="E81" s="12">
        <f>IF(C81&gt;0,_xlfn.MINIFS(Annonces!$L$2:$L$701,Annonces!$A$2:$A$701,$A81,Annonces!$E$2:$E$701,"En vente",Annonces!$U$2:$U$701,$B81),"")</f>
        <v/>
      </c>
      <c r="F81" s="12">
        <f>IF(C81&gt;0,_xlfn.MAXIFS(Annonces!$L$2:$L$701,Annonces!$A$2:$A$701,$A81,Annonces!$E$2:$E$701,"En vente",Annonces!$U$2:$U$701,$B81),"")</f>
        <v/>
      </c>
      <c r="G81" s="15">
        <f>IFERROR(AVERAGEIFS(Annonces!$T$2:$T$701,Annonces!$A$2:$A$701,$A81,Annonces!$E$2:$E$701,"En vente",Annonces!$U$2:$U$701,$B81),"")</f>
        <v/>
      </c>
    </row>
    <row r="82">
      <c r="A82" s="10" t="inlineStr">
        <is>
          <t>Porsche Boxster 986</t>
        </is>
      </c>
      <c r="B82" s="10" t="n">
        <v>2002</v>
      </c>
      <c r="C82" s="16">
        <f>COUNTIFS(Annonces!$A$2:$A$701,$A82,Annonces!$E$2:$E$701,"En vente",Annonces!$U$2:$U$701,$B82)</f>
        <v/>
      </c>
      <c r="D82" s="12">
        <f>IFERROR(AVERAGEIFS(Annonces!$L$2:$L$701,Annonces!$A$2:$A$701,$A82,Annonces!$E$2:$E$701,"En vente",Annonces!$U$2:$U$701,$B82),"")</f>
        <v/>
      </c>
      <c r="E82" s="12">
        <f>IF(C82&gt;0,_xlfn.MINIFS(Annonces!$L$2:$L$701,Annonces!$A$2:$A$701,$A82,Annonces!$E$2:$E$701,"En vente",Annonces!$U$2:$U$701,$B82),"")</f>
        <v/>
      </c>
      <c r="F82" s="12">
        <f>IF(C82&gt;0,_xlfn.MAXIFS(Annonces!$L$2:$L$701,Annonces!$A$2:$A$701,$A82,Annonces!$E$2:$E$701,"En vente",Annonces!$U$2:$U$701,$B82),"")</f>
        <v/>
      </c>
      <c r="G82" s="15">
        <f>IFERROR(AVERAGEIFS(Annonces!$T$2:$T$701,Annonces!$A$2:$A$701,$A82,Annonces!$E$2:$E$701,"En vente",Annonces!$U$2:$U$701,$B82),"")</f>
        <v/>
      </c>
    </row>
    <row r="83">
      <c r="A83" s="10" t="inlineStr">
        <is>
          <t>Porsche Boxster 986</t>
        </is>
      </c>
      <c r="B83" s="10" t="n">
        <v>2003</v>
      </c>
      <c r="C83" s="16">
        <f>COUNTIFS(Annonces!$A$2:$A$701,$A83,Annonces!$E$2:$E$701,"En vente",Annonces!$U$2:$U$701,$B83)</f>
        <v/>
      </c>
      <c r="D83" s="12">
        <f>IFERROR(AVERAGEIFS(Annonces!$L$2:$L$701,Annonces!$A$2:$A$701,$A83,Annonces!$E$2:$E$701,"En vente",Annonces!$U$2:$U$701,$B83),"")</f>
        <v/>
      </c>
      <c r="E83" s="12">
        <f>IF(C83&gt;0,_xlfn.MINIFS(Annonces!$L$2:$L$701,Annonces!$A$2:$A$701,$A83,Annonces!$E$2:$E$701,"En vente",Annonces!$U$2:$U$701,$B83),"")</f>
        <v/>
      </c>
      <c r="F83" s="12">
        <f>IF(C83&gt;0,_xlfn.MAXIFS(Annonces!$L$2:$L$701,Annonces!$A$2:$A$701,$A83,Annonces!$E$2:$E$701,"En vente",Annonces!$U$2:$U$701,$B83),"")</f>
        <v/>
      </c>
      <c r="G83" s="15">
        <f>IFERROR(AVERAGEIFS(Annonces!$T$2:$T$701,Annonces!$A$2:$A$701,$A83,Annonces!$E$2:$E$701,"En vente",Annonces!$U$2:$U$701,$B83),"")</f>
        <v/>
      </c>
    </row>
    <row r="84">
      <c r="A84" s="10" t="inlineStr">
        <is>
          <t>Porsche Boxster 986</t>
        </is>
      </c>
      <c r="B84" s="10" t="n">
        <v>2004</v>
      </c>
      <c r="C84" s="16">
        <f>COUNTIFS(Annonces!$A$2:$A$701,$A84,Annonces!$E$2:$E$701,"En vente",Annonces!$U$2:$U$701,$B84)</f>
        <v/>
      </c>
      <c r="D84" s="12">
        <f>IFERROR(AVERAGEIFS(Annonces!$L$2:$L$701,Annonces!$A$2:$A$701,$A84,Annonces!$E$2:$E$701,"En vente",Annonces!$U$2:$U$701,$B84),"")</f>
        <v/>
      </c>
      <c r="E84" s="12">
        <f>IF(C84&gt;0,_xlfn.MINIFS(Annonces!$L$2:$L$701,Annonces!$A$2:$A$701,$A84,Annonces!$E$2:$E$701,"En vente",Annonces!$U$2:$U$701,$B84),"")</f>
        <v/>
      </c>
      <c r="F84" s="12">
        <f>IF(C84&gt;0,_xlfn.MAXIFS(Annonces!$L$2:$L$701,Annonces!$A$2:$A$701,$A84,Annonces!$E$2:$E$701,"En vente",Annonces!$U$2:$U$701,$B84),"")</f>
        <v/>
      </c>
      <c r="G84" s="15">
        <f>IFERROR(AVERAGEIFS(Annonces!$T$2:$T$701,Annonces!$A$2:$A$701,$A84,Annonces!$E$2:$E$701,"En vente",Annonces!$U$2:$U$701,$B84),"")</f>
        <v/>
      </c>
    </row>
    <row r="85">
      <c r="A85" s="10" t="inlineStr">
        <is>
          <t>Porsche Boxster 987</t>
        </is>
      </c>
      <c r="B85" s="10" t="n">
        <v>2005</v>
      </c>
      <c r="C85" s="16">
        <f>COUNTIFS(Annonces!$A$2:$A$701,$A85,Annonces!$E$2:$E$701,"En vente",Annonces!$U$2:$U$701,$B85)</f>
        <v/>
      </c>
      <c r="D85" s="12">
        <f>IFERROR(AVERAGEIFS(Annonces!$L$2:$L$701,Annonces!$A$2:$A$701,$A85,Annonces!$E$2:$E$701,"En vente",Annonces!$U$2:$U$701,$B85),"")</f>
        <v/>
      </c>
      <c r="E85" s="12">
        <f>IF(C85&gt;0,_xlfn.MINIFS(Annonces!$L$2:$L$701,Annonces!$A$2:$A$701,$A85,Annonces!$E$2:$E$701,"En vente",Annonces!$U$2:$U$701,$B85),"")</f>
        <v/>
      </c>
      <c r="F85" s="12">
        <f>IF(C85&gt;0,_xlfn.MAXIFS(Annonces!$L$2:$L$701,Annonces!$A$2:$A$701,$A85,Annonces!$E$2:$E$701,"En vente",Annonces!$U$2:$U$701,$B85),"")</f>
        <v/>
      </c>
      <c r="G85" s="15">
        <f>IFERROR(AVERAGEIFS(Annonces!$T$2:$T$701,Annonces!$A$2:$A$701,$A85,Annonces!$E$2:$E$701,"En vente",Annonces!$U$2:$U$701,$B85),"")</f>
        <v/>
      </c>
    </row>
    <row r="86">
      <c r="A86" s="10" t="inlineStr">
        <is>
          <t>Porsche Boxster 987</t>
        </is>
      </c>
      <c r="B86" s="10" t="n">
        <v>2006</v>
      </c>
      <c r="C86" s="16">
        <f>COUNTIFS(Annonces!$A$2:$A$701,$A86,Annonces!$E$2:$E$701,"En vente",Annonces!$U$2:$U$701,$B86)</f>
        <v/>
      </c>
      <c r="D86" s="12">
        <f>IFERROR(AVERAGEIFS(Annonces!$L$2:$L$701,Annonces!$A$2:$A$701,$A86,Annonces!$E$2:$E$701,"En vente",Annonces!$U$2:$U$701,$B86),"")</f>
        <v/>
      </c>
      <c r="E86" s="12">
        <f>IF(C86&gt;0,_xlfn.MINIFS(Annonces!$L$2:$L$701,Annonces!$A$2:$A$701,$A86,Annonces!$E$2:$E$701,"En vente",Annonces!$U$2:$U$701,$B86),"")</f>
        <v/>
      </c>
      <c r="F86" s="12">
        <f>IF(C86&gt;0,_xlfn.MAXIFS(Annonces!$L$2:$L$701,Annonces!$A$2:$A$701,$A86,Annonces!$E$2:$E$701,"En vente",Annonces!$U$2:$U$701,$B86),"")</f>
        <v/>
      </c>
      <c r="G86" s="15">
        <f>IFERROR(AVERAGEIFS(Annonces!$T$2:$T$701,Annonces!$A$2:$A$701,$A86,Annonces!$E$2:$E$701,"En vente",Annonces!$U$2:$U$701,$B86),"")</f>
        <v/>
      </c>
    </row>
    <row r="87">
      <c r="A87" s="10" t="inlineStr">
        <is>
          <t>Porsche Boxster 987</t>
        </is>
      </c>
      <c r="B87" s="10" t="n">
        <v>2007</v>
      </c>
      <c r="C87" s="16">
        <f>COUNTIFS(Annonces!$A$2:$A$701,$A87,Annonces!$E$2:$E$701,"En vente",Annonces!$U$2:$U$701,$B87)</f>
        <v/>
      </c>
      <c r="D87" s="12">
        <f>IFERROR(AVERAGEIFS(Annonces!$L$2:$L$701,Annonces!$A$2:$A$701,$A87,Annonces!$E$2:$E$701,"En vente",Annonces!$U$2:$U$701,$B87),"")</f>
        <v/>
      </c>
      <c r="E87" s="12">
        <f>IF(C87&gt;0,_xlfn.MINIFS(Annonces!$L$2:$L$701,Annonces!$A$2:$A$701,$A87,Annonces!$E$2:$E$701,"En vente",Annonces!$U$2:$U$701,$B87),"")</f>
        <v/>
      </c>
      <c r="F87" s="12">
        <f>IF(C87&gt;0,_xlfn.MAXIFS(Annonces!$L$2:$L$701,Annonces!$A$2:$A$701,$A87,Annonces!$E$2:$E$701,"En vente",Annonces!$U$2:$U$701,$B87),"")</f>
        <v/>
      </c>
      <c r="G87" s="15">
        <f>IFERROR(AVERAGEIFS(Annonces!$T$2:$T$701,Annonces!$A$2:$A$701,$A87,Annonces!$E$2:$E$701,"En vente",Annonces!$U$2:$U$701,$B87),"")</f>
        <v/>
      </c>
    </row>
    <row r="88">
      <c r="A88" s="10" t="inlineStr">
        <is>
          <t>Porsche Boxster 987</t>
        </is>
      </c>
      <c r="B88" s="10" t="n">
        <v>2008</v>
      </c>
      <c r="C88" s="16">
        <f>COUNTIFS(Annonces!$A$2:$A$701,$A88,Annonces!$E$2:$E$701,"En vente",Annonces!$U$2:$U$701,$B88)</f>
        <v/>
      </c>
      <c r="D88" s="12">
        <f>IFERROR(AVERAGEIFS(Annonces!$L$2:$L$701,Annonces!$A$2:$A$701,$A88,Annonces!$E$2:$E$701,"En vente",Annonces!$U$2:$U$701,$B88),"")</f>
        <v/>
      </c>
      <c r="E88" s="12">
        <f>IF(C88&gt;0,_xlfn.MINIFS(Annonces!$L$2:$L$701,Annonces!$A$2:$A$701,$A88,Annonces!$E$2:$E$701,"En vente",Annonces!$U$2:$U$701,$B88),"")</f>
        <v/>
      </c>
      <c r="F88" s="12">
        <f>IF(C88&gt;0,_xlfn.MAXIFS(Annonces!$L$2:$L$701,Annonces!$A$2:$A$701,$A88,Annonces!$E$2:$E$701,"En vente",Annonces!$U$2:$U$701,$B88),"")</f>
        <v/>
      </c>
      <c r="G88" s="15">
        <f>IFERROR(AVERAGEIFS(Annonces!$T$2:$T$701,Annonces!$A$2:$A$701,$A88,Annonces!$E$2:$E$701,"En vente",Annonces!$U$2:$U$701,$B88),"")</f>
        <v/>
      </c>
    </row>
    <row r="89">
      <c r="A89" s="10" t="inlineStr">
        <is>
          <t>Porsche Boxster 987</t>
        </is>
      </c>
      <c r="B89" s="10" t="n">
        <v>2009</v>
      </c>
      <c r="C89" s="16">
        <f>COUNTIFS(Annonces!$A$2:$A$701,$A89,Annonces!$E$2:$E$701,"En vente",Annonces!$U$2:$U$701,$B89)</f>
        <v/>
      </c>
      <c r="D89" s="12">
        <f>IFERROR(AVERAGEIFS(Annonces!$L$2:$L$701,Annonces!$A$2:$A$701,$A89,Annonces!$E$2:$E$701,"En vente",Annonces!$U$2:$U$701,$B89),"")</f>
        <v/>
      </c>
      <c r="E89" s="12">
        <f>IF(C89&gt;0,_xlfn.MINIFS(Annonces!$L$2:$L$701,Annonces!$A$2:$A$701,$A89,Annonces!$E$2:$E$701,"En vente",Annonces!$U$2:$U$701,$B89),"")</f>
        <v/>
      </c>
      <c r="F89" s="12">
        <f>IF(C89&gt;0,_xlfn.MAXIFS(Annonces!$L$2:$L$701,Annonces!$A$2:$A$701,$A89,Annonces!$E$2:$E$701,"En vente",Annonces!$U$2:$U$701,$B89),"")</f>
        <v/>
      </c>
      <c r="G89" s="15">
        <f>IFERROR(AVERAGEIFS(Annonces!$T$2:$T$701,Annonces!$A$2:$A$701,$A89,Annonces!$E$2:$E$701,"En vente",Annonces!$U$2:$U$701,$B89),"")</f>
        <v/>
      </c>
    </row>
    <row r="90">
      <c r="A90" s="10" t="inlineStr">
        <is>
          <t>Porsche Boxster 987</t>
        </is>
      </c>
      <c r="B90" s="10" t="n">
        <v>2010</v>
      </c>
      <c r="C90" s="16">
        <f>COUNTIFS(Annonces!$A$2:$A$701,$A90,Annonces!$E$2:$E$701,"En vente",Annonces!$U$2:$U$701,$B90)</f>
        <v/>
      </c>
      <c r="D90" s="12">
        <f>IFERROR(AVERAGEIFS(Annonces!$L$2:$L$701,Annonces!$A$2:$A$701,$A90,Annonces!$E$2:$E$701,"En vente",Annonces!$U$2:$U$701,$B90),"")</f>
        <v/>
      </c>
      <c r="E90" s="12">
        <f>IF(C90&gt;0,_xlfn.MINIFS(Annonces!$L$2:$L$701,Annonces!$A$2:$A$701,$A90,Annonces!$E$2:$E$701,"En vente",Annonces!$U$2:$U$701,$B90),"")</f>
        <v/>
      </c>
      <c r="F90" s="12">
        <f>IF(C90&gt;0,_xlfn.MAXIFS(Annonces!$L$2:$L$701,Annonces!$A$2:$A$701,$A90,Annonces!$E$2:$E$701,"En vente",Annonces!$U$2:$U$701,$B90),"")</f>
        <v/>
      </c>
      <c r="G90" s="15">
        <f>IFERROR(AVERAGEIFS(Annonces!$T$2:$T$701,Annonces!$A$2:$A$701,$A90,Annonces!$E$2:$E$701,"En vente",Annonces!$U$2:$U$701,$B90),"")</f>
        <v/>
      </c>
    </row>
    <row r="91">
      <c r="A91" s="10" t="inlineStr">
        <is>
          <t>Porsche Boxster 987</t>
        </is>
      </c>
      <c r="B91" s="10" t="n">
        <v>2011</v>
      </c>
      <c r="C91" s="16">
        <f>COUNTIFS(Annonces!$A$2:$A$701,$A91,Annonces!$E$2:$E$701,"En vente",Annonces!$U$2:$U$701,$B91)</f>
        <v/>
      </c>
      <c r="D91" s="12">
        <f>IFERROR(AVERAGEIFS(Annonces!$L$2:$L$701,Annonces!$A$2:$A$701,$A91,Annonces!$E$2:$E$701,"En vente",Annonces!$U$2:$U$701,$B91),"")</f>
        <v/>
      </c>
      <c r="E91" s="12">
        <f>IF(C91&gt;0,_xlfn.MINIFS(Annonces!$L$2:$L$701,Annonces!$A$2:$A$701,$A91,Annonces!$E$2:$E$701,"En vente",Annonces!$U$2:$U$701,$B91),"")</f>
        <v/>
      </c>
      <c r="F91" s="12">
        <f>IF(C91&gt;0,_xlfn.MAXIFS(Annonces!$L$2:$L$701,Annonces!$A$2:$A$701,$A91,Annonces!$E$2:$E$701,"En vente",Annonces!$U$2:$U$701,$B91),"")</f>
        <v/>
      </c>
      <c r="G91" s="15">
        <f>IFERROR(AVERAGEIFS(Annonces!$T$2:$T$701,Annonces!$A$2:$A$701,$A91,Annonces!$E$2:$E$701,"En vente",Annonces!$U$2:$U$701,$B91),"")</f>
        <v/>
      </c>
    </row>
    <row r="92">
      <c r="A92" s="10" t="inlineStr">
        <is>
          <t>Porsche Boxster 987</t>
        </is>
      </c>
      <c r="B92" s="10" t="n">
        <v>2012</v>
      </c>
      <c r="C92" s="16">
        <f>COUNTIFS(Annonces!$A$2:$A$701,$A92,Annonces!$E$2:$E$701,"En vente",Annonces!$U$2:$U$701,$B92)</f>
        <v/>
      </c>
      <c r="D92" s="12">
        <f>IFERROR(AVERAGEIFS(Annonces!$L$2:$L$701,Annonces!$A$2:$A$701,$A92,Annonces!$E$2:$E$701,"En vente",Annonces!$U$2:$U$701,$B92),"")</f>
        <v/>
      </c>
      <c r="E92" s="12">
        <f>IF(C92&gt;0,_xlfn.MINIFS(Annonces!$L$2:$L$701,Annonces!$A$2:$A$701,$A92,Annonces!$E$2:$E$701,"En vente",Annonces!$U$2:$U$701,$B92),"")</f>
        <v/>
      </c>
      <c r="F92" s="12">
        <f>IF(C92&gt;0,_xlfn.MAXIFS(Annonces!$L$2:$L$701,Annonces!$A$2:$A$701,$A92,Annonces!$E$2:$E$701,"En vente",Annonces!$U$2:$U$701,$B92),"")</f>
        <v/>
      </c>
      <c r="G92" s="15">
        <f>IFERROR(AVERAGEIFS(Annonces!$T$2:$T$701,Annonces!$A$2:$A$701,$A92,Annonces!$E$2:$E$701,"En vente",Annonces!$U$2:$U$701,$B92),"")</f>
        <v/>
      </c>
    </row>
    <row r="93">
      <c r="A93" s="10" t="inlineStr">
        <is>
          <t>Renault Clio II RS (172/182 ch)</t>
        </is>
      </c>
      <c r="B93" s="10" t="n">
        <v>2000</v>
      </c>
      <c r="C93" s="16">
        <f>COUNTIFS(Annonces!$A$2:$A$701,$A93,Annonces!$E$2:$E$701,"En vente",Annonces!$U$2:$U$701,$B93)</f>
        <v/>
      </c>
      <c r="D93" s="12">
        <f>IFERROR(AVERAGEIFS(Annonces!$L$2:$L$701,Annonces!$A$2:$A$701,$A93,Annonces!$E$2:$E$701,"En vente",Annonces!$U$2:$U$701,$B93),"")</f>
        <v/>
      </c>
      <c r="E93" s="12">
        <f>IF(C93&gt;0,_xlfn.MINIFS(Annonces!$L$2:$L$701,Annonces!$A$2:$A$701,$A93,Annonces!$E$2:$E$701,"En vente",Annonces!$U$2:$U$701,$B93),"")</f>
        <v/>
      </c>
      <c r="F93" s="12">
        <f>IF(C93&gt;0,_xlfn.MAXIFS(Annonces!$L$2:$L$701,Annonces!$A$2:$A$701,$A93,Annonces!$E$2:$E$701,"En vente",Annonces!$U$2:$U$701,$B93),"")</f>
        <v/>
      </c>
      <c r="G93" s="15">
        <f>IFERROR(AVERAGEIFS(Annonces!$T$2:$T$701,Annonces!$A$2:$A$701,$A93,Annonces!$E$2:$E$701,"En vente",Annonces!$U$2:$U$701,$B93),"")</f>
        <v/>
      </c>
    </row>
    <row r="94">
      <c r="A94" s="10" t="inlineStr">
        <is>
          <t>Renault Clio II RS (172/182 ch)</t>
        </is>
      </c>
      <c r="B94" s="10" t="n">
        <v>2001</v>
      </c>
      <c r="C94" s="16">
        <f>COUNTIFS(Annonces!$A$2:$A$701,$A94,Annonces!$E$2:$E$701,"En vente",Annonces!$U$2:$U$701,$B94)</f>
        <v/>
      </c>
      <c r="D94" s="12">
        <f>IFERROR(AVERAGEIFS(Annonces!$L$2:$L$701,Annonces!$A$2:$A$701,$A94,Annonces!$E$2:$E$701,"En vente",Annonces!$U$2:$U$701,$B94),"")</f>
        <v/>
      </c>
      <c r="E94" s="12">
        <f>IF(C94&gt;0,_xlfn.MINIFS(Annonces!$L$2:$L$701,Annonces!$A$2:$A$701,$A94,Annonces!$E$2:$E$701,"En vente",Annonces!$U$2:$U$701,$B94),"")</f>
        <v/>
      </c>
      <c r="F94" s="12">
        <f>IF(C94&gt;0,_xlfn.MAXIFS(Annonces!$L$2:$L$701,Annonces!$A$2:$A$701,$A94,Annonces!$E$2:$E$701,"En vente",Annonces!$U$2:$U$701,$B94),"")</f>
        <v/>
      </c>
      <c r="G94" s="15">
        <f>IFERROR(AVERAGEIFS(Annonces!$T$2:$T$701,Annonces!$A$2:$A$701,$A94,Annonces!$E$2:$E$701,"En vente",Annonces!$U$2:$U$701,$B94),"")</f>
        <v/>
      </c>
    </row>
    <row r="95">
      <c r="A95" s="10" t="inlineStr">
        <is>
          <t>Renault Clio II RS (172/182 ch)</t>
        </is>
      </c>
      <c r="B95" s="10" t="n">
        <v>2002</v>
      </c>
      <c r="C95" s="16">
        <f>COUNTIFS(Annonces!$A$2:$A$701,$A95,Annonces!$E$2:$E$701,"En vente",Annonces!$U$2:$U$701,$B95)</f>
        <v/>
      </c>
      <c r="D95" s="12">
        <f>IFERROR(AVERAGEIFS(Annonces!$L$2:$L$701,Annonces!$A$2:$A$701,$A95,Annonces!$E$2:$E$701,"En vente",Annonces!$U$2:$U$701,$B95),"")</f>
        <v/>
      </c>
      <c r="E95" s="12">
        <f>IF(C95&gt;0,_xlfn.MINIFS(Annonces!$L$2:$L$701,Annonces!$A$2:$A$701,$A95,Annonces!$E$2:$E$701,"En vente",Annonces!$U$2:$U$701,$B95),"")</f>
        <v/>
      </c>
      <c r="F95" s="12">
        <f>IF(C95&gt;0,_xlfn.MAXIFS(Annonces!$L$2:$L$701,Annonces!$A$2:$A$701,$A95,Annonces!$E$2:$E$701,"En vente",Annonces!$U$2:$U$701,$B95),"")</f>
        <v/>
      </c>
      <c r="G95" s="15">
        <f>IFERROR(AVERAGEIFS(Annonces!$T$2:$T$701,Annonces!$A$2:$A$701,$A95,Annonces!$E$2:$E$701,"En vente",Annonces!$U$2:$U$701,$B95),"")</f>
        <v/>
      </c>
    </row>
    <row r="96">
      <c r="A96" s="10" t="inlineStr">
        <is>
          <t>Renault Clio II RS (172/182 ch)</t>
        </is>
      </c>
      <c r="B96" s="10" t="n">
        <v>2003</v>
      </c>
      <c r="C96" s="16">
        <f>COUNTIFS(Annonces!$A$2:$A$701,$A96,Annonces!$E$2:$E$701,"En vente",Annonces!$U$2:$U$701,$B96)</f>
        <v/>
      </c>
      <c r="D96" s="12">
        <f>IFERROR(AVERAGEIFS(Annonces!$L$2:$L$701,Annonces!$A$2:$A$701,$A96,Annonces!$E$2:$E$701,"En vente",Annonces!$U$2:$U$701,$B96),"")</f>
        <v/>
      </c>
      <c r="E96" s="12">
        <f>IF(C96&gt;0,_xlfn.MINIFS(Annonces!$L$2:$L$701,Annonces!$A$2:$A$701,$A96,Annonces!$E$2:$E$701,"En vente",Annonces!$U$2:$U$701,$B96),"")</f>
        <v/>
      </c>
      <c r="F96" s="12">
        <f>IF(C96&gt;0,_xlfn.MAXIFS(Annonces!$L$2:$L$701,Annonces!$A$2:$A$701,$A96,Annonces!$E$2:$E$701,"En vente",Annonces!$U$2:$U$701,$B96),"")</f>
        <v/>
      </c>
      <c r="G96" s="15">
        <f>IFERROR(AVERAGEIFS(Annonces!$T$2:$T$701,Annonces!$A$2:$A$701,$A96,Annonces!$E$2:$E$701,"En vente",Annonces!$U$2:$U$701,$B96),"")</f>
        <v/>
      </c>
    </row>
    <row r="97">
      <c r="A97" s="10" t="inlineStr">
        <is>
          <t>Renault Clio II RS (172/182 ch)</t>
        </is>
      </c>
      <c r="B97" s="10" t="n">
        <v>2004</v>
      </c>
      <c r="C97" s="16">
        <f>COUNTIFS(Annonces!$A$2:$A$701,$A97,Annonces!$E$2:$E$701,"En vente",Annonces!$U$2:$U$701,$B97)</f>
        <v/>
      </c>
      <c r="D97" s="12">
        <f>IFERROR(AVERAGEIFS(Annonces!$L$2:$L$701,Annonces!$A$2:$A$701,$A97,Annonces!$E$2:$E$701,"En vente",Annonces!$U$2:$U$701,$B97),"")</f>
        <v/>
      </c>
      <c r="E97" s="12">
        <f>IF(C97&gt;0,_xlfn.MINIFS(Annonces!$L$2:$L$701,Annonces!$A$2:$A$701,$A97,Annonces!$E$2:$E$701,"En vente",Annonces!$U$2:$U$701,$B97),"")</f>
        <v/>
      </c>
      <c r="F97" s="12">
        <f>IF(C97&gt;0,_xlfn.MAXIFS(Annonces!$L$2:$L$701,Annonces!$A$2:$A$701,$A97,Annonces!$E$2:$E$701,"En vente",Annonces!$U$2:$U$701,$B97),"")</f>
        <v/>
      </c>
      <c r="G97" s="15">
        <f>IFERROR(AVERAGEIFS(Annonces!$T$2:$T$701,Annonces!$A$2:$A$701,$A97,Annonces!$E$2:$E$701,"En vente",Annonces!$U$2:$U$701,$B97),"")</f>
        <v/>
      </c>
    </row>
    <row r="98">
      <c r="A98" s="10" t="inlineStr">
        <is>
          <t>Renault Clio II RS (172/182 ch)</t>
        </is>
      </c>
      <c r="B98" s="10" t="n">
        <v>2005</v>
      </c>
      <c r="C98" s="16">
        <f>COUNTIFS(Annonces!$A$2:$A$701,$A98,Annonces!$E$2:$E$701,"En vente",Annonces!$U$2:$U$701,$B98)</f>
        <v/>
      </c>
      <c r="D98" s="12">
        <f>IFERROR(AVERAGEIFS(Annonces!$L$2:$L$701,Annonces!$A$2:$A$701,$A98,Annonces!$E$2:$E$701,"En vente",Annonces!$U$2:$U$701,$B98),"")</f>
        <v/>
      </c>
      <c r="E98" s="12">
        <f>IF(C98&gt;0,_xlfn.MINIFS(Annonces!$L$2:$L$701,Annonces!$A$2:$A$701,$A98,Annonces!$E$2:$E$701,"En vente",Annonces!$U$2:$U$701,$B98),"")</f>
        <v/>
      </c>
      <c r="F98" s="12">
        <f>IF(C98&gt;0,_xlfn.MAXIFS(Annonces!$L$2:$L$701,Annonces!$A$2:$A$701,$A98,Annonces!$E$2:$E$701,"En vente",Annonces!$U$2:$U$701,$B98),"")</f>
        <v/>
      </c>
      <c r="G98" s="15">
        <f>IFERROR(AVERAGEIFS(Annonces!$T$2:$T$701,Annonces!$A$2:$A$701,$A98,Annonces!$E$2:$E$701,"En vente",Annonces!$U$2:$U$701,$B98),"")</f>
        <v/>
      </c>
    </row>
    <row r="99">
      <c r="A99" s="10" t="inlineStr">
        <is>
          <t>Renault Clio II RS (172/182 ch)</t>
        </is>
      </c>
      <c r="B99" s="10" t="n">
        <v>2006</v>
      </c>
      <c r="C99" s="16">
        <f>COUNTIFS(Annonces!$A$2:$A$701,$A99,Annonces!$E$2:$E$701,"En vente",Annonces!$U$2:$U$701,$B99)</f>
        <v/>
      </c>
      <c r="D99" s="12">
        <f>IFERROR(AVERAGEIFS(Annonces!$L$2:$L$701,Annonces!$A$2:$A$701,$A99,Annonces!$E$2:$E$701,"En vente",Annonces!$U$2:$U$701,$B99),"")</f>
        <v/>
      </c>
      <c r="E99" s="12">
        <f>IF(C99&gt;0,_xlfn.MINIFS(Annonces!$L$2:$L$701,Annonces!$A$2:$A$701,$A99,Annonces!$E$2:$E$701,"En vente",Annonces!$U$2:$U$701,$B99),"")</f>
        <v/>
      </c>
      <c r="F99" s="12">
        <f>IF(C99&gt;0,_xlfn.MAXIFS(Annonces!$L$2:$L$701,Annonces!$A$2:$A$701,$A99,Annonces!$E$2:$E$701,"En vente",Annonces!$U$2:$U$701,$B99),"")</f>
        <v/>
      </c>
      <c r="G99" s="15">
        <f>IFERROR(AVERAGEIFS(Annonces!$T$2:$T$701,Annonces!$A$2:$A$701,$A99,Annonces!$E$2:$E$701,"En vente",Annonces!$U$2:$U$701,$B99),"")</f>
        <v/>
      </c>
    </row>
    <row r="100">
      <c r="A100" s="10" t="inlineStr">
        <is>
          <t>Renault Mégane II RS R26</t>
        </is>
      </c>
      <c r="B100" s="10" t="n">
        <v>2007</v>
      </c>
      <c r="C100" s="16">
        <f>COUNTIFS(Annonces!$A$2:$A$701,$A100,Annonces!$E$2:$E$701,"En vente",Annonces!$U$2:$U$701,$B100)</f>
        <v/>
      </c>
      <c r="D100" s="12">
        <f>IFERROR(AVERAGEIFS(Annonces!$L$2:$L$701,Annonces!$A$2:$A$701,$A100,Annonces!$E$2:$E$701,"En vente",Annonces!$U$2:$U$701,$B100),"")</f>
        <v/>
      </c>
      <c r="E100" s="12">
        <f>IF(C100&gt;0,_xlfn.MINIFS(Annonces!$L$2:$L$701,Annonces!$A$2:$A$701,$A100,Annonces!$E$2:$E$701,"En vente",Annonces!$U$2:$U$701,$B100),"")</f>
        <v/>
      </c>
      <c r="F100" s="12">
        <f>IF(C100&gt;0,_xlfn.MAXIFS(Annonces!$L$2:$L$701,Annonces!$A$2:$A$701,$A100,Annonces!$E$2:$E$701,"En vente",Annonces!$U$2:$U$701,$B100),"")</f>
        <v/>
      </c>
      <c r="G100" s="15">
        <f>IFERROR(AVERAGEIFS(Annonces!$T$2:$T$701,Annonces!$A$2:$A$701,$A100,Annonces!$E$2:$E$701,"En vente",Annonces!$U$2:$U$701,$B100),"")</f>
        <v/>
      </c>
    </row>
    <row r="101">
      <c r="A101" s="10" t="inlineStr">
        <is>
          <t>Renault Mégane II RS R26</t>
        </is>
      </c>
      <c r="B101" s="10" t="n">
        <v>2008</v>
      </c>
      <c r="C101" s="16">
        <f>COUNTIFS(Annonces!$A$2:$A$701,$A101,Annonces!$E$2:$E$701,"En vente",Annonces!$U$2:$U$701,$B101)</f>
        <v/>
      </c>
      <c r="D101" s="12">
        <f>IFERROR(AVERAGEIFS(Annonces!$L$2:$L$701,Annonces!$A$2:$A$701,$A101,Annonces!$E$2:$E$701,"En vente",Annonces!$U$2:$U$701,$B101),"")</f>
        <v/>
      </c>
      <c r="E101" s="12">
        <f>IF(C101&gt;0,_xlfn.MINIFS(Annonces!$L$2:$L$701,Annonces!$A$2:$A$701,$A101,Annonces!$E$2:$E$701,"En vente",Annonces!$U$2:$U$701,$B101),"")</f>
        <v/>
      </c>
      <c r="F101" s="12">
        <f>IF(C101&gt;0,_xlfn.MAXIFS(Annonces!$L$2:$L$701,Annonces!$A$2:$A$701,$A101,Annonces!$E$2:$E$701,"En vente",Annonces!$U$2:$U$701,$B101),"")</f>
        <v/>
      </c>
      <c r="G101" s="15">
        <f>IFERROR(AVERAGEIFS(Annonces!$T$2:$T$701,Annonces!$A$2:$A$701,$A101,Annonces!$E$2:$E$701,"En vente",Annonces!$U$2:$U$701,$B101),"")</f>
        <v/>
      </c>
    </row>
    <row r="102">
      <c r="A102" s="10" t="inlineStr">
        <is>
          <t>Renault Twingo 1 découvrable</t>
        </is>
      </c>
      <c r="B102" s="10" t="n">
        <v>1995</v>
      </c>
      <c r="C102" s="16">
        <f>COUNTIFS(Annonces!$A$2:$A$701,$A102,Annonces!$E$2:$E$701,"En vente",Annonces!$U$2:$U$701,$B102)</f>
        <v/>
      </c>
      <c r="D102" s="12">
        <f>IFERROR(AVERAGEIFS(Annonces!$L$2:$L$701,Annonces!$A$2:$A$701,$A102,Annonces!$E$2:$E$701,"En vente",Annonces!$U$2:$U$701,$B102),"")</f>
        <v/>
      </c>
      <c r="E102" s="12">
        <f>IF(C102&gt;0,_xlfn.MINIFS(Annonces!$L$2:$L$701,Annonces!$A$2:$A$701,$A102,Annonces!$E$2:$E$701,"En vente",Annonces!$U$2:$U$701,$B102),"")</f>
        <v/>
      </c>
      <c r="F102" s="12">
        <f>IF(C102&gt;0,_xlfn.MAXIFS(Annonces!$L$2:$L$701,Annonces!$A$2:$A$701,$A102,Annonces!$E$2:$E$701,"En vente",Annonces!$U$2:$U$701,$B102),"")</f>
        <v/>
      </c>
      <c r="G102" s="15">
        <f>IFERROR(AVERAGEIFS(Annonces!$T$2:$T$701,Annonces!$A$2:$A$701,$A102,Annonces!$E$2:$E$701,"En vente",Annonces!$U$2:$U$701,$B102),"")</f>
        <v/>
      </c>
    </row>
    <row r="103">
      <c r="A103" s="10" t="inlineStr">
        <is>
          <t>Renault Twingo 1 découvrable</t>
        </is>
      </c>
      <c r="B103" s="10" t="n">
        <v>1996</v>
      </c>
      <c r="C103" s="16">
        <f>COUNTIFS(Annonces!$A$2:$A$701,$A103,Annonces!$E$2:$E$701,"En vente",Annonces!$U$2:$U$701,$B103)</f>
        <v/>
      </c>
      <c r="D103" s="12">
        <f>IFERROR(AVERAGEIFS(Annonces!$L$2:$L$701,Annonces!$A$2:$A$701,$A103,Annonces!$E$2:$E$701,"En vente",Annonces!$U$2:$U$701,$B103),"")</f>
        <v/>
      </c>
      <c r="E103" s="12">
        <f>IF(C103&gt;0,_xlfn.MINIFS(Annonces!$L$2:$L$701,Annonces!$A$2:$A$701,$A103,Annonces!$E$2:$E$701,"En vente",Annonces!$U$2:$U$701,$B103),"")</f>
        <v/>
      </c>
      <c r="F103" s="12">
        <f>IF(C103&gt;0,_xlfn.MAXIFS(Annonces!$L$2:$L$701,Annonces!$A$2:$A$701,$A103,Annonces!$E$2:$E$701,"En vente",Annonces!$U$2:$U$701,$B103),"")</f>
        <v/>
      </c>
      <c r="G103" s="15">
        <f>IFERROR(AVERAGEIFS(Annonces!$T$2:$T$701,Annonces!$A$2:$A$701,$A103,Annonces!$E$2:$E$701,"En vente",Annonces!$U$2:$U$701,$B103),"")</f>
        <v/>
      </c>
    </row>
    <row r="104">
      <c r="A104" s="10" t="inlineStr">
        <is>
          <t>Renault Twingo 1 découvrable</t>
        </is>
      </c>
      <c r="B104" s="10" t="n">
        <v>1997</v>
      </c>
      <c r="C104" s="16">
        <f>COUNTIFS(Annonces!$A$2:$A$701,$A104,Annonces!$E$2:$E$701,"En vente",Annonces!$U$2:$U$701,$B104)</f>
        <v/>
      </c>
      <c r="D104" s="12">
        <f>IFERROR(AVERAGEIFS(Annonces!$L$2:$L$701,Annonces!$A$2:$A$701,$A104,Annonces!$E$2:$E$701,"En vente",Annonces!$U$2:$U$701,$B104),"")</f>
        <v/>
      </c>
      <c r="E104" s="12">
        <f>IF(C104&gt;0,_xlfn.MINIFS(Annonces!$L$2:$L$701,Annonces!$A$2:$A$701,$A104,Annonces!$E$2:$E$701,"En vente",Annonces!$U$2:$U$701,$B104),"")</f>
        <v/>
      </c>
      <c r="F104" s="12">
        <f>IF(C104&gt;0,_xlfn.MAXIFS(Annonces!$L$2:$L$701,Annonces!$A$2:$A$701,$A104,Annonces!$E$2:$E$701,"En vente",Annonces!$U$2:$U$701,$B104),"")</f>
        <v/>
      </c>
      <c r="G104" s="15">
        <f>IFERROR(AVERAGEIFS(Annonces!$T$2:$T$701,Annonces!$A$2:$A$701,$A104,Annonces!$E$2:$E$701,"En vente",Annonces!$U$2:$U$701,$B104),"")</f>
        <v/>
      </c>
    </row>
    <row r="105">
      <c r="A105" s="10" t="inlineStr">
        <is>
          <t>Renault Twingo 1 découvrable</t>
        </is>
      </c>
      <c r="B105" s="10" t="n">
        <v>1998</v>
      </c>
      <c r="C105" s="16">
        <f>COUNTIFS(Annonces!$A$2:$A$701,$A105,Annonces!$E$2:$E$701,"En vente",Annonces!$U$2:$U$701,$B105)</f>
        <v/>
      </c>
      <c r="D105" s="12">
        <f>IFERROR(AVERAGEIFS(Annonces!$L$2:$L$701,Annonces!$A$2:$A$701,$A105,Annonces!$E$2:$E$701,"En vente",Annonces!$U$2:$U$701,$B105),"")</f>
        <v/>
      </c>
      <c r="E105" s="12">
        <f>IF(C105&gt;0,_xlfn.MINIFS(Annonces!$L$2:$L$701,Annonces!$A$2:$A$701,$A105,Annonces!$E$2:$E$701,"En vente",Annonces!$U$2:$U$701,$B105),"")</f>
        <v/>
      </c>
      <c r="F105" s="12">
        <f>IF(C105&gt;0,_xlfn.MAXIFS(Annonces!$L$2:$L$701,Annonces!$A$2:$A$701,$A105,Annonces!$E$2:$E$701,"En vente",Annonces!$U$2:$U$701,$B105),"")</f>
        <v/>
      </c>
      <c r="G105" s="15">
        <f>IFERROR(AVERAGEIFS(Annonces!$T$2:$T$701,Annonces!$A$2:$A$701,$A105,Annonces!$E$2:$E$701,"En vente",Annonces!$U$2:$U$701,$B105),"")</f>
        <v/>
      </c>
    </row>
    <row r="106">
      <c r="A106" s="10" t="inlineStr">
        <is>
          <t>Renault Twingo 1 découvrable</t>
        </is>
      </c>
      <c r="B106" s="10" t="n">
        <v>1999</v>
      </c>
      <c r="C106" s="16">
        <f>COUNTIFS(Annonces!$A$2:$A$701,$A106,Annonces!$E$2:$E$701,"En vente",Annonces!$U$2:$U$701,$B106)</f>
        <v/>
      </c>
      <c r="D106" s="12">
        <f>IFERROR(AVERAGEIFS(Annonces!$L$2:$L$701,Annonces!$A$2:$A$701,$A106,Annonces!$E$2:$E$701,"En vente",Annonces!$U$2:$U$701,$B106),"")</f>
        <v/>
      </c>
      <c r="E106" s="12">
        <f>IF(C106&gt;0,_xlfn.MINIFS(Annonces!$L$2:$L$701,Annonces!$A$2:$A$701,$A106,Annonces!$E$2:$E$701,"En vente",Annonces!$U$2:$U$701,$B106),"")</f>
        <v/>
      </c>
      <c r="F106" s="12">
        <f>IF(C106&gt;0,_xlfn.MAXIFS(Annonces!$L$2:$L$701,Annonces!$A$2:$A$701,$A106,Annonces!$E$2:$E$701,"En vente",Annonces!$U$2:$U$701,$B106),"")</f>
        <v/>
      </c>
      <c r="G106" s="15">
        <f>IFERROR(AVERAGEIFS(Annonces!$T$2:$T$701,Annonces!$A$2:$A$701,$A106,Annonces!$E$2:$E$701,"En vente",Annonces!$U$2:$U$701,$B106),"")</f>
        <v/>
      </c>
    </row>
    <row r="107">
      <c r="A107" s="10" t="inlineStr">
        <is>
          <t>Renault Twingo 1 découvrable</t>
        </is>
      </c>
      <c r="B107" s="10" t="n">
        <v>2000</v>
      </c>
      <c r="C107" s="16">
        <f>COUNTIFS(Annonces!$A$2:$A$701,$A107,Annonces!$E$2:$E$701,"En vente",Annonces!$U$2:$U$701,$B107)</f>
        <v/>
      </c>
      <c r="D107" s="12">
        <f>IFERROR(AVERAGEIFS(Annonces!$L$2:$L$701,Annonces!$A$2:$A$701,$A107,Annonces!$E$2:$E$701,"En vente",Annonces!$U$2:$U$701,$B107),"")</f>
        <v/>
      </c>
      <c r="E107" s="12">
        <f>IF(C107&gt;0,_xlfn.MINIFS(Annonces!$L$2:$L$701,Annonces!$A$2:$A$701,$A107,Annonces!$E$2:$E$701,"En vente",Annonces!$U$2:$U$701,$B107),"")</f>
        <v/>
      </c>
      <c r="F107" s="12">
        <f>IF(C107&gt;0,_xlfn.MAXIFS(Annonces!$L$2:$L$701,Annonces!$A$2:$A$701,$A107,Annonces!$E$2:$E$701,"En vente",Annonces!$U$2:$U$701,$B107),"")</f>
        <v/>
      </c>
      <c r="G107" s="15">
        <f>IFERROR(AVERAGEIFS(Annonces!$T$2:$T$701,Annonces!$A$2:$A$701,$A107,Annonces!$E$2:$E$701,"En vente",Annonces!$U$2:$U$701,$B107),"")</f>
        <v/>
      </c>
    </row>
    <row r="108">
      <c r="A108" s="10" t="inlineStr">
        <is>
          <t>Renault Twingo 1 découvrable</t>
        </is>
      </c>
      <c r="B108" s="10" t="n">
        <v>2001</v>
      </c>
      <c r="C108" s="16">
        <f>COUNTIFS(Annonces!$A$2:$A$701,$A108,Annonces!$E$2:$E$701,"En vente",Annonces!$U$2:$U$701,$B108)</f>
        <v/>
      </c>
      <c r="D108" s="12">
        <f>IFERROR(AVERAGEIFS(Annonces!$L$2:$L$701,Annonces!$A$2:$A$701,$A108,Annonces!$E$2:$E$701,"En vente",Annonces!$U$2:$U$701,$B108),"")</f>
        <v/>
      </c>
      <c r="E108" s="12">
        <f>IF(C108&gt;0,_xlfn.MINIFS(Annonces!$L$2:$L$701,Annonces!$A$2:$A$701,$A108,Annonces!$E$2:$E$701,"En vente",Annonces!$U$2:$U$701,$B108),"")</f>
        <v/>
      </c>
      <c r="F108" s="12">
        <f>IF(C108&gt;0,_xlfn.MAXIFS(Annonces!$L$2:$L$701,Annonces!$A$2:$A$701,$A108,Annonces!$E$2:$E$701,"En vente",Annonces!$U$2:$U$701,$B108),"")</f>
        <v/>
      </c>
      <c r="G108" s="15">
        <f>IFERROR(AVERAGEIFS(Annonces!$T$2:$T$701,Annonces!$A$2:$A$701,$A108,Annonces!$E$2:$E$701,"En vente",Annonces!$U$2:$U$701,$B108),"")</f>
        <v/>
      </c>
    </row>
    <row r="109">
      <c r="A109" s="10" t="inlineStr">
        <is>
          <t>Renault Twingo 1 découvrable</t>
        </is>
      </c>
      <c r="B109" s="10" t="n">
        <v>2002</v>
      </c>
      <c r="C109" s="16">
        <f>COUNTIFS(Annonces!$A$2:$A$701,$A109,Annonces!$E$2:$E$701,"En vente",Annonces!$U$2:$U$701,$B109)</f>
        <v/>
      </c>
      <c r="D109" s="12">
        <f>IFERROR(AVERAGEIFS(Annonces!$L$2:$L$701,Annonces!$A$2:$A$701,$A109,Annonces!$E$2:$E$701,"En vente",Annonces!$U$2:$U$701,$B109),"")</f>
        <v/>
      </c>
      <c r="E109" s="12">
        <f>IF(C109&gt;0,_xlfn.MINIFS(Annonces!$L$2:$L$701,Annonces!$A$2:$A$701,$A109,Annonces!$E$2:$E$701,"En vente",Annonces!$U$2:$U$701,$B109),"")</f>
        <v/>
      </c>
      <c r="F109" s="12">
        <f>IF(C109&gt;0,_xlfn.MAXIFS(Annonces!$L$2:$L$701,Annonces!$A$2:$A$701,$A109,Annonces!$E$2:$E$701,"En vente",Annonces!$U$2:$U$701,$B109),"")</f>
        <v/>
      </c>
      <c r="G109" s="15">
        <f>IFERROR(AVERAGEIFS(Annonces!$T$2:$T$701,Annonces!$A$2:$A$701,$A109,Annonces!$E$2:$E$701,"En vente",Annonces!$U$2:$U$701,$B109),"")</f>
        <v/>
      </c>
    </row>
    <row r="110">
      <c r="A110" s="10" t="inlineStr">
        <is>
          <t>Renault Twingo 1 découvrable</t>
        </is>
      </c>
      <c r="B110" s="10" t="n">
        <v>2003</v>
      </c>
      <c r="C110" s="16">
        <f>COUNTIFS(Annonces!$A$2:$A$701,$A110,Annonces!$E$2:$E$701,"En vente",Annonces!$U$2:$U$701,$B110)</f>
        <v/>
      </c>
      <c r="D110" s="12">
        <f>IFERROR(AVERAGEIFS(Annonces!$L$2:$L$701,Annonces!$A$2:$A$701,$A110,Annonces!$E$2:$E$701,"En vente",Annonces!$U$2:$U$701,$B110),"")</f>
        <v/>
      </c>
      <c r="E110" s="12">
        <f>IF(C110&gt;0,_xlfn.MINIFS(Annonces!$L$2:$L$701,Annonces!$A$2:$A$701,$A110,Annonces!$E$2:$E$701,"En vente",Annonces!$U$2:$U$701,$B110),"")</f>
        <v/>
      </c>
      <c r="F110" s="12">
        <f>IF(C110&gt;0,_xlfn.MAXIFS(Annonces!$L$2:$L$701,Annonces!$A$2:$A$701,$A110,Annonces!$E$2:$E$701,"En vente",Annonces!$U$2:$U$701,$B110),"")</f>
        <v/>
      </c>
      <c r="G110" s="15">
        <f>IFERROR(AVERAGEIFS(Annonces!$T$2:$T$701,Annonces!$A$2:$A$701,$A110,Annonces!$E$2:$E$701,"En vente",Annonces!$U$2:$U$701,$B110),"")</f>
        <v/>
      </c>
    </row>
    <row r="111">
      <c r="A111" s="10" t="inlineStr">
        <is>
          <t>Renault Twingo 1 découvrable</t>
        </is>
      </c>
      <c r="B111" s="10" t="n">
        <v>2004</v>
      </c>
      <c r="C111" s="16">
        <f>COUNTIFS(Annonces!$A$2:$A$701,$A111,Annonces!$E$2:$E$701,"En vente",Annonces!$U$2:$U$701,$B111)</f>
        <v/>
      </c>
      <c r="D111" s="12">
        <f>IFERROR(AVERAGEIFS(Annonces!$L$2:$L$701,Annonces!$A$2:$A$701,$A111,Annonces!$E$2:$E$701,"En vente",Annonces!$U$2:$U$701,$B111),"")</f>
        <v/>
      </c>
      <c r="E111" s="12">
        <f>IF(C111&gt;0,_xlfn.MINIFS(Annonces!$L$2:$L$701,Annonces!$A$2:$A$701,$A111,Annonces!$E$2:$E$701,"En vente",Annonces!$U$2:$U$701,$B111),"")</f>
        <v/>
      </c>
      <c r="F111" s="12">
        <f>IF(C111&gt;0,_xlfn.MAXIFS(Annonces!$L$2:$L$701,Annonces!$A$2:$A$701,$A111,Annonces!$E$2:$E$701,"En vente",Annonces!$U$2:$U$701,$B111),"")</f>
        <v/>
      </c>
      <c r="G111" s="15">
        <f>IFERROR(AVERAGEIFS(Annonces!$T$2:$T$701,Annonces!$A$2:$A$701,$A111,Annonces!$E$2:$E$701,"En vente",Annonces!$U$2:$U$701,$B111),"")</f>
        <v/>
      </c>
    </row>
    <row r="112">
      <c r="A112" s="10" t="inlineStr">
        <is>
          <t>Renault Twingo 1 découvrable</t>
        </is>
      </c>
      <c r="B112" s="10" t="n">
        <v>2005</v>
      </c>
      <c r="C112" s="16">
        <f>COUNTIFS(Annonces!$A$2:$A$701,$A112,Annonces!$E$2:$E$701,"En vente",Annonces!$U$2:$U$701,$B112)</f>
        <v/>
      </c>
      <c r="D112" s="12">
        <f>IFERROR(AVERAGEIFS(Annonces!$L$2:$L$701,Annonces!$A$2:$A$701,$A112,Annonces!$E$2:$E$701,"En vente",Annonces!$U$2:$U$701,$B112),"")</f>
        <v/>
      </c>
      <c r="E112" s="12">
        <f>IF(C112&gt;0,_xlfn.MINIFS(Annonces!$L$2:$L$701,Annonces!$A$2:$A$701,$A112,Annonces!$E$2:$E$701,"En vente",Annonces!$U$2:$U$701,$B112),"")</f>
        <v/>
      </c>
      <c r="F112" s="12">
        <f>IF(C112&gt;0,_xlfn.MAXIFS(Annonces!$L$2:$L$701,Annonces!$A$2:$A$701,$A112,Annonces!$E$2:$E$701,"En vente",Annonces!$U$2:$U$701,$B112),"")</f>
        <v/>
      </c>
      <c r="G112" s="15">
        <f>IFERROR(AVERAGEIFS(Annonces!$T$2:$T$701,Annonces!$A$2:$A$701,$A112,Annonces!$E$2:$E$701,"En vente",Annonces!$U$2:$U$701,$B112),"")</f>
        <v/>
      </c>
    </row>
    <row r="113">
      <c r="A113" s="10" t="inlineStr">
        <is>
          <t>Renault Twingo 1 découvrable</t>
        </is>
      </c>
      <c r="B113" s="10" t="n">
        <v>2006</v>
      </c>
      <c r="C113" s="16">
        <f>COUNTIFS(Annonces!$A$2:$A$701,$A113,Annonces!$E$2:$E$701,"En vente",Annonces!$U$2:$U$701,$B113)</f>
        <v/>
      </c>
      <c r="D113" s="12">
        <f>IFERROR(AVERAGEIFS(Annonces!$L$2:$L$701,Annonces!$A$2:$A$701,$A113,Annonces!$E$2:$E$701,"En vente",Annonces!$U$2:$U$701,$B113),"")</f>
        <v/>
      </c>
      <c r="E113" s="12">
        <f>IF(C113&gt;0,_xlfn.MINIFS(Annonces!$L$2:$L$701,Annonces!$A$2:$A$701,$A113,Annonces!$E$2:$E$701,"En vente",Annonces!$U$2:$U$701,$B113),"")</f>
        <v/>
      </c>
      <c r="F113" s="12">
        <f>IF(C113&gt;0,_xlfn.MAXIFS(Annonces!$L$2:$L$701,Annonces!$A$2:$A$701,$A113,Annonces!$E$2:$E$701,"En vente",Annonces!$U$2:$U$701,$B113),"")</f>
        <v/>
      </c>
      <c r="G113" s="15">
        <f>IFERROR(AVERAGEIFS(Annonces!$T$2:$T$701,Annonces!$A$2:$A$701,$A113,Annonces!$E$2:$E$701,"En vente",Annonces!$U$2:$U$701,$B113),"")</f>
        <v/>
      </c>
    </row>
    <row r="114">
      <c r="A114" s="10" t="inlineStr">
        <is>
          <t>Renault Twingo 1 découvrable</t>
        </is>
      </c>
      <c r="B114" s="10" t="n">
        <v>2007</v>
      </c>
      <c r="C114" s="16">
        <f>COUNTIFS(Annonces!$A$2:$A$701,$A114,Annonces!$E$2:$E$701,"En vente",Annonces!$U$2:$U$701,$B114)</f>
        <v/>
      </c>
      <c r="D114" s="12">
        <f>IFERROR(AVERAGEIFS(Annonces!$L$2:$L$701,Annonces!$A$2:$A$701,$A114,Annonces!$E$2:$E$701,"En vente",Annonces!$U$2:$U$701,$B114),"")</f>
        <v/>
      </c>
      <c r="E114" s="12">
        <f>IF(C114&gt;0,_xlfn.MINIFS(Annonces!$L$2:$L$701,Annonces!$A$2:$A$701,$A114,Annonces!$E$2:$E$701,"En vente",Annonces!$U$2:$U$701,$B114),"")</f>
        <v/>
      </c>
      <c r="F114" s="12">
        <f>IF(C114&gt;0,_xlfn.MAXIFS(Annonces!$L$2:$L$701,Annonces!$A$2:$A$701,$A114,Annonces!$E$2:$E$701,"En vente",Annonces!$U$2:$U$701,$B114),"")</f>
        <v/>
      </c>
      <c r="G114" s="15">
        <f>IFERROR(AVERAGEIFS(Annonces!$T$2:$T$701,Annonces!$A$2:$A$701,$A114,Annonces!$E$2:$E$701,"En vente",Annonces!$U$2:$U$701,$B114),"")</f>
        <v/>
      </c>
    </row>
    <row r="115">
      <c r="A115" s="10" t="inlineStr">
        <is>
          <t>Volkswagen Golf IV GTI 25th Anniversary</t>
        </is>
      </c>
      <c r="B115" s="10" t="n">
        <v>2001</v>
      </c>
      <c r="C115" s="16">
        <f>COUNTIFS(Annonces!$A$2:$A$701,$A115,Annonces!$E$2:$E$701,"En vente",Annonces!$U$2:$U$701,$B115)</f>
        <v/>
      </c>
      <c r="D115" s="12">
        <f>IFERROR(AVERAGEIFS(Annonces!$L$2:$L$701,Annonces!$A$2:$A$701,$A115,Annonces!$E$2:$E$701,"En vente",Annonces!$U$2:$U$701,$B115),"")</f>
        <v/>
      </c>
      <c r="E115" s="12">
        <f>IF(C115&gt;0,_xlfn.MINIFS(Annonces!$L$2:$L$701,Annonces!$A$2:$A$701,$A115,Annonces!$E$2:$E$701,"En vente",Annonces!$U$2:$U$701,$B115),"")</f>
        <v/>
      </c>
      <c r="F115" s="12">
        <f>IF(C115&gt;0,_xlfn.MAXIFS(Annonces!$L$2:$L$701,Annonces!$A$2:$A$701,$A115,Annonces!$E$2:$E$701,"En vente",Annonces!$U$2:$U$701,$B115),"")</f>
        <v/>
      </c>
      <c r="G115" s="15">
        <f>IFERROR(AVERAGEIFS(Annonces!$T$2:$T$701,Annonces!$A$2:$A$701,$A115,Annonces!$E$2:$E$701,"En vente",Annonces!$U$2:$U$701,$B115),"")</f>
        <v/>
      </c>
    </row>
  </sheetData>
  <autoFilter ref="A2:G1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59"/>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0" customWidth="1" min="3" max="3"/>
    <col width="12" customWidth="1" min="4" max="4"/>
    <col width="13" customWidth="1" min="5" max="5"/>
    <col width="13" customWidth="1" min="6" max="6"/>
    <col width="12" customWidth="1" min="7" max="7"/>
  </cols>
  <sheetData>
    <row r="1">
      <c r="A1" s="6" t="inlineStr">
        <is>
          <t>Annonces en vente, par véhicule et tranche de km (formules sur l'onglet Annonces)</t>
        </is>
      </c>
    </row>
    <row r="2" ht="30" customHeight="1">
      <c r="A2" s="9" t="inlineStr">
        <is>
          <t>Véhicule</t>
        </is>
      </c>
      <c r="B2" s="9" t="inlineStr">
        <is>
          <t>Tranche de km</t>
        </is>
      </c>
      <c r="C2" s="9" t="inlineStr">
        <is>
          <t>Annonces</t>
        </is>
      </c>
      <c r="D2" s="9" t="inlineStr">
        <is>
          <t>Prix moyen</t>
        </is>
      </c>
      <c r="E2" s="9" t="inlineStr">
        <is>
          <t>Prix le plus bas</t>
        </is>
      </c>
      <c r="F2" s="9" t="inlineStr">
        <is>
          <t>Prix le plus haut</t>
        </is>
      </c>
      <c r="G2" s="9" t="inlineStr">
        <is>
          <t>Km moyen</t>
        </is>
      </c>
      <c r="H2" s="6" t="inlineStr">
        <is>
          <t>Km min</t>
        </is>
      </c>
      <c r="I2" s="6" t="inlineStr">
        <is>
          <t>Km max (exclu)</t>
        </is>
      </c>
    </row>
    <row r="3">
      <c r="A3" s="10" t="inlineStr">
        <is>
          <t>Alfa Romeo 156 2.5 V6 24V</t>
        </is>
      </c>
      <c r="B3" s="10" t="inlineStr">
        <is>
          <t>&lt; 100 000 km</t>
        </is>
      </c>
      <c r="C3" s="16">
        <f>COUNTIFS(Annonces!$A$2:$A$701,$A3,Annonces!$E$2:$E$701,"En vente",Annonces!$T$2:$T$701,"&gt;="&amp;$H3,Annonces!$T$2:$T$701,"&lt;"&amp;$I3)</f>
        <v/>
      </c>
      <c r="D3" s="12">
        <f>IFERROR(AVERAGEIFS(Annonces!$L$2:$L$701,Annonces!$A$2:$A$701,$A3,Annonces!$E$2:$E$701,"En vente",Annonces!$T$2:$T$701,"&gt;="&amp;$H3,Annonces!$T$2:$T$701,"&lt;"&amp;$I3),"")</f>
        <v/>
      </c>
      <c r="E3" s="12">
        <f>IF(C3&gt;0,_xlfn.MINIFS(Annonces!$L$2:$L$701,Annonces!$A$2:$A$701,$A3,Annonces!$E$2:$E$701,"En vente",Annonces!$T$2:$T$701,"&gt;="&amp;$H3,Annonces!$T$2:$T$701,"&lt;"&amp;$I3),"")</f>
        <v/>
      </c>
      <c r="F3" s="12">
        <f>IF(C3&gt;0,_xlfn.MAXIFS(Annonces!$L$2:$L$701,Annonces!$A$2:$A$701,$A3,Annonces!$E$2:$E$701,"En vente",Annonces!$T$2:$T$701,"&gt;="&amp;$H3,Annonces!$T$2:$T$701,"&lt;"&amp;$I3),"")</f>
        <v/>
      </c>
      <c r="G3" s="15">
        <f>IFERROR(AVERAGEIFS(Annonces!$T$2:$T$701,Annonces!$A$2:$A$701,$A3,Annonces!$E$2:$E$701,"En vente",Annonces!$T$2:$T$701,"&gt;="&amp;$H3,Annonces!$T$2:$T$701,"&lt;"&amp;$I3),"")</f>
        <v/>
      </c>
      <c r="H3" s="6" t="n">
        <v>0</v>
      </c>
      <c r="I3" s="6" t="n">
        <v>100000</v>
      </c>
    </row>
    <row r="4">
      <c r="A4" s="10" t="inlineStr">
        <is>
          <t>Alfa Romeo 156 2.5 V6 24V</t>
        </is>
      </c>
      <c r="B4" s="10" t="inlineStr">
        <is>
          <t>150 000 – 200 000 km</t>
        </is>
      </c>
      <c r="C4" s="16">
        <f>COUNTIFS(Annonces!$A$2:$A$701,$A4,Annonces!$E$2:$E$701,"En vente",Annonces!$T$2:$T$701,"&gt;="&amp;$H4,Annonces!$T$2:$T$701,"&lt;"&amp;$I4)</f>
        <v/>
      </c>
      <c r="D4" s="12">
        <f>IFERROR(AVERAGEIFS(Annonces!$L$2:$L$701,Annonces!$A$2:$A$701,$A4,Annonces!$E$2:$E$701,"En vente",Annonces!$T$2:$T$701,"&gt;="&amp;$H4,Annonces!$T$2:$T$701,"&lt;"&amp;$I4),"")</f>
        <v/>
      </c>
      <c r="E4" s="12">
        <f>IF(C4&gt;0,_xlfn.MINIFS(Annonces!$L$2:$L$701,Annonces!$A$2:$A$701,$A4,Annonces!$E$2:$E$701,"En vente",Annonces!$T$2:$T$701,"&gt;="&amp;$H4,Annonces!$T$2:$T$701,"&lt;"&amp;$I4),"")</f>
        <v/>
      </c>
      <c r="F4" s="12">
        <f>IF(C4&gt;0,_xlfn.MAXIFS(Annonces!$L$2:$L$701,Annonces!$A$2:$A$701,$A4,Annonces!$E$2:$E$701,"En vente",Annonces!$T$2:$T$701,"&gt;="&amp;$H4,Annonces!$T$2:$T$701,"&lt;"&amp;$I4),"")</f>
        <v/>
      </c>
      <c r="G4" s="15">
        <f>IFERROR(AVERAGEIFS(Annonces!$T$2:$T$701,Annonces!$A$2:$A$701,$A4,Annonces!$E$2:$E$701,"En vente",Annonces!$T$2:$T$701,"&gt;="&amp;$H4,Annonces!$T$2:$T$701,"&lt;"&amp;$I4),"")</f>
        <v/>
      </c>
      <c r="H4" s="6" t="n">
        <v>150000</v>
      </c>
      <c r="I4" s="6" t="n">
        <v>200000</v>
      </c>
    </row>
    <row r="5">
      <c r="A5" s="10" t="inlineStr">
        <is>
          <t>Alfa Romeo 156 2.5 V6 24V</t>
        </is>
      </c>
      <c r="B5" s="10" t="inlineStr">
        <is>
          <t>≥ 200 000 km</t>
        </is>
      </c>
      <c r="C5" s="16">
        <f>COUNTIFS(Annonces!$A$2:$A$701,$A5,Annonces!$E$2:$E$701,"En vente",Annonces!$T$2:$T$701,"&gt;="&amp;$H5,Annonces!$T$2:$T$701,"&lt;"&amp;$I5)</f>
        <v/>
      </c>
      <c r="D5" s="12">
        <f>IFERROR(AVERAGEIFS(Annonces!$L$2:$L$701,Annonces!$A$2:$A$701,$A5,Annonces!$E$2:$E$701,"En vente",Annonces!$T$2:$T$701,"&gt;="&amp;$H5,Annonces!$T$2:$T$701,"&lt;"&amp;$I5),"")</f>
        <v/>
      </c>
      <c r="E5" s="12">
        <f>IF(C5&gt;0,_xlfn.MINIFS(Annonces!$L$2:$L$701,Annonces!$A$2:$A$701,$A5,Annonces!$E$2:$E$701,"En vente",Annonces!$T$2:$T$701,"&gt;="&amp;$H5,Annonces!$T$2:$T$701,"&lt;"&amp;$I5),"")</f>
        <v/>
      </c>
      <c r="F5" s="12">
        <f>IF(C5&gt;0,_xlfn.MAXIFS(Annonces!$L$2:$L$701,Annonces!$A$2:$A$701,$A5,Annonces!$E$2:$E$701,"En vente",Annonces!$T$2:$T$701,"&gt;="&amp;$H5,Annonces!$T$2:$T$701,"&lt;"&amp;$I5),"")</f>
        <v/>
      </c>
      <c r="G5" s="15">
        <f>IFERROR(AVERAGEIFS(Annonces!$T$2:$T$701,Annonces!$A$2:$A$701,$A5,Annonces!$E$2:$E$701,"En vente",Annonces!$T$2:$T$701,"&gt;="&amp;$H5,Annonces!$T$2:$T$701,"&lt;"&amp;$I5),"")</f>
        <v/>
      </c>
      <c r="H5" s="6" t="n">
        <v>200000</v>
      </c>
      <c r="I5" s="6" t="n">
        <v>10000000</v>
      </c>
    </row>
    <row r="6">
      <c r="A6" s="10" t="inlineStr">
        <is>
          <t>BMW Z3 1.9i / 2.0i</t>
        </is>
      </c>
      <c r="B6" s="10" t="inlineStr">
        <is>
          <t>&lt; 100 000 km</t>
        </is>
      </c>
      <c r="C6" s="16">
        <f>COUNTIFS(Annonces!$A$2:$A$701,$A6,Annonces!$E$2:$E$701,"En vente",Annonces!$T$2:$T$701,"&gt;="&amp;$H6,Annonces!$T$2:$T$701,"&lt;"&amp;$I6)</f>
        <v/>
      </c>
      <c r="D6" s="12">
        <f>IFERROR(AVERAGEIFS(Annonces!$L$2:$L$701,Annonces!$A$2:$A$701,$A6,Annonces!$E$2:$E$701,"En vente",Annonces!$T$2:$T$701,"&gt;="&amp;$H6,Annonces!$T$2:$T$701,"&lt;"&amp;$I6),"")</f>
        <v/>
      </c>
      <c r="E6" s="12">
        <f>IF(C6&gt;0,_xlfn.MINIFS(Annonces!$L$2:$L$701,Annonces!$A$2:$A$701,$A6,Annonces!$E$2:$E$701,"En vente",Annonces!$T$2:$T$701,"&gt;="&amp;$H6,Annonces!$T$2:$T$701,"&lt;"&amp;$I6),"")</f>
        <v/>
      </c>
      <c r="F6" s="12">
        <f>IF(C6&gt;0,_xlfn.MAXIFS(Annonces!$L$2:$L$701,Annonces!$A$2:$A$701,$A6,Annonces!$E$2:$E$701,"En vente",Annonces!$T$2:$T$701,"&gt;="&amp;$H6,Annonces!$T$2:$T$701,"&lt;"&amp;$I6),"")</f>
        <v/>
      </c>
      <c r="G6" s="15">
        <f>IFERROR(AVERAGEIFS(Annonces!$T$2:$T$701,Annonces!$A$2:$A$701,$A6,Annonces!$E$2:$E$701,"En vente",Annonces!$T$2:$T$701,"&gt;="&amp;$H6,Annonces!$T$2:$T$701,"&lt;"&amp;$I6),"")</f>
        <v/>
      </c>
      <c r="H6" s="6" t="n">
        <v>0</v>
      </c>
      <c r="I6" s="6" t="n">
        <v>100000</v>
      </c>
    </row>
    <row r="7">
      <c r="A7" s="10" t="inlineStr">
        <is>
          <t>BMW Z3 1.9i / 2.0i</t>
        </is>
      </c>
      <c r="B7" s="10" t="inlineStr">
        <is>
          <t>100 000 – 150 000 km</t>
        </is>
      </c>
      <c r="C7" s="16">
        <f>COUNTIFS(Annonces!$A$2:$A$701,$A7,Annonces!$E$2:$E$701,"En vente",Annonces!$T$2:$T$701,"&gt;="&amp;$H7,Annonces!$T$2:$T$701,"&lt;"&amp;$I7)</f>
        <v/>
      </c>
      <c r="D7" s="12">
        <f>IFERROR(AVERAGEIFS(Annonces!$L$2:$L$701,Annonces!$A$2:$A$701,$A7,Annonces!$E$2:$E$701,"En vente",Annonces!$T$2:$T$701,"&gt;="&amp;$H7,Annonces!$T$2:$T$701,"&lt;"&amp;$I7),"")</f>
        <v/>
      </c>
      <c r="E7" s="12">
        <f>IF(C7&gt;0,_xlfn.MINIFS(Annonces!$L$2:$L$701,Annonces!$A$2:$A$701,$A7,Annonces!$E$2:$E$701,"En vente",Annonces!$T$2:$T$701,"&gt;="&amp;$H7,Annonces!$T$2:$T$701,"&lt;"&amp;$I7),"")</f>
        <v/>
      </c>
      <c r="F7" s="12">
        <f>IF(C7&gt;0,_xlfn.MAXIFS(Annonces!$L$2:$L$701,Annonces!$A$2:$A$701,$A7,Annonces!$E$2:$E$701,"En vente",Annonces!$T$2:$T$701,"&gt;="&amp;$H7,Annonces!$T$2:$T$701,"&lt;"&amp;$I7),"")</f>
        <v/>
      </c>
      <c r="G7" s="15">
        <f>IFERROR(AVERAGEIFS(Annonces!$T$2:$T$701,Annonces!$A$2:$A$701,$A7,Annonces!$E$2:$E$701,"En vente",Annonces!$T$2:$T$701,"&gt;="&amp;$H7,Annonces!$T$2:$T$701,"&lt;"&amp;$I7),"")</f>
        <v/>
      </c>
      <c r="H7" s="6" t="n">
        <v>100000</v>
      </c>
      <c r="I7" s="6" t="n">
        <v>150000</v>
      </c>
    </row>
    <row r="8">
      <c r="A8" s="10" t="inlineStr">
        <is>
          <t>BMW Z3 1.9i / 2.0i</t>
        </is>
      </c>
      <c r="B8" s="10" t="inlineStr">
        <is>
          <t>150 000 – 200 000 km</t>
        </is>
      </c>
      <c r="C8" s="16">
        <f>COUNTIFS(Annonces!$A$2:$A$701,$A8,Annonces!$E$2:$E$701,"En vente",Annonces!$T$2:$T$701,"&gt;="&amp;$H8,Annonces!$T$2:$T$701,"&lt;"&amp;$I8)</f>
        <v/>
      </c>
      <c r="D8" s="12">
        <f>IFERROR(AVERAGEIFS(Annonces!$L$2:$L$701,Annonces!$A$2:$A$701,$A8,Annonces!$E$2:$E$701,"En vente",Annonces!$T$2:$T$701,"&gt;="&amp;$H8,Annonces!$T$2:$T$701,"&lt;"&amp;$I8),"")</f>
        <v/>
      </c>
      <c r="E8" s="12">
        <f>IF(C8&gt;0,_xlfn.MINIFS(Annonces!$L$2:$L$701,Annonces!$A$2:$A$701,$A8,Annonces!$E$2:$E$701,"En vente",Annonces!$T$2:$T$701,"&gt;="&amp;$H8,Annonces!$T$2:$T$701,"&lt;"&amp;$I8),"")</f>
        <v/>
      </c>
      <c r="F8" s="12">
        <f>IF(C8&gt;0,_xlfn.MAXIFS(Annonces!$L$2:$L$701,Annonces!$A$2:$A$701,$A8,Annonces!$E$2:$E$701,"En vente",Annonces!$T$2:$T$701,"&gt;="&amp;$H8,Annonces!$T$2:$T$701,"&lt;"&amp;$I8),"")</f>
        <v/>
      </c>
      <c r="G8" s="15">
        <f>IFERROR(AVERAGEIFS(Annonces!$T$2:$T$701,Annonces!$A$2:$A$701,$A8,Annonces!$E$2:$E$701,"En vente",Annonces!$T$2:$T$701,"&gt;="&amp;$H8,Annonces!$T$2:$T$701,"&lt;"&amp;$I8),"")</f>
        <v/>
      </c>
      <c r="H8" s="6" t="n">
        <v>150000</v>
      </c>
      <c r="I8" s="6" t="n">
        <v>200000</v>
      </c>
    </row>
    <row r="9">
      <c r="A9" s="10" t="inlineStr">
        <is>
          <t>BMW Z3 1.9i / 2.0i</t>
        </is>
      </c>
      <c r="B9" s="10" t="inlineStr">
        <is>
          <t>≥ 200 000 km</t>
        </is>
      </c>
      <c r="C9" s="16">
        <f>COUNTIFS(Annonces!$A$2:$A$701,$A9,Annonces!$E$2:$E$701,"En vente",Annonces!$T$2:$T$701,"&gt;="&amp;$H9,Annonces!$T$2:$T$701,"&lt;"&amp;$I9)</f>
        <v/>
      </c>
      <c r="D9" s="12">
        <f>IFERROR(AVERAGEIFS(Annonces!$L$2:$L$701,Annonces!$A$2:$A$701,$A9,Annonces!$E$2:$E$701,"En vente",Annonces!$T$2:$T$701,"&gt;="&amp;$H9,Annonces!$T$2:$T$701,"&lt;"&amp;$I9),"")</f>
        <v/>
      </c>
      <c r="E9" s="12">
        <f>IF(C9&gt;0,_xlfn.MINIFS(Annonces!$L$2:$L$701,Annonces!$A$2:$A$701,$A9,Annonces!$E$2:$E$701,"En vente",Annonces!$T$2:$T$701,"&gt;="&amp;$H9,Annonces!$T$2:$T$701,"&lt;"&amp;$I9),"")</f>
        <v/>
      </c>
      <c r="F9" s="12">
        <f>IF(C9&gt;0,_xlfn.MAXIFS(Annonces!$L$2:$L$701,Annonces!$A$2:$A$701,$A9,Annonces!$E$2:$E$701,"En vente",Annonces!$T$2:$T$701,"&gt;="&amp;$H9,Annonces!$T$2:$T$701,"&lt;"&amp;$I9),"")</f>
        <v/>
      </c>
      <c r="G9" s="15">
        <f>IFERROR(AVERAGEIFS(Annonces!$T$2:$T$701,Annonces!$A$2:$A$701,$A9,Annonces!$E$2:$E$701,"En vente",Annonces!$T$2:$T$701,"&gt;="&amp;$H9,Annonces!$T$2:$T$701,"&lt;"&amp;$I9),"")</f>
        <v/>
      </c>
      <c r="H9" s="6" t="n">
        <v>200000</v>
      </c>
      <c r="I9" s="6" t="n">
        <v>10000000</v>
      </c>
    </row>
    <row r="10">
      <c r="A10" s="10" t="inlineStr">
        <is>
          <t>Citroën Saxo VTS 16V</t>
        </is>
      </c>
      <c r="B10" s="10" t="inlineStr">
        <is>
          <t>&lt; 100 000 km</t>
        </is>
      </c>
      <c r="C10" s="16">
        <f>COUNTIFS(Annonces!$A$2:$A$701,$A10,Annonces!$E$2:$E$701,"En vente",Annonces!$T$2:$T$701,"&gt;="&amp;$H10,Annonces!$T$2:$T$701,"&lt;"&amp;$I10)</f>
        <v/>
      </c>
      <c r="D10" s="12">
        <f>IFERROR(AVERAGEIFS(Annonces!$L$2:$L$701,Annonces!$A$2:$A$701,$A10,Annonces!$E$2:$E$701,"En vente",Annonces!$T$2:$T$701,"&gt;="&amp;$H10,Annonces!$T$2:$T$701,"&lt;"&amp;$I10),"")</f>
        <v/>
      </c>
      <c r="E10" s="12">
        <f>IF(C10&gt;0,_xlfn.MINIFS(Annonces!$L$2:$L$701,Annonces!$A$2:$A$701,$A10,Annonces!$E$2:$E$701,"En vente",Annonces!$T$2:$T$701,"&gt;="&amp;$H10,Annonces!$T$2:$T$701,"&lt;"&amp;$I10),"")</f>
        <v/>
      </c>
      <c r="F10" s="12">
        <f>IF(C10&gt;0,_xlfn.MAXIFS(Annonces!$L$2:$L$701,Annonces!$A$2:$A$701,$A10,Annonces!$E$2:$E$701,"En vente",Annonces!$T$2:$T$701,"&gt;="&amp;$H10,Annonces!$T$2:$T$701,"&lt;"&amp;$I10),"")</f>
        <v/>
      </c>
      <c r="G10" s="15">
        <f>IFERROR(AVERAGEIFS(Annonces!$T$2:$T$701,Annonces!$A$2:$A$701,$A10,Annonces!$E$2:$E$701,"En vente",Annonces!$T$2:$T$701,"&gt;="&amp;$H10,Annonces!$T$2:$T$701,"&lt;"&amp;$I10),"")</f>
        <v/>
      </c>
      <c r="H10" s="6" t="n">
        <v>0</v>
      </c>
      <c r="I10" s="6" t="n">
        <v>100000</v>
      </c>
    </row>
    <row r="11">
      <c r="A11" s="10" t="inlineStr">
        <is>
          <t>Citroën Saxo VTS 16V</t>
        </is>
      </c>
      <c r="B11" s="10" t="inlineStr">
        <is>
          <t>100 000 – 150 000 km</t>
        </is>
      </c>
      <c r="C11" s="16">
        <f>COUNTIFS(Annonces!$A$2:$A$701,$A11,Annonces!$E$2:$E$701,"En vente",Annonces!$T$2:$T$701,"&gt;="&amp;$H11,Annonces!$T$2:$T$701,"&lt;"&amp;$I11)</f>
        <v/>
      </c>
      <c r="D11" s="12">
        <f>IFERROR(AVERAGEIFS(Annonces!$L$2:$L$701,Annonces!$A$2:$A$701,$A11,Annonces!$E$2:$E$701,"En vente",Annonces!$T$2:$T$701,"&gt;="&amp;$H11,Annonces!$T$2:$T$701,"&lt;"&amp;$I11),"")</f>
        <v/>
      </c>
      <c r="E11" s="12">
        <f>IF(C11&gt;0,_xlfn.MINIFS(Annonces!$L$2:$L$701,Annonces!$A$2:$A$701,$A11,Annonces!$E$2:$E$701,"En vente",Annonces!$T$2:$T$701,"&gt;="&amp;$H11,Annonces!$T$2:$T$701,"&lt;"&amp;$I11),"")</f>
        <v/>
      </c>
      <c r="F11" s="12">
        <f>IF(C11&gt;0,_xlfn.MAXIFS(Annonces!$L$2:$L$701,Annonces!$A$2:$A$701,$A11,Annonces!$E$2:$E$701,"En vente",Annonces!$T$2:$T$701,"&gt;="&amp;$H11,Annonces!$T$2:$T$701,"&lt;"&amp;$I11),"")</f>
        <v/>
      </c>
      <c r="G11" s="15">
        <f>IFERROR(AVERAGEIFS(Annonces!$T$2:$T$701,Annonces!$A$2:$A$701,$A11,Annonces!$E$2:$E$701,"En vente",Annonces!$T$2:$T$701,"&gt;="&amp;$H11,Annonces!$T$2:$T$701,"&lt;"&amp;$I11),"")</f>
        <v/>
      </c>
      <c r="H11" s="6" t="n">
        <v>100000</v>
      </c>
      <c r="I11" s="6" t="n">
        <v>150000</v>
      </c>
    </row>
    <row r="12">
      <c r="A12" s="10" t="inlineStr">
        <is>
          <t>Citroën Saxo VTS 16V</t>
        </is>
      </c>
      <c r="B12" s="10" t="inlineStr">
        <is>
          <t>150 000 – 200 000 km</t>
        </is>
      </c>
      <c r="C12" s="16">
        <f>COUNTIFS(Annonces!$A$2:$A$701,$A12,Annonces!$E$2:$E$701,"En vente",Annonces!$T$2:$T$701,"&gt;="&amp;$H12,Annonces!$T$2:$T$701,"&lt;"&amp;$I12)</f>
        <v/>
      </c>
      <c r="D12" s="12">
        <f>IFERROR(AVERAGEIFS(Annonces!$L$2:$L$701,Annonces!$A$2:$A$701,$A12,Annonces!$E$2:$E$701,"En vente",Annonces!$T$2:$T$701,"&gt;="&amp;$H12,Annonces!$T$2:$T$701,"&lt;"&amp;$I12),"")</f>
        <v/>
      </c>
      <c r="E12" s="12">
        <f>IF(C12&gt;0,_xlfn.MINIFS(Annonces!$L$2:$L$701,Annonces!$A$2:$A$701,$A12,Annonces!$E$2:$E$701,"En vente",Annonces!$T$2:$T$701,"&gt;="&amp;$H12,Annonces!$T$2:$T$701,"&lt;"&amp;$I12),"")</f>
        <v/>
      </c>
      <c r="F12" s="12">
        <f>IF(C12&gt;0,_xlfn.MAXIFS(Annonces!$L$2:$L$701,Annonces!$A$2:$A$701,$A12,Annonces!$E$2:$E$701,"En vente",Annonces!$T$2:$T$701,"&gt;="&amp;$H12,Annonces!$T$2:$T$701,"&lt;"&amp;$I12),"")</f>
        <v/>
      </c>
      <c r="G12" s="15">
        <f>IFERROR(AVERAGEIFS(Annonces!$T$2:$T$701,Annonces!$A$2:$A$701,$A12,Annonces!$E$2:$E$701,"En vente",Annonces!$T$2:$T$701,"&gt;="&amp;$H12,Annonces!$T$2:$T$701,"&lt;"&amp;$I12),"")</f>
        <v/>
      </c>
      <c r="H12" s="6" t="n">
        <v>150000</v>
      </c>
      <c r="I12" s="6" t="n">
        <v>200000</v>
      </c>
    </row>
    <row r="13">
      <c r="A13" s="10" t="inlineStr">
        <is>
          <t>Citroën Saxo VTS 16V</t>
        </is>
      </c>
      <c r="B13" s="10" t="inlineStr">
        <is>
          <t>≥ 200 000 km</t>
        </is>
      </c>
      <c r="C13" s="16">
        <f>COUNTIFS(Annonces!$A$2:$A$701,$A13,Annonces!$E$2:$E$701,"En vente",Annonces!$T$2:$T$701,"&gt;="&amp;$H13,Annonces!$T$2:$T$701,"&lt;"&amp;$I13)</f>
        <v/>
      </c>
      <c r="D13" s="12">
        <f>IFERROR(AVERAGEIFS(Annonces!$L$2:$L$701,Annonces!$A$2:$A$701,$A13,Annonces!$E$2:$E$701,"En vente",Annonces!$T$2:$T$701,"&gt;="&amp;$H13,Annonces!$T$2:$T$701,"&lt;"&amp;$I13),"")</f>
        <v/>
      </c>
      <c r="E13" s="12">
        <f>IF(C13&gt;0,_xlfn.MINIFS(Annonces!$L$2:$L$701,Annonces!$A$2:$A$701,$A13,Annonces!$E$2:$E$701,"En vente",Annonces!$T$2:$T$701,"&gt;="&amp;$H13,Annonces!$T$2:$T$701,"&lt;"&amp;$I13),"")</f>
        <v/>
      </c>
      <c r="F13" s="12">
        <f>IF(C13&gt;0,_xlfn.MAXIFS(Annonces!$L$2:$L$701,Annonces!$A$2:$A$701,$A13,Annonces!$E$2:$E$701,"En vente",Annonces!$T$2:$T$701,"&gt;="&amp;$H13,Annonces!$T$2:$T$701,"&lt;"&amp;$I13),"")</f>
        <v/>
      </c>
      <c r="G13" s="15">
        <f>IFERROR(AVERAGEIFS(Annonces!$T$2:$T$701,Annonces!$A$2:$A$701,$A13,Annonces!$E$2:$E$701,"En vente",Annonces!$T$2:$T$701,"&gt;="&amp;$H13,Annonces!$T$2:$T$701,"&lt;"&amp;$I13),"")</f>
        <v/>
      </c>
      <c r="H13" s="6" t="n">
        <v>200000</v>
      </c>
      <c r="I13" s="6" t="n">
        <v>10000000</v>
      </c>
    </row>
    <row r="14">
      <c r="A14" s="10" t="inlineStr">
        <is>
          <t>Honda S2000</t>
        </is>
      </c>
      <c r="B14" s="10" t="inlineStr">
        <is>
          <t>&lt; 100 000 km</t>
        </is>
      </c>
      <c r="C14" s="16">
        <f>COUNTIFS(Annonces!$A$2:$A$701,$A14,Annonces!$E$2:$E$701,"En vente",Annonces!$T$2:$T$701,"&gt;="&amp;$H14,Annonces!$T$2:$T$701,"&lt;"&amp;$I14)</f>
        <v/>
      </c>
      <c r="D14" s="12">
        <f>IFERROR(AVERAGEIFS(Annonces!$L$2:$L$701,Annonces!$A$2:$A$701,$A14,Annonces!$E$2:$E$701,"En vente",Annonces!$T$2:$T$701,"&gt;="&amp;$H14,Annonces!$T$2:$T$701,"&lt;"&amp;$I14),"")</f>
        <v/>
      </c>
      <c r="E14" s="12">
        <f>IF(C14&gt;0,_xlfn.MINIFS(Annonces!$L$2:$L$701,Annonces!$A$2:$A$701,$A14,Annonces!$E$2:$E$701,"En vente",Annonces!$T$2:$T$701,"&gt;="&amp;$H14,Annonces!$T$2:$T$701,"&lt;"&amp;$I14),"")</f>
        <v/>
      </c>
      <c r="F14" s="12">
        <f>IF(C14&gt;0,_xlfn.MAXIFS(Annonces!$L$2:$L$701,Annonces!$A$2:$A$701,$A14,Annonces!$E$2:$E$701,"En vente",Annonces!$T$2:$T$701,"&gt;="&amp;$H14,Annonces!$T$2:$T$701,"&lt;"&amp;$I14),"")</f>
        <v/>
      </c>
      <c r="G14" s="15">
        <f>IFERROR(AVERAGEIFS(Annonces!$T$2:$T$701,Annonces!$A$2:$A$701,$A14,Annonces!$E$2:$E$701,"En vente",Annonces!$T$2:$T$701,"&gt;="&amp;$H14,Annonces!$T$2:$T$701,"&lt;"&amp;$I14),"")</f>
        <v/>
      </c>
      <c r="H14" s="6" t="n">
        <v>0</v>
      </c>
      <c r="I14" s="6" t="n">
        <v>100000</v>
      </c>
    </row>
    <row r="15">
      <c r="A15" s="10" t="inlineStr">
        <is>
          <t>Honda S2000</t>
        </is>
      </c>
      <c r="B15" s="10" t="inlineStr">
        <is>
          <t>100 000 – 150 000 km</t>
        </is>
      </c>
      <c r="C15" s="16">
        <f>COUNTIFS(Annonces!$A$2:$A$701,$A15,Annonces!$E$2:$E$701,"En vente",Annonces!$T$2:$T$701,"&gt;="&amp;$H15,Annonces!$T$2:$T$701,"&lt;"&amp;$I15)</f>
        <v/>
      </c>
      <c r="D15" s="12">
        <f>IFERROR(AVERAGEIFS(Annonces!$L$2:$L$701,Annonces!$A$2:$A$701,$A15,Annonces!$E$2:$E$701,"En vente",Annonces!$T$2:$T$701,"&gt;="&amp;$H15,Annonces!$T$2:$T$701,"&lt;"&amp;$I15),"")</f>
        <v/>
      </c>
      <c r="E15" s="12">
        <f>IF(C15&gt;0,_xlfn.MINIFS(Annonces!$L$2:$L$701,Annonces!$A$2:$A$701,$A15,Annonces!$E$2:$E$701,"En vente",Annonces!$T$2:$T$701,"&gt;="&amp;$H15,Annonces!$T$2:$T$701,"&lt;"&amp;$I15),"")</f>
        <v/>
      </c>
      <c r="F15" s="12">
        <f>IF(C15&gt;0,_xlfn.MAXIFS(Annonces!$L$2:$L$701,Annonces!$A$2:$A$701,$A15,Annonces!$E$2:$E$701,"En vente",Annonces!$T$2:$T$701,"&gt;="&amp;$H15,Annonces!$T$2:$T$701,"&lt;"&amp;$I15),"")</f>
        <v/>
      </c>
      <c r="G15" s="15">
        <f>IFERROR(AVERAGEIFS(Annonces!$T$2:$T$701,Annonces!$A$2:$A$701,$A15,Annonces!$E$2:$E$701,"En vente",Annonces!$T$2:$T$701,"&gt;="&amp;$H15,Annonces!$T$2:$T$701,"&lt;"&amp;$I15),"")</f>
        <v/>
      </c>
      <c r="H15" s="6" t="n">
        <v>100000</v>
      </c>
      <c r="I15" s="6" t="n">
        <v>150000</v>
      </c>
    </row>
    <row r="16">
      <c r="A16" s="10" t="inlineStr">
        <is>
          <t>Honda S2000</t>
        </is>
      </c>
      <c r="B16" s="10" t="inlineStr">
        <is>
          <t>150 000 – 200 000 km</t>
        </is>
      </c>
      <c r="C16" s="16">
        <f>COUNTIFS(Annonces!$A$2:$A$701,$A16,Annonces!$E$2:$E$701,"En vente",Annonces!$T$2:$T$701,"&gt;="&amp;$H16,Annonces!$T$2:$T$701,"&lt;"&amp;$I16)</f>
        <v/>
      </c>
      <c r="D16" s="12">
        <f>IFERROR(AVERAGEIFS(Annonces!$L$2:$L$701,Annonces!$A$2:$A$701,$A16,Annonces!$E$2:$E$701,"En vente",Annonces!$T$2:$T$701,"&gt;="&amp;$H16,Annonces!$T$2:$T$701,"&lt;"&amp;$I16),"")</f>
        <v/>
      </c>
      <c r="E16" s="12">
        <f>IF(C16&gt;0,_xlfn.MINIFS(Annonces!$L$2:$L$701,Annonces!$A$2:$A$701,$A16,Annonces!$E$2:$E$701,"En vente",Annonces!$T$2:$T$701,"&gt;="&amp;$H16,Annonces!$T$2:$T$701,"&lt;"&amp;$I16),"")</f>
        <v/>
      </c>
      <c r="F16" s="12">
        <f>IF(C16&gt;0,_xlfn.MAXIFS(Annonces!$L$2:$L$701,Annonces!$A$2:$A$701,$A16,Annonces!$E$2:$E$701,"En vente",Annonces!$T$2:$T$701,"&gt;="&amp;$H16,Annonces!$T$2:$T$701,"&lt;"&amp;$I16),"")</f>
        <v/>
      </c>
      <c r="G16" s="15">
        <f>IFERROR(AVERAGEIFS(Annonces!$T$2:$T$701,Annonces!$A$2:$A$701,$A16,Annonces!$E$2:$E$701,"En vente",Annonces!$T$2:$T$701,"&gt;="&amp;$H16,Annonces!$T$2:$T$701,"&lt;"&amp;$I16),"")</f>
        <v/>
      </c>
      <c r="H16" s="6" t="n">
        <v>150000</v>
      </c>
      <c r="I16" s="6" t="n">
        <v>200000</v>
      </c>
    </row>
    <row r="17">
      <c r="A17" s="10" t="inlineStr">
        <is>
          <t>Honda S2000</t>
        </is>
      </c>
      <c r="B17" s="10" t="inlineStr">
        <is>
          <t>≥ 200 000 km</t>
        </is>
      </c>
      <c r="C17" s="16">
        <f>COUNTIFS(Annonces!$A$2:$A$701,$A17,Annonces!$E$2:$E$701,"En vente",Annonces!$T$2:$T$701,"&gt;="&amp;$H17,Annonces!$T$2:$T$701,"&lt;"&amp;$I17)</f>
        <v/>
      </c>
      <c r="D17" s="12">
        <f>IFERROR(AVERAGEIFS(Annonces!$L$2:$L$701,Annonces!$A$2:$A$701,$A17,Annonces!$E$2:$E$701,"En vente",Annonces!$T$2:$T$701,"&gt;="&amp;$H17,Annonces!$T$2:$T$701,"&lt;"&amp;$I17),"")</f>
        <v/>
      </c>
      <c r="E17" s="12">
        <f>IF(C17&gt;0,_xlfn.MINIFS(Annonces!$L$2:$L$701,Annonces!$A$2:$A$701,$A17,Annonces!$E$2:$E$701,"En vente",Annonces!$T$2:$T$701,"&gt;="&amp;$H17,Annonces!$T$2:$T$701,"&lt;"&amp;$I17),"")</f>
        <v/>
      </c>
      <c r="F17" s="12">
        <f>IF(C17&gt;0,_xlfn.MAXIFS(Annonces!$L$2:$L$701,Annonces!$A$2:$A$701,$A17,Annonces!$E$2:$E$701,"En vente",Annonces!$T$2:$T$701,"&gt;="&amp;$H17,Annonces!$T$2:$T$701,"&lt;"&amp;$I17),"")</f>
        <v/>
      </c>
      <c r="G17" s="15">
        <f>IFERROR(AVERAGEIFS(Annonces!$T$2:$T$701,Annonces!$A$2:$A$701,$A17,Annonces!$E$2:$E$701,"En vente",Annonces!$T$2:$T$701,"&gt;="&amp;$H17,Annonces!$T$2:$T$701,"&lt;"&amp;$I17),"")</f>
        <v/>
      </c>
      <c r="H17" s="6" t="n">
        <v>200000</v>
      </c>
      <c r="I17" s="6" t="n">
        <v>10000000</v>
      </c>
    </row>
    <row r="18">
      <c r="A18" s="10" t="inlineStr">
        <is>
          <t>Mazda MX-5 NA</t>
        </is>
      </c>
      <c r="B18" s="10" t="inlineStr">
        <is>
          <t>&lt; 100 000 km</t>
        </is>
      </c>
      <c r="C18" s="16">
        <f>COUNTIFS(Annonces!$A$2:$A$701,$A18,Annonces!$E$2:$E$701,"En vente",Annonces!$T$2:$T$701,"&gt;="&amp;$H18,Annonces!$T$2:$T$701,"&lt;"&amp;$I18)</f>
        <v/>
      </c>
      <c r="D18" s="12">
        <f>IFERROR(AVERAGEIFS(Annonces!$L$2:$L$701,Annonces!$A$2:$A$701,$A18,Annonces!$E$2:$E$701,"En vente",Annonces!$T$2:$T$701,"&gt;="&amp;$H18,Annonces!$T$2:$T$701,"&lt;"&amp;$I18),"")</f>
        <v/>
      </c>
      <c r="E18" s="12">
        <f>IF(C18&gt;0,_xlfn.MINIFS(Annonces!$L$2:$L$701,Annonces!$A$2:$A$701,$A18,Annonces!$E$2:$E$701,"En vente",Annonces!$T$2:$T$701,"&gt;="&amp;$H18,Annonces!$T$2:$T$701,"&lt;"&amp;$I18),"")</f>
        <v/>
      </c>
      <c r="F18" s="12">
        <f>IF(C18&gt;0,_xlfn.MAXIFS(Annonces!$L$2:$L$701,Annonces!$A$2:$A$701,$A18,Annonces!$E$2:$E$701,"En vente",Annonces!$T$2:$T$701,"&gt;="&amp;$H18,Annonces!$T$2:$T$701,"&lt;"&amp;$I18),"")</f>
        <v/>
      </c>
      <c r="G18" s="15">
        <f>IFERROR(AVERAGEIFS(Annonces!$T$2:$T$701,Annonces!$A$2:$A$701,$A18,Annonces!$E$2:$E$701,"En vente",Annonces!$T$2:$T$701,"&gt;="&amp;$H18,Annonces!$T$2:$T$701,"&lt;"&amp;$I18),"")</f>
        <v/>
      </c>
      <c r="H18" s="6" t="n">
        <v>0</v>
      </c>
      <c r="I18" s="6" t="n">
        <v>100000</v>
      </c>
    </row>
    <row r="19">
      <c r="A19" s="10" t="inlineStr">
        <is>
          <t>Mazda MX-5 NA</t>
        </is>
      </c>
      <c r="B19" s="10" t="inlineStr">
        <is>
          <t>100 000 – 150 000 km</t>
        </is>
      </c>
      <c r="C19" s="16">
        <f>COUNTIFS(Annonces!$A$2:$A$701,$A19,Annonces!$E$2:$E$701,"En vente",Annonces!$T$2:$T$701,"&gt;="&amp;$H19,Annonces!$T$2:$T$701,"&lt;"&amp;$I19)</f>
        <v/>
      </c>
      <c r="D19" s="12">
        <f>IFERROR(AVERAGEIFS(Annonces!$L$2:$L$701,Annonces!$A$2:$A$701,$A19,Annonces!$E$2:$E$701,"En vente",Annonces!$T$2:$T$701,"&gt;="&amp;$H19,Annonces!$T$2:$T$701,"&lt;"&amp;$I19),"")</f>
        <v/>
      </c>
      <c r="E19" s="12">
        <f>IF(C19&gt;0,_xlfn.MINIFS(Annonces!$L$2:$L$701,Annonces!$A$2:$A$701,$A19,Annonces!$E$2:$E$701,"En vente",Annonces!$T$2:$T$701,"&gt;="&amp;$H19,Annonces!$T$2:$T$701,"&lt;"&amp;$I19),"")</f>
        <v/>
      </c>
      <c r="F19" s="12">
        <f>IF(C19&gt;0,_xlfn.MAXIFS(Annonces!$L$2:$L$701,Annonces!$A$2:$A$701,$A19,Annonces!$E$2:$E$701,"En vente",Annonces!$T$2:$T$701,"&gt;="&amp;$H19,Annonces!$T$2:$T$701,"&lt;"&amp;$I19),"")</f>
        <v/>
      </c>
      <c r="G19" s="15">
        <f>IFERROR(AVERAGEIFS(Annonces!$T$2:$T$701,Annonces!$A$2:$A$701,$A19,Annonces!$E$2:$E$701,"En vente",Annonces!$T$2:$T$701,"&gt;="&amp;$H19,Annonces!$T$2:$T$701,"&lt;"&amp;$I19),"")</f>
        <v/>
      </c>
      <c r="H19" s="6" t="n">
        <v>100000</v>
      </c>
      <c r="I19" s="6" t="n">
        <v>150000</v>
      </c>
    </row>
    <row r="20">
      <c r="A20" s="10" t="inlineStr">
        <is>
          <t>Mazda MX-5 NA</t>
        </is>
      </c>
      <c r="B20" s="10" t="inlineStr">
        <is>
          <t>150 000 – 200 000 km</t>
        </is>
      </c>
      <c r="C20" s="16">
        <f>COUNTIFS(Annonces!$A$2:$A$701,$A20,Annonces!$E$2:$E$701,"En vente",Annonces!$T$2:$T$701,"&gt;="&amp;$H20,Annonces!$T$2:$T$701,"&lt;"&amp;$I20)</f>
        <v/>
      </c>
      <c r="D20" s="12">
        <f>IFERROR(AVERAGEIFS(Annonces!$L$2:$L$701,Annonces!$A$2:$A$701,$A20,Annonces!$E$2:$E$701,"En vente",Annonces!$T$2:$T$701,"&gt;="&amp;$H20,Annonces!$T$2:$T$701,"&lt;"&amp;$I20),"")</f>
        <v/>
      </c>
      <c r="E20" s="12">
        <f>IF(C20&gt;0,_xlfn.MINIFS(Annonces!$L$2:$L$701,Annonces!$A$2:$A$701,$A20,Annonces!$E$2:$E$701,"En vente",Annonces!$T$2:$T$701,"&gt;="&amp;$H20,Annonces!$T$2:$T$701,"&lt;"&amp;$I20),"")</f>
        <v/>
      </c>
      <c r="F20" s="12">
        <f>IF(C20&gt;0,_xlfn.MAXIFS(Annonces!$L$2:$L$701,Annonces!$A$2:$A$701,$A20,Annonces!$E$2:$E$701,"En vente",Annonces!$T$2:$T$701,"&gt;="&amp;$H20,Annonces!$T$2:$T$701,"&lt;"&amp;$I20),"")</f>
        <v/>
      </c>
      <c r="G20" s="15">
        <f>IFERROR(AVERAGEIFS(Annonces!$T$2:$T$701,Annonces!$A$2:$A$701,$A20,Annonces!$E$2:$E$701,"En vente",Annonces!$T$2:$T$701,"&gt;="&amp;$H20,Annonces!$T$2:$T$701,"&lt;"&amp;$I20),"")</f>
        <v/>
      </c>
      <c r="H20" s="6" t="n">
        <v>150000</v>
      </c>
      <c r="I20" s="6" t="n">
        <v>200000</v>
      </c>
    </row>
    <row r="21">
      <c r="A21" s="10" t="inlineStr">
        <is>
          <t>Mazda MX-5 NA</t>
        </is>
      </c>
      <c r="B21" s="10" t="inlineStr">
        <is>
          <t>≥ 200 000 km</t>
        </is>
      </c>
      <c r="C21" s="16">
        <f>COUNTIFS(Annonces!$A$2:$A$701,$A21,Annonces!$E$2:$E$701,"En vente",Annonces!$T$2:$T$701,"&gt;="&amp;$H21,Annonces!$T$2:$T$701,"&lt;"&amp;$I21)</f>
        <v/>
      </c>
      <c r="D21" s="12">
        <f>IFERROR(AVERAGEIFS(Annonces!$L$2:$L$701,Annonces!$A$2:$A$701,$A21,Annonces!$E$2:$E$701,"En vente",Annonces!$T$2:$T$701,"&gt;="&amp;$H21,Annonces!$T$2:$T$701,"&lt;"&amp;$I21),"")</f>
        <v/>
      </c>
      <c r="E21" s="12">
        <f>IF(C21&gt;0,_xlfn.MINIFS(Annonces!$L$2:$L$701,Annonces!$A$2:$A$701,$A21,Annonces!$E$2:$E$701,"En vente",Annonces!$T$2:$T$701,"&gt;="&amp;$H21,Annonces!$T$2:$T$701,"&lt;"&amp;$I21),"")</f>
        <v/>
      </c>
      <c r="F21" s="12">
        <f>IF(C21&gt;0,_xlfn.MAXIFS(Annonces!$L$2:$L$701,Annonces!$A$2:$A$701,$A21,Annonces!$E$2:$E$701,"En vente",Annonces!$T$2:$T$701,"&gt;="&amp;$H21,Annonces!$T$2:$T$701,"&lt;"&amp;$I21),"")</f>
        <v/>
      </c>
      <c r="G21" s="15">
        <f>IFERROR(AVERAGEIFS(Annonces!$T$2:$T$701,Annonces!$A$2:$A$701,$A21,Annonces!$E$2:$E$701,"En vente",Annonces!$T$2:$T$701,"&gt;="&amp;$H21,Annonces!$T$2:$T$701,"&lt;"&amp;$I21),"")</f>
        <v/>
      </c>
      <c r="H21" s="6" t="n">
        <v>200000</v>
      </c>
      <c r="I21" s="6" t="n">
        <v>10000000</v>
      </c>
    </row>
    <row r="22">
      <c r="A22" s="10" t="inlineStr">
        <is>
          <t>Peugeot 205 GTI</t>
        </is>
      </c>
      <c r="B22" s="10" t="inlineStr">
        <is>
          <t>&lt; 100 000 km</t>
        </is>
      </c>
      <c r="C22" s="16">
        <f>COUNTIFS(Annonces!$A$2:$A$701,$A22,Annonces!$E$2:$E$701,"En vente",Annonces!$T$2:$T$701,"&gt;="&amp;$H22,Annonces!$T$2:$T$701,"&lt;"&amp;$I22)</f>
        <v/>
      </c>
      <c r="D22" s="12">
        <f>IFERROR(AVERAGEIFS(Annonces!$L$2:$L$701,Annonces!$A$2:$A$701,$A22,Annonces!$E$2:$E$701,"En vente",Annonces!$T$2:$T$701,"&gt;="&amp;$H22,Annonces!$T$2:$T$701,"&lt;"&amp;$I22),"")</f>
        <v/>
      </c>
      <c r="E22" s="12">
        <f>IF(C22&gt;0,_xlfn.MINIFS(Annonces!$L$2:$L$701,Annonces!$A$2:$A$701,$A22,Annonces!$E$2:$E$701,"En vente",Annonces!$T$2:$T$701,"&gt;="&amp;$H22,Annonces!$T$2:$T$701,"&lt;"&amp;$I22),"")</f>
        <v/>
      </c>
      <c r="F22" s="12">
        <f>IF(C22&gt;0,_xlfn.MAXIFS(Annonces!$L$2:$L$701,Annonces!$A$2:$A$701,$A22,Annonces!$E$2:$E$701,"En vente",Annonces!$T$2:$T$701,"&gt;="&amp;$H22,Annonces!$T$2:$T$701,"&lt;"&amp;$I22),"")</f>
        <v/>
      </c>
      <c r="G22" s="15">
        <f>IFERROR(AVERAGEIFS(Annonces!$T$2:$T$701,Annonces!$A$2:$A$701,$A22,Annonces!$E$2:$E$701,"En vente",Annonces!$T$2:$T$701,"&gt;="&amp;$H22,Annonces!$T$2:$T$701,"&lt;"&amp;$I22),"")</f>
        <v/>
      </c>
      <c r="H22" s="6" t="n">
        <v>0</v>
      </c>
      <c r="I22" s="6" t="n">
        <v>100000</v>
      </c>
    </row>
    <row r="23">
      <c r="A23" s="10" t="inlineStr">
        <is>
          <t>Peugeot 205 GTI</t>
        </is>
      </c>
      <c r="B23" s="10" t="inlineStr">
        <is>
          <t>100 000 – 150 000 km</t>
        </is>
      </c>
      <c r="C23" s="16">
        <f>COUNTIFS(Annonces!$A$2:$A$701,$A23,Annonces!$E$2:$E$701,"En vente",Annonces!$T$2:$T$701,"&gt;="&amp;$H23,Annonces!$T$2:$T$701,"&lt;"&amp;$I23)</f>
        <v/>
      </c>
      <c r="D23" s="12">
        <f>IFERROR(AVERAGEIFS(Annonces!$L$2:$L$701,Annonces!$A$2:$A$701,$A23,Annonces!$E$2:$E$701,"En vente",Annonces!$T$2:$T$701,"&gt;="&amp;$H23,Annonces!$T$2:$T$701,"&lt;"&amp;$I23),"")</f>
        <v/>
      </c>
      <c r="E23" s="12">
        <f>IF(C23&gt;0,_xlfn.MINIFS(Annonces!$L$2:$L$701,Annonces!$A$2:$A$701,$A23,Annonces!$E$2:$E$701,"En vente",Annonces!$T$2:$T$701,"&gt;="&amp;$H23,Annonces!$T$2:$T$701,"&lt;"&amp;$I23),"")</f>
        <v/>
      </c>
      <c r="F23" s="12">
        <f>IF(C23&gt;0,_xlfn.MAXIFS(Annonces!$L$2:$L$701,Annonces!$A$2:$A$701,$A23,Annonces!$E$2:$E$701,"En vente",Annonces!$T$2:$T$701,"&gt;="&amp;$H23,Annonces!$T$2:$T$701,"&lt;"&amp;$I23),"")</f>
        <v/>
      </c>
      <c r="G23" s="15">
        <f>IFERROR(AVERAGEIFS(Annonces!$T$2:$T$701,Annonces!$A$2:$A$701,$A23,Annonces!$E$2:$E$701,"En vente",Annonces!$T$2:$T$701,"&gt;="&amp;$H23,Annonces!$T$2:$T$701,"&lt;"&amp;$I23),"")</f>
        <v/>
      </c>
      <c r="H23" s="6" t="n">
        <v>100000</v>
      </c>
      <c r="I23" s="6" t="n">
        <v>150000</v>
      </c>
    </row>
    <row r="24">
      <c r="A24" s="10" t="inlineStr">
        <is>
          <t>Peugeot 205 GTI</t>
        </is>
      </c>
      <c r="B24" s="10" t="inlineStr">
        <is>
          <t>150 000 – 200 000 km</t>
        </is>
      </c>
      <c r="C24" s="16">
        <f>COUNTIFS(Annonces!$A$2:$A$701,$A24,Annonces!$E$2:$E$701,"En vente",Annonces!$T$2:$T$701,"&gt;="&amp;$H24,Annonces!$T$2:$T$701,"&lt;"&amp;$I24)</f>
        <v/>
      </c>
      <c r="D24" s="12">
        <f>IFERROR(AVERAGEIFS(Annonces!$L$2:$L$701,Annonces!$A$2:$A$701,$A24,Annonces!$E$2:$E$701,"En vente",Annonces!$T$2:$T$701,"&gt;="&amp;$H24,Annonces!$T$2:$T$701,"&lt;"&amp;$I24),"")</f>
        <v/>
      </c>
      <c r="E24" s="12">
        <f>IF(C24&gt;0,_xlfn.MINIFS(Annonces!$L$2:$L$701,Annonces!$A$2:$A$701,$A24,Annonces!$E$2:$E$701,"En vente",Annonces!$T$2:$T$701,"&gt;="&amp;$H24,Annonces!$T$2:$T$701,"&lt;"&amp;$I24),"")</f>
        <v/>
      </c>
      <c r="F24" s="12">
        <f>IF(C24&gt;0,_xlfn.MAXIFS(Annonces!$L$2:$L$701,Annonces!$A$2:$A$701,$A24,Annonces!$E$2:$E$701,"En vente",Annonces!$T$2:$T$701,"&gt;="&amp;$H24,Annonces!$T$2:$T$701,"&lt;"&amp;$I24),"")</f>
        <v/>
      </c>
      <c r="G24" s="15">
        <f>IFERROR(AVERAGEIFS(Annonces!$T$2:$T$701,Annonces!$A$2:$A$701,$A24,Annonces!$E$2:$E$701,"En vente",Annonces!$T$2:$T$701,"&gt;="&amp;$H24,Annonces!$T$2:$T$701,"&lt;"&amp;$I24),"")</f>
        <v/>
      </c>
      <c r="H24" s="6" t="n">
        <v>150000</v>
      </c>
      <c r="I24" s="6" t="n">
        <v>200000</v>
      </c>
    </row>
    <row r="25">
      <c r="A25" s="10" t="inlineStr">
        <is>
          <t>Peugeot 205 GTI</t>
        </is>
      </c>
      <c r="B25" s="10" t="inlineStr">
        <is>
          <t>≥ 200 000 km</t>
        </is>
      </c>
      <c r="C25" s="16">
        <f>COUNTIFS(Annonces!$A$2:$A$701,$A25,Annonces!$E$2:$E$701,"En vente",Annonces!$T$2:$T$701,"&gt;="&amp;$H25,Annonces!$T$2:$T$701,"&lt;"&amp;$I25)</f>
        <v/>
      </c>
      <c r="D25" s="12">
        <f>IFERROR(AVERAGEIFS(Annonces!$L$2:$L$701,Annonces!$A$2:$A$701,$A25,Annonces!$E$2:$E$701,"En vente",Annonces!$T$2:$T$701,"&gt;="&amp;$H25,Annonces!$T$2:$T$701,"&lt;"&amp;$I25),"")</f>
        <v/>
      </c>
      <c r="E25" s="12">
        <f>IF(C25&gt;0,_xlfn.MINIFS(Annonces!$L$2:$L$701,Annonces!$A$2:$A$701,$A25,Annonces!$E$2:$E$701,"En vente",Annonces!$T$2:$T$701,"&gt;="&amp;$H25,Annonces!$T$2:$T$701,"&lt;"&amp;$I25),"")</f>
        <v/>
      </c>
      <c r="F25" s="12">
        <f>IF(C25&gt;0,_xlfn.MAXIFS(Annonces!$L$2:$L$701,Annonces!$A$2:$A$701,$A25,Annonces!$E$2:$E$701,"En vente",Annonces!$T$2:$T$701,"&gt;="&amp;$H25,Annonces!$T$2:$T$701,"&lt;"&amp;$I25),"")</f>
        <v/>
      </c>
      <c r="G25" s="15">
        <f>IFERROR(AVERAGEIFS(Annonces!$T$2:$T$701,Annonces!$A$2:$A$701,$A25,Annonces!$E$2:$E$701,"En vente",Annonces!$T$2:$T$701,"&gt;="&amp;$H25,Annonces!$T$2:$T$701,"&lt;"&amp;$I25),"")</f>
        <v/>
      </c>
      <c r="H25" s="6" t="n">
        <v>200000</v>
      </c>
      <c r="I25" s="6" t="n">
        <v>10000000</v>
      </c>
    </row>
    <row r="26">
      <c r="A26" s="10" t="inlineStr">
        <is>
          <t>Peugeot 206 RC</t>
        </is>
      </c>
      <c r="B26" s="10" t="inlineStr">
        <is>
          <t>&lt; 100 000 km</t>
        </is>
      </c>
      <c r="C26" s="16">
        <f>COUNTIFS(Annonces!$A$2:$A$701,$A26,Annonces!$E$2:$E$701,"En vente",Annonces!$T$2:$T$701,"&gt;="&amp;$H26,Annonces!$T$2:$T$701,"&lt;"&amp;$I26)</f>
        <v/>
      </c>
      <c r="D26" s="12">
        <f>IFERROR(AVERAGEIFS(Annonces!$L$2:$L$701,Annonces!$A$2:$A$701,$A26,Annonces!$E$2:$E$701,"En vente",Annonces!$T$2:$T$701,"&gt;="&amp;$H26,Annonces!$T$2:$T$701,"&lt;"&amp;$I26),"")</f>
        <v/>
      </c>
      <c r="E26" s="12">
        <f>IF(C26&gt;0,_xlfn.MINIFS(Annonces!$L$2:$L$701,Annonces!$A$2:$A$701,$A26,Annonces!$E$2:$E$701,"En vente",Annonces!$T$2:$T$701,"&gt;="&amp;$H26,Annonces!$T$2:$T$701,"&lt;"&amp;$I26),"")</f>
        <v/>
      </c>
      <c r="F26" s="12">
        <f>IF(C26&gt;0,_xlfn.MAXIFS(Annonces!$L$2:$L$701,Annonces!$A$2:$A$701,$A26,Annonces!$E$2:$E$701,"En vente",Annonces!$T$2:$T$701,"&gt;="&amp;$H26,Annonces!$T$2:$T$701,"&lt;"&amp;$I26),"")</f>
        <v/>
      </c>
      <c r="G26" s="15">
        <f>IFERROR(AVERAGEIFS(Annonces!$T$2:$T$701,Annonces!$A$2:$A$701,$A26,Annonces!$E$2:$E$701,"En vente",Annonces!$T$2:$T$701,"&gt;="&amp;$H26,Annonces!$T$2:$T$701,"&lt;"&amp;$I26),"")</f>
        <v/>
      </c>
      <c r="H26" s="6" t="n">
        <v>0</v>
      </c>
      <c r="I26" s="6" t="n">
        <v>100000</v>
      </c>
    </row>
    <row r="27">
      <c r="A27" s="10" t="inlineStr">
        <is>
          <t>Peugeot 206 RC</t>
        </is>
      </c>
      <c r="B27" s="10" t="inlineStr">
        <is>
          <t>100 000 – 150 000 km</t>
        </is>
      </c>
      <c r="C27" s="16">
        <f>COUNTIFS(Annonces!$A$2:$A$701,$A27,Annonces!$E$2:$E$701,"En vente",Annonces!$T$2:$T$701,"&gt;="&amp;$H27,Annonces!$T$2:$T$701,"&lt;"&amp;$I27)</f>
        <v/>
      </c>
      <c r="D27" s="12">
        <f>IFERROR(AVERAGEIFS(Annonces!$L$2:$L$701,Annonces!$A$2:$A$701,$A27,Annonces!$E$2:$E$701,"En vente",Annonces!$T$2:$T$701,"&gt;="&amp;$H27,Annonces!$T$2:$T$701,"&lt;"&amp;$I27),"")</f>
        <v/>
      </c>
      <c r="E27" s="12">
        <f>IF(C27&gt;0,_xlfn.MINIFS(Annonces!$L$2:$L$701,Annonces!$A$2:$A$701,$A27,Annonces!$E$2:$E$701,"En vente",Annonces!$T$2:$T$701,"&gt;="&amp;$H27,Annonces!$T$2:$T$701,"&lt;"&amp;$I27),"")</f>
        <v/>
      </c>
      <c r="F27" s="12">
        <f>IF(C27&gt;0,_xlfn.MAXIFS(Annonces!$L$2:$L$701,Annonces!$A$2:$A$701,$A27,Annonces!$E$2:$E$701,"En vente",Annonces!$T$2:$T$701,"&gt;="&amp;$H27,Annonces!$T$2:$T$701,"&lt;"&amp;$I27),"")</f>
        <v/>
      </c>
      <c r="G27" s="15">
        <f>IFERROR(AVERAGEIFS(Annonces!$T$2:$T$701,Annonces!$A$2:$A$701,$A27,Annonces!$E$2:$E$701,"En vente",Annonces!$T$2:$T$701,"&gt;="&amp;$H27,Annonces!$T$2:$T$701,"&lt;"&amp;$I27),"")</f>
        <v/>
      </c>
      <c r="H27" s="6" t="n">
        <v>100000</v>
      </c>
      <c r="I27" s="6" t="n">
        <v>150000</v>
      </c>
    </row>
    <row r="28">
      <c r="A28" s="10" t="inlineStr">
        <is>
          <t>Peugeot 206 RC</t>
        </is>
      </c>
      <c r="B28" s="10" t="inlineStr">
        <is>
          <t>150 000 – 200 000 km</t>
        </is>
      </c>
      <c r="C28" s="16">
        <f>COUNTIFS(Annonces!$A$2:$A$701,$A28,Annonces!$E$2:$E$701,"En vente",Annonces!$T$2:$T$701,"&gt;="&amp;$H28,Annonces!$T$2:$T$701,"&lt;"&amp;$I28)</f>
        <v/>
      </c>
      <c r="D28" s="12">
        <f>IFERROR(AVERAGEIFS(Annonces!$L$2:$L$701,Annonces!$A$2:$A$701,$A28,Annonces!$E$2:$E$701,"En vente",Annonces!$T$2:$T$701,"&gt;="&amp;$H28,Annonces!$T$2:$T$701,"&lt;"&amp;$I28),"")</f>
        <v/>
      </c>
      <c r="E28" s="12">
        <f>IF(C28&gt;0,_xlfn.MINIFS(Annonces!$L$2:$L$701,Annonces!$A$2:$A$701,$A28,Annonces!$E$2:$E$701,"En vente",Annonces!$T$2:$T$701,"&gt;="&amp;$H28,Annonces!$T$2:$T$701,"&lt;"&amp;$I28),"")</f>
        <v/>
      </c>
      <c r="F28" s="12">
        <f>IF(C28&gt;0,_xlfn.MAXIFS(Annonces!$L$2:$L$701,Annonces!$A$2:$A$701,$A28,Annonces!$E$2:$E$701,"En vente",Annonces!$T$2:$T$701,"&gt;="&amp;$H28,Annonces!$T$2:$T$701,"&lt;"&amp;$I28),"")</f>
        <v/>
      </c>
      <c r="G28" s="15">
        <f>IFERROR(AVERAGEIFS(Annonces!$T$2:$T$701,Annonces!$A$2:$A$701,$A28,Annonces!$E$2:$E$701,"En vente",Annonces!$T$2:$T$701,"&gt;="&amp;$H28,Annonces!$T$2:$T$701,"&lt;"&amp;$I28),"")</f>
        <v/>
      </c>
      <c r="H28" s="6" t="n">
        <v>150000</v>
      </c>
      <c r="I28" s="6" t="n">
        <v>200000</v>
      </c>
    </row>
    <row r="29">
      <c r="A29" s="10" t="inlineStr">
        <is>
          <t>Peugeot 206 RC</t>
        </is>
      </c>
      <c r="B29" s="10" t="inlineStr">
        <is>
          <t>≥ 200 000 km</t>
        </is>
      </c>
      <c r="C29" s="16">
        <f>COUNTIFS(Annonces!$A$2:$A$701,$A29,Annonces!$E$2:$E$701,"En vente",Annonces!$T$2:$T$701,"&gt;="&amp;$H29,Annonces!$T$2:$T$701,"&lt;"&amp;$I29)</f>
        <v/>
      </c>
      <c r="D29" s="12">
        <f>IFERROR(AVERAGEIFS(Annonces!$L$2:$L$701,Annonces!$A$2:$A$701,$A29,Annonces!$E$2:$E$701,"En vente",Annonces!$T$2:$T$701,"&gt;="&amp;$H29,Annonces!$T$2:$T$701,"&lt;"&amp;$I29),"")</f>
        <v/>
      </c>
      <c r="E29" s="12">
        <f>IF(C29&gt;0,_xlfn.MINIFS(Annonces!$L$2:$L$701,Annonces!$A$2:$A$701,$A29,Annonces!$E$2:$E$701,"En vente",Annonces!$T$2:$T$701,"&gt;="&amp;$H29,Annonces!$T$2:$T$701,"&lt;"&amp;$I29),"")</f>
        <v/>
      </c>
      <c r="F29" s="12">
        <f>IF(C29&gt;0,_xlfn.MAXIFS(Annonces!$L$2:$L$701,Annonces!$A$2:$A$701,$A29,Annonces!$E$2:$E$701,"En vente",Annonces!$T$2:$T$701,"&gt;="&amp;$H29,Annonces!$T$2:$T$701,"&lt;"&amp;$I29),"")</f>
        <v/>
      </c>
      <c r="G29" s="15">
        <f>IFERROR(AVERAGEIFS(Annonces!$T$2:$T$701,Annonces!$A$2:$A$701,$A29,Annonces!$E$2:$E$701,"En vente",Annonces!$T$2:$T$701,"&gt;="&amp;$H29,Annonces!$T$2:$T$701,"&lt;"&amp;$I29),"")</f>
        <v/>
      </c>
      <c r="H29" s="6" t="n">
        <v>200000</v>
      </c>
      <c r="I29" s="6" t="n">
        <v>10000000</v>
      </c>
    </row>
    <row r="30">
      <c r="A30" s="10" t="inlineStr">
        <is>
          <t>Peugeot 208 GTi 30th</t>
        </is>
      </c>
      <c r="B30" s="10" t="inlineStr">
        <is>
          <t>&lt; 100 000 km</t>
        </is>
      </c>
      <c r="C30" s="16">
        <f>COUNTIFS(Annonces!$A$2:$A$701,$A30,Annonces!$E$2:$E$701,"En vente",Annonces!$T$2:$T$701,"&gt;="&amp;$H30,Annonces!$T$2:$T$701,"&lt;"&amp;$I30)</f>
        <v/>
      </c>
      <c r="D30" s="12">
        <f>IFERROR(AVERAGEIFS(Annonces!$L$2:$L$701,Annonces!$A$2:$A$701,$A30,Annonces!$E$2:$E$701,"En vente",Annonces!$T$2:$T$701,"&gt;="&amp;$H30,Annonces!$T$2:$T$701,"&lt;"&amp;$I30),"")</f>
        <v/>
      </c>
      <c r="E30" s="12">
        <f>IF(C30&gt;0,_xlfn.MINIFS(Annonces!$L$2:$L$701,Annonces!$A$2:$A$701,$A30,Annonces!$E$2:$E$701,"En vente",Annonces!$T$2:$T$701,"&gt;="&amp;$H30,Annonces!$T$2:$T$701,"&lt;"&amp;$I30),"")</f>
        <v/>
      </c>
      <c r="F30" s="12">
        <f>IF(C30&gt;0,_xlfn.MAXIFS(Annonces!$L$2:$L$701,Annonces!$A$2:$A$701,$A30,Annonces!$E$2:$E$701,"En vente",Annonces!$T$2:$T$701,"&gt;="&amp;$H30,Annonces!$T$2:$T$701,"&lt;"&amp;$I30),"")</f>
        <v/>
      </c>
      <c r="G30" s="15">
        <f>IFERROR(AVERAGEIFS(Annonces!$T$2:$T$701,Annonces!$A$2:$A$701,$A30,Annonces!$E$2:$E$701,"En vente",Annonces!$T$2:$T$701,"&gt;="&amp;$H30,Annonces!$T$2:$T$701,"&lt;"&amp;$I30),"")</f>
        <v/>
      </c>
      <c r="H30" s="6" t="n">
        <v>0</v>
      </c>
      <c r="I30" s="6" t="n">
        <v>100000</v>
      </c>
    </row>
    <row r="31">
      <c r="A31" s="10" t="inlineStr">
        <is>
          <t>Peugeot 208 GTi 30th</t>
        </is>
      </c>
      <c r="B31" s="10" t="inlineStr">
        <is>
          <t>100 000 – 150 000 km</t>
        </is>
      </c>
      <c r="C31" s="16">
        <f>COUNTIFS(Annonces!$A$2:$A$701,$A31,Annonces!$E$2:$E$701,"En vente",Annonces!$T$2:$T$701,"&gt;="&amp;$H31,Annonces!$T$2:$T$701,"&lt;"&amp;$I31)</f>
        <v/>
      </c>
      <c r="D31" s="12">
        <f>IFERROR(AVERAGEIFS(Annonces!$L$2:$L$701,Annonces!$A$2:$A$701,$A31,Annonces!$E$2:$E$701,"En vente",Annonces!$T$2:$T$701,"&gt;="&amp;$H31,Annonces!$T$2:$T$701,"&lt;"&amp;$I31),"")</f>
        <v/>
      </c>
      <c r="E31" s="12">
        <f>IF(C31&gt;0,_xlfn.MINIFS(Annonces!$L$2:$L$701,Annonces!$A$2:$A$701,$A31,Annonces!$E$2:$E$701,"En vente",Annonces!$T$2:$T$701,"&gt;="&amp;$H31,Annonces!$T$2:$T$701,"&lt;"&amp;$I31),"")</f>
        <v/>
      </c>
      <c r="F31" s="12">
        <f>IF(C31&gt;0,_xlfn.MAXIFS(Annonces!$L$2:$L$701,Annonces!$A$2:$A$701,$A31,Annonces!$E$2:$E$701,"En vente",Annonces!$T$2:$T$701,"&gt;="&amp;$H31,Annonces!$T$2:$T$701,"&lt;"&amp;$I31),"")</f>
        <v/>
      </c>
      <c r="G31" s="15">
        <f>IFERROR(AVERAGEIFS(Annonces!$T$2:$T$701,Annonces!$A$2:$A$701,$A31,Annonces!$E$2:$E$701,"En vente",Annonces!$T$2:$T$701,"&gt;="&amp;$H31,Annonces!$T$2:$T$701,"&lt;"&amp;$I31),"")</f>
        <v/>
      </c>
      <c r="H31" s="6" t="n">
        <v>100000</v>
      </c>
      <c r="I31" s="6" t="n">
        <v>150000</v>
      </c>
    </row>
    <row r="32">
      <c r="A32" s="10" t="inlineStr">
        <is>
          <t>Peugeot 208 GTi 30th</t>
        </is>
      </c>
      <c r="B32" s="10" t="inlineStr">
        <is>
          <t>150 000 – 200 000 km</t>
        </is>
      </c>
      <c r="C32" s="16">
        <f>COUNTIFS(Annonces!$A$2:$A$701,$A32,Annonces!$E$2:$E$701,"En vente",Annonces!$T$2:$T$701,"&gt;="&amp;$H32,Annonces!$T$2:$T$701,"&lt;"&amp;$I32)</f>
        <v/>
      </c>
      <c r="D32" s="12">
        <f>IFERROR(AVERAGEIFS(Annonces!$L$2:$L$701,Annonces!$A$2:$A$701,$A32,Annonces!$E$2:$E$701,"En vente",Annonces!$T$2:$T$701,"&gt;="&amp;$H32,Annonces!$T$2:$T$701,"&lt;"&amp;$I32),"")</f>
        <v/>
      </c>
      <c r="E32" s="12">
        <f>IF(C32&gt;0,_xlfn.MINIFS(Annonces!$L$2:$L$701,Annonces!$A$2:$A$701,$A32,Annonces!$E$2:$E$701,"En vente",Annonces!$T$2:$T$701,"&gt;="&amp;$H32,Annonces!$T$2:$T$701,"&lt;"&amp;$I32),"")</f>
        <v/>
      </c>
      <c r="F32" s="12">
        <f>IF(C32&gt;0,_xlfn.MAXIFS(Annonces!$L$2:$L$701,Annonces!$A$2:$A$701,$A32,Annonces!$E$2:$E$701,"En vente",Annonces!$T$2:$T$701,"&gt;="&amp;$H32,Annonces!$T$2:$T$701,"&lt;"&amp;$I32),"")</f>
        <v/>
      </c>
      <c r="G32" s="15">
        <f>IFERROR(AVERAGEIFS(Annonces!$T$2:$T$701,Annonces!$A$2:$A$701,$A32,Annonces!$E$2:$E$701,"En vente",Annonces!$T$2:$T$701,"&gt;="&amp;$H32,Annonces!$T$2:$T$701,"&lt;"&amp;$I32),"")</f>
        <v/>
      </c>
      <c r="H32" s="6" t="n">
        <v>150000</v>
      </c>
      <c r="I32" s="6" t="n">
        <v>200000</v>
      </c>
    </row>
    <row r="33">
      <c r="A33" s="10" t="inlineStr">
        <is>
          <t>Peugeot 306 S16</t>
        </is>
      </c>
      <c r="B33" s="10" t="inlineStr">
        <is>
          <t>&lt; 100 000 km</t>
        </is>
      </c>
      <c r="C33" s="16">
        <f>COUNTIFS(Annonces!$A$2:$A$701,$A33,Annonces!$E$2:$E$701,"En vente",Annonces!$T$2:$T$701,"&gt;="&amp;$H33,Annonces!$T$2:$T$701,"&lt;"&amp;$I33)</f>
        <v/>
      </c>
      <c r="D33" s="12">
        <f>IFERROR(AVERAGEIFS(Annonces!$L$2:$L$701,Annonces!$A$2:$A$701,$A33,Annonces!$E$2:$E$701,"En vente",Annonces!$T$2:$T$701,"&gt;="&amp;$H33,Annonces!$T$2:$T$701,"&lt;"&amp;$I33),"")</f>
        <v/>
      </c>
      <c r="E33" s="12">
        <f>IF(C33&gt;0,_xlfn.MINIFS(Annonces!$L$2:$L$701,Annonces!$A$2:$A$701,$A33,Annonces!$E$2:$E$701,"En vente",Annonces!$T$2:$T$701,"&gt;="&amp;$H33,Annonces!$T$2:$T$701,"&lt;"&amp;$I33),"")</f>
        <v/>
      </c>
      <c r="F33" s="12">
        <f>IF(C33&gt;0,_xlfn.MAXIFS(Annonces!$L$2:$L$701,Annonces!$A$2:$A$701,$A33,Annonces!$E$2:$E$701,"En vente",Annonces!$T$2:$T$701,"&gt;="&amp;$H33,Annonces!$T$2:$T$701,"&lt;"&amp;$I33),"")</f>
        <v/>
      </c>
      <c r="G33" s="15">
        <f>IFERROR(AVERAGEIFS(Annonces!$T$2:$T$701,Annonces!$A$2:$A$701,$A33,Annonces!$E$2:$E$701,"En vente",Annonces!$T$2:$T$701,"&gt;="&amp;$H33,Annonces!$T$2:$T$701,"&lt;"&amp;$I33),"")</f>
        <v/>
      </c>
      <c r="H33" s="6" t="n">
        <v>0</v>
      </c>
      <c r="I33" s="6" t="n">
        <v>100000</v>
      </c>
    </row>
    <row r="34">
      <c r="A34" s="10" t="inlineStr">
        <is>
          <t>Peugeot 306 S16</t>
        </is>
      </c>
      <c r="B34" s="10" t="inlineStr">
        <is>
          <t>100 000 – 150 000 km</t>
        </is>
      </c>
      <c r="C34" s="16">
        <f>COUNTIFS(Annonces!$A$2:$A$701,$A34,Annonces!$E$2:$E$701,"En vente",Annonces!$T$2:$T$701,"&gt;="&amp;$H34,Annonces!$T$2:$T$701,"&lt;"&amp;$I34)</f>
        <v/>
      </c>
      <c r="D34" s="12">
        <f>IFERROR(AVERAGEIFS(Annonces!$L$2:$L$701,Annonces!$A$2:$A$701,$A34,Annonces!$E$2:$E$701,"En vente",Annonces!$T$2:$T$701,"&gt;="&amp;$H34,Annonces!$T$2:$T$701,"&lt;"&amp;$I34),"")</f>
        <v/>
      </c>
      <c r="E34" s="12">
        <f>IF(C34&gt;0,_xlfn.MINIFS(Annonces!$L$2:$L$701,Annonces!$A$2:$A$701,$A34,Annonces!$E$2:$E$701,"En vente",Annonces!$T$2:$T$701,"&gt;="&amp;$H34,Annonces!$T$2:$T$701,"&lt;"&amp;$I34),"")</f>
        <v/>
      </c>
      <c r="F34" s="12">
        <f>IF(C34&gt;0,_xlfn.MAXIFS(Annonces!$L$2:$L$701,Annonces!$A$2:$A$701,$A34,Annonces!$E$2:$E$701,"En vente",Annonces!$T$2:$T$701,"&gt;="&amp;$H34,Annonces!$T$2:$T$701,"&lt;"&amp;$I34),"")</f>
        <v/>
      </c>
      <c r="G34" s="15">
        <f>IFERROR(AVERAGEIFS(Annonces!$T$2:$T$701,Annonces!$A$2:$A$701,$A34,Annonces!$E$2:$E$701,"En vente",Annonces!$T$2:$T$701,"&gt;="&amp;$H34,Annonces!$T$2:$T$701,"&lt;"&amp;$I34),"")</f>
        <v/>
      </c>
      <c r="H34" s="6" t="n">
        <v>100000</v>
      </c>
      <c r="I34" s="6" t="n">
        <v>150000</v>
      </c>
    </row>
    <row r="35">
      <c r="A35" s="10" t="inlineStr">
        <is>
          <t>Peugeot 306 S16</t>
        </is>
      </c>
      <c r="B35" s="10" t="inlineStr">
        <is>
          <t>150 000 – 200 000 km</t>
        </is>
      </c>
      <c r="C35" s="16">
        <f>COUNTIFS(Annonces!$A$2:$A$701,$A35,Annonces!$E$2:$E$701,"En vente",Annonces!$T$2:$T$701,"&gt;="&amp;$H35,Annonces!$T$2:$T$701,"&lt;"&amp;$I35)</f>
        <v/>
      </c>
      <c r="D35" s="12">
        <f>IFERROR(AVERAGEIFS(Annonces!$L$2:$L$701,Annonces!$A$2:$A$701,$A35,Annonces!$E$2:$E$701,"En vente",Annonces!$T$2:$T$701,"&gt;="&amp;$H35,Annonces!$T$2:$T$701,"&lt;"&amp;$I35),"")</f>
        <v/>
      </c>
      <c r="E35" s="12">
        <f>IF(C35&gt;0,_xlfn.MINIFS(Annonces!$L$2:$L$701,Annonces!$A$2:$A$701,$A35,Annonces!$E$2:$E$701,"En vente",Annonces!$T$2:$T$701,"&gt;="&amp;$H35,Annonces!$T$2:$T$701,"&lt;"&amp;$I35),"")</f>
        <v/>
      </c>
      <c r="F35" s="12">
        <f>IF(C35&gt;0,_xlfn.MAXIFS(Annonces!$L$2:$L$701,Annonces!$A$2:$A$701,$A35,Annonces!$E$2:$E$701,"En vente",Annonces!$T$2:$T$701,"&gt;="&amp;$H35,Annonces!$T$2:$T$701,"&lt;"&amp;$I35),"")</f>
        <v/>
      </c>
      <c r="G35" s="15">
        <f>IFERROR(AVERAGEIFS(Annonces!$T$2:$T$701,Annonces!$A$2:$A$701,$A35,Annonces!$E$2:$E$701,"En vente",Annonces!$T$2:$T$701,"&gt;="&amp;$H35,Annonces!$T$2:$T$701,"&lt;"&amp;$I35),"")</f>
        <v/>
      </c>
      <c r="H35" s="6" t="n">
        <v>150000</v>
      </c>
      <c r="I35" s="6" t="n">
        <v>200000</v>
      </c>
    </row>
    <row r="36">
      <c r="A36" s="10" t="inlineStr">
        <is>
          <t>Peugeot 306 S16</t>
        </is>
      </c>
      <c r="B36" s="10" t="inlineStr">
        <is>
          <t>≥ 200 000 km</t>
        </is>
      </c>
      <c r="C36" s="16">
        <f>COUNTIFS(Annonces!$A$2:$A$701,$A36,Annonces!$E$2:$E$701,"En vente",Annonces!$T$2:$T$701,"&gt;="&amp;$H36,Annonces!$T$2:$T$701,"&lt;"&amp;$I36)</f>
        <v/>
      </c>
      <c r="D36" s="12">
        <f>IFERROR(AVERAGEIFS(Annonces!$L$2:$L$701,Annonces!$A$2:$A$701,$A36,Annonces!$E$2:$E$701,"En vente",Annonces!$T$2:$T$701,"&gt;="&amp;$H36,Annonces!$T$2:$T$701,"&lt;"&amp;$I36),"")</f>
        <v/>
      </c>
      <c r="E36" s="12">
        <f>IF(C36&gt;0,_xlfn.MINIFS(Annonces!$L$2:$L$701,Annonces!$A$2:$A$701,$A36,Annonces!$E$2:$E$701,"En vente",Annonces!$T$2:$T$701,"&gt;="&amp;$H36,Annonces!$T$2:$T$701,"&lt;"&amp;$I36),"")</f>
        <v/>
      </c>
      <c r="F36" s="12">
        <f>IF(C36&gt;0,_xlfn.MAXIFS(Annonces!$L$2:$L$701,Annonces!$A$2:$A$701,$A36,Annonces!$E$2:$E$701,"En vente",Annonces!$T$2:$T$701,"&gt;="&amp;$H36,Annonces!$T$2:$T$701,"&lt;"&amp;$I36),"")</f>
        <v/>
      </c>
      <c r="G36" s="15">
        <f>IFERROR(AVERAGEIFS(Annonces!$T$2:$T$701,Annonces!$A$2:$A$701,$A36,Annonces!$E$2:$E$701,"En vente",Annonces!$T$2:$T$701,"&gt;="&amp;$H36,Annonces!$T$2:$T$701,"&lt;"&amp;$I36),"")</f>
        <v/>
      </c>
      <c r="H36" s="6" t="n">
        <v>200000</v>
      </c>
      <c r="I36" s="6" t="n">
        <v>10000000</v>
      </c>
    </row>
    <row r="37">
      <c r="A37" s="10" t="inlineStr">
        <is>
          <t>Porsche 911 997 Carrera S</t>
        </is>
      </c>
      <c r="B37" s="10" t="inlineStr">
        <is>
          <t>&lt; 100 000 km</t>
        </is>
      </c>
      <c r="C37" s="16">
        <f>COUNTIFS(Annonces!$A$2:$A$701,$A37,Annonces!$E$2:$E$701,"En vente",Annonces!$T$2:$T$701,"&gt;="&amp;$H37,Annonces!$T$2:$T$701,"&lt;"&amp;$I37)</f>
        <v/>
      </c>
      <c r="D37" s="12">
        <f>IFERROR(AVERAGEIFS(Annonces!$L$2:$L$701,Annonces!$A$2:$A$701,$A37,Annonces!$E$2:$E$701,"En vente",Annonces!$T$2:$T$701,"&gt;="&amp;$H37,Annonces!$T$2:$T$701,"&lt;"&amp;$I37),"")</f>
        <v/>
      </c>
      <c r="E37" s="12">
        <f>IF(C37&gt;0,_xlfn.MINIFS(Annonces!$L$2:$L$701,Annonces!$A$2:$A$701,$A37,Annonces!$E$2:$E$701,"En vente",Annonces!$T$2:$T$701,"&gt;="&amp;$H37,Annonces!$T$2:$T$701,"&lt;"&amp;$I37),"")</f>
        <v/>
      </c>
      <c r="F37" s="12">
        <f>IF(C37&gt;0,_xlfn.MAXIFS(Annonces!$L$2:$L$701,Annonces!$A$2:$A$701,$A37,Annonces!$E$2:$E$701,"En vente",Annonces!$T$2:$T$701,"&gt;="&amp;$H37,Annonces!$T$2:$T$701,"&lt;"&amp;$I37),"")</f>
        <v/>
      </c>
      <c r="G37" s="15">
        <f>IFERROR(AVERAGEIFS(Annonces!$T$2:$T$701,Annonces!$A$2:$A$701,$A37,Annonces!$E$2:$E$701,"En vente",Annonces!$T$2:$T$701,"&gt;="&amp;$H37,Annonces!$T$2:$T$701,"&lt;"&amp;$I37),"")</f>
        <v/>
      </c>
      <c r="H37" s="6" t="n">
        <v>0</v>
      </c>
      <c r="I37" s="6" t="n">
        <v>100000</v>
      </c>
    </row>
    <row r="38">
      <c r="A38" s="10" t="inlineStr">
        <is>
          <t>Porsche 911 997 Carrera S</t>
        </is>
      </c>
      <c r="B38" s="10" t="inlineStr">
        <is>
          <t>100 000 – 150 000 km</t>
        </is>
      </c>
      <c r="C38" s="16">
        <f>COUNTIFS(Annonces!$A$2:$A$701,$A38,Annonces!$E$2:$E$701,"En vente",Annonces!$T$2:$T$701,"&gt;="&amp;$H38,Annonces!$T$2:$T$701,"&lt;"&amp;$I38)</f>
        <v/>
      </c>
      <c r="D38" s="12">
        <f>IFERROR(AVERAGEIFS(Annonces!$L$2:$L$701,Annonces!$A$2:$A$701,$A38,Annonces!$E$2:$E$701,"En vente",Annonces!$T$2:$T$701,"&gt;="&amp;$H38,Annonces!$T$2:$T$701,"&lt;"&amp;$I38),"")</f>
        <v/>
      </c>
      <c r="E38" s="12">
        <f>IF(C38&gt;0,_xlfn.MINIFS(Annonces!$L$2:$L$701,Annonces!$A$2:$A$701,$A38,Annonces!$E$2:$E$701,"En vente",Annonces!$T$2:$T$701,"&gt;="&amp;$H38,Annonces!$T$2:$T$701,"&lt;"&amp;$I38),"")</f>
        <v/>
      </c>
      <c r="F38" s="12">
        <f>IF(C38&gt;0,_xlfn.MAXIFS(Annonces!$L$2:$L$701,Annonces!$A$2:$A$701,$A38,Annonces!$E$2:$E$701,"En vente",Annonces!$T$2:$T$701,"&gt;="&amp;$H38,Annonces!$T$2:$T$701,"&lt;"&amp;$I38),"")</f>
        <v/>
      </c>
      <c r="G38" s="15">
        <f>IFERROR(AVERAGEIFS(Annonces!$T$2:$T$701,Annonces!$A$2:$A$701,$A38,Annonces!$E$2:$E$701,"En vente",Annonces!$T$2:$T$701,"&gt;="&amp;$H38,Annonces!$T$2:$T$701,"&lt;"&amp;$I38),"")</f>
        <v/>
      </c>
      <c r="H38" s="6" t="n">
        <v>100000</v>
      </c>
      <c r="I38" s="6" t="n">
        <v>150000</v>
      </c>
    </row>
    <row r="39">
      <c r="A39" s="10" t="inlineStr">
        <is>
          <t>Porsche 911 997 Carrera S</t>
        </is>
      </c>
      <c r="B39" s="10" t="inlineStr">
        <is>
          <t>150 000 – 200 000 km</t>
        </is>
      </c>
      <c r="C39" s="16">
        <f>COUNTIFS(Annonces!$A$2:$A$701,$A39,Annonces!$E$2:$E$701,"En vente",Annonces!$T$2:$T$701,"&gt;="&amp;$H39,Annonces!$T$2:$T$701,"&lt;"&amp;$I39)</f>
        <v/>
      </c>
      <c r="D39" s="12">
        <f>IFERROR(AVERAGEIFS(Annonces!$L$2:$L$701,Annonces!$A$2:$A$701,$A39,Annonces!$E$2:$E$701,"En vente",Annonces!$T$2:$T$701,"&gt;="&amp;$H39,Annonces!$T$2:$T$701,"&lt;"&amp;$I39),"")</f>
        <v/>
      </c>
      <c r="E39" s="12">
        <f>IF(C39&gt;0,_xlfn.MINIFS(Annonces!$L$2:$L$701,Annonces!$A$2:$A$701,$A39,Annonces!$E$2:$E$701,"En vente",Annonces!$T$2:$T$701,"&gt;="&amp;$H39,Annonces!$T$2:$T$701,"&lt;"&amp;$I39),"")</f>
        <v/>
      </c>
      <c r="F39" s="12">
        <f>IF(C39&gt;0,_xlfn.MAXIFS(Annonces!$L$2:$L$701,Annonces!$A$2:$A$701,$A39,Annonces!$E$2:$E$701,"En vente",Annonces!$T$2:$T$701,"&gt;="&amp;$H39,Annonces!$T$2:$T$701,"&lt;"&amp;$I39),"")</f>
        <v/>
      </c>
      <c r="G39" s="15">
        <f>IFERROR(AVERAGEIFS(Annonces!$T$2:$T$701,Annonces!$A$2:$A$701,$A39,Annonces!$E$2:$E$701,"En vente",Annonces!$T$2:$T$701,"&gt;="&amp;$H39,Annonces!$T$2:$T$701,"&lt;"&amp;$I39),"")</f>
        <v/>
      </c>
      <c r="H39" s="6" t="n">
        <v>150000</v>
      </c>
      <c r="I39" s="6" t="n">
        <v>200000</v>
      </c>
    </row>
    <row r="40">
      <c r="A40" s="10" t="inlineStr">
        <is>
          <t>Porsche Boxster 986</t>
        </is>
      </c>
      <c r="B40" s="10" t="inlineStr">
        <is>
          <t>&lt; 100 000 km</t>
        </is>
      </c>
      <c r="C40" s="16">
        <f>COUNTIFS(Annonces!$A$2:$A$701,$A40,Annonces!$E$2:$E$701,"En vente",Annonces!$T$2:$T$701,"&gt;="&amp;$H40,Annonces!$T$2:$T$701,"&lt;"&amp;$I40)</f>
        <v/>
      </c>
      <c r="D40" s="12">
        <f>IFERROR(AVERAGEIFS(Annonces!$L$2:$L$701,Annonces!$A$2:$A$701,$A40,Annonces!$E$2:$E$701,"En vente",Annonces!$T$2:$T$701,"&gt;="&amp;$H40,Annonces!$T$2:$T$701,"&lt;"&amp;$I40),"")</f>
        <v/>
      </c>
      <c r="E40" s="12">
        <f>IF(C40&gt;0,_xlfn.MINIFS(Annonces!$L$2:$L$701,Annonces!$A$2:$A$701,$A40,Annonces!$E$2:$E$701,"En vente",Annonces!$T$2:$T$701,"&gt;="&amp;$H40,Annonces!$T$2:$T$701,"&lt;"&amp;$I40),"")</f>
        <v/>
      </c>
      <c r="F40" s="12">
        <f>IF(C40&gt;0,_xlfn.MAXIFS(Annonces!$L$2:$L$701,Annonces!$A$2:$A$701,$A40,Annonces!$E$2:$E$701,"En vente",Annonces!$T$2:$T$701,"&gt;="&amp;$H40,Annonces!$T$2:$T$701,"&lt;"&amp;$I40),"")</f>
        <v/>
      </c>
      <c r="G40" s="15">
        <f>IFERROR(AVERAGEIFS(Annonces!$T$2:$T$701,Annonces!$A$2:$A$701,$A40,Annonces!$E$2:$E$701,"En vente",Annonces!$T$2:$T$701,"&gt;="&amp;$H40,Annonces!$T$2:$T$701,"&lt;"&amp;$I40),"")</f>
        <v/>
      </c>
      <c r="H40" s="6" t="n">
        <v>0</v>
      </c>
      <c r="I40" s="6" t="n">
        <v>100000</v>
      </c>
    </row>
    <row r="41">
      <c r="A41" s="10" t="inlineStr">
        <is>
          <t>Porsche Boxster 986</t>
        </is>
      </c>
      <c r="B41" s="10" t="inlineStr">
        <is>
          <t>100 000 – 150 000 km</t>
        </is>
      </c>
      <c r="C41" s="16">
        <f>COUNTIFS(Annonces!$A$2:$A$701,$A41,Annonces!$E$2:$E$701,"En vente",Annonces!$T$2:$T$701,"&gt;="&amp;$H41,Annonces!$T$2:$T$701,"&lt;"&amp;$I41)</f>
        <v/>
      </c>
      <c r="D41" s="12">
        <f>IFERROR(AVERAGEIFS(Annonces!$L$2:$L$701,Annonces!$A$2:$A$701,$A41,Annonces!$E$2:$E$701,"En vente",Annonces!$T$2:$T$701,"&gt;="&amp;$H41,Annonces!$T$2:$T$701,"&lt;"&amp;$I41),"")</f>
        <v/>
      </c>
      <c r="E41" s="12">
        <f>IF(C41&gt;0,_xlfn.MINIFS(Annonces!$L$2:$L$701,Annonces!$A$2:$A$701,$A41,Annonces!$E$2:$E$701,"En vente",Annonces!$T$2:$T$701,"&gt;="&amp;$H41,Annonces!$T$2:$T$701,"&lt;"&amp;$I41),"")</f>
        <v/>
      </c>
      <c r="F41" s="12">
        <f>IF(C41&gt;0,_xlfn.MAXIFS(Annonces!$L$2:$L$701,Annonces!$A$2:$A$701,$A41,Annonces!$E$2:$E$701,"En vente",Annonces!$T$2:$T$701,"&gt;="&amp;$H41,Annonces!$T$2:$T$701,"&lt;"&amp;$I41),"")</f>
        <v/>
      </c>
      <c r="G41" s="15">
        <f>IFERROR(AVERAGEIFS(Annonces!$T$2:$T$701,Annonces!$A$2:$A$701,$A41,Annonces!$E$2:$E$701,"En vente",Annonces!$T$2:$T$701,"&gt;="&amp;$H41,Annonces!$T$2:$T$701,"&lt;"&amp;$I41),"")</f>
        <v/>
      </c>
      <c r="H41" s="6" t="n">
        <v>100000</v>
      </c>
      <c r="I41" s="6" t="n">
        <v>150000</v>
      </c>
    </row>
    <row r="42">
      <c r="A42" s="10" t="inlineStr">
        <is>
          <t>Porsche Boxster 986</t>
        </is>
      </c>
      <c r="B42" s="10" t="inlineStr">
        <is>
          <t>150 000 – 200 000 km</t>
        </is>
      </c>
      <c r="C42" s="16">
        <f>COUNTIFS(Annonces!$A$2:$A$701,$A42,Annonces!$E$2:$E$701,"En vente",Annonces!$T$2:$T$701,"&gt;="&amp;$H42,Annonces!$T$2:$T$701,"&lt;"&amp;$I42)</f>
        <v/>
      </c>
      <c r="D42" s="12">
        <f>IFERROR(AVERAGEIFS(Annonces!$L$2:$L$701,Annonces!$A$2:$A$701,$A42,Annonces!$E$2:$E$701,"En vente",Annonces!$T$2:$T$701,"&gt;="&amp;$H42,Annonces!$T$2:$T$701,"&lt;"&amp;$I42),"")</f>
        <v/>
      </c>
      <c r="E42" s="12">
        <f>IF(C42&gt;0,_xlfn.MINIFS(Annonces!$L$2:$L$701,Annonces!$A$2:$A$701,$A42,Annonces!$E$2:$E$701,"En vente",Annonces!$T$2:$T$701,"&gt;="&amp;$H42,Annonces!$T$2:$T$701,"&lt;"&amp;$I42),"")</f>
        <v/>
      </c>
      <c r="F42" s="12">
        <f>IF(C42&gt;0,_xlfn.MAXIFS(Annonces!$L$2:$L$701,Annonces!$A$2:$A$701,$A42,Annonces!$E$2:$E$701,"En vente",Annonces!$T$2:$T$701,"&gt;="&amp;$H42,Annonces!$T$2:$T$701,"&lt;"&amp;$I42),"")</f>
        <v/>
      </c>
      <c r="G42" s="15">
        <f>IFERROR(AVERAGEIFS(Annonces!$T$2:$T$701,Annonces!$A$2:$A$701,$A42,Annonces!$E$2:$E$701,"En vente",Annonces!$T$2:$T$701,"&gt;="&amp;$H42,Annonces!$T$2:$T$701,"&lt;"&amp;$I42),"")</f>
        <v/>
      </c>
      <c r="H42" s="6" t="n">
        <v>150000</v>
      </c>
      <c r="I42" s="6" t="n">
        <v>200000</v>
      </c>
    </row>
    <row r="43">
      <c r="A43" s="10" t="inlineStr">
        <is>
          <t>Porsche Boxster 986</t>
        </is>
      </c>
      <c r="B43" s="10" t="inlineStr">
        <is>
          <t>≥ 200 000 km</t>
        </is>
      </c>
      <c r="C43" s="16">
        <f>COUNTIFS(Annonces!$A$2:$A$701,$A43,Annonces!$E$2:$E$701,"En vente",Annonces!$T$2:$T$701,"&gt;="&amp;$H43,Annonces!$T$2:$T$701,"&lt;"&amp;$I43)</f>
        <v/>
      </c>
      <c r="D43" s="12">
        <f>IFERROR(AVERAGEIFS(Annonces!$L$2:$L$701,Annonces!$A$2:$A$701,$A43,Annonces!$E$2:$E$701,"En vente",Annonces!$T$2:$T$701,"&gt;="&amp;$H43,Annonces!$T$2:$T$701,"&lt;"&amp;$I43),"")</f>
        <v/>
      </c>
      <c r="E43" s="12">
        <f>IF(C43&gt;0,_xlfn.MINIFS(Annonces!$L$2:$L$701,Annonces!$A$2:$A$701,$A43,Annonces!$E$2:$E$701,"En vente",Annonces!$T$2:$T$701,"&gt;="&amp;$H43,Annonces!$T$2:$T$701,"&lt;"&amp;$I43),"")</f>
        <v/>
      </c>
      <c r="F43" s="12">
        <f>IF(C43&gt;0,_xlfn.MAXIFS(Annonces!$L$2:$L$701,Annonces!$A$2:$A$701,$A43,Annonces!$E$2:$E$701,"En vente",Annonces!$T$2:$T$701,"&gt;="&amp;$H43,Annonces!$T$2:$T$701,"&lt;"&amp;$I43),"")</f>
        <v/>
      </c>
      <c r="G43" s="15">
        <f>IFERROR(AVERAGEIFS(Annonces!$T$2:$T$701,Annonces!$A$2:$A$701,$A43,Annonces!$E$2:$E$701,"En vente",Annonces!$T$2:$T$701,"&gt;="&amp;$H43,Annonces!$T$2:$T$701,"&lt;"&amp;$I43),"")</f>
        <v/>
      </c>
      <c r="H43" s="6" t="n">
        <v>200000</v>
      </c>
      <c r="I43" s="6" t="n">
        <v>10000000</v>
      </c>
    </row>
    <row r="44">
      <c r="A44" s="10" t="inlineStr">
        <is>
          <t>Porsche Boxster 987</t>
        </is>
      </c>
      <c r="B44" s="10" t="inlineStr">
        <is>
          <t>&lt; 100 000 km</t>
        </is>
      </c>
      <c r="C44" s="16">
        <f>COUNTIFS(Annonces!$A$2:$A$701,$A44,Annonces!$E$2:$E$701,"En vente",Annonces!$T$2:$T$701,"&gt;="&amp;$H44,Annonces!$T$2:$T$701,"&lt;"&amp;$I44)</f>
        <v/>
      </c>
      <c r="D44" s="12">
        <f>IFERROR(AVERAGEIFS(Annonces!$L$2:$L$701,Annonces!$A$2:$A$701,$A44,Annonces!$E$2:$E$701,"En vente",Annonces!$T$2:$T$701,"&gt;="&amp;$H44,Annonces!$T$2:$T$701,"&lt;"&amp;$I44),"")</f>
        <v/>
      </c>
      <c r="E44" s="12">
        <f>IF(C44&gt;0,_xlfn.MINIFS(Annonces!$L$2:$L$701,Annonces!$A$2:$A$701,$A44,Annonces!$E$2:$E$701,"En vente",Annonces!$T$2:$T$701,"&gt;="&amp;$H44,Annonces!$T$2:$T$701,"&lt;"&amp;$I44),"")</f>
        <v/>
      </c>
      <c r="F44" s="12">
        <f>IF(C44&gt;0,_xlfn.MAXIFS(Annonces!$L$2:$L$701,Annonces!$A$2:$A$701,$A44,Annonces!$E$2:$E$701,"En vente",Annonces!$T$2:$T$701,"&gt;="&amp;$H44,Annonces!$T$2:$T$701,"&lt;"&amp;$I44),"")</f>
        <v/>
      </c>
      <c r="G44" s="15">
        <f>IFERROR(AVERAGEIFS(Annonces!$T$2:$T$701,Annonces!$A$2:$A$701,$A44,Annonces!$E$2:$E$701,"En vente",Annonces!$T$2:$T$701,"&gt;="&amp;$H44,Annonces!$T$2:$T$701,"&lt;"&amp;$I44),"")</f>
        <v/>
      </c>
      <c r="H44" s="6" t="n">
        <v>0</v>
      </c>
      <c r="I44" s="6" t="n">
        <v>100000</v>
      </c>
    </row>
    <row r="45">
      <c r="A45" s="10" t="inlineStr">
        <is>
          <t>Porsche Boxster 987</t>
        </is>
      </c>
      <c r="B45" s="10" t="inlineStr">
        <is>
          <t>100 000 – 150 000 km</t>
        </is>
      </c>
      <c r="C45" s="16">
        <f>COUNTIFS(Annonces!$A$2:$A$701,$A45,Annonces!$E$2:$E$701,"En vente",Annonces!$T$2:$T$701,"&gt;="&amp;$H45,Annonces!$T$2:$T$701,"&lt;"&amp;$I45)</f>
        <v/>
      </c>
      <c r="D45" s="12">
        <f>IFERROR(AVERAGEIFS(Annonces!$L$2:$L$701,Annonces!$A$2:$A$701,$A45,Annonces!$E$2:$E$701,"En vente",Annonces!$T$2:$T$701,"&gt;="&amp;$H45,Annonces!$T$2:$T$701,"&lt;"&amp;$I45),"")</f>
        <v/>
      </c>
      <c r="E45" s="12">
        <f>IF(C45&gt;0,_xlfn.MINIFS(Annonces!$L$2:$L$701,Annonces!$A$2:$A$701,$A45,Annonces!$E$2:$E$701,"En vente",Annonces!$T$2:$T$701,"&gt;="&amp;$H45,Annonces!$T$2:$T$701,"&lt;"&amp;$I45),"")</f>
        <v/>
      </c>
      <c r="F45" s="12">
        <f>IF(C45&gt;0,_xlfn.MAXIFS(Annonces!$L$2:$L$701,Annonces!$A$2:$A$701,$A45,Annonces!$E$2:$E$701,"En vente",Annonces!$T$2:$T$701,"&gt;="&amp;$H45,Annonces!$T$2:$T$701,"&lt;"&amp;$I45),"")</f>
        <v/>
      </c>
      <c r="G45" s="15">
        <f>IFERROR(AVERAGEIFS(Annonces!$T$2:$T$701,Annonces!$A$2:$A$701,$A45,Annonces!$E$2:$E$701,"En vente",Annonces!$T$2:$T$701,"&gt;="&amp;$H45,Annonces!$T$2:$T$701,"&lt;"&amp;$I45),"")</f>
        <v/>
      </c>
      <c r="H45" s="6" t="n">
        <v>100000</v>
      </c>
      <c r="I45" s="6" t="n">
        <v>150000</v>
      </c>
    </row>
    <row r="46">
      <c r="A46" s="10" t="inlineStr">
        <is>
          <t>Porsche Boxster 987</t>
        </is>
      </c>
      <c r="B46" s="10" t="inlineStr">
        <is>
          <t>150 000 – 200 000 km</t>
        </is>
      </c>
      <c r="C46" s="16">
        <f>COUNTIFS(Annonces!$A$2:$A$701,$A46,Annonces!$E$2:$E$701,"En vente",Annonces!$T$2:$T$701,"&gt;="&amp;$H46,Annonces!$T$2:$T$701,"&lt;"&amp;$I46)</f>
        <v/>
      </c>
      <c r="D46" s="12">
        <f>IFERROR(AVERAGEIFS(Annonces!$L$2:$L$701,Annonces!$A$2:$A$701,$A46,Annonces!$E$2:$E$701,"En vente",Annonces!$T$2:$T$701,"&gt;="&amp;$H46,Annonces!$T$2:$T$701,"&lt;"&amp;$I46),"")</f>
        <v/>
      </c>
      <c r="E46" s="12">
        <f>IF(C46&gt;0,_xlfn.MINIFS(Annonces!$L$2:$L$701,Annonces!$A$2:$A$701,$A46,Annonces!$E$2:$E$701,"En vente",Annonces!$T$2:$T$701,"&gt;="&amp;$H46,Annonces!$T$2:$T$701,"&lt;"&amp;$I46),"")</f>
        <v/>
      </c>
      <c r="F46" s="12">
        <f>IF(C46&gt;0,_xlfn.MAXIFS(Annonces!$L$2:$L$701,Annonces!$A$2:$A$701,$A46,Annonces!$E$2:$E$701,"En vente",Annonces!$T$2:$T$701,"&gt;="&amp;$H46,Annonces!$T$2:$T$701,"&lt;"&amp;$I46),"")</f>
        <v/>
      </c>
      <c r="G46" s="15">
        <f>IFERROR(AVERAGEIFS(Annonces!$T$2:$T$701,Annonces!$A$2:$A$701,$A46,Annonces!$E$2:$E$701,"En vente",Annonces!$T$2:$T$701,"&gt;="&amp;$H46,Annonces!$T$2:$T$701,"&lt;"&amp;$I46),"")</f>
        <v/>
      </c>
      <c r="H46" s="6" t="n">
        <v>150000</v>
      </c>
      <c r="I46" s="6" t="n">
        <v>200000</v>
      </c>
    </row>
    <row r="47">
      <c r="A47" s="10" t="inlineStr">
        <is>
          <t>Porsche Boxster 987</t>
        </is>
      </c>
      <c r="B47" s="10" t="inlineStr">
        <is>
          <t>≥ 200 000 km</t>
        </is>
      </c>
      <c r="C47" s="16">
        <f>COUNTIFS(Annonces!$A$2:$A$701,$A47,Annonces!$E$2:$E$701,"En vente",Annonces!$T$2:$T$701,"&gt;="&amp;$H47,Annonces!$T$2:$T$701,"&lt;"&amp;$I47)</f>
        <v/>
      </c>
      <c r="D47" s="12">
        <f>IFERROR(AVERAGEIFS(Annonces!$L$2:$L$701,Annonces!$A$2:$A$701,$A47,Annonces!$E$2:$E$701,"En vente",Annonces!$T$2:$T$701,"&gt;="&amp;$H47,Annonces!$T$2:$T$701,"&lt;"&amp;$I47),"")</f>
        <v/>
      </c>
      <c r="E47" s="12">
        <f>IF(C47&gt;0,_xlfn.MINIFS(Annonces!$L$2:$L$701,Annonces!$A$2:$A$701,$A47,Annonces!$E$2:$E$701,"En vente",Annonces!$T$2:$T$701,"&gt;="&amp;$H47,Annonces!$T$2:$T$701,"&lt;"&amp;$I47),"")</f>
        <v/>
      </c>
      <c r="F47" s="12">
        <f>IF(C47&gt;0,_xlfn.MAXIFS(Annonces!$L$2:$L$701,Annonces!$A$2:$A$701,$A47,Annonces!$E$2:$E$701,"En vente",Annonces!$T$2:$T$701,"&gt;="&amp;$H47,Annonces!$T$2:$T$701,"&lt;"&amp;$I47),"")</f>
        <v/>
      </c>
      <c r="G47" s="15">
        <f>IFERROR(AVERAGEIFS(Annonces!$T$2:$T$701,Annonces!$A$2:$A$701,$A47,Annonces!$E$2:$E$701,"En vente",Annonces!$T$2:$T$701,"&gt;="&amp;$H47,Annonces!$T$2:$T$701,"&lt;"&amp;$I47),"")</f>
        <v/>
      </c>
      <c r="H47" s="6" t="n">
        <v>200000</v>
      </c>
      <c r="I47" s="6" t="n">
        <v>10000000</v>
      </c>
    </row>
    <row r="48">
      <c r="A48" s="10" t="inlineStr">
        <is>
          <t>Renault Clio II RS (172/182 ch)</t>
        </is>
      </c>
      <c r="B48" s="10" t="inlineStr">
        <is>
          <t>&lt; 100 000 km</t>
        </is>
      </c>
      <c r="C48" s="16">
        <f>COUNTIFS(Annonces!$A$2:$A$701,$A48,Annonces!$E$2:$E$701,"En vente",Annonces!$T$2:$T$701,"&gt;="&amp;$H48,Annonces!$T$2:$T$701,"&lt;"&amp;$I48)</f>
        <v/>
      </c>
      <c r="D48" s="12">
        <f>IFERROR(AVERAGEIFS(Annonces!$L$2:$L$701,Annonces!$A$2:$A$701,$A48,Annonces!$E$2:$E$701,"En vente",Annonces!$T$2:$T$701,"&gt;="&amp;$H48,Annonces!$T$2:$T$701,"&lt;"&amp;$I48),"")</f>
        <v/>
      </c>
      <c r="E48" s="12">
        <f>IF(C48&gt;0,_xlfn.MINIFS(Annonces!$L$2:$L$701,Annonces!$A$2:$A$701,$A48,Annonces!$E$2:$E$701,"En vente",Annonces!$T$2:$T$701,"&gt;="&amp;$H48,Annonces!$T$2:$T$701,"&lt;"&amp;$I48),"")</f>
        <v/>
      </c>
      <c r="F48" s="12">
        <f>IF(C48&gt;0,_xlfn.MAXIFS(Annonces!$L$2:$L$701,Annonces!$A$2:$A$701,$A48,Annonces!$E$2:$E$701,"En vente",Annonces!$T$2:$T$701,"&gt;="&amp;$H48,Annonces!$T$2:$T$701,"&lt;"&amp;$I48),"")</f>
        <v/>
      </c>
      <c r="G48" s="15">
        <f>IFERROR(AVERAGEIFS(Annonces!$T$2:$T$701,Annonces!$A$2:$A$701,$A48,Annonces!$E$2:$E$701,"En vente",Annonces!$T$2:$T$701,"&gt;="&amp;$H48,Annonces!$T$2:$T$701,"&lt;"&amp;$I48),"")</f>
        <v/>
      </c>
      <c r="H48" s="6" t="n">
        <v>0</v>
      </c>
      <c r="I48" s="6" t="n">
        <v>100000</v>
      </c>
    </row>
    <row r="49">
      <c r="A49" s="10" t="inlineStr">
        <is>
          <t>Renault Clio II RS (172/182 ch)</t>
        </is>
      </c>
      <c r="B49" s="10" t="inlineStr">
        <is>
          <t>100 000 – 150 000 km</t>
        </is>
      </c>
      <c r="C49" s="16">
        <f>COUNTIFS(Annonces!$A$2:$A$701,$A49,Annonces!$E$2:$E$701,"En vente",Annonces!$T$2:$T$701,"&gt;="&amp;$H49,Annonces!$T$2:$T$701,"&lt;"&amp;$I49)</f>
        <v/>
      </c>
      <c r="D49" s="12">
        <f>IFERROR(AVERAGEIFS(Annonces!$L$2:$L$701,Annonces!$A$2:$A$701,$A49,Annonces!$E$2:$E$701,"En vente",Annonces!$T$2:$T$701,"&gt;="&amp;$H49,Annonces!$T$2:$T$701,"&lt;"&amp;$I49),"")</f>
        <v/>
      </c>
      <c r="E49" s="12">
        <f>IF(C49&gt;0,_xlfn.MINIFS(Annonces!$L$2:$L$701,Annonces!$A$2:$A$701,$A49,Annonces!$E$2:$E$701,"En vente",Annonces!$T$2:$T$701,"&gt;="&amp;$H49,Annonces!$T$2:$T$701,"&lt;"&amp;$I49),"")</f>
        <v/>
      </c>
      <c r="F49" s="12">
        <f>IF(C49&gt;0,_xlfn.MAXIFS(Annonces!$L$2:$L$701,Annonces!$A$2:$A$701,$A49,Annonces!$E$2:$E$701,"En vente",Annonces!$T$2:$T$701,"&gt;="&amp;$H49,Annonces!$T$2:$T$701,"&lt;"&amp;$I49),"")</f>
        <v/>
      </c>
      <c r="G49" s="15">
        <f>IFERROR(AVERAGEIFS(Annonces!$T$2:$T$701,Annonces!$A$2:$A$701,$A49,Annonces!$E$2:$E$701,"En vente",Annonces!$T$2:$T$701,"&gt;="&amp;$H49,Annonces!$T$2:$T$701,"&lt;"&amp;$I49),"")</f>
        <v/>
      </c>
      <c r="H49" s="6" t="n">
        <v>100000</v>
      </c>
      <c r="I49" s="6" t="n">
        <v>150000</v>
      </c>
    </row>
    <row r="50">
      <c r="A50" s="10" t="inlineStr">
        <is>
          <t>Renault Clio II RS (172/182 ch)</t>
        </is>
      </c>
      <c r="B50" s="10" t="inlineStr">
        <is>
          <t>150 000 – 200 000 km</t>
        </is>
      </c>
      <c r="C50" s="16">
        <f>COUNTIFS(Annonces!$A$2:$A$701,$A50,Annonces!$E$2:$E$701,"En vente",Annonces!$T$2:$T$701,"&gt;="&amp;$H50,Annonces!$T$2:$T$701,"&lt;"&amp;$I50)</f>
        <v/>
      </c>
      <c r="D50" s="12">
        <f>IFERROR(AVERAGEIFS(Annonces!$L$2:$L$701,Annonces!$A$2:$A$701,$A50,Annonces!$E$2:$E$701,"En vente",Annonces!$T$2:$T$701,"&gt;="&amp;$H50,Annonces!$T$2:$T$701,"&lt;"&amp;$I50),"")</f>
        <v/>
      </c>
      <c r="E50" s="12">
        <f>IF(C50&gt;0,_xlfn.MINIFS(Annonces!$L$2:$L$701,Annonces!$A$2:$A$701,$A50,Annonces!$E$2:$E$701,"En vente",Annonces!$T$2:$T$701,"&gt;="&amp;$H50,Annonces!$T$2:$T$701,"&lt;"&amp;$I50),"")</f>
        <v/>
      </c>
      <c r="F50" s="12">
        <f>IF(C50&gt;0,_xlfn.MAXIFS(Annonces!$L$2:$L$701,Annonces!$A$2:$A$701,$A50,Annonces!$E$2:$E$701,"En vente",Annonces!$T$2:$T$701,"&gt;="&amp;$H50,Annonces!$T$2:$T$701,"&lt;"&amp;$I50),"")</f>
        <v/>
      </c>
      <c r="G50" s="15">
        <f>IFERROR(AVERAGEIFS(Annonces!$T$2:$T$701,Annonces!$A$2:$A$701,$A50,Annonces!$E$2:$E$701,"En vente",Annonces!$T$2:$T$701,"&gt;="&amp;$H50,Annonces!$T$2:$T$701,"&lt;"&amp;$I50),"")</f>
        <v/>
      </c>
      <c r="H50" s="6" t="n">
        <v>150000</v>
      </c>
      <c r="I50" s="6" t="n">
        <v>200000</v>
      </c>
    </row>
    <row r="51">
      <c r="A51" s="10" t="inlineStr">
        <is>
          <t>Renault Clio II RS (172/182 ch)</t>
        </is>
      </c>
      <c r="B51" s="10" t="inlineStr">
        <is>
          <t>≥ 200 000 km</t>
        </is>
      </c>
      <c r="C51" s="16">
        <f>COUNTIFS(Annonces!$A$2:$A$701,$A51,Annonces!$E$2:$E$701,"En vente",Annonces!$T$2:$T$701,"&gt;="&amp;$H51,Annonces!$T$2:$T$701,"&lt;"&amp;$I51)</f>
        <v/>
      </c>
      <c r="D51" s="12">
        <f>IFERROR(AVERAGEIFS(Annonces!$L$2:$L$701,Annonces!$A$2:$A$701,$A51,Annonces!$E$2:$E$701,"En vente",Annonces!$T$2:$T$701,"&gt;="&amp;$H51,Annonces!$T$2:$T$701,"&lt;"&amp;$I51),"")</f>
        <v/>
      </c>
      <c r="E51" s="12">
        <f>IF(C51&gt;0,_xlfn.MINIFS(Annonces!$L$2:$L$701,Annonces!$A$2:$A$701,$A51,Annonces!$E$2:$E$701,"En vente",Annonces!$T$2:$T$701,"&gt;="&amp;$H51,Annonces!$T$2:$T$701,"&lt;"&amp;$I51),"")</f>
        <v/>
      </c>
      <c r="F51" s="12">
        <f>IF(C51&gt;0,_xlfn.MAXIFS(Annonces!$L$2:$L$701,Annonces!$A$2:$A$701,$A51,Annonces!$E$2:$E$701,"En vente",Annonces!$T$2:$T$701,"&gt;="&amp;$H51,Annonces!$T$2:$T$701,"&lt;"&amp;$I51),"")</f>
        <v/>
      </c>
      <c r="G51" s="15">
        <f>IFERROR(AVERAGEIFS(Annonces!$T$2:$T$701,Annonces!$A$2:$A$701,$A51,Annonces!$E$2:$E$701,"En vente",Annonces!$T$2:$T$701,"&gt;="&amp;$H51,Annonces!$T$2:$T$701,"&lt;"&amp;$I51),"")</f>
        <v/>
      </c>
      <c r="H51" s="6" t="n">
        <v>200000</v>
      </c>
      <c r="I51" s="6" t="n">
        <v>10000000</v>
      </c>
    </row>
    <row r="52">
      <c r="A52" s="10" t="inlineStr">
        <is>
          <t>Renault Mégane II RS R26</t>
        </is>
      </c>
      <c r="B52" s="10" t="inlineStr">
        <is>
          <t>&lt; 100 000 km</t>
        </is>
      </c>
      <c r="C52" s="16">
        <f>COUNTIFS(Annonces!$A$2:$A$701,$A52,Annonces!$E$2:$E$701,"En vente",Annonces!$T$2:$T$701,"&gt;="&amp;$H52,Annonces!$T$2:$T$701,"&lt;"&amp;$I52)</f>
        <v/>
      </c>
      <c r="D52" s="12">
        <f>IFERROR(AVERAGEIFS(Annonces!$L$2:$L$701,Annonces!$A$2:$A$701,$A52,Annonces!$E$2:$E$701,"En vente",Annonces!$T$2:$T$701,"&gt;="&amp;$H52,Annonces!$T$2:$T$701,"&lt;"&amp;$I52),"")</f>
        <v/>
      </c>
      <c r="E52" s="12">
        <f>IF(C52&gt;0,_xlfn.MINIFS(Annonces!$L$2:$L$701,Annonces!$A$2:$A$701,$A52,Annonces!$E$2:$E$701,"En vente",Annonces!$T$2:$T$701,"&gt;="&amp;$H52,Annonces!$T$2:$T$701,"&lt;"&amp;$I52),"")</f>
        <v/>
      </c>
      <c r="F52" s="12">
        <f>IF(C52&gt;0,_xlfn.MAXIFS(Annonces!$L$2:$L$701,Annonces!$A$2:$A$701,$A52,Annonces!$E$2:$E$701,"En vente",Annonces!$T$2:$T$701,"&gt;="&amp;$H52,Annonces!$T$2:$T$701,"&lt;"&amp;$I52),"")</f>
        <v/>
      </c>
      <c r="G52" s="15">
        <f>IFERROR(AVERAGEIFS(Annonces!$T$2:$T$701,Annonces!$A$2:$A$701,$A52,Annonces!$E$2:$E$701,"En vente",Annonces!$T$2:$T$701,"&gt;="&amp;$H52,Annonces!$T$2:$T$701,"&lt;"&amp;$I52),"")</f>
        <v/>
      </c>
      <c r="H52" s="6" t="n">
        <v>0</v>
      </c>
      <c r="I52" s="6" t="n">
        <v>100000</v>
      </c>
    </row>
    <row r="53">
      <c r="A53" s="10" t="inlineStr">
        <is>
          <t>Renault Mégane II RS R26</t>
        </is>
      </c>
      <c r="B53" s="10" t="inlineStr">
        <is>
          <t>100 000 – 150 000 km</t>
        </is>
      </c>
      <c r="C53" s="16">
        <f>COUNTIFS(Annonces!$A$2:$A$701,$A53,Annonces!$E$2:$E$701,"En vente",Annonces!$T$2:$T$701,"&gt;="&amp;$H53,Annonces!$T$2:$T$701,"&lt;"&amp;$I53)</f>
        <v/>
      </c>
      <c r="D53" s="12">
        <f>IFERROR(AVERAGEIFS(Annonces!$L$2:$L$701,Annonces!$A$2:$A$701,$A53,Annonces!$E$2:$E$701,"En vente",Annonces!$T$2:$T$701,"&gt;="&amp;$H53,Annonces!$T$2:$T$701,"&lt;"&amp;$I53),"")</f>
        <v/>
      </c>
      <c r="E53" s="12">
        <f>IF(C53&gt;0,_xlfn.MINIFS(Annonces!$L$2:$L$701,Annonces!$A$2:$A$701,$A53,Annonces!$E$2:$E$701,"En vente",Annonces!$T$2:$T$701,"&gt;="&amp;$H53,Annonces!$T$2:$T$701,"&lt;"&amp;$I53),"")</f>
        <v/>
      </c>
      <c r="F53" s="12">
        <f>IF(C53&gt;0,_xlfn.MAXIFS(Annonces!$L$2:$L$701,Annonces!$A$2:$A$701,$A53,Annonces!$E$2:$E$701,"En vente",Annonces!$T$2:$T$701,"&gt;="&amp;$H53,Annonces!$T$2:$T$701,"&lt;"&amp;$I53),"")</f>
        <v/>
      </c>
      <c r="G53" s="15">
        <f>IFERROR(AVERAGEIFS(Annonces!$T$2:$T$701,Annonces!$A$2:$A$701,$A53,Annonces!$E$2:$E$701,"En vente",Annonces!$T$2:$T$701,"&gt;="&amp;$H53,Annonces!$T$2:$T$701,"&lt;"&amp;$I53),"")</f>
        <v/>
      </c>
      <c r="H53" s="6" t="n">
        <v>100000</v>
      </c>
      <c r="I53" s="6" t="n">
        <v>150000</v>
      </c>
    </row>
    <row r="54">
      <c r="A54" s="10" t="inlineStr">
        <is>
          <t>Renault Mégane II RS R26</t>
        </is>
      </c>
      <c r="B54" s="10" t="inlineStr">
        <is>
          <t>150 000 – 200 000 km</t>
        </is>
      </c>
      <c r="C54" s="16">
        <f>COUNTIFS(Annonces!$A$2:$A$701,$A54,Annonces!$E$2:$E$701,"En vente",Annonces!$T$2:$T$701,"&gt;="&amp;$H54,Annonces!$T$2:$T$701,"&lt;"&amp;$I54)</f>
        <v/>
      </c>
      <c r="D54" s="12">
        <f>IFERROR(AVERAGEIFS(Annonces!$L$2:$L$701,Annonces!$A$2:$A$701,$A54,Annonces!$E$2:$E$701,"En vente",Annonces!$T$2:$T$701,"&gt;="&amp;$H54,Annonces!$T$2:$T$701,"&lt;"&amp;$I54),"")</f>
        <v/>
      </c>
      <c r="E54" s="12">
        <f>IF(C54&gt;0,_xlfn.MINIFS(Annonces!$L$2:$L$701,Annonces!$A$2:$A$701,$A54,Annonces!$E$2:$E$701,"En vente",Annonces!$T$2:$T$701,"&gt;="&amp;$H54,Annonces!$T$2:$T$701,"&lt;"&amp;$I54),"")</f>
        <v/>
      </c>
      <c r="F54" s="12">
        <f>IF(C54&gt;0,_xlfn.MAXIFS(Annonces!$L$2:$L$701,Annonces!$A$2:$A$701,$A54,Annonces!$E$2:$E$701,"En vente",Annonces!$T$2:$T$701,"&gt;="&amp;$H54,Annonces!$T$2:$T$701,"&lt;"&amp;$I54),"")</f>
        <v/>
      </c>
      <c r="G54" s="15">
        <f>IFERROR(AVERAGEIFS(Annonces!$T$2:$T$701,Annonces!$A$2:$A$701,$A54,Annonces!$E$2:$E$701,"En vente",Annonces!$T$2:$T$701,"&gt;="&amp;$H54,Annonces!$T$2:$T$701,"&lt;"&amp;$I54),"")</f>
        <v/>
      </c>
      <c r="H54" s="6" t="n">
        <v>150000</v>
      </c>
      <c r="I54" s="6" t="n">
        <v>200000</v>
      </c>
    </row>
    <row r="55">
      <c r="A55" s="10" t="inlineStr">
        <is>
          <t>Renault Twingo 1 découvrable</t>
        </is>
      </c>
      <c r="B55" s="10" t="inlineStr">
        <is>
          <t>&lt; 100 000 km</t>
        </is>
      </c>
      <c r="C55" s="16">
        <f>COUNTIFS(Annonces!$A$2:$A$701,$A55,Annonces!$E$2:$E$701,"En vente",Annonces!$T$2:$T$701,"&gt;="&amp;$H55,Annonces!$T$2:$T$701,"&lt;"&amp;$I55)</f>
        <v/>
      </c>
      <c r="D55" s="12">
        <f>IFERROR(AVERAGEIFS(Annonces!$L$2:$L$701,Annonces!$A$2:$A$701,$A55,Annonces!$E$2:$E$701,"En vente",Annonces!$T$2:$T$701,"&gt;="&amp;$H55,Annonces!$T$2:$T$701,"&lt;"&amp;$I55),"")</f>
        <v/>
      </c>
      <c r="E55" s="12">
        <f>IF(C55&gt;0,_xlfn.MINIFS(Annonces!$L$2:$L$701,Annonces!$A$2:$A$701,$A55,Annonces!$E$2:$E$701,"En vente",Annonces!$T$2:$T$701,"&gt;="&amp;$H55,Annonces!$T$2:$T$701,"&lt;"&amp;$I55),"")</f>
        <v/>
      </c>
      <c r="F55" s="12">
        <f>IF(C55&gt;0,_xlfn.MAXIFS(Annonces!$L$2:$L$701,Annonces!$A$2:$A$701,$A55,Annonces!$E$2:$E$701,"En vente",Annonces!$T$2:$T$701,"&gt;="&amp;$H55,Annonces!$T$2:$T$701,"&lt;"&amp;$I55),"")</f>
        <v/>
      </c>
      <c r="G55" s="15">
        <f>IFERROR(AVERAGEIFS(Annonces!$T$2:$T$701,Annonces!$A$2:$A$701,$A55,Annonces!$E$2:$E$701,"En vente",Annonces!$T$2:$T$701,"&gt;="&amp;$H55,Annonces!$T$2:$T$701,"&lt;"&amp;$I55),"")</f>
        <v/>
      </c>
      <c r="H55" s="6" t="n">
        <v>0</v>
      </c>
      <c r="I55" s="6" t="n">
        <v>100000</v>
      </c>
    </row>
    <row r="56">
      <c r="A56" s="10" t="inlineStr">
        <is>
          <t>Renault Twingo 1 découvrable</t>
        </is>
      </c>
      <c r="B56" s="10" t="inlineStr">
        <is>
          <t>100 000 – 150 000 km</t>
        </is>
      </c>
      <c r="C56" s="16">
        <f>COUNTIFS(Annonces!$A$2:$A$701,$A56,Annonces!$E$2:$E$701,"En vente",Annonces!$T$2:$T$701,"&gt;="&amp;$H56,Annonces!$T$2:$T$701,"&lt;"&amp;$I56)</f>
        <v/>
      </c>
      <c r="D56" s="12">
        <f>IFERROR(AVERAGEIFS(Annonces!$L$2:$L$701,Annonces!$A$2:$A$701,$A56,Annonces!$E$2:$E$701,"En vente",Annonces!$T$2:$T$701,"&gt;="&amp;$H56,Annonces!$T$2:$T$701,"&lt;"&amp;$I56),"")</f>
        <v/>
      </c>
      <c r="E56" s="12">
        <f>IF(C56&gt;0,_xlfn.MINIFS(Annonces!$L$2:$L$701,Annonces!$A$2:$A$701,$A56,Annonces!$E$2:$E$701,"En vente",Annonces!$T$2:$T$701,"&gt;="&amp;$H56,Annonces!$T$2:$T$701,"&lt;"&amp;$I56),"")</f>
        <v/>
      </c>
      <c r="F56" s="12">
        <f>IF(C56&gt;0,_xlfn.MAXIFS(Annonces!$L$2:$L$701,Annonces!$A$2:$A$701,$A56,Annonces!$E$2:$E$701,"En vente",Annonces!$T$2:$T$701,"&gt;="&amp;$H56,Annonces!$T$2:$T$701,"&lt;"&amp;$I56),"")</f>
        <v/>
      </c>
      <c r="G56" s="15">
        <f>IFERROR(AVERAGEIFS(Annonces!$T$2:$T$701,Annonces!$A$2:$A$701,$A56,Annonces!$E$2:$E$701,"En vente",Annonces!$T$2:$T$701,"&gt;="&amp;$H56,Annonces!$T$2:$T$701,"&lt;"&amp;$I56),"")</f>
        <v/>
      </c>
      <c r="H56" s="6" t="n">
        <v>100000</v>
      </c>
      <c r="I56" s="6" t="n">
        <v>150000</v>
      </c>
    </row>
    <row r="57">
      <c r="A57" s="10" t="inlineStr">
        <is>
          <t>Renault Twingo 1 découvrable</t>
        </is>
      </c>
      <c r="B57" s="10" t="inlineStr">
        <is>
          <t>150 000 – 200 000 km</t>
        </is>
      </c>
      <c r="C57" s="16">
        <f>COUNTIFS(Annonces!$A$2:$A$701,$A57,Annonces!$E$2:$E$701,"En vente",Annonces!$T$2:$T$701,"&gt;="&amp;$H57,Annonces!$T$2:$T$701,"&lt;"&amp;$I57)</f>
        <v/>
      </c>
      <c r="D57" s="12">
        <f>IFERROR(AVERAGEIFS(Annonces!$L$2:$L$701,Annonces!$A$2:$A$701,$A57,Annonces!$E$2:$E$701,"En vente",Annonces!$T$2:$T$701,"&gt;="&amp;$H57,Annonces!$T$2:$T$701,"&lt;"&amp;$I57),"")</f>
        <v/>
      </c>
      <c r="E57" s="12">
        <f>IF(C57&gt;0,_xlfn.MINIFS(Annonces!$L$2:$L$701,Annonces!$A$2:$A$701,$A57,Annonces!$E$2:$E$701,"En vente",Annonces!$T$2:$T$701,"&gt;="&amp;$H57,Annonces!$T$2:$T$701,"&lt;"&amp;$I57),"")</f>
        <v/>
      </c>
      <c r="F57" s="12">
        <f>IF(C57&gt;0,_xlfn.MAXIFS(Annonces!$L$2:$L$701,Annonces!$A$2:$A$701,$A57,Annonces!$E$2:$E$701,"En vente",Annonces!$T$2:$T$701,"&gt;="&amp;$H57,Annonces!$T$2:$T$701,"&lt;"&amp;$I57),"")</f>
        <v/>
      </c>
      <c r="G57" s="15">
        <f>IFERROR(AVERAGEIFS(Annonces!$T$2:$T$701,Annonces!$A$2:$A$701,$A57,Annonces!$E$2:$E$701,"En vente",Annonces!$T$2:$T$701,"&gt;="&amp;$H57,Annonces!$T$2:$T$701,"&lt;"&amp;$I57),"")</f>
        <v/>
      </c>
      <c r="H57" s="6" t="n">
        <v>150000</v>
      </c>
      <c r="I57" s="6" t="n">
        <v>200000</v>
      </c>
    </row>
    <row r="58">
      <c r="A58" s="10" t="inlineStr">
        <is>
          <t>Renault Twingo 1 découvrable</t>
        </is>
      </c>
      <c r="B58" s="10" t="inlineStr">
        <is>
          <t>≥ 200 000 km</t>
        </is>
      </c>
      <c r="C58" s="16">
        <f>COUNTIFS(Annonces!$A$2:$A$701,$A58,Annonces!$E$2:$E$701,"En vente",Annonces!$T$2:$T$701,"&gt;="&amp;$H58,Annonces!$T$2:$T$701,"&lt;"&amp;$I58)</f>
        <v/>
      </c>
      <c r="D58" s="12">
        <f>IFERROR(AVERAGEIFS(Annonces!$L$2:$L$701,Annonces!$A$2:$A$701,$A58,Annonces!$E$2:$E$701,"En vente",Annonces!$T$2:$T$701,"&gt;="&amp;$H58,Annonces!$T$2:$T$701,"&lt;"&amp;$I58),"")</f>
        <v/>
      </c>
      <c r="E58" s="12">
        <f>IF(C58&gt;0,_xlfn.MINIFS(Annonces!$L$2:$L$701,Annonces!$A$2:$A$701,$A58,Annonces!$E$2:$E$701,"En vente",Annonces!$T$2:$T$701,"&gt;="&amp;$H58,Annonces!$T$2:$T$701,"&lt;"&amp;$I58),"")</f>
        <v/>
      </c>
      <c r="F58" s="12">
        <f>IF(C58&gt;0,_xlfn.MAXIFS(Annonces!$L$2:$L$701,Annonces!$A$2:$A$701,$A58,Annonces!$E$2:$E$701,"En vente",Annonces!$T$2:$T$701,"&gt;="&amp;$H58,Annonces!$T$2:$T$701,"&lt;"&amp;$I58),"")</f>
        <v/>
      </c>
      <c r="G58" s="15">
        <f>IFERROR(AVERAGEIFS(Annonces!$T$2:$T$701,Annonces!$A$2:$A$701,$A58,Annonces!$E$2:$E$701,"En vente",Annonces!$T$2:$T$701,"&gt;="&amp;$H58,Annonces!$T$2:$T$701,"&lt;"&amp;$I58),"")</f>
        <v/>
      </c>
      <c r="H58" s="6" t="n">
        <v>200000</v>
      </c>
      <c r="I58" s="6" t="n">
        <v>10000000</v>
      </c>
    </row>
    <row r="59">
      <c r="A59" s="10" t="inlineStr">
        <is>
          <t>Volkswagen Golf IV GTI 25th Anniversary</t>
        </is>
      </c>
      <c r="B59" s="10" t="inlineStr">
        <is>
          <t>150 000 – 200 000 km</t>
        </is>
      </c>
      <c r="C59" s="16">
        <f>COUNTIFS(Annonces!$A$2:$A$701,$A59,Annonces!$E$2:$E$701,"En vente",Annonces!$T$2:$T$701,"&gt;="&amp;$H59,Annonces!$T$2:$T$701,"&lt;"&amp;$I59)</f>
        <v/>
      </c>
      <c r="D59" s="12">
        <f>IFERROR(AVERAGEIFS(Annonces!$L$2:$L$701,Annonces!$A$2:$A$701,$A59,Annonces!$E$2:$E$701,"En vente",Annonces!$T$2:$T$701,"&gt;="&amp;$H59,Annonces!$T$2:$T$701,"&lt;"&amp;$I59),"")</f>
        <v/>
      </c>
      <c r="E59" s="12">
        <f>IF(C59&gt;0,_xlfn.MINIFS(Annonces!$L$2:$L$701,Annonces!$A$2:$A$701,$A59,Annonces!$E$2:$E$701,"En vente",Annonces!$T$2:$T$701,"&gt;="&amp;$H59,Annonces!$T$2:$T$701,"&lt;"&amp;$I59),"")</f>
        <v/>
      </c>
      <c r="F59" s="12">
        <f>IF(C59&gt;0,_xlfn.MAXIFS(Annonces!$L$2:$L$701,Annonces!$A$2:$A$701,$A59,Annonces!$E$2:$E$701,"En vente",Annonces!$T$2:$T$701,"&gt;="&amp;$H59,Annonces!$T$2:$T$701,"&lt;"&amp;$I59),"")</f>
        <v/>
      </c>
      <c r="G59" s="15">
        <f>IFERROR(AVERAGEIFS(Annonces!$T$2:$T$701,Annonces!$A$2:$A$701,$A59,Annonces!$E$2:$E$701,"En vente",Annonces!$T$2:$T$701,"&gt;="&amp;$H59,Annonces!$T$2:$T$701,"&lt;"&amp;$I59),"")</f>
        <v/>
      </c>
      <c r="H59" s="6" t="n">
        <v>150000</v>
      </c>
      <c r="I59" s="6" t="n">
        <v>200000</v>
      </c>
    </row>
  </sheetData>
  <autoFilter ref="A2:G59"/>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11" customWidth="1" min="3" max="3"/>
    <col width="13" customWidth="1" min="4" max="4"/>
    <col width="9" customWidth="1" min="5" max="5"/>
    <col width="12" customWidth="1" min="6" max="6"/>
    <col width="8" customWidth="1" min="7" max="7"/>
    <col width="16" customWidth="1" min="8" max="8"/>
    <col width="9" customWidth="1" min="9" max="9"/>
    <col width="11" customWidth="1" min="10" max="10"/>
  </cols>
  <sheetData>
    <row r="1" ht="30" customHeight="1">
      <c r="A1" s="9" t="inlineStr">
        <is>
          <t>Véhicule</t>
        </is>
      </c>
      <c r="B1" s="9" t="inlineStr">
        <is>
          <t>Titre</t>
        </is>
      </c>
      <c r="C1" s="9" t="inlineStr">
        <is>
          <t>Prix</t>
        </is>
      </c>
      <c r="D1" s="9" t="inlineStr">
        <is>
          <t>Cote attendue</t>
        </is>
      </c>
      <c r="E1" s="9" t="inlineStr">
        <is>
          <t>Décote</t>
        </is>
      </c>
      <c r="F1" s="9" t="inlineStr">
        <is>
          <t>Km</t>
        </is>
      </c>
      <c r="G1" s="9" t="inlineStr">
        <is>
          <t>Année</t>
        </is>
      </c>
      <c r="H1" s="9" t="inlineStr">
        <is>
          <t>Ville</t>
        </is>
      </c>
      <c r="I1" s="9" t="inlineStr">
        <is>
          <t>Annonce</t>
        </is>
      </c>
      <c r="J1" s="9" t="inlineStr">
        <is>
          <t>Relevé</t>
        </is>
      </c>
    </row>
    <row r="2">
      <c r="A2" s="10" t="inlineStr">
        <is>
          <t>Citroën Saxo VTS 16V</t>
        </is>
      </c>
      <c r="B2" s="10" t="inlineStr">
        <is>
          <t>Saxo vts</t>
        </is>
      </c>
      <c r="C2" s="12" t="n">
        <v>800</v>
      </c>
      <c r="D2" s="12" t="n">
        <v>8090</v>
      </c>
      <c r="E2" s="13">
        <f>IF(AND(ISNUMBER(C2),ISNUMBER(D2),D2&gt;0),1-C2/D2,"")</f>
        <v/>
      </c>
      <c r="F2" s="15" t="n">
        <v>100000</v>
      </c>
      <c r="G2" s="16" t="n">
        <v>2001</v>
      </c>
      <c r="H2" s="10" t="inlineStr">
        <is>
          <t>Chasseneuil</t>
        </is>
      </c>
      <c r="I2" s="19" t="inlineStr">
        <is>
          <t>Voir</t>
        </is>
      </c>
      <c r="J2" s="18" t="n">
        <v>46310</v>
      </c>
    </row>
    <row r="3">
      <c r="A3" s="10" t="inlineStr">
        <is>
          <t>Honda S2000</t>
        </is>
      </c>
      <c r="B3" s="10" t="inlineStr">
        <is>
          <t>MG MGF/MGTF TF 115 CV fiabilisée RHD + HARDTOP</t>
        </is>
      </c>
      <c r="C3" s="12" t="n">
        <v>4599</v>
      </c>
      <c r="D3" s="12" t="n">
        <v>21890</v>
      </c>
      <c r="E3" s="13">
        <f>IF(AND(ISNUMBER(C3),ISNUMBER(D3),D3&gt;0),1-C3/D3,"")</f>
        <v/>
      </c>
      <c r="F3" s="15" t="n">
        <v>147999</v>
      </c>
      <c r="G3" s="16" t="n">
        <v>2005</v>
      </c>
      <c r="H3" s="10" t="inlineStr">
        <is>
          <t>Salouël</t>
        </is>
      </c>
      <c r="I3" s="19" t="inlineStr">
        <is>
          <t>Voir</t>
        </is>
      </c>
      <c r="J3" s="18" t="n">
        <v>46310</v>
      </c>
    </row>
    <row r="4">
      <c r="A4" s="10" t="inlineStr">
        <is>
          <t>Citroën Saxo VTS 16V</t>
        </is>
      </c>
      <c r="B4" s="10" t="inlineStr">
        <is>
          <t>Saxo vts 1.6 8s</t>
        </is>
      </c>
      <c r="C4" s="12" t="n">
        <v>1600</v>
      </c>
      <c r="D4" s="12" t="n">
        <v>6280</v>
      </c>
      <c r="E4" s="13">
        <f>IF(AND(ISNUMBER(C4),ISNUMBER(D4),D4&gt;0),1-C4/D4,"")</f>
        <v/>
      </c>
      <c r="F4" s="15" t="n">
        <v>281740</v>
      </c>
      <c r="G4" s="16" t="n">
        <v>2003</v>
      </c>
      <c r="H4" s="10" t="inlineStr">
        <is>
          <t>Le Robert</t>
        </is>
      </c>
      <c r="I4" s="19" t="inlineStr">
        <is>
          <t>Voir</t>
        </is>
      </c>
      <c r="J4" s="18" t="n">
        <v>46310</v>
      </c>
    </row>
    <row r="5">
      <c r="A5" s="10" t="inlineStr">
        <is>
          <t>Mazda MX-5 NA</t>
        </is>
      </c>
      <c r="B5" s="10" t="inlineStr">
        <is>
          <t>Mazda Mx5 NA sans CT( à restaurer ou pièce)</t>
        </is>
      </c>
      <c r="C5" s="12" t="n">
        <v>3000</v>
      </c>
      <c r="D5" s="12" t="n">
        <v>10430</v>
      </c>
      <c r="E5" s="13">
        <f>IF(AND(ISNUMBER(C5),ISNUMBER(D5),D5&gt;0),1-C5/D5,"")</f>
        <v/>
      </c>
      <c r="F5" s="15" t="n">
        <v>205344</v>
      </c>
      <c r="G5" s="16" t="n">
        <v>1997</v>
      </c>
      <c r="H5" s="10" t="inlineStr">
        <is>
          <t>Les Villages Vovéens</t>
        </is>
      </c>
      <c r="I5" s="19" t="inlineStr">
        <is>
          <t>Voir</t>
        </is>
      </c>
      <c r="J5" s="18" t="n">
        <v>46310</v>
      </c>
    </row>
    <row r="6">
      <c r="A6" s="10" t="inlineStr">
        <is>
          <t>Citroën Saxo VTS 16V</t>
        </is>
      </c>
      <c r="B6" s="10" t="inlineStr">
        <is>
          <t>Citroën saxo vts</t>
        </is>
      </c>
      <c r="C6" s="12" t="n">
        <v>2500</v>
      </c>
      <c r="D6" s="12" t="n">
        <v>7450</v>
      </c>
      <c r="E6" s="13">
        <f>IF(AND(ISNUMBER(C6),ISNUMBER(D6),D6&gt;0),1-C6/D6,"")</f>
        <v/>
      </c>
      <c r="F6" s="15" t="n">
        <v>150000</v>
      </c>
      <c r="G6" s="16" t="n">
        <v>2000</v>
      </c>
      <c r="H6" s="10" t="inlineStr">
        <is>
          <t>Naintré</t>
        </is>
      </c>
      <c r="I6" s="19" t="inlineStr">
        <is>
          <t>Voir</t>
        </is>
      </c>
      <c r="J6" s="18" t="n">
        <v>46310</v>
      </c>
    </row>
    <row r="7">
      <c r="A7" s="10" t="inlineStr">
        <is>
          <t>Peugeot 306 S16</t>
        </is>
      </c>
      <c r="B7" s="10" t="inlineStr">
        <is>
          <t>Peugeot 306 1.8 16S XT Pack</t>
        </is>
      </c>
      <c r="C7" s="12" t="n">
        <v>3500</v>
      </c>
      <c r="D7" s="12" t="n">
        <v>9590</v>
      </c>
      <c r="E7" s="13">
        <f>IF(AND(ISNUMBER(C7),ISNUMBER(D7),D7&gt;0),1-C7/D7,"")</f>
        <v/>
      </c>
      <c r="F7" s="15" t="n">
        <v>235000</v>
      </c>
      <c r="G7" s="16" t="n">
        <v>2000</v>
      </c>
      <c r="H7" s="10" t="inlineStr">
        <is>
          <t>Nice</t>
        </is>
      </c>
      <c r="I7" s="19" t="inlineStr">
        <is>
          <t>Voir</t>
        </is>
      </c>
      <c r="J7" s="18" t="n">
        <v>46310</v>
      </c>
    </row>
    <row r="8">
      <c r="A8" s="10" t="inlineStr">
        <is>
          <t>Peugeot 306 S16</t>
        </is>
      </c>
      <c r="B8" s="10" t="inlineStr">
        <is>
          <t>306 xsi swap TCT</t>
        </is>
      </c>
      <c r="C8" s="12" t="n">
        <v>3500</v>
      </c>
      <c r="D8" s="12" t="n">
        <v>9420</v>
      </c>
      <c r="E8" s="13">
        <f>IF(AND(ISNUMBER(C8),ISNUMBER(D8),D8&gt;0),1-C8/D8,"")</f>
        <v/>
      </c>
      <c r="F8" s="15" t="n">
        <v>240000</v>
      </c>
      <c r="G8" s="16" t="n">
        <v>1996</v>
      </c>
      <c r="H8" s="10" t="inlineStr">
        <is>
          <t>Les Angles</t>
        </is>
      </c>
      <c r="I8" s="19" t="inlineStr">
        <is>
          <t>Voir</t>
        </is>
      </c>
      <c r="J8" s="18" t="n">
        <v>46310</v>
      </c>
    </row>
    <row r="9">
      <c r="A9" s="10" t="inlineStr">
        <is>
          <t>Honda S2000</t>
        </is>
      </c>
      <c r="B9" s="10" t="inlineStr">
        <is>
          <t>TOYOTA MR2 1.8 140 VVT-i 2005 - 110 430 km - Réfection complète peinture - sellerie - capote - pneus arrière neufs -</t>
        </is>
      </c>
      <c r="C9" s="12" t="n">
        <v>11990</v>
      </c>
      <c r="D9" s="12" t="n">
        <v>26500</v>
      </c>
      <c r="E9" s="13">
        <f>IF(AND(ISNUMBER(C9),ISNUMBER(D9),D9&gt;0),1-C9/D9,"")</f>
        <v/>
      </c>
      <c r="F9" s="15" t="n">
        <v>110430</v>
      </c>
      <c r="G9" s="16" t="n">
        <v>2005</v>
      </c>
      <c r="H9" s="10" t="inlineStr">
        <is>
          <t>Reims</t>
        </is>
      </c>
      <c r="I9" s="19" t="inlineStr">
        <is>
          <t>Voir</t>
        </is>
      </c>
      <c r="J9" s="18" t="n">
        <v>46310</v>
      </c>
    </row>
    <row r="10">
      <c r="A10" s="10" t="inlineStr">
        <is>
          <t>Peugeot 306 S16</t>
        </is>
      </c>
      <c r="B10" s="10" t="inlineStr">
        <is>
          <t>306</t>
        </is>
      </c>
      <c r="C10" s="12" t="n">
        <v>5200</v>
      </c>
      <c r="D10" s="12" t="n">
        <v>11490</v>
      </c>
      <c r="E10" s="13">
        <f>IF(AND(ISNUMBER(C10),ISNUMBER(D10),D10&gt;0),1-C10/D10,"")</f>
        <v/>
      </c>
      <c r="F10" s="15" t="n">
        <v>179800</v>
      </c>
      <c r="G10" s="16" t="n">
        <v>1997</v>
      </c>
      <c r="H10" s="10" t="inlineStr">
        <is>
          <t>Yenne</t>
        </is>
      </c>
      <c r="I10" s="19" t="inlineStr">
        <is>
          <t>Voir</t>
        </is>
      </c>
      <c r="J10" s="18" t="n">
        <v>46310</v>
      </c>
    </row>
    <row r="11">
      <c r="A11" s="10" t="inlineStr">
        <is>
          <t>Citroën Saxo VTS 16V</t>
        </is>
      </c>
      <c r="B11" s="10" t="inlineStr">
        <is>
          <t>Saxo vts DIESEL</t>
        </is>
      </c>
      <c r="C11" s="12" t="n">
        <v>3000</v>
      </c>
      <c r="D11" s="12" t="n">
        <v>6570</v>
      </c>
      <c r="E11" s="13">
        <f>IF(AND(ISNUMBER(C11),ISNUMBER(D11),D11&gt;0),1-C11/D11,"")</f>
        <v/>
      </c>
      <c r="F11" s="15" t="n">
        <v>220000</v>
      </c>
      <c r="G11" s="16" t="n">
        <v>2002</v>
      </c>
      <c r="H11" s="10" t="inlineStr">
        <is>
          <t>Thun-Saint-Amand</t>
        </is>
      </c>
      <c r="I11" s="19" t="inlineStr">
        <is>
          <t>Voir</t>
        </is>
      </c>
      <c r="J11" s="18" t="n">
        <v>46310</v>
      </c>
    </row>
    <row r="12">
      <c r="A12" s="10" t="inlineStr">
        <is>
          <t>Alfa Romeo 156 2.5 V6 24V</t>
        </is>
      </c>
      <c r="B12" s="10" t="inlineStr">
        <is>
          <t>Alfa 156 2.5 v6 GPL</t>
        </is>
      </c>
      <c r="C12" s="12" t="n">
        <v>3200</v>
      </c>
      <c r="D12" s="12" t="n">
        <v>6960</v>
      </c>
      <c r="E12" s="13">
        <f>IF(AND(ISNUMBER(C12),ISNUMBER(D12),D12&gt;0),1-C12/D12,"")</f>
        <v/>
      </c>
      <c r="F12" s="15" t="n">
        <v>202000</v>
      </c>
      <c r="G12" s="16" t="n">
        <v>1999</v>
      </c>
      <c r="H12" s="10" t="inlineStr">
        <is>
          <t>Romans</t>
        </is>
      </c>
      <c r="I12" s="19" t="inlineStr">
        <is>
          <t>Voir</t>
        </is>
      </c>
      <c r="J12" s="18" t="n">
        <v>46310</v>
      </c>
    </row>
    <row r="13">
      <c r="A13" s="10" t="inlineStr">
        <is>
          <t>Honda S2000</t>
        </is>
      </c>
      <c r="B13" s="10" t="inlineStr">
        <is>
          <t>Mazda Mx5 ROADSTER 1.8 MZR 125 ELEGANCE</t>
        </is>
      </c>
      <c r="C13" s="12" t="n">
        <v>12990</v>
      </c>
      <c r="D13" s="12" t="n">
        <v>27660</v>
      </c>
      <c r="E13" s="13">
        <f>IF(AND(ISNUMBER(C13),ISNUMBER(D13),D13&gt;0),1-C13/D13,"")</f>
        <v/>
      </c>
      <c r="F13" s="15" t="n">
        <v>101000</v>
      </c>
      <c r="G13" s="16" t="n">
        <v>2006</v>
      </c>
      <c r="H13" s="10" t="inlineStr">
        <is>
          <t>Creuzier-le-Vieux</t>
        </is>
      </c>
      <c r="I13" s="19" t="inlineStr">
        <is>
          <t>Voir</t>
        </is>
      </c>
      <c r="J13" s="18" t="n">
        <v>46310</v>
      </c>
    </row>
    <row r="14">
      <c r="A14" s="10" t="inlineStr">
        <is>
          <t>Mazda MX-5 NA</t>
        </is>
      </c>
      <c r="B14" s="10" t="inlineStr">
        <is>
          <t>Mazda MX5 NA</t>
        </is>
      </c>
      <c r="C14" s="12" t="n">
        <v>6000</v>
      </c>
      <c r="D14" s="12" t="n">
        <v>12290</v>
      </c>
      <c r="E14" s="13">
        <f>IF(AND(ISNUMBER(C14),ISNUMBER(D14),D14&gt;0),1-C14/D14,"")</f>
        <v/>
      </c>
      <c r="F14" s="15" t="n">
        <v>124100</v>
      </c>
      <c r="G14" s="16" t="n">
        <v>1991</v>
      </c>
      <c r="H14" s="10" t="inlineStr">
        <is>
          <t>Binic-Étables-sur-Mer</t>
        </is>
      </c>
      <c r="I14" s="19" t="inlineStr">
        <is>
          <t>Voir</t>
        </is>
      </c>
      <c r="J14" s="18" t="n">
        <v>46310</v>
      </c>
    </row>
    <row r="15">
      <c r="A15" s="10" t="inlineStr">
        <is>
          <t>Honda S2000</t>
        </is>
      </c>
      <c r="B15" s="10" t="inlineStr">
        <is>
          <t>Honda s2000</t>
        </is>
      </c>
      <c r="C15" s="12" t="n">
        <v>15000</v>
      </c>
      <c r="D15" s="12" t="n">
        <v>30560</v>
      </c>
      <c r="E15" s="13">
        <f>IF(AND(ISNUMBER(C15),ISNUMBER(D15),D15&gt;0),1-C15/D15,"")</f>
        <v/>
      </c>
      <c r="F15" s="15" t="n">
        <v>57000</v>
      </c>
      <c r="G15" s="16" t="n">
        <v>2006</v>
      </c>
      <c r="H15" s="10" t="inlineStr">
        <is>
          <t>Boussens</t>
        </is>
      </c>
      <c r="I15" s="19" t="inlineStr">
        <is>
          <t>Voir</t>
        </is>
      </c>
      <c r="J15" s="18" t="n">
        <v>46310</v>
      </c>
    </row>
    <row r="16">
      <c r="A16" s="10" t="inlineStr">
        <is>
          <t>Renault Clio II RS (172/182 ch)</t>
        </is>
      </c>
      <c r="B16" s="10" t="inlineStr">
        <is>
          <t>Clio 2 rs</t>
        </is>
      </c>
      <c r="C16" s="12" t="n">
        <v>4300</v>
      </c>
      <c r="D16" s="12" t="n">
        <v>8450</v>
      </c>
      <c r="E16" s="13">
        <f>IF(AND(ISNUMBER(C16),ISNUMBER(D16),D16&gt;0),1-C16/D16,"")</f>
        <v/>
      </c>
      <c r="F16" s="15" t="n">
        <v>200000</v>
      </c>
      <c r="G16" s="16" t="n">
        <v>2003</v>
      </c>
      <c r="H16" s="10" t="inlineStr">
        <is>
          <t>Saint-Louis</t>
        </is>
      </c>
      <c r="I16" s="19" t="inlineStr">
        <is>
          <t>Voir</t>
        </is>
      </c>
      <c r="J16" s="18" t="n">
        <v>46310</v>
      </c>
    </row>
    <row r="17">
      <c r="A17" s="10" t="inlineStr">
        <is>
          <t>Alfa Romeo 156 2.5 V6 24V</t>
        </is>
      </c>
      <c r="B17" s="10" t="inlineStr">
        <is>
          <t>Alfa Romeo 156 v6 SW 2.5</t>
        </is>
      </c>
      <c r="C17" s="12" t="n">
        <v>4000</v>
      </c>
      <c r="D17" s="12" t="n">
        <v>7740</v>
      </c>
      <c r="E17" s="13">
        <f>IF(AND(ISNUMBER(C17),ISNUMBER(D17),D17&gt;0),1-C17/D17,"")</f>
        <v/>
      </c>
      <c r="F17" s="15" t="n">
        <v>175000</v>
      </c>
      <c r="G17" s="16" t="n">
        <v>2004</v>
      </c>
      <c r="H17" s="10" t="inlineStr">
        <is>
          <t>Mortcerf</t>
        </is>
      </c>
      <c r="I17" s="19" t="inlineStr">
        <is>
          <t>Voir</t>
        </is>
      </c>
      <c r="J17" s="18" t="n">
        <v>46310</v>
      </c>
    </row>
    <row r="18">
      <c r="A18" s="10" t="inlineStr">
        <is>
          <t>Peugeot 306 S16</t>
        </is>
      </c>
      <c r="B18" s="10" t="inlineStr">
        <is>
          <t>205 piste</t>
        </is>
      </c>
      <c r="C18" s="12" t="n">
        <v>7000</v>
      </c>
      <c r="D18" s="12" t="n">
        <v>13460</v>
      </c>
      <c r="E18" s="13">
        <f>IF(AND(ISNUMBER(C18),ISNUMBER(D18),D18&gt;0),1-C18/D18,"")</f>
        <v/>
      </c>
      <c r="F18" s="15" t="n">
        <v>10000</v>
      </c>
      <c r="G18" s="16" t="n">
        <v>1995</v>
      </c>
      <c r="H18" s="10" t="inlineStr">
        <is>
          <t>Nemours</t>
        </is>
      </c>
      <c r="I18" s="19" t="inlineStr">
        <is>
          <t>Voir</t>
        </is>
      </c>
      <c r="J18" s="18" t="n">
        <v>46310</v>
      </c>
    </row>
    <row r="19">
      <c r="A19" s="10" t="inlineStr">
        <is>
          <t>Renault Clio II RS (172/182 ch)</t>
        </is>
      </c>
      <c r="B19" s="10" t="inlineStr">
        <is>
          <t>Renault Clio RS</t>
        </is>
      </c>
      <c r="C19" s="12" t="n">
        <v>4000</v>
      </c>
      <c r="D19" s="12" t="n">
        <v>7410</v>
      </c>
      <c r="E19" s="13">
        <f>IF(AND(ISNUMBER(C19),ISNUMBER(D19),D19&gt;0),1-C19/D19,"")</f>
        <v/>
      </c>
      <c r="F19" s="15" t="n">
        <v>220000</v>
      </c>
      <c r="G19" s="16" t="n">
        <v>2000</v>
      </c>
      <c r="H19" s="10" t="inlineStr">
        <is>
          <t>Cuinchy</t>
        </is>
      </c>
      <c r="I19" s="19" t="inlineStr">
        <is>
          <t>Voir</t>
        </is>
      </c>
      <c r="J19" s="18" t="n">
        <v>46310</v>
      </c>
    </row>
    <row r="20">
      <c r="A20" s="10" t="inlineStr">
        <is>
          <t>Peugeot 206 RC</t>
        </is>
      </c>
      <c r="B20" s="10" t="inlineStr">
        <is>
          <t>206 rc</t>
        </is>
      </c>
      <c r="C20" s="12" t="n">
        <v>5900</v>
      </c>
      <c r="D20" s="12" t="n">
        <v>10700</v>
      </c>
      <c r="E20" s="13">
        <f>IF(AND(ISNUMBER(C20),ISNUMBER(D20),D20&gt;0),1-C20/D20,"")</f>
        <v/>
      </c>
      <c r="F20" s="15" t="n">
        <v>159000</v>
      </c>
      <c r="G20" s="16" t="n">
        <v>2003</v>
      </c>
      <c r="H20" s="10" t="inlineStr">
        <is>
          <t>Tulle</t>
        </is>
      </c>
      <c r="I20" s="19" t="inlineStr">
        <is>
          <t>Voir</t>
        </is>
      </c>
      <c r="J20" s="18" t="n">
        <v>46310</v>
      </c>
    </row>
    <row r="21">
      <c r="A21" s="10" t="inlineStr">
        <is>
          <t>Peugeot 205 GTI</t>
        </is>
      </c>
      <c r="B21" s="10" t="inlineStr">
        <is>
          <t>205 gti</t>
        </is>
      </c>
      <c r="C21" s="12" t="n">
        <v>9990</v>
      </c>
      <c r="D21" s="12" t="n">
        <v>18020</v>
      </c>
      <c r="E21" s="13">
        <f>IF(AND(ISNUMBER(C21),ISNUMBER(D21),D21&gt;0),1-C21/D21,"")</f>
        <v/>
      </c>
      <c r="F21" s="15" t="n">
        <v>105650</v>
      </c>
      <c r="G21" s="16" t="n">
        <v>1993</v>
      </c>
      <c r="H21" s="10" t="inlineStr">
        <is>
          <t>Lambres-lez-Douai</t>
        </is>
      </c>
      <c r="I21" s="19" t="inlineStr">
        <is>
          <t>Voir</t>
        </is>
      </c>
      <c r="J21" s="18" t="n">
        <v>46310</v>
      </c>
    </row>
    <row r="22">
      <c r="A22" s="10" t="inlineStr">
        <is>
          <t>Citroën Saxo VTS 16V</t>
        </is>
      </c>
      <c r="B22" s="10" t="inlineStr">
        <is>
          <t>Saxo vts / 85000 km / a restaurer</t>
        </is>
      </c>
      <c r="C22" s="12" t="n">
        <v>4500</v>
      </c>
      <c r="D22" s="12" t="n">
        <v>8090</v>
      </c>
      <c r="E22" s="13">
        <f>IF(AND(ISNUMBER(C22),ISNUMBER(D22),D22&gt;0),1-C22/D22,"")</f>
        <v/>
      </c>
      <c r="F22" s="15" t="n">
        <v>85000</v>
      </c>
      <c r="G22" s="16" t="n">
        <v>1999</v>
      </c>
      <c r="H22" s="10" t="inlineStr">
        <is>
          <t>Taissy</t>
        </is>
      </c>
      <c r="I22" s="19" t="inlineStr">
        <is>
          <t>Voir</t>
        </is>
      </c>
      <c r="J22" s="18" t="n">
        <v>46310</v>
      </c>
    </row>
    <row r="23">
      <c r="A23" s="10" t="inlineStr">
        <is>
          <t>Mazda MX-5 NA</t>
        </is>
      </c>
      <c r="B23" s="10" t="inlineStr">
        <is>
          <t>Mazda mx5, mx-5,</t>
        </is>
      </c>
      <c r="C23" s="12" t="n">
        <v>6200</v>
      </c>
      <c r="D23" s="12" t="n">
        <v>10960</v>
      </c>
      <c r="E23" s="13">
        <f>IF(AND(ISNUMBER(C23),ISNUMBER(D23),D23&gt;0),1-C23/D23,"")</f>
        <v/>
      </c>
      <c r="F23" s="15" t="n">
        <v>182000</v>
      </c>
      <c r="G23" s="16" t="n">
        <v>1998</v>
      </c>
      <c r="H23" s="10" t="inlineStr">
        <is>
          <t>Saint-Alban-Leysse</t>
        </is>
      </c>
      <c r="I23" s="19" t="inlineStr">
        <is>
          <t>Voir</t>
        </is>
      </c>
      <c r="J23" s="18" t="n">
        <v>46310</v>
      </c>
    </row>
    <row r="24">
      <c r="A24" s="10" t="inlineStr">
        <is>
          <t>Peugeot 306 S16</t>
        </is>
      </c>
      <c r="B24" s="10" t="inlineStr">
        <is>
          <t>306 S16 phase 1 BV6 / 167 cv</t>
        </is>
      </c>
      <c r="C24" s="12" t="n">
        <v>6800</v>
      </c>
      <c r="D24" s="12" t="n">
        <v>12000</v>
      </c>
      <c r="E24" s="13">
        <f>IF(AND(ISNUMBER(C24),ISNUMBER(D24),D24&gt;0),1-C24/D24,"")</f>
        <v/>
      </c>
      <c r="F24" s="15" t="n">
        <v>165000</v>
      </c>
      <c r="G24" s="16" t="n">
        <v>1996</v>
      </c>
      <c r="H24" s="10" t="inlineStr">
        <is>
          <t>Pithiviers</t>
        </is>
      </c>
      <c r="I24" s="19" t="inlineStr">
        <is>
          <t>Voir</t>
        </is>
      </c>
      <c r="J24" s="18" t="n">
        <v>46310</v>
      </c>
    </row>
    <row r="25">
      <c r="A25" s="10" t="inlineStr">
        <is>
          <t>Peugeot 205 GTI</t>
        </is>
      </c>
      <c r="B25" s="10" t="inlineStr">
        <is>
          <t>205 gti</t>
        </is>
      </c>
      <c r="C25" s="12" t="n">
        <v>9800</v>
      </c>
      <c r="D25" s="12" t="n">
        <v>17250</v>
      </c>
      <c r="E25" s="13">
        <f>IF(AND(ISNUMBER(C25),ISNUMBER(D25),D25&gt;0),1-C25/D25,"")</f>
        <v/>
      </c>
      <c r="F25" s="15" t="n">
        <v>163000</v>
      </c>
      <c r="G25" s="16" t="n">
        <v>1986</v>
      </c>
      <c r="H25" s="10" t="inlineStr">
        <is>
          <t>Chalvraines</t>
        </is>
      </c>
      <c r="I25" s="19" t="inlineStr">
        <is>
          <t>Voir</t>
        </is>
      </c>
      <c r="J25" s="18" t="n">
        <v>46310</v>
      </c>
    </row>
    <row r="26">
      <c r="A26" s="10" t="inlineStr">
        <is>
          <t>Honda S2000</t>
        </is>
      </c>
      <c r="B26" s="10" t="inlineStr">
        <is>
          <t>Honda S2000</t>
        </is>
      </c>
      <c r="C26" s="12" t="n">
        <v>13000</v>
      </c>
      <c r="D26" s="12" t="n">
        <v>22870</v>
      </c>
      <c r="E26" s="13">
        <f>IF(AND(ISNUMBER(C26),ISNUMBER(D26),D26&gt;0),1-C26/D26,"")</f>
        <v/>
      </c>
      <c r="F26" s="15" t="n">
        <v>140000</v>
      </c>
      <c r="G26" s="16" t="n">
        <v>2006</v>
      </c>
      <c r="H26" s="10" t="inlineStr">
        <is>
          <t>Lens</t>
        </is>
      </c>
      <c r="I26" s="19" t="inlineStr">
        <is>
          <t>Voir</t>
        </is>
      </c>
      <c r="J26" s="18" t="n">
        <v>46310</v>
      </c>
    </row>
    <row r="27">
      <c r="A27" s="10" t="inlineStr">
        <is>
          <t>Mazda MX-5 NA</t>
        </is>
      </c>
      <c r="B27" s="10" t="inlineStr">
        <is>
          <t>Mazda mx5</t>
        </is>
      </c>
      <c r="C27" s="12" t="n">
        <v>7000</v>
      </c>
      <c r="D27" s="12" t="n">
        <v>12240</v>
      </c>
      <c r="E27" s="13">
        <f>IF(AND(ISNUMBER(C27),ISNUMBER(D27),D27&gt;0),1-C27/D27,"")</f>
        <v/>
      </c>
      <c r="F27" s="15" t="n">
        <v>126500</v>
      </c>
      <c r="G27" s="16" t="n">
        <v>1998</v>
      </c>
      <c r="H27" s="10" t="inlineStr">
        <is>
          <t>Segré-en-Anjou Bleu</t>
        </is>
      </c>
      <c r="I27" s="19" t="inlineStr">
        <is>
          <t>Voir</t>
        </is>
      </c>
      <c r="J27" s="18" t="n">
        <v>46310</v>
      </c>
    </row>
    <row r="28">
      <c r="A28" s="10" t="inlineStr">
        <is>
          <t>Mazda MX-5 NA</t>
        </is>
      </c>
      <c r="B28" s="10" t="inlineStr">
        <is>
          <t>Mazda MX5</t>
        </is>
      </c>
      <c r="C28" s="12" t="n">
        <v>6000</v>
      </c>
      <c r="D28" s="12" t="n">
        <v>10480</v>
      </c>
      <c r="E28" s="13">
        <f>IF(AND(ISNUMBER(C28),ISNUMBER(D28),D28&gt;0),1-C28/D28,"")</f>
        <v/>
      </c>
      <c r="F28" s="15" t="n">
        <v>203000</v>
      </c>
      <c r="G28" s="16" t="n">
        <v>1991</v>
      </c>
      <c r="H28" s="10" t="inlineStr">
        <is>
          <t>La Clisse</t>
        </is>
      </c>
      <c r="I28" s="19" t="inlineStr">
        <is>
          <t>Voir</t>
        </is>
      </c>
      <c r="J28" s="18" t="n">
        <v>46310</v>
      </c>
    </row>
    <row r="29">
      <c r="A29" s="10" t="inlineStr">
        <is>
          <t>Peugeot 205 GTI</t>
        </is>
      </c>
      <c r="B29" s="10" t="inlineStr">
        <is>
          <t>205 gti 1,6 105</t>
        </is>
      </c>
      <c r="C29" s="12" t="n">
        <v>9990</v>
      </c>
      <c r="D29" s="12" t="n">
        <v>16750</v>
      </c>
      <c r="E29" s="13">
        <f>IF(AND(ISNUMBER(C29),ISNUMBER(D29),D29&gt;0),1-C29/D29,"")</f>
        <v/>
      </c>
      <c r="F29" s="15" t="n">
        <v>200000</v>
      </c>
      <c r="G29" s="16" t="n">
        <v>1985</v>
      </c>
      <c r="H29" s="10" t="inlineStr">
        <is>
          <t>Onet-le-Château</t>
        </is>
      </c>
      <c r="I29" s="19" t="inlineStr">
        <is>
          <t>Voir</t>
        </is>
      </c>
      <c r="J29" s="18" t="n">
        <v>46310</v>
      </c>
    </row>
    <row r="30">
      <c r="A30" s="10" t="inlineStr">
        <is>
          <t>Peugeot 206 RC</t>
        </is>
      </c>
      <c r="B30" s="10" t="inlineStr">
        <is>
          <t>Vends 206 RC</t>
        </is>
      </c>
      <c r="C30" s="12" t="n">
        <v>6000</v>
      </c>
      <c r="D30" s="12" t="n">
        <v>9770</v>
      </c>
      <c r="E30" s="13">
        <f>IF(AND(ISNUMBER(C30),ISNUMBER(D30),D30&gt;0),1-C30/D30,"")</f>
        <v/>
      </c>
      <c r="F30" s="15" t="n">
        <v>183000</v>
      </c>
      <c r="G30" s="16" t="n">
        <v>2004</v>
      </c>
      <c r="H30" s="10" t="inlineStr">
        <is>
          <t>Uzès</t>
        </is>
      </c>
      <c r="I30" s="19" t="inlineStr">
        <is>
          <t>Voir</t>
        </is>
      </c>
      <c r="J30" s="18" t="n">
        <v>46310</v>
      </c>
    </row>
    <row r="31">
      <c r="A31" s="10" t="inlineStr">
        <is>
          <t>Renault Clio II RS (172/182 ch)</t>
        </is>
      </c>
      <c r="B31" s="10" t="inlineStr">
        <is>
          <t>Clio rs</t>
        </is>
      </c>
      <c r="C31" s="12" t="n">
        <v>7300</v>
      </c>
      <c r="D31" s="12" t="n">
        <v>11760</v>
      </c>
      <c r="E31" s="13">
        <f>IF(AND(ISNUMBER(C31),ISNUMBER(D31),D31&gt;0),1-C31/D31,"")</f>
        <v/>
      </c>
      <c r="F31" s="15" t="n">
        <v>136000</v>
      </c>
      <c r="G31" s="16" t="n">
        <v>2001</v>
      </c>
      <c r="H31" s="10" t="inlineStr">
        <is>
          <t>Saint-Laurent-du-Var</t>
        </is>
      </c>
      <c r="I31" s="19" t="inlineStr">
        <is>
          <t>Voir</t>
        </is>
      </c>
      <c r="J31" s="18" t="n">
        <v>46310</v>
      </c>
    </row>
    <row r="32">
      <c r="A32" s="10" t="inlineStr">
        <is>
          <t>Renault Twingo 1 découvrable</t>
        </is>
      </c>
      <c r="B32" s="10" t="inlineStr">
        <is>
          <t>Voiture twingo</t>
        </is>
      </c>
      <c r="C32" s="12" t="n">
        <v>2000</v>
      </c>
      <c r="D32" s="12" t="n">
        <v>3140</v>
      </c>
      <c r="E32" s="13">
        <f>IF(AND(ISNUMBER(C32),ISNUMBER(D32),D32&gt;0),1-C32/D32,"")</f>
        <v/>
      </c>
      <c r="F32" s="15" t="n">
        <v>173962</v>
      </c>
      <c r="G32" s="16" t="n">
        <v>1997</v>
      </c>
      <c r="H32" s="10" t="inlineStr">
        <is>
          <t>La Crèche</t>
        </is>
      </c>
      <c r="I32" s="19" t="inlineStr">
        <is>
          <t>Voir</t>
        </is>
      </c>
      <c r="J32" s="18" t="n">
        <v>46310</v>
      </c>
    </row>
    <row r="33">
      <c r="A33" s="10" t="inlineStr">
        <is>
          <t>Peugeot 205 GTI</t>
        </is>
      </c>
      <c r="B33" s="10" t="inlineStr">
        <is>
          <t>205 gti</t>
        </is>
      </c>
      <c r="C33" s="12" t="n">
        <v>10000</v>
      </c>
      <c r="D33" s="12" t="n">
        <v>15630</v>
      </c>
      <c r="E33" s="13">
        <f>IF(AND(ISNUMBER(C33),ISNUMBER(D33),D33&gt;0),1-C33/D33,"")</f>
        <v/>
      </c>
      <c r="F33" s="15" t="n">
        <v>358000</v>
      </c>
      <c r="G33" s="16" t="n">
        <v>1985</v>
      </c>
      <c r="H33" s="10" t="inlineStr">
        <is>
          <t>Saint-Gilles</t>
        </is>
      </c>
      <c r="I33" s="19" t="inlineStr">
        <is>
          <t>Voir</t>
        </is>
      </c>
      <c r="J33" s="18" t="n">
        <v>46310</v>
      </c>
    </row>
    <row r="34">
      <c r="A34" s="10" t="inlineStr">
        <is>
          <t>Renault Clio II RS (172/182 ch)</t>
        </is>
      </c>
      <c r="B34" s="10" t="inlineStr">
        <is>
          <t>RENAULT CLIO RS 2.0 16v , 168000km</t>
        </is>
      </c>
      <c r="C34" s="12" t="n">
        <v>6490</v>
      </c>
      <c r="D34" s="12" t="n">
        <v>10110</v>
      </c>
      <c r="E34" s="13">
        <f>IF(AND(ISNUMBER(C34),ISNUMBER(D34),D34&gt;0),1-C34/D34,"")</f>
        <v/>
      </c>
      <c r="F34" s="15" t="n">
        <v>168000</v>
      </c>
      <c r="G34" s="16" t="n">
        <v>2001</v>
      </c>
      <c r="H34" s="10" t="inlineStr">
        <is>
          <t>Durrenbach</t>
        </is>
      </c>
      <c r="I34" s="19" t="inlineStr">
        <is>
          <t>Voir</t>
        </is>
      </c>
      <c r="J34" s="18" t="n">
        <v>46310</v>
      </c>
    </row>
    <row r="35">
      <c r="A35" s="10" t="inlineStr">
        <is>
          <t>Alfa Romeo 156 2.5 V6 24V</t>
        </is>
      </c>
      <c r="B35" s="10" t="inlineStr">
        <is>
          <t>Alfa romeo 166 v6 busso 2003</t>
        </is>
      </c>
      <c r="C35" s="12" t="n">
        <v>4390</v>
      </c>
      <c r="D35" s="12" t="n">
        <v>6790</v>
      </c>
      <c r="E35" s="13">
        <f>IF(AND(ISNUMBER(C35),ISNUMBER(D35),D35&gt;0),1-C35/D35,"")</f>
        <v/>
      </c>
      <c r="F35" s="15" t="n">
        <v>207800</v>
      </c>
      <c r="G35" s="16" t="n">
        <v>2003</v>
      </c>
      <c r="H35" s="10" t="inlineStr">
        <is>
          <t>Lapalisse</t>
        </is>
      </c>
      <c r="I35" s="19" t="inlineStr">
        <is>
          <t>Voir</t>
        </is>
      </c>
      <c r="J35" s="18" t="n">
        <v>46310</v>
      </c>
    </row>
    <row r="36">
      <c r="A36" s="10" t="inlineStr">
        <is>
          <t>Peugeot 205 GTI</t>
        </is>
      </c>
      <c r="B36" s="10" t="inlineStr">
        <is>
          <t>Peugeot 205 1.6 GTI 105CH</t>
        </is>
      </c>
      <c r="C36" s="12" t="n">
        <v>12000</v>
      </c>
      <c r="D36" s="12" t="n">
        <v>18270</v>
      </c>
      <c r="E36" s="13">
        <f>IF(AND(ISNUMBER(C36),ISNUMBER(D36),D36&gt;0),1-C36/D36,"")</f>
        <v/>
      </c>
      <c r="F36" s="15" t="n">
        <v>87105</v>
      </c>
      <c r="G36" s="16" t="n">
        <v>1986</v>
      </c>
      <c r="H36" s="10" t="inlineStr">
        <is>
          <t>Launaguet</t>
        </is>
      </c>
      <c r="I36" s="19" t="inlineStr">
        <is>
          <t>Voir</t>
        </is>
      </c>
      <c r="J36" s="18" t="n">
        <v>46310</v>
      </c>
    </row>
    <row r="37">
      <c r="A37" s="10" t="inlineStr">
        <is>
          <t>BMW Z3 1.9i / 2.0i</t>
        </is>
      </c>
      <c r="B37" s="10" t="inlineStr">
        <is>
          <t>BMW z3</t>
        </is>
      </c>
      <c r="C37" s="12" t="n">
        <v>7000</v>
      </c>
      <c r="D37" s="12" t="n">
        <v>10510</v>
      </c>
      <c r="E37" s="13">
        <f>IF(AND(ISNUMBER(C37),ISNUMBER(D37),D37&gt;0),1-C37/D37,"")</f>
        <v/>
      </c>
      <c r="F37" s="15" t="n">
        <v>158652</v>
      </c>
      <c r="G37" s="16" t="n">
        <v>1999</v>
      </c>
      <c r="H37" s="10" t="inlineStr">
        <is>
          <t>Mallemort</t>
        </is>
      </c>
      <c r="I37" s="19" t="inlineStr">
        <is>
          <t>Voir</t>
        </is>
      </c>
      <c r="J37" s="18" t="n">
        <v>46310</v>
      </c>
    </row>
    <row r="38">
      <c r="A38" s="10" t="inlineStr">
        <is>
          <t>Renault Clio II RS (172/182 ch)</t>
        </is>
      </c>
      <c r="B38" s="10" t="inlineStr">
        <is>
          <t>Renault clio rs</t>
        </is>
      </c>
      <c r="C38" s="12" t="n">
        <v>6500</v>
      </c>
      <c r="D38" s="12" t="n">
        <v>9740</v>
      </c>
      <c r="E38" s="13">
        <f>IF(AND(ISNUMBER(C38),ISNUMBER(D38),D38&gt;0),1-C38/D38,"")</f>
        <v/>
      </c>
      <c r="F38" s="15" t="n">
        <v>175000</v>
      </c>
      <c r="G38" s="16" t="n">
        <v>2001</v>
      </c>
      <c r="H38" s="10" t="inlineStr">
        <is>
          <t>Saint-Ambroix</t>
        </is>
      </c>
      <c r="I38" s="19" t="inlineStr">
        <is>
          <t>Voir</t>
        </is>
      </c>
      <c r="J38" s="18" t="n">
        <v>46310</v>
      </c>
    </row>
    <row r="39">
      <c r="A39" s="10" t="inlineStr">
        <is>
          <t>Porsche Boxster 987</t>
        </is>
      </c>
      <c r="B39" s="10" t="inlineStr">
        <is>
          <t>Porsche boxster 987</t>
        </is>
      </c>
      <c r="C39" s="12" t="n">
        <v>20000</v>
      </c>
      <c r="D39" s="12" t="n">
        <v>29230</v>
      </c>
      <c r="E39" s="13">
        <f>IF(AND(ISNUMBER(C39),ISNUMBER(D39),D39&gt;0),1-C39/D39,"")</f>
        <v/>
      </c>
      <c r="F39" s="15" t="n">
        <v>116000</v>
      </c>
      <c r="G39" s="16" t="n">
        <v>2005</v>
      </c>
      <c r="H39" s="10" t="inlineStr">
        <is>
          <t>Sèvremoine</t>
        </is>
      </c>
      <c r="I39" s="19" t="inlineStr">
        <is>
          <t>Voir</t>
        </is>
      </c>
      <c r="J39" s="18" t="n">
        <v>46310</v>
      </c>
    </row>
    <row r="40">
      <c r="A40" s="10" t="inlineStr">
        <is>
          <t>Peugeot 206 RC</t>
        </is>
      </c>
      <c r="B40" s="10" t="inlineStr">
        <is>
          <t>206 rc</t>
        </is>
      </c>
      <c r="C40" s="12" t="n">
        <v>6900</v>
      </c>
      <c r="D40" s="12" t="n">
        <v>10080</v>
      </c>
      <c r="E40" s="13">
        <f>IF(AND(ISNUMBER(C40),ISNUMBER(D40),D40&gt;0),1-C40/D40,"")</f>
        <v/>
      </c>
      <c r="F40" s="15" t="n">
        <v>175000</v>
      </c>
      <c r="G40" s="16" t="n">
        <v>2004</v>
      </c>
      <c r="H40" s="10" t="inlineStr">
        <is>
          <t>Plouigneau</t>
        </is>
      </c>
      <c r="I40" s="19" t="inlineStr">
        <is>
          <t>Voir</t>
        </is>
      </c>
      <c r="J40" s="18" t="n">
        <v>46310</v>
      </c>
    </row>
    <row r="41">
      <c r="A41" s="10" t="inlineStr">
        <is>
          <t>Renault Twingo 1 découvrable</t>
        </is>
      </c>
      <c r="B41" s="10" t="inlineStr">
        <is>
          <t>Twingo phase 2 1.2I 16V 75vh toit ouvrant</t>
        </is>
      </c>
      <c r="C41" s="12" t="n">
        <v>1990</v>
      </c>
      <c r="D41" s="12" t="n">
        <v>2840</v>
      </c>
      <c r="E41" s="13">
        <f>IF(AND(ISNUMBER(C41),ISNUMBER(D41),D41&gt;0),1-C41/D41,"")</f>
        <v/>
      </c>
      <c r="F41" s="15" t="n">
        <v>193000</v>
      </c>
      <c r="G41" s="16" t="n">
        <v>2001</v>
      </c>
      <c r="H41" s="10" t="inlineStr">
        <is>
          <t>Grenoble</t>
        </is>
      </c>
      <c r="I41" s="19" t="inlineStr">
        <is>
          <t>Voir</t>
        </is>
      </c>
      <c r="J41" s="18" t="n">
        <v>46310</v>
      </c>
    </row>
    <row r="42">
      <c r="A42" s="10" t="inlineStr">
        <is>
          <t>Renault Twingo 1 découvrable</t>
        </is>
      </c>
      <c r="B42" s="10" t="inlineStr">
        <is>
          <t>Renault Twingo 1.2 16V 75 ch Initiale – Toit ouvrant</t>
        </is>
      </c>
      <c r="C42" s="12" t="n">
        <v>2200</v>
      </c>
      <c r="D42" s="12" t="n">
        <v>3120</v>
      </c>
      <c r="E42" s="13">
        <f>IF(AND(ISNUMBER(C42),ISNUMBER(D42),D42&gt;0),1-C42/D42,"")</f>
        <v/>
      </c>
      <c r="F42" s="15" t="n">
        <v>175395</v>
      </c>
      <c r="G42" s="16" t="n">
        <v>2003</v>
      </c>
      <c r="H42" s="10" t="inlineStr">
        <is>
          <t>Suresnes</t>
        </is>
      </c>
      <c r="I42" s="19" t="inlineStr">
        <is>
          <t>Voir</t>
        </is>
      </c>
      <c r="J42" s="18" t="n">
        <v>46310</v>
      </c>
    </row>
    <row r="43">
      <c r="A43" s="10" t="inlineStr">
        <is>
          <t>Porsche Boxster 986</t>
        </is>
      </c>
      <c r="B43" s="10" t="inlineStr">
        <is>
          <t>Porsche boxster 986 2.5</t>
        </is>
      </c>
      <c r="C43" s="12" t="n">
        <v>10999</v>
      </c>
      <c r="D43" s="12" t="n">
        <v>15460</v>
      </c>
      <c r="E43" s="13">
        <f>IF(AND(ISNUMBER(C43),ISNUMBER(D43),D43&gt;0),1-C43/D43,"")</f>
        <v/>
      </c>
      <c r="F43" s="15" t="n">
        <v>212000</v>
      </c>
      <c r="G43" s="16" t="n">
        <v>1997</v>
      </c>
      <c r="H43" s="10" t="inlineStr">
        <is>
          <t>Sarrebourg</t>
        </is>
      </c>
      <c r="I43" s="19" t="inlineStr">
        <is>
          <t>Voir</t>
        </is>
      </c>
      <c r="J43" s="18" t="n">
        <v>46310</v>
      </c>
    </row>
    <row r="44">
      <c r="A44" s="10" t="inlineStr">
        <is>
          <t>Porsche Boxster 987</t>
        </is>
      </c>
      <c r="B44" s="10" t="inlineStr">
        <is>
          <t>Porsche BOXSTER (987) 2.7 240CH</t>
        </is>
      </c>
      <c r="C44" s="12" t="n">
        <v>19900</v>
      </c>
      <c r="D44" s="12" t="n">
        <v>27820</v>
      </c>
      <c r="E44" s="13">
        <f>IF(AND(ISNUMBER(C44),ISNUMBER(D44),D44&gt;0),1-C44/D44,"")</f>
        <v/>
      </c>
      <c r="F44" s="15" t="n">
        <v>134200</v>
      </c>
      <c r="G44" s="16" t="n">
        <v>2005</v>
      </c>
      <c r="H44" s="10" t="inlineStr">
        <is>
          <t>Val de Virvée</t>
        </is>
      </c>
      <c r="I44" s="19" t="inlineStr">
        <is>
          <t>Voir</t>
        </is>
      </c>
      <c r="J44" s="18" t="n">
        <v>46310</v>
      </c>
    </row>
    <row r="45">
      <c r="A45" s="10" t="inlineStr">
        <is>
          <t>Renault Twingo 1 découvrable</t>
        </is>
      </c>
      <c r="B45" s="10" t="inlineStr">
        <is>
          <t>Renault Twingo 1 16v</t>
        </is>
      </c>
      <c r="C45" s="12" t="n">
        <v>2000</v>
      </c>
      <c r="D45" s="12" t="n">
        <v>2790</v>
      </c>
      <c r="E45" s="13">
        <f>IF(AND(ISNUMBER(C45),ISNUMBER(D45),D45&gt;0),1-C45/D45,"")</f>
        <v/>
      </c>
      <c r="F45" s="15" t="n">
        <v>196000</v>
      </c>
      <c r="G45" s="16" t="n">
        <v>2002</v>
      </c>
      <c r="H45" s="10" t="inlineStr">
        <is>
          <t>Anglet</t>
        </is>
      </c>
      <c r="I45" s="19" t="inlineStr">
        <is>
          <t>Voir</t>
        </is>
      </c>
      <c r="J45" s="18" t="n">
        <v>46310</v>
      </c>
    </row>
    <row r="46">
      <c r="A46" s="10" t="inlineStr">
        <is>
          <t>Porsche Boxster 986</t>
        </is>
      </c>
      <c r="B46" s="10" t="inlineStr">
        <is>
          <t>Porsche Boxster 986</t>
        </is>
      </c>
      <c r="C46" s="12" t="n">
        <v>14000</v>
      </c>
      <c r="D46" s="12" t="n">
        <v>19200</v>
      </c>
      <c r="E46" s="13">
        <f>IF(AND(ISNUMBER(C46),ISNUMBER(D46),D46&gt;0),1-C46/D46,"")</f>
        <v/>
      </c>
      <c r="F46" s="15" t="n">
        <v>131500</v>
      </c>
      <c r="G46" s="16" t="n">
        <v>1999</v>
      </c>
      <c r="H46" s="10" t="inlineStr">
        <is>
          <t>Montpellier</t>
        </is>
      </c>
      <c r="I46" s="19" t="inlineStr">
        <is>
          <t>Voir</t>
        </is>
      </c>
      <c r="J46" s="18" t="n">
        <v>46310</v>
      </c>
    </row>
    <row r="47">
      <c r="A47" s="10" t="inlineStr">
        <is>
          <t>Peugeot 206 RC</t>
        </is>
      </c>
      <c r="B47" s="10" t="inlineStr">
        <is>
          <t>206 rc</t>
        </is>
      </c>
      <c r="C47" s="12" t="n">
        <v>6200</v>
      </c>
      <c r="D47" s="12" t="n">
        <v>8500</v>
      </c>
      <c r="E47" s="13">
        <f>IF(AND(ISNUMBER(C47),ISNUMBER(D47),D47&gt;0),1-C47/D47,"")</f>
        <v/>
      </c>
      <c r="F47" s="15" t="n">
        <v>215500</v>
      </c>
      <c r="G47" s="16" t="n">
        <v>2005</v>
      </c>
      <c r="H47" s="10" t="inlineStr">
        <is>
          <t>Coulonges-sur-Sarthe</t>
        </is>
      </c>
      <c r="I47" s="19" t="inlineStr">
        <is>
          <t>Voir</t>
        </is>
      </c>
      <c r="J47" s="18" t="n">
        <v>46310</v>
      </c>
    </row>
    <row r="48">
      <c r="A48" s="10" t="inlineStr">
        <is>
          <t>BMW Z3 1.9i / 2.0i</t>
        </is>
      </c>
      <c r="B48" s="10" t="inlineStr">
        <is>
          <t>BMW z3</t>
        </is>
      </c>
      <c r="C48" s="12" t="n">
        <v>7800</v>
      </c>
      <c r="D48" s="12" t="n">
        <v>10660</v>
      </c>
      <c r="E48" s="13">
        <f>IF(AND(ISNUMBER(C48),ISNUMBER(D48),D48&gt;0),1-C48/D48,"")</f>
        <v/>
      </c>
      <c r="F48" s="15" t="n">
        <v>148000</v>
      </c>
      <c r="G48" s="16" t="n">
        <v>1998</v>
      </c>
      <c r="H48" s="10" t="inlineStr">
        <is>
          <t>Saint-Gingolph</t>
        </is>
      </c>
      <c r="I48" s="19" t="inlineStr">
        <is>
          <t>Voir</t>
        </is>
      </c>
      <c r="J48" s="18" t="n">
        <v>46310</v>
      </c>
    </row>
    <row r="49">
      <c r="A49" s="10" t="inlineStr">
        <is>
          <t>Porsche Boxster 986</t>
        </is>
      </c>
      <c r="B49" s="10" t="inlineStr">
        <is>
          <t>Porsche Boxster 986</t>
        </is>
      </c>
      <c r="C49" s="12" t="n">
        <v>11450</v>
      </c>
      <c r="D49" s="12" t="n">
        <v>15460</v>
      </c>
      <c r="E49" s="13">
        <f>IF(AND(ISNUMBER(C49),ISNUMBER(D49),D49&gt;0),1-C49/D49,"")</f>
        <v/>
      </c>
      <c r="F49" s="15" t="n">
        <v>238000</v>
      </c>
      <c r="G49" s="16" t="n">
        <v>1997</v>
      </c>
      <c r="H49" s="10" t="inlineStr">
        <is>
          <t>Étalans</t>
        </is>
      </c>
      <c r="I49" s="19" t="inlineStr">
        <is>
          <t>Voir</t>
        </is>
      </c>
      <c r="J49" s="18" t="n">
        <v>46310</v>
      </c>
    </row>
    <row r="50">
      <c r="A50" s="10" t="inlineStr">
        <is>
          <t>Renault Twingo 1 découvrable</t>
        </is>
      </c>
      <c r="B50" s="10" t="inlineStr">
        <is>
          <t>Twingo 1.2 hélios toit ouvrant</t>
        </is>
      </c>
      <c r="C50" s="12" t="n">
        <v>2200</v>
      </c>
      <c r="D50" s="12" t="n">
        <v>2950</v>
      </c>
      <c r="E50" s="13">
        <f>IF(AND(ISNUMBER(C50),ISNUMBER(D50),D50&gt;0),1-C50/D50,"")</f>
        <v/>
      </c>
      <c r="F50" s="15" t="n">
        <v>186000</v>
      </c>
      <c r="G50" s="16" t="n">
        <v>2000</v>
      </c>
      <c r="H50" s="10" t="inlineStr">
        <is>
          <t>Meaux</t>
        </is>
      </c>
      <c r="I50" s="19" t="inlineStr">
        <is>
          <t>Voir</t>
        </is>
      </c>
      <c r="J50" s="18" t="n">
        <v>46310</v>
      </c>
    </row>
    <row r="51">
      <c r="A51" s="10" t="inlineStr">
        <is>
          <t>Renault Mégane II RS R26</t>
        </is>
      </c>
      <c r="B51" s="10" t="inlineStr">
        <is>
          <t>Renault megane rs 2.0t 16v 230 f1 team r26 numerotee 41mkm</t>
        </is>
      </c>
      <c r="C51" s="12" t="n">
        <v>19900</v>
      </c>
      <c r="D51" s="12" t="n">
        <v>26410</v>
      </c>
      <c r="E51" s="13">
        <f>IF(AND(ISNUMBER(C51),ISNUMBER(D51),D51&gt;0),1-C51/D51,"")</f>
        <v/>
      </c>
      <c r="F51" s="15" t="n">
        <v>41461</v>
      </c>
      <c r="G51" s="16" t="n">
        <v>2007</v>
      </c>
      <c r="H51" s="10" t="inlineStr">
        <is>
          <t>Sorgues</t>
        </is>
      </c>
      <c r="I51" s="19" t="inlineStr">
        <is>
          <t>Voir</t>
        </is>
      </c>
      <c r="J51" s="18" t="n">
        <v>46310</v>
      </c>
    </row>
    <row r="52">
      <c r="A52" s="10" t="inlineStr">
        <is>
          <t>Porsche Boxster 987</t>
        </is>
      </c>
      <c r="B52" s="10" t="inlineStr">
        <is>
          <t>PORSCHE BOXSTER 987 2.7i 240 CH boite manuelle - Entretien Porsche - Test Piwi - Immat France</t>
        </is>
      </c>
      <c r="C52" s="12" t="n">
        <v>23490</v>
      </c>
      <c r="D52" s="12" t="n">
        <v>30670</v>
      </c>
      <c r="E52" s="13">
        <f>IF(AND(ISNUMBER(C52),ISNUMBER(D52),D52&gt;0),1-C52/D52,"")</f>
        <v/>
      </c>
      <c r="F52" s="15" t="n">
        <v>97500</v>
      </c>
      <c r="G52" s="16" t="n">
        <v>2005</v>
      </c>
      <c r="H52" s="10" t="inlineStr">
        <is>
          <t>Lozanne</t>
        </is>
      </c>
      <c r="I52" s="19" t="inlineStr">
        <is>
          <t>Voir</t>
        </is>
      </c>
      <c r="J52" s="18" t="n">
        <v>46310</v>
      </c>
    </row>
    <row r="53">
      <c r="A53" s="10" t="inlineStr">
        <is>
          <t>Porsche Boxster 986</t>
        </is>
      </c>
      <c r="B53" s="10" t="inlineStr">
        <is>
          <t>Porsche boxster 986</t>
        </is>
      </c>
      <c r="C53" s="12" t="n">
        <v>12000</v>
      </c>
      <c r="D53" s="12" t="n">
        <v>15490</v>
      </c>
      <c r="E53" s="13">
        <f>IF(AND(ISNUMBER(C53),ISNUMBER(D53),D53&gt;0),1-C53/D53,"")</f>
        <v/>
      </c>
      <c r="F53" s="15" t="n">
        <v>192000</v>
      </c>
      <c r="G53" s="16" t="n">
        <v>1998</v>
      </c>
      <c r="H53" s="10" t="inlineStr">
        <is>
          <t>Brens</t>
        </is>
      </c>
      <c r="I53" s="19" t="inlineStr">
        <is>
          <t>Voir</t>
        </is>
      </c>
      <c r="J53" s="18" t="n">
        <v>46310</v>
      </c>
    </row>
    <row r="54">
      <c r="A54" s="10" t="inlineStr">
        <is>
          <t>Porsche Boxster 986</t>
        </is>
      </c>
      <c r="B54" s="10" t="inlineStr">
        <is>
          <t>Porsche Boxster 986 2.7L 220CH</t>
        </is>
      </c>
      <c r="C54" s="12" t="n">
        <v>15900</v>
      </c>
      <c r="D54" s="12" t="n">
        <v>20420</v>
      </c>
      <c r="E54" s="13">
        <f>IF(AND(ISNUMBER(C54),ISNUMBER(D54),D54&gt;0),1-C54/D54,"")</f>
        <v/>
      </c>
      <c r="F54" s="15" t="n">
        <v>111700</v>
      </c>
      <c r="G54" s="16" t="n">
        <v>2000</v>
      </c>
      <c r="H54" s="10" t="inlineStr">
        <is>
          <t>Saint-Laurent-du-Var</t>
        </is>
      </c>
      <c r="I54" s="19" t="inlineStr">
        <is>
          <t>Voir</t>
        </is>
      </c>
      <c r="J54" s="18" t="n">
        <v>46310</v>
      </c>
    </row>
    <row r="55">
      <c r="A55" s="10" t="inlineStr">
        <is>
          <t>Porsche Boxster 987</t>
        </is>
      </c>
      <c r="B55" s="10" t="inlineStr">
        <is>
          <t>Porsche boxster 987 phase 1</t>
        </is>
      </c>
      <c r="C55" s="12" t="n">
        <v>21000</v>
      </c>
      <c r="D55" s="12" t="n">
        <v>26750</v>
      </c>
      <c r="E55" s="13">
        <f>IF(AND(ISNUMBER(C55),ISNUMBER(D55),D55&gt;0),1-C55/D55,"")</f>
        <v/>
      </c>
      <c r="F55" s="15" t="n">
        <v>185000</v>
      </c>
      <c r="G55" s="16" t="n">
        <v>2005</v>
      </c>
      <c r="H55" s="10" t="inlineStr">
        <is>
          <t>Mouazé</t>
        </is>
      </c>
      <c r="I55" s="19" t="inlineStr">
        <is>
          <t>Voir</t>
        </is>
      </c>
      <c r="J55" s="18" t="n">
        <v>46310</v>
      </c>
    </row>
    <row r="56">
      <c r="A56" s="10" t="inlineStr">
        <is>
          <t>Peugeot 206 RC</t>
        </is>
      </c>
      <c r="B56" s="10" t="inlineStr">
        <is>
          <t>Peugeot 206 rc 2.0 16v 177cv</t>
        </is>
      </c>
      <c r="C56" s="12" t="n">
        <v>5999</v>
      </c>
      <c r="D56" s="12" t="n">
        <v>7540</v>
      </c>
      <c r="E56" s="13">
        <f>IF(AND(ISNUMBER(C56),ISNUMBER(D56),D56&gt;0),1-C56/D56,"")</f>
        <v/>
      </c>
      <c r="F56" s="15" t="n">
        <v>240000</v>
      </c>
      <c r="G56" s="16" t="n">
        <v>2004</v>
      </c>
      <c r="H56" s="10" t="inlineStr">
        <is>
          <t>Erstein</t>
        </is>
      </c>
      <c r="I56" s="19" t="inlineStr">
        <is>
          <t>Voir</t>
        </is>
      </c>
      <c r="J56" s="18" t="n">
        <v>46310</v>
      </c>
    </row>
    <row r="57">
      <c r="A57" s="10" t="inlineStr">
        <is>
          <t>Peugeot 208 GTi 30th</t>
        </is>
      </c>
      <c r="B57" s="10" t="inlineStr">
        <is>
          <t>208 GTI 30th</t>
        </is>
      </c>
      <c r="C57" s="12" t="n">
        <v>16000</v>
      </c>
      <c r="D57" s="12" t="n">
        <v>19780</v>
      </c>
      <c r="E57" s="13">
        <f>IF(AND(ISNUMBER(C57),ISNUMBER(D57),D57&gt;0),1-C57/D57,"")</f>
        <v/>
      </c>
      <c r="F57" s="15" t="n">
        <v>35000</v>
      </c>
      <c r="G57" s="16" t="n">
        <v>2014</v>
      </c>
      <c r="H57" s="10" t="inlineStr">
        <is>
          <t>Paris</t>
        </is>
      </c>
      <c r="I57" s="19" t="inlineStr">
        <is>
          <t>Voir</t>
        </is>
      </c>
      <c r="J57" s="18" t="n">
        <v>46310</v>
      </c>
    </row>
    <row r="58">
      <c r="A58" s="10" t="inlineStr">
        <is>
          <t>Peugeot 208 GTi 30th</t>
        </is>
      </c>
      <c r="B58" s="10" t="inlineStr">
        <is>
          <t>208 git 30th anniversaire</t>
        </is>
      </c>
      <c r="C58" s="12" t="n">
        <v>10500</v>
      </c>
      <c r="D58" s="12" t="n">
        <v>12880</v>
      </c>
      <c r="E58" s="13">
        <f>IF(AND(ISNUMBER(C58),ISNUMBER(D58),D58&gt;0),1-C58/D58,"")</f>
        <v/>
      </c>
      <c r="F58" s="15" t="n">
        <v>158000</v>
      </c>
      <c r="G58" s="16" t="n">
        <v>2015</v>
      </c>
      <c r="H58" s="10" t="inlineStr">
        <is>
          <t>Chaumont-en-Vexin</t>
        </is>
      </c>
      <c r="I58" s="19" t="inlineStr">
        <is>
          <t>Voir</t>
        </is>
      </c>
      <c r="J58" s="18" t="n">
        <v>46310</v>
      </c>
    </row>
    <row r="59">
      <c r="A59" s="10" t="inlineStr">
        <is>
          <t>Porsche 911 997 Carrera S</t>
        </is>
      </c>
      <c r="B59" s="10" t="inlineStr">
        <is>
          <t>Porsche 911 CABRIOLET (997) Carrera 3.6 325 Ch Tiptronic S / SportDesign / Bose / PSE</t>
        </is>
      </c>
      <c r="C59" s="12" t="n">
        <v>46990</v>
      </c>
      <c r="D59" s="12" t="n">
        <v>57160</v>
      </c>
      <c r="E59" s="13">
        <f>IF(AND(ISNUMBER(C59),ISNUMBER(D59),D59&gt;0),1-C59/D59,"")</f>
        <v/>
      </c>
      <c r="F59" s="15" t="n">
        <v>83850</v>
      </c>
      <c r="G59" s="16" t="n">
        <v>2005</v>
      </c>
      <c r="H59" s="10" t="inlineStr">
        <is>
          <t>Luc-la-Primaube</t>
        </is>
      </c>
      <c r="I59" s="19" t="inlineStr">
        <is>
          <t>Voir</t>
        </is>
      </c>
      <c r="J59" s="18" t="n">
        <v>46310</v>
      </c>
    </row>
    <row r="60">
      <c r="A60" s="10" t="inlineStr">
        <is>
          <t>Porsche Boxster 987</t>
        </is>
      </c>
      <c r="B60" s="10" t="inlineStr">
        <is>
          <t>Porsche Boxster 987.1 2.7L 240CV</t>
        </is>
      </c>
      <c r="C60" s="12" t="n">
        <v>28000</v>
      </c>
      <c r="D60" s="12" t="n">
        <v>33430</v>
      </c>
      <c r="E60" s="13">
        <f>IF(AND(ISNUMBER(C60),ISNUMBER(D60),D60&gt;0),1-C60/D60,"")</f>
        <v/>
      </c>
      <c r="F60" s="15" t="n">
        <v>35000</v>
      </c>
      <c r="G60" s="16" t="n">
        <v>2005</v>
      </c>
      <c r="H60" s="10" t="inlineStr">
        <is>
          <t>Chaumes-en-Retz</t>
        </is>
      </c>
      <c r="I60" s="19" t="inlineStr">
        <is>
          <t>Voir</t>
        </is>
      </c>
      <c r="J60" s="18" t="n">
        <v>46310</v>
      </c>
    </row>
    <row r="61">
      <c r="A61" s="10" t="inlineStr">
        <is>
          <t>Porsche 911 997 Carrera S</t>
        </is>
      </c>
      <c r="B61" s="10" t="inlineStr">
        <is>
          <t>Porsche 911/997 carrera S</t>
        </is>
      </c>
      <c r="C61" s="12" t="n">
        <v>46000</v>
      </c>
      <c r="D61" s="12" t="n">
        <v>54830</v>
      </c>
      <c r="E61" s="13">
        <f>IF(AND(ISNUMBER(C61),ISNUMBER(D61),D61&gt;0),1-C61/D61,"")</f>
        <v/>
      </c>
      <c r="F61" s="15" t="n">
        <v>113000</v>
      </c>
      <c r="G61" s="16" t="n">
        <v>2005</v>
      </c>
      <c r="H61" s="10" t="inlineStr">
        <is>
          <t>Richwiller</t>
        </is>
      </c>
      <c r="I61" s="19" t="inlineStr">
        <is>
          <t>Voir</t>
        </is>
      </c>
      <c r="J61" s="18" t="n">
        <v>46310</v>
      </c>
    </row>
    <row r="62">
      <c r="A62" s="10" t="inlineStr">
        <is>
          <t>BMW Z3 1.9i / 2.0i</t>
        </is>
      </c>
      <c r="B62" s="10" t="inlineStr">
        <is>
          <t>BMW Z3 Roadster 1.8i 115ch SELLERIE NEUVE</t>
        </is>
      </c>
      <c r="C62" s="12" t="n">
        <v>8990</v>
      </c>
      <c r="D62" s="12" t="n">
        <v>10670</v>
      </c>
      <c r="E62" s="13">
        <f>IF(AND(ISNUMBER(C62),ISNUMBER(D62),D62&gt;0),1-C62/D62,"")</f>
        <v/>
      </c>
      <c r="F62" s="15" t="n">
        <v>147000</v>
      </c>
      <c r="G62" s="16" t="n">
        <v>1996</v>
      </c>
      <c r="H62" s="10" t="inlineStr">
        <is>
          <t>Abbeville</t>
        </is>
      </c>
      <c r="I62" s="19" t="inlineStr">
        <is>
          <t>Voir</t>
        </is>
      </c>
      <c r="J62" s="18" t="n">
        <v>46310</v>
      </c>
    </row>
    <row r="63">
      <c r="A63" s="10" t="inlineStr">
        <is>
          <t>Renault Mégane II RS R26</t>
        </is>
      </c>
      <c r="B63" s="10" t="inlineStr">
        <is>
          <t>Renault MEGANE II (2) 2.0 T RS F1 TEAM R26 / USAGE CIRCUIT, PISTE, TRACKDAY, TRACKTOOL</t>
        </is>
      </c>
      <c r="C63" s="12" t="n">
        <v>14900</v>
      </c>
      <c r="D63" s="12" t="n">
        <v>17680</v>
      </c>
      <c r="E63" s="13">
        <f>IF(AND(ISNUMBER(C63),ISNUMBER(D63),D63&gt;0),1-C63/D63,"")</f>
        <v/>
      </c>
      <c r="F63" s="15" t="n">
        <v>179700</v>
      </c>
      <c r="G63" s="16" t="n">
        <v>2007</v>
      </c>
      <c r="H63" s="10" t="inlineStr">
        <is>
          <t>Les Sables-d'Olonne</t>
        </is>
      </c>
      <c r="I63" s="19" t="inlineStr">
        <is>
          <t>Voir</t>
        </is>
      </c>
      <c r="J63" s="18" t="n">
        <v>46310</v>
      </c>
    </row>
    <row r="64">
      <c r="A64" s="10" t="inlineStr">
        <is>
          <t>Porsche 911 997 Carrera S</t>
        </is>
      </c>
      <c r="B64" s="10" t="inlineStr">
        <is>
          <t>Porsche 911 COUPE (997) CARRERA TIPTRONIC S</t>
        </is>
      </c>
      <c r="C64" s="12" t="n">
        <v>45990</v>
      </c>
      <c r="D64" s="12" t="n">
        <v>54360</v>
      </c>
      <c r="E64" s="13">
        <f>IF(AND(ISNUMBER(C64),ISNUMBER(D64),D64&gt;0),1-C64/D64,"")</f>
        <v/>
      </c>
      <c r="F64" s="15" t="n">
        <v>119000</v>
      </c>
      <c r="G64" s="16" t="n">
        <v>2005</v>
      </c>
      <c r="H64" s="10" t="inlineStr">
        <is>
          <t>Bazouges Cré sur Loir</t>
        </is>
      </c>
      <c r="I64" s="19" t="inlineStr">
        <is>
          <t>Voir</t>
        </is>
      </c>
      <c r="J64" s="18" t="n">
        <v>46310</v>
      </c>
    </row>
  </sheetData>
  <autoFilter ref="A1:J64"/>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22" customWidth="1" min="2" max="2"/>
    <col width="9" customWidth="1" min="3" max="3"/>
    <col width="30" customWidth="1" min="4" max="4"/>
    <col width="20" customWidth="1" min="5" max="5"/>
    <col width="11" customWidth="1" min="6" max="6"/>
    <col width="16" customWidth="1" min="7" max="7"/>
    <col width="20" customWidth="1" min="8" max="8"/>
    <col width="28" customWidth="1" min="9" max="9"/>
    <col width="8" customWidth="1" min="10" max="10"/>
    <col width="9" customWidth="1" min="11" max="11"/>
    <col width="10" customWidth="1" min="12" max="12"/>
    <col width="11" customWidth="1" min="13" max="13"/>
    <col width="60" customWidth="1" min="14" max="14"/>
    <col width="11" customWidth="1" min="15" max="15"/>
  </cols>
  <sheetData>
    <row r="1" ht="30" customHeight="1">
      <c r="A1" s="9" t="inlineStr">
        <is>
          <t>Véhicule</t>
        </is>
      </c>
      <c r="B1" s="9" t="inlineStr">
        <is>
          <t>Identifiant</t>
        </is>
      </c>
      <c r="C1" s="9" t="inlineStr">
        <is>
          <t>Statut</t>
        </is>
      </c>
      <c r="D1" s="9" t="inlineStr">
        <is>
          <t>Catégorie</t>
        </is>
      </c>
      <c r="E1" s="9" t="inlineStr">
        <is>
          <t>Recherche</t>
        </is>
      </c>
      <c r="F1" s="9" t="inlineStr">
        <is>
          <t>Années</t>
        </is>
      </c>
      <c r="G1" s="9" t="inlineStr">
        <is>
          <t>Mots obligatoires</t>
        </is>
      </c>
      <c r="H1" s="9" t="inlineStr">
        <is>
          <t>Variantes</t>
        </is>
      </c>
      <c r="I1" s="9" t="inlineStr">
        <is>
          <t>Mots exclus</t>
        </is>
      </c>
      <c r="J1" s="9" t="inlineStr">
        <is>
          <t>Rareté</t>
        </is>
      </c>
      <c r="K1" s="9" t="inlineStr">
        <is>
          <t>Dernier de</t>
        </is>
      </c>
      <c r="L1" s="9" t="inlineStr">
        <is>
          <t>Désirabilité</t>
        </is>
      </c>
      <c r="M1" s="9" t="inlineStr">
        <is>
          <t>Ajouté le</t>
        </is>
      </c>
      <c r="N1" s="9" t="inlineStr">
        <is>
          <t>Notes</t>
        </is>
      </c>
      <c r="O1" s="9" t="inlineStr">
        <is>
          <t>LeBonCoin</t>
        </is>
      </c>
    </row>
    <row r="2">
      <c r="A2" s="10" t="inlineStr">
        <is>
          <t>Peugeot 208 GTi 30th</t>
        </is>
      </c>
      <c r="B2" s="10" t="inlineStr">
        <is>
          <t>peugeot-208-gti-30th</t>
        </is>
      </c>
      <c r="C2" s="10" t="inlineStr">
        <is>
          <t>Suivi</t>
        </is>
      </c>
      <c r="D2" s="10" t="inlineStr">
        <is>
          <t>Hot-hatch récente à tirage limité</t>
        </is>
      </c>
      <c r="E2" s="10" t="inlineStr">
        <is>
          <t>208 gti 30th</t>
        </is>
      </c>
      <c r="F2" s="10" t="inlineStr">
        <is>
          <t>2014-2016</t>
        </is>
      </c>
      <c r="G2" s="10" t="inlineStr"/>
      <c r="H2" s="10" t="inlineStr">
        <is>
          <t>30th, 30 th, trentieme</t>
        </is>
      </c>
      <c r="I2" s="10" t="inlineStr"/>
      <c r="J2" s="16" t="n">
        <v>85</v>
      </c>
      <c r="K2" s="16" t="n">
        <v>65</v>
      </c>
      <c r="L2" s="16" t="n">
        <v>80</v>
      </c>
      <c r="M2" s="18" t="n">
        <v>46273</v>
      </c>
      <c r="N2" s="10" t="inlineStr">
        <is>
          <t>Édition limitée et numérotée (1.6 THP 208 ch).</t>
        </is>
      </c>
      <c r="O2" s="19" t="inlineStr">
        <is>
          <t>Voir</t>
        </is>
      </c>
    </row>
    <row r="3">
      <c r="A3" s="10" t="inlineStr">
        <is>
          <t>Porsche 911 997 Carrera S</t>
        </is>
      </c>
      <c r="B3" s="10" t="inlineStr">
        <is>
          <t>porsche-911-997</t>
        </is>
      </c>
      <c r="C3" s="10" t="inlineStr">
        <is>
          <t>Suivi</t>
        </is>
      </c>
      <c r="D3" s="10" t="inlineStr">
        <is>
          <t>Sportive iconique</t>
        </is>
      </c>
      <c r="E3" s="10" t="inlineStr">
        <is>
          <t>911 997 carrera s</t>
        </is>
      </c>
      <c r="F3" s="10" t="inlineStr">
        <is>
          <t>2004-2012</t>
        </is>
      </c>
      <c r="G3" s="10" t="inlineStr">
        <is>
          <t>997</t>
        </is>
      </c>
      <c r="H3" s="10" t="inlineStr"/>
      <c r="I3" s="10" t="inlineStr">
        <is>
          <t>turbo, gt3, gt2</t>
        </is>
      </c>
      <c r="J3" s="16" t="n">
        <v>40</v>
      </c>
      <c r="K3" s="16" t="n">
        <v>90</v>
      </c>
      <c r="L3" s="16" t="n">
        <v>90</v>
      </c>
      <c r="M3" s="18" t="n">
        <v>46273</v>
      </c>
      <c r="N3" s="10" t="inlineStr">
        <is>
          <t>Dernière 911 à direction assistée hydraulique. Recherche centrée sur la Carrera S : retirer « s » du texte de recherche pour inclure la Carrera de base.</t>
        </is>
      </c>
      <c r="O3" s="19" t="inlineStr">
        <is>
          <t>Voir</t>
        </is>
      </c>
    </row>
    <row r="4">
      <c r="A4" s="10" t="inlineStr">
        <is>
          <t>Porsche Boxster 986</t>
        </is>
      </c>
      <c r="B4" s="10" t="inlineStr">
        <is>
          <t>porsche-boxster-986</t>
        </is>
      </c>
      <c r="C4" s="10" t="inlineStr">
        <is>
          <t>Suivi</t>
        </is>
      </c>
      <c r="D4" s="10" t="inlineStr">
        <is>
          <t>Roadster d'entrée de gamme Porsche</t>
        </is>
      </c>
      <c r="E4" s="10" t="inlineStr">
        <is>
          <t>boxster 986</t>
        </is>
      </c>
      <c r="F4" s="10" t="inlineStr">
        <is>
          <t>1996-2004</t>
        </is>
      </c>
      <c r="G4" s="10" t="inlineStr">
        <is>
          <t>boxster</t>
        </is>
      </c>
      <c r="H4" s="10" t="inlineStr"/>
      <c r="I4" s="10" t="inlineStr"/>
      <c r="J4" s="16" t="n">
        <v>35</v>
      </c>
      <c r="K4" s="16" t="n">
        <v>30</v>
      </c>
      <c r="L4" s="16" t="n">
        <v>70</v>
      </c>
      <c r="M4" s="18" t="n">
        <v>46273</v>
      </c>
      <c r="N4" s="10" t="inlineStr">
        <is>
          <t>Première génération (1996-2004). Point de vigilance IMS à l'achat.</t>
        </is>
      </c>
      <c r="O4" s="19" t="inlineStr">
        <is>
          <t>Voir</t>
        </is>
      </c>
    </row>
    <row r="5">
      <c r="A5" s="10" t="inlineStr">
        <is>
          <t>Porsche Boxster 987</t>
        </is>
      </c>
      <c r="B5" s="10" t="inlineStr">
        <is>
          <t>porsche-boxster-987</t>
        </is>
      </c>
      <c r="C5" s="10" t="inlineStr">
        <is>
          <t>Suivi</t>
        </is>
      </c>
      <c r="D5" s="10" t="inlineStr">
        <is>
          <t>Roadster Porsche</t>
        </is>
      </c>
      <c r="E5" s="10" t="inlineStr">
        <is>
          <t>boxster 987</t>
        </is>
      </c>
      <c r="F5" s="10" t="inlineStr">
        <is>
          <t>2005-2012</t>
        </is>
      </c>
      <c r="G5" s="10" t="inlineStr">
        <is>
          <t>boxster</t>
        </is>
      </c>
      <c r="H5" s="10" t="inlineStr"/>
      <c r="I5" s="10" t="inlineStr">
        <is>
          <t>spyder</t>
        </is>
      </c>
      <c r="J5" s="16" t="n">
        <v>30</v>
      </c>
      <c r="K5" s="16" t="n">
        <v>40</v>
      </c>
      <c r="L5" s="16" t="n">
        <v>75</v>
      </c>
      <c r="M5" s="18" t="n">
        <v>46273</v>
      </c>
      <c r="N5" s="10" t="inlineStr">
        <is>
          <t>Deuxième génération (2005-2012), fiabilité nettement améliorée. Spyder exclu (marché à part).</t>
        </is>
      </c>
      <c r="O5" s="19" t="inlineStr">
        <is>
          <t>Voir</t>
        </is>
      </c>
    </row>
    <row r="6">
      <c r="A6" s="10" t="inlineStr">
        <is>
          <t>Renault Twingo 1 découvrable</t>
        </is>
      </c>
      <c r="B6" s="10" t="inlineStr">
        <is>
          <t>renault-twingo-1</t>
        </is>
      </c>
      <c r="C6" s="10" t="inlineStr">
        <is>
          <t>Suivi</t>
        </is>
      </c>
      <c r="D6" s="10" t="inlineStr">
        <is>
          <t>Citadine iconique, variante toit ouvrant</t>
        </is>
      </c>
      <c r="E6" s="10" t="inlineStr">
        <is>
          <t>twingo toit ouvrant</t>
        </is>
      </c>
      <c r="F6" s="10" t="inlineStr">
        <is>
          <t>1993-2007</t>
        </is>
      </c>
      <c r="G6" s="10" t="inlineStr"/>
      <c r="H6" s="10" t="inlineStr">
        <is>
          <t>toit ouvrant, decouvrable, toit toile, toit souple</t>
        </is>
      </c>
      <c r="I6" s="10" t="inlineStr">
        <is>
          <t>twingo 2, twingo ii, twingo 3, twingo iii</t>
        </is>
      </c>
      <c r="J6" s="16" t="n">
        <v>55</v>
      </c>
      <c r="K6" s="16" t="n">
        <v>50</v>
      </c>
      <c r="L6" s="16" t="n">
        <v>65</v>
      </c>
      <c r="M6" s="18" t="n">
        <v>46273</v>
      </c>
      <c r="N6" s="10" t="inlineStr">
        <is>
          <t>La Twingo 1 n'a jamais eu de cabriolet officiel : la variante suivie est le toit ouvrant en toile.</t>
        </is>
      </c>
      <c r="O6" s="19" t="inlineStr">
        <is>
          <t>Voir</t>
        </is>
      </c>
    </row>
    <row r="7">
      <c r="A7" s="10" t="inlineStr">
        <is>
          <t>Peugeot 206 RC</t>
        </is>
      </c>
      <c r="B7" s="10" t="inlineStr">
        <is>
          <t>peugeot-206-rc</t>
        </is>
      </c>
      <c r="C7" s="10" t="inlineStr">
        <is>
          <t>Suivi</t>
        </is>
      </c>
      <c r="D7" s="10" t="inlineStr">
        <is>
          <t>Hot-hatch youngtimer 2000-2005</t>
        </is>
      </c>
      <c r="E7" s="10" t="inlineStr">
        <is>
          <t>206 rc</t>
        </is>
      </c>
      <c r="F7" s="10" t="inlineStr">
        <is>
          <t>2003-2007</t>
        </is>
      </c>
      <c r="G7" s="10" t="inlineStr">
        <is>
          <t>rc</t>
        </is>
      </c>
      <c r="H7" s="10" t="inlineStr"/>
      <c r="I7" s="10" t="inlineStr">
        <is>
          <t>hdi, 206+, 206 cc, rc line, rcline, 1.4, 1.6, 110 cv, 110ch</t>
        </is>
      </c>
      <c r="J7" s="16" t="n">
        <v>45</v>
      </c>
      <c r="K7" s="16" t="n">
        <v>75</v>
      </c>
      <c r="L7" s="16" t="n">
        <v>70</v>
      </c>
      <c r="M7" s="18" t="n">
        <v>46273</v>
      </c>
      <c r="N7" s="10" t="inlineStr">
        <is>
          <t>2.0 16v 177 ch. Nommée GTi 180 à l'export.</t>
        </is>
      </c>
      <c r="O7" s="19" t="inlineStr">
        <is>
          <t>Voir</t>
        </is>
      </c>
    </row>
    <row r="8">
      <c r="A8" s="10" t="inlineStr">
        <is>
          <t>Renault Clio II RS (172/182 ch)</t>
        </is>
      </c>
      <c r="B8" s="10" t="inlineStr">
        <is>
          <t>renault-clio-2-rs</t>
        </is>
      </c>
      <c r="C8" s="10" t="inlineStr">
        <is>
          <t>Suivi</t>
        </is>
      </c>
      <c r="D8" s="10" t="inlineStr">
        <is>
          <t>Hot-hatch youngtimer 2000-2005</t>
        </is>
      </c>
      <c r="E8" s="10" t="inlineStr">
        <is>
          <t>clio rs</t>
        </is>
      </c>
      <c r="F8" s="10" t="inlineStr">
        <is>
          <t>2000-2006</t>
        </is>
      </c>
      <c r="G8" s="10" t="inlineStr"/>
      <c r="H8" s="10" t="inlineStr">
        <is>
          <t>172, 182, rs</t>
        </is>
      </c>
      <c r="I8" s="10" t="inlineStr">
        <is>
          <t>v6, dci, clio 3, clio iii, clio 4, clio iv, gt line</t>
        </is>
      </c>
      <c r="J8" s="16" t="n">
        <v>40</v>
      </c>
      <c r="K8" s="16" t="n">
        <v>60</v>
      </c>
      <c r="L8" s="16" t="n">
        <v>75</v>
      </c>
      <c r="M8" s="18" t="n">
        <v>46273</v>
      </c>
      <c r="N8" s="10" t="inlineStr">
        <is>
          <t>Châssis Renault Sport très réputé, succède à la Williams déjà collector.</t>
        </is>
      </c>
      <c r="O8" s="19" t="inlineStr">
        <is>
          <t>Voir</t>
        </is>
      </c>
    </row>
    <row r="9">
      <c r="A9" s="10" t="inlineStr">
        <is>
          <t>Citroën Saxo VTS 16V</t>
        </is>
      </c>
      <c r="B9" s="10" t="inlineStr">
        <is>
          <t>citroen-saxo-vts</t>
        </is>
      </c>
      <c r="C9" s="10" t="inlineStr">
        <is>
          <t>Suivi</t>
        </is>
      </c>
      <c r="D9" s="10" t="inlineStr">
        <is>
          <t>Hot-hatch youngtimer 2000-2005</t>
        </is>
      </c>
      <c r="E9" s="10" t="inlineStr">
        <is>
          <t>saxo vts</t>
        </is>
      </c>
      <c r="F9" s="10" t="inlineStr">
        <is>
          <t>1997-2004</t>
        </is>
      </c>
      <c r="G9" s="10" t="inlineStr">
        <is>
          <t>vts</t>
        </is>
      </c>
      <c r="H9" s="10" t="inlineStr"/>
      <c r="I9" s="10" t="inlineStr">
        <is>
          <t>rallye, piste, course, preparee, kit car</t>
        </is>
      </c>
      <c r="J9" s="16" t="n">
        <v>30</v>
      </c>
      <c r="K9" s="16" t="n">
        <v>55</v>
      </c>
      <c r="L9" s="16" t="n">
        <v>55</v>
      </c>
      <c r="M9" s="18" t="n">
        <v>46273</v>
      </c>
      <c r="N9" s="10" t="inlineStr">
        <is>
          <t>Marché parasité par les exemplaires modifiés/rallye, exclus par filtre : on suit les originaux.</t>
        </is>
      </c>
      <c r="O9" s="19" t="inlineStr">
        <is>
          <t>Voir</t>
        </is>
      </c>
    </row>
    <row r="10">
      <c r="A10" s="10" t="inlineStr">
        <is>
          <t>Peugeot 306 S16</t>
        </is>
      </c>
      <c r="B10" s="10" t="inlineStr">
        <is>
          <t>peugeot-306-s16</t>
        </is>
      </c>
      <c r="C10" s="10" t="inlineStr">
        <is>
          <t>Suivi</t>
        </is>
      </c>
      <c r="D10" s="10" t="inlineStr">
        <is>
          <t>Hot-hatch youngtimer 1990-2000</t>
        </is>
      </c>
      <c r="E10" s="10" t="inlineStr">
        <is>
          <t>306 s16</t>
        </is>
      </c>
      <c r="F10" s="10" t="inlineStr">
        <is>
          <t>1993-2001</t>
        </is>
      </c>
      <c r="G10" s="10" t="inlineStr">
        <is>
          <t>s16</t>
        </is>
      </c>
      <c r="H10" s="10" t="inlineStr"/>
      <c r="I10" s="10" t="inlineStr">
        <is>
          <t>hdi, cabriolet</t>
        </is>
      </c>
      <c r="J10" s="16" t="n">
        <v>40</v>
      </c>
      <c r="K10" s="16" t="n">
        <v>50</v>
      </c>
      <c r="L10" s="16" t="n">
        <v>65</v>
      </c>
      <c r="M10" s="18" t="n">
        <v>46296</v>
      </c>
      <c r="N10" s="10" t="inlineStr">
        <is>
          <t>2.0 16v 150-167 ch, châssis encensé à l’époque. Beaucoup d’exemplaires fatigués : l’état d’origine fait la valeur.</t>
        </is>
      </c>
      <c r="O10" s="19" t="inlineStr">
        <is>
          <t>Voir</t>
        </is>
      </c>
    </row>
    <row r="11">
      <c r="A11" s="10" t="inlineStr">
        <is>
          <t>BMW Z3 1.9i / 2.0i</t>
        </is>
      </c>
      <c r="B11" s="10" t="inlineStr">
        <is>
          <t>bmw-z3-19-20</t>
        </is>
      </c>
      <c r="C11" s="10" t="inlineStr">
        <is>
          <t>Suivi</t>
        </is>
      </c>
      <c r="D11" s="10" t="inlineStr">
        <is>
          <t>Roadster youngtimer</t>
        </is>
      </c>
      <c r="E11" s="10" t="inlineStr">
        <is>
          <t>bmw z3</t>
        </is>
      </c>
      <c r="F11" s="10" t="inlineStr">
        <is>
          <t>1996-2002</t>
        </is>
      </c>
      <c r="G11" s="10" t="inlineStr"/>
      <c r="H11" s="10" t="inlineStr"/>
      <c r="I11" s="10" t="inlineStr">
        <is>
          <t>m roadster, m coupe, coupe, 3.0, 2.8, 3.0i, 2.8i</t>
        </is>
      </c>
      <c r="J11" s="16" t="n">
        <v>35</v>
      </c>
      <c r="K11" s="16" t="n">
        <v>40</v>
      </c>
      <c r="L11" s="16" t="n">
        <v>65</v>
      </c>
      <c r="M11" s="18" t="n">
        <v>46296</v>
      </c>
      <c r="N11" s="10" t="inlineStr">
        <is>
          <t>Roadster BMW le plus abordable (1.8 à 2.2). M Roadster, coupé et 6 cylindres 2.8/3.0 exclus (marchés à part).</t>
        </is>
      </c>
      <c r="O11" s="19" t="inlineStr">
        <is>
          <t>Voir</t>
        </is>
      </c>
    </row>
    <row r="12">
      <c r="A12" s="10" t="inlineStr">
        <is>
          <t>Volkswagen Golf IV GTI 25th Anniversary</t>
        </is>
      </c>
      <c r="B12" s="10" t="inlineStr">
        <is>
          <t>vw-golf-4-gti-25</t>
        </is>
      </c>
      <c r="C12" s="10" t="inlineStr">
        <is>
          <t>Suivi</t>
        </is>
      </c>
      <c r="D12" s="10" t="inlineStr">
        <is>
          <t>Hot-hatch à série limitée</t>
        </is>
      </c>
      <c r="E12" s="10" t="inlineStr">
        <is>
          <t>golf gti 25</t>
        </is>
      </c>
      <c r="F12" s="10" t="inlineStr">
        <is>
          <t>2001-2002</t>
        </is>
      </c>
      <c r="G12" s="10" t="inlineStr">
        <is>
          <t>gti</t>
        </is>
      </c>
      <c r="H12" s="10" t="inlineStr">
        <is>
          <t>25, 25th, anniversary, anniversaire, edition 25</t>
        </is>
      </c>
      <c r="I12" s="10" t="inlineStr">
        <is>
          <t>tdi, golf 5, golf v, golf 6, golf vi</t>
        </is>
      </c>
      <c r="J12" s="16" t="n">
        <v>70</v>
      </c>
      <c r="K12" s="16" t="n">
        <v>55</v>
      </c>
      <c r="L12" s="16" t="n">
        <v>65</v>
      </c>
      <c r="M12" s="18" t="n">
        <v>46296</v>
      </c>
      <c r="N12" s="10" t="inlineStr">
        <is>
          <t>1.8T 180 ch, sièges Recaro, jantes BBS. Série limitée : vérifier la plaque et les équipements spécifiques.</t>
        </is>
      </c>
      <c r="O12" s="19" t="inlineStr">
        <is>
          <t>Voir</t>
        </is>
      </c>
    </row>
    <row r="13">
      <c r="A13" s="10" t="inlineStr">
        <is>
          <t>Alfa Romeo 156 2.5 V6 24V</t>
        </is>
      </c>
      <c r="B13" s="10" t="inlineStr">
        <is>
          <t>alfa-156-v6</t>
        </is>
      </c>
      <c r="C13" s="10" t="inlineStr">
        <is>
          <t>Suivi</t>
        </is>
      </c>
      <c r="D13" s="10" t="inlineStr">
        <is>
          <t>Berline sportive youngtimer</t>
        </is>
      </c>
      <c r="E13" s="10" t="inlineStr">
        <is>
          <t>alfa 156 v6</t>
        </is>
      </c>
      <c r="F13" s="10" t="inlineStr">
        <is>
          <t>1997-2005</t>
        </is>
      </c>
      <c r="G13" s="10" t="inlineStr">
        <is>
          <t>v6</t>
        </is>
      </c>
      <c r="H13" s="10" t="inlineStr"/>
      <c r="I13" s="10" t="inlineStr">
        <is>
          <t>gta, jtd, diesel</t>
        </is>
      </c>
      <c r="J13" s="16" t="n">
        <v>50</v>
      </c>
      <c r="K13" s="16" t="n">
        <v>70</v>
      </c>
      <c r="L13" s="16" t="n">
        <v>65</v>
      </c>
      <c r="M13" s="18" t="n">
        <v>46296</v>
      </c>
      <c r="N13" s="10" t="inlineStr">
        <is>
          <t>V6 « Busso » atmosphérique. GTA exclue (marché à part). Courroie de distribution et variateur à surveiller.</t>
        </is>
      </c>
      <c r="O13" s="19" t="inlineStr">
        <is>
          <t>Voir</t>
        </is>
      </c>
    </row>
    <row r="14">
      <c r="A14" s="10" t="inlineStr">
        <is>
          <t>Mazda MX-5 NA</t>
        </is>
      </c>
      <c r="B14" s="10" t="inlineStr">
        <is>
          <t>mazda-mx5-na</t>
        </is>
      </c>
      <c r="C14" s="10" t="inlineStr">
        <is>
          <t>Suivi</t>
        </is>
      </c>
      <c r="D14" s="10" t="inlineStr">
        <is>
          <t>Roadster youngtimer</t>
        </is>
      </c>
      <c r="E14" s="10" t="inlineStr">
        <is>
          <t>mazda mx5</t>
        </is>
      </c>
      <c r="F14" s="10" t="inlineStr">
        <is>
          <t>1989-1998</t>
        </is>
      </c>
      <c r="G14" s="10" t="inlineStr"/>
      <c r="H14" s="10" t="inlineStr"/>
      <c r="I14" s="10" t="inlineStr">
        <is>
          <t>nb, nc, nd, hard top seul</t>
        </is>
      </c>
      <c r="J14" s="16" t="n">
        <v>25</v>
      </c>
      <c r="K14" s="16" t="n">
        <v>60</v>
      </c>
      <c r="L14" s="16" t="n">
        <v>75</v>
      </c>
      <c r="M14" s="18" t="n">
        <v>46296</v>
      </c>
      <c r="N14" s="10" t="inlineStr">
        <is>
          <t>Première génération, phares escamotables. Offre abondante : la corrosion des bas de caisse fait la différence.</t>
        </is>
      </c>
      <c r="O14" s="19" t="inlineStr">
        <is>
          <t>Voir</t>
        </is>
      </c>
    </row>
    <row r="15">
      <c r="A15" s="10" t="inlineStr">
        <is>
          <t>Peugeot 205 GTI</t>
        </is>
      </c>
      <c r="B15" s="10" t="inlineStr">
        <is>
          <t>peugeot-205-gti</t>
        </is>
      </c>
      <c r="C15" s="10" t="inlineStr">
        <is>
          <t>Suivi</t>
        </is>
      </c>
      <c r="D15" s="10" t="inlineStr">
        <is>
          <t>Hot-hatch icône des années 80</t>
        </is>
      </c>
      <c r="E15" s="10" t="inlineStr">
        <is>
          <t>205 gti</t>
        </is>
      </c>
      <c r="F15" s="10" t="inlineStr">
        <is>
          <t>1984-1994</t>
        </is>
      </c>
      <c r="G15" s="10" t="inlineStr">
        <is>
          <t>gti</t>
        </is>
      </c>
      <c r="H15" s="10" t="inlineStr"/>
      <c r="I15" s="10" t="inlineStr">
        <is>
          <t>look, replica, replique, gtx, xs, cti</t>
        </is>
      </c>
      <c r="J15" s="16" t="n">
        <v>45</v>
      </c>
      <c r="K15" s="16" t="n">
        <v>50</v>
      </c>
      <c r="L15" s="16" t="n">
        <v>85</v>
      </c>
      <c r="M15" s="18" t="n">
        <v>46296</v>
      </c>
      <c r="N15" s="10" t="inlineStr">
        <is>
          <t>1.6 et 1.9. Cote déjà élevée et soutenue ; nombreuses « répliques » à partir de 205 XS/GT, exclues par filtre mais à vérifier (numéro de série).</t>
        </is>
      </c>
      <c r="O15" s="19" t="inlineStr">
        <is>
          <t>Voir</t>
        </is>
      </c>
    </row>
    <row r="16">
      <c r="A16" s="10" t="inlineStr">
        <is>
          <t>Honda S2000</t>
        </is>
      </c>
      <c r="B16" s="10" t="inlineStr">
        <is>
          <t>honda-s2000</t>
        </is>
      </c>
      <c r="C16" s="10" t="inlineStr">
        <is>
          <t>Suivi</t>
        </is>
      </c>
      <c r="D16" s="10" t="inlineStr">
        <is>
          <t>Roadster japonais culte</t>
        </is>
      </c>
      <c r="E16" s="10" t="inlineStr">
        <is>
          <t>honda s2000</t>
        </is>
      </c>
      <c r="F16" s="10" t="inlineStr">
        <is>
          <t>1999-2009</t>
        </is>
      </c>
      <c r="G16" s="10" t="inlineStr"/>
      <c r="H16" s="10" t="inlineStr"/>
      <c r="I16" s="10" t="inlineStr"/>
      <c r="J16" s="16" t="n">
        <v>50</v>
      </c>
      <c r="K16" s="16" t="n">
        <v>85</v>
      </c>
      <c r="L16" s="16" t="n">
        <v>85</v>
      </c>
      <c r="M16" s="18" t="n">
        <v>46296</v>
      </c>
      <c r="N16" s="10" t="inlineStr">
        <is>
          <t>2.0 VTEC atmosphérique à 9 000 tr/min, sans successeur. Exemplaires d’origine non modifiés de plus en plus recherchés.</t>
        </is>
      </c>
      <c r="O16" s="19" t="inlineStr">
        <is>
          <t>Voir</t>
        </is>
      </c>
    </row>
    <row r="17">
      <c r="A17" s="10" t="inlineStr">
        <is>
          <t>Renault Mégane II RS R26</t>
        </is>
      </c>
      <c r="B17" s="10" t="inlineStr">
        <is>
          <t>renault-megane-r26</t>
        </is>
      </c>
      <c r="C17" s="10" t="inlineStr">
        <is>
          <t>Suivi</t>
        </is>
      </c>
      <c r="D17" s="10" t="inlineStr">
        <is>
          <t>Hot-hatch à série limitée</t>
        </is>
      </c>
      <c r="E17" s="10" t="inlineStr">
        <is>
          <t>megane rs r26</t>
        </is>
      </c>
      <c r="F17" s="10" t="inlineStr">
        <is>
          <t>2007-2009</t>
        </is>
      </c>
      <c r="G17" s="10" t="inlineStr"/>
      <c r="H17" s="10" t="inlineStr">
        <is>
          <t>r26, r 26</t>
        </is>
      </c>
      <c r="I17" s="10" t="inlineStr">
        <is>
          <t>dci, gt line, megane 3, megane iii</t>
        </is>
      </c>
      <c r="J17" s="16" t="n">
        <v>55</v>
      </c>
      <c r="K17" s="16" t="n">
        <v>50</v>
      </c>
      <c r="L17" s="16" t="n">
        <v>75</v>
      </c>
      <c r="M17" s="18" t="n">
        <v>46296</v>
      </c>
      <c r="N17" s="10" t="inlineStr">
        <is>
          <t>Série R26 (différentiel autobloquant). La R26.R, beaucoup plus rare, sort du même filtre : à repérer à part.</t>
        </is>
      </c>
      <c r="O17" s="19" t="inlineStr">
        <is>
          <t>Voir</t>
        </is>
      </c>
    </row>
  </sheetData>
  <autoFilter ref="A1:O17"/>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2026-10-15T10:04:23Z</dcterms:created>
  <dcterms:modified xsi:type="dcterms:W3CDTF">2026-10-15T10:04:24Z</dcterms:modified>
</cp:coreProperties>
</file>
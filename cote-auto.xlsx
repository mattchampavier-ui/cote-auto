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Analyse du mois" sheetId="2" state="visible" r:id="rId2"/>
    <sheet name="Historique mensuel" sheetId="3" state="visible" r:id="rId3"/>
    <sheet name="Médianes par mois" sheetId="4" state="visible" r:id="rId4"/>
    <sheet name="Indice base 100" sheetId="5" state="visible" r:id="rId5"/>
    <sheet name="Relevés" sheetId="6" state="visible" r:id="rId6"/>
    <sheet name="Annonces" sheetId="7" state="visible" r:id="rId7"/>
    <sheet name="Bonnes affaires" sheetId="8" state="visible" r:id="rId8"/>
    <sheet name="Véhicules" sheetId="9" state="visible" r:id="rId9"/>
  </sheets>
  <definedNames>
    <definedName name="_xlnm._FilterDatabase" localSheetId="1" hidden="1">'Analyse du mois'!$A$8:$Y$24</definedName>
    <definedName name="_xlnm._FilterDatabase" localSheetId="2" hidden="1">'Historique mensuel'!$A$1:$P$10</definedName>
    <definedName name="_xlnm._FilterDatabase" localSheetId="5" hidden="1">'Relevés'!$A$1:$P$10</definedName>
    <definedName name="_xlnm._FilterDatabase" localSheetId="6" hidden="1">'Annonces'!$A$1:$O$41</definedName>
    <definedName name="_xlnm._FilterDatabase" localSheetId="7" hidden="1">'Bonnes affaires'!$A$1:$J$6</definedName>
    <definedName name="_xlnm._FilterDatabase" localSheetId="8" hidden="1">'Véhicules'!$A$1:$O$17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#,##0 &quot;€&quot;;-#,##0 &quot;€&quot;;&quot;-&quot;"/>
    <numFmt numFmtId="168" formatCode="0.0%"/>
    <numFmt numFmtId="169" formatCode="[Color10]+0.0%;[Red]-0.0%;0.0%"/>
    <numFmt numFmtId="170" formatCode="#,##0 &quot;km&quot;;;&quot;-&quot;"/>
    <numFmt numFmtId="171" formatCode="0 &quot;j&quot;"/>
    <numFmt numFmtId="172" formatCode="[Color10]+0.0;[Red]-0.0;0.0"/>
  </numFmts>
  <fonts count="9">
    <font>
      <name val="Calibri"/>
      <family val="2"/>
      <color theme="1"/>
      <sz val="11"/>
      <scheme val="minor"/>
    </font>
    <font>
      <name val="Arial"/>
      <b val="1"/>
      <color rgb="001F1C18"/>
      <sz val="16"/>
    </font>
    <font>
      <name val="Arial"/>
      <b val="1"/>
      <color rgb="001F1C18"/>
      <sz val="10"/>
    </font>
    <font>
      <name val="Arial"/>
      <color rgb="001F1C18"/>
      <sz val="10"/>
    </font>
    <font>
      <name val="Arial"/>
      <color rgb="001F5FA8"/>
      <sz val="10"/>
      <u val="single"/>
    </font>
    <font>
      <name val="Arial"/>
      <i val="1"/>
      <color rgb="006E655A"/>
      <sz val="9"/>
    </font>
    <font>
      <name val="Arial"/>
      <b val="1"/>
      <color rgb="00A8742F"/>
      <sz val="14"/>
    </font>
    <font>
      <name val="Arial"/>
      <b val="1"/>
      <color rgb="00FFFFFF"/>
      <sz val="10"/>
    </font>
    <font>
      <name val="Arial"/>
      <b val="1"/>
      <color rgb="001F1C18"/>
      <sz val="12"/>
    </font>
  </fonts>
  <fills count="3">
    <fill>
      <patternFill/>
    </fill>
    <fill>
      <patternFill patternType="gray125"/>
    </fill>
    <fill>
      <patternFill patternType="solid">
        <fgColor rgb="00A8742F"/>
      </patternFill>
    </fill>
  </fills>
  <borders count="2">
    <border>
      <left/>
      <right/>
      <top/>
      <bottom/>
      <diagonal/>
    </border>
    <border>
      <bottom style="thin">
        <color rgb="00E1D8C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0" applyAlignment="1" pivotButton="0" quotePrefix="0" xfId="0">
      <alignment horizontal="left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" fontId="6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0" fontId="7" fillId="2" borderId="0" applyAlignment="1" pivotButton="0" quotePrefix="0" xfId="0">
      <alignment vertical="center" wrapText="1"/>
    </xf>
    <xf numFmtId="0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" fontId="3" fillId="0" borderId="1" pivotButton="0" quotePrefix="0" xfId="0"/>
    <xf numFmtId="171" fontId="3" fillId="0" borderId="1" pivotButton="0" quotePrefix="0" xfId="0"/>
    <xf numFmtId="165" fontId="3" fillId="0" borderId="1" pivotButton="0" quotePrefix="0" xfId="0"/>
    <xf numFmtId="0" fontId="4" fillId="0" borderId="1" pivotButton="0" quotePrefix="0" xfId="0"/>
    <xf numFmtId="172" fontId="3" fillId="0" borderId="1" pivotButton="0" quotePrefix="0" xfId="0"/>
    <xf numFmtId="0" fontId="7" fillId="2" borderId="0" pivotButton="0" quotePrefix="0" xfId="0"/>
    <xf numFmtId="167" fontId="3" fillId="0" borderId="0" pivotButton="0" quotePrefix="0" xfId="0"/>
    <xf numFmtId="0" fontId="8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A"/>
        </patternFill>
      </fill>
    </dxf>
    <dxf>
      <fill>
        <patternFill patternType="solid">
          <fgColor rgb="00F7EB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Score par véhicule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'Analyse du mois'!C8</f>
            </strRef>
          </tx>
          <spPr>
            <a:ln>
              <a:prstDash val="solid"/>
            </a:ln>
          </spPr>
          <cat>
            <numRef>
              <f>'Analyse du mois'!$A$9:$A$24</f>
            </numRef>
          </cat>
          <val>
            <numRef>
              <f>'Analyse du mois'!$C$9:$C$24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Indice de la médiane (100 = premier mois suivi)</a:t>
            </a:r>
          </a:p>
        </rich>
      </tx>
    </title>
    <plotArea>
      <lineChart>
        <grouping val="standard"/>
        <ser>
          <idx val="0"/>
          <order val="0"/>
          <tx>
            <strRef>
              <f>'Indice base 100'!B4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100'!$B$5:$B$6</f>
            </numRef>
          </val>
        </ser>
        <ser>
          <idx val="1"/>
          <order val="1"/>
          <tx>
            <strRef>
              <f>'Indice base 100'!C4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100'!$C$5:$C$6</f>
            </numRef>
          </val>
        </ser>
        <ser>
          <idx val="2"/>
          <order val="2"/>
          <tx>
            <strRef>
              <f>'Indice base 100'!D4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100'!$D$5:$D$6</f>
            </numRef>
          </val>
        </ser>
        <ser>
          <idx val="3"/>
          <order val="3"/>
          <tx>
            <strRef>
              <f>'Indice base 100'!E4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100'!$E$5:$E$6</f>
            </numRef>
          </val>
        </ser>
        <ser>
          <idx val="4"/>
          <order val="4"/>
          <tx>
            <strRef>
              <f>'Indice base 100'!F4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100'!$F$5:$F$6</f>
            </numRef>
          </val>
        </ser>
        <ser>
          <idx val="5"/>
          <order val="5"/>
          <tx>
            <strRef>
              <f>'Indice base 100'!G4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100'!$G$5:$G$6</f>
            </numRef>
          </val>
        </ser>
        <ser>
          <idx val="6"/>
          <order val="6"/>
          <tx>
            <strRef>
              <f>'Indice base 100'!H4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100'!$H$5:$H$6</f>
            </numRef>
          </val>
        </ser>
        <ser>
          <idx val="7"/>
          <order val="7"/>
          <tx>
            <strRef>
              <f>'Indice base 100'!I4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base 100'!$A$5:$A$6</f>
            </numRef>
          </cat>
          <val>
            <numRef>
              <f>'Indice base 100'!$I$5:$I$6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88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ttchampavier-ui.github.io/cote-aut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leboncoin.fr/recherche?category=2&amp;text=206+rc&amp;regdate=2003-2007" TargetMode="External" Id="rId1" /><Relationship Type="http://schemas.openxmlformats.org/officeDocument/2006/relationships/hyperlink" Target="https://www.leboncoin.fr/recherche?category=2&amp;text=208+gti+30th&amp;regdate=2014-2016" TargetMode="External" Id="rId2" /><Relationship Type="http://schemas.openxmlformats.org/officeDocument/2006/relationships/hyperlink" Target="https://www.leboncoin.fr/recherche?category=2&amp;text=911+997+carrera+s&amp;regdate=2004-2012" TargetMode="External" Id="rId3" /><Relationship Type="http://schemas.openxmlformats.org/officeDocument/2006/relationships/hyperlink" Target="https://www.leboncoin.fr/recherche?category=2&amp;text=clio+rs&amp;regdate=2000-2006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saxo+vts&amp;regdate=1997-2004" TargetMode="External" Id="rId6" /><Relationship Type="http://schemas.openxmlformats.org/officeDocument/2006/relationships/hyperlink" Target="https://www.leboncoin.fr/recherche?category=2&amp;text=boxster+986&amp;regdate=1996-2004" TargetMode="External" Id="rId7" /><Relationship Type="http://schemas.openxmlformats.org/officeDocument/2006/relationships/hyperlink" Target="https://www.leboncoin.fr/recherche?category=2&amp;text=boxster+987&amp;regdate=2005-2012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Relationship Type="http://schemas.openxmlformats.org/officeDocument/2006/relationships/drawing" Target="/xl/drawings/drawing1.xml" Id="rId17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leboncoin.fr/ad/voitures/2988747124" TargetMode="External" Id="rId1" /><Relationship Type="http://schemas.openxmlformats.org/officeDocument/2006/relationships/hyperlink" Target="https://www.leboncoin.fr/ad/voitures/3123040394" TargetMode="External" Id="rId2" /><Relationship Type="http://schemas.openxmlformats.org/officeDocument/2006/relationships/hyperlink" Target="https://www.leboncoin.fr/ad/voitures/3151025653" TargetMode="External" Id="rId3" /><Relationship Type="http://schemas.openxmlformats.org/officeDocument/2006/relationships/hyperlink" Target="https://www.leboncoin.fr/ad/voitures/3193819824" TargetMode="External" Id="rId4" /><Relationship Type="http://schemas.openxmlformats.org/officeDocument/2006/relationships/hyperlink" Target="https://www.leboncoin.fr/ad/voitures/3202654340" TargetMode="External" Id="rId5" /><Relationship Type="http://schemas.openxmlformats.org/officeDocument/2006/relationships/hyperlink" Target="https://www.leboncoin.fr/ad/voitures/3227695185" TargetMode="External" Id="rId6" /><Relationship Type="http://schemas.openxmlformats.org/officeDocument/2006/relationships/hyperlink" Target="https://www.leboncoin.fr/ad/voitures/3234323904" TargetMode="External" Id="rId7" /><Relationship Type="http://schemas.openxmlformats.org/officeDocument/2006/relationships/hyperlink" Target="https://www.leboncoin.fr/ad/voitures/3248463615" TargetMode="External" Id="rId8" /><Relationship Type="http://schemas.openxmlformats.org/officeDocument/2006/relationships/hyperlink" Target="https://www.leboncoin.fr/ad/voitures/3251217335" TargetMode="External" Id="rId9" /><Relationship Type="http://schemas.openxmlformats.org/officeDocument/2006/relationships/hyperlink" Target="https://www.leboncoin.fr/ad/voitures/3254206684" TargetMode="External" Id="rId10" /><Relationship Type="http://schemas.openxmlformats.org/officeDocument/2006/relationships/hyperlink" Target="https://www.leboncoin.fr/ad/voitures/3256639318" TargetMode="External" Id="rId11" /><Relationship Type="http://schemas.openxmlformats.org/officeDocument/2006/relationships/hyperlink" Target="https://www.leboncoin.fr/ad/voitures/3258422146" TargetMode="External" Id="rId12" /><Relationship Type="http://schemas.openxmlformats.org/officeDocument/2006/relationships/hyperlink" Target="https://www.leboncoin.fr/ad/voitures/3259064609" TargetMode="External" Id="rId13" /><Relationship Type="http://schemas.openxmlformats.org/officeDocument/2006/relationships/hyperlink" Target="https://www.leboncoin.fr/ad/voitures/3262442354" TargetMode="External" Id="rId14" /><Relationship Type="http://schemas.openxmlformats.org/officeDocument/2006/relationships/hyperlink" Target="https://www.leboncoin.fr/ad/voitures/3264412764" TargetMode="External" Id="rId15" /><Relationship Type="http://schemas.openxmlformats.org/officeDocument/2006/relationships/hyperlink" Target="https://www.leboncoin.fr/ad/voitures/3265358347" TargetMode="External" Id="rId16" /><Relationship Type="http://schemas.openxmlformats.org/officeDocument/2006/relationships/hyperlink" Target="https://www.leboncoin.fr/ad/voitures/3265384769" TargetMode="External" Id="rId17" /><Relationship Type="http://schemas.openxmlformats.org/officeDocument/2006/relationships/hyperlink" Target="https://www.leboncoin.fr/ad/voitures/3267576253" TargetMode="External" Id="rId18" /><Relationship Type="http://schemas.openxmlformats.org/officeDocument/2006/relationships/hyperlink" Target="https://www.leboncoin.fr/ad/voitures/3268704461" TargetMode="External" Id="rId19" /><Relationship Type="http://schemas.openxmlformats.org/officeDocument/2006/relationships/hyperlink" Target="https://www.leboncoin.fr/ad/voitures/3269057716" TargetMode="External" Id="rId20" /><Relationship Type="http://schemas.openxmlformats.org/officeDocument/2006/relationships/hyperlink" Target="https://www.leboncoin.fr/ad/voitures/3270523427" TargetMode="External" Id="rId21" /><Relationship Type="http://schemas.openxmlformats.org/officeDocument/2006/relationships/hyperlink" Target="https://www.leboncoin.fr/ad/voitures/3270650631" TargetMode="External" Id="rId22" /><Relationship Type="http://schemas.openxmlformats.org/officeDocument/2006/relationships/hyperlink" Target="https://www.leboncoin.fr/ad/voitures/3271026847" TargetMode="External" Id="rId23" /><Relationship Type="http://schemas.openxmlformats.org/officeDocument/2006/relationships/hyperlink" Target="https://www.leboncoin.fr/ad/voitures/3271661241" TargetMode="External" Id="rId24" /><Relationship Type="http://schemas.openxmlformats.org/officeDocument/2006/relationships/hyperlink" Target="https://www.leboncoin.fr/ad/voitures/3273170431" TargetMode="External" Id="rId25" /><Relationship Type="http://schemas.openxmlformats.org/officeDocument/2006/relationships/hyperlink" Target="https://www.leboncoin.fr/ad/voitures/3275009272" TargetMode="External" Id="rId26" /><Relationship Type="http://schemas.openxmlformats.org/officeDocument/2006/relationships/hyperlink" Target="https://www.leboncoin.fr/ad/voitures/3275531733" TargetMode="External" Id="rId27" /><Relationship Type="http://schemas.openxmlformats.org/officeDocument/2006/relationships/hyperlink" Target="https://www.leboncoin.fr/ad/voitures/3276061576" TargetMode="External" Id="rId28" /><Relationship Type="http://schemas.openxmlformats.org/officeDocument/2006/relationships/hyperlink" Target="https://www.leboncoin.fr/ad/voitures/3276929411" TargetMode="External" Id="rId29" /><Relationship Type="http://schemas.openxmlformats.org/officeDocument/2006/relationships/hyperlink" Target="https://www.leboncoin.fr/ad/voitures/3277073683" TargetMode="External" Id="rId30" /><Relationship Type="http://schemas.openxmlformats.org/officeDocument/2006/relationships/hyperlink" Target="https://www.leboncoin.fr/ad/voitures/3277840482" TargetMode="External" Id="rId31" /><Relationship Type="http://schemas.openxmlformats.org/officeDocument/2006/relationships/hyperlink" Target="https://www.leboncoin.fr/ad/voitures/3278317897" TargetMode="External" Id="rId32" /><Relationship Type="http://schemas.openxmlformats.org/officeDocument/2006/relationships/hyperlink" Target="https://www.leboncoin.fr/ad/voitures/3278631826" TargetMode="External" Id="rId33" /><Relationship Type="http://schemas.openxmlformats.org/officeDocument/2006/relationships/hyperlink" Target="https://www.leboncoin.fr/ad/voitures/3278866640" TargetMode="External" Id="rId34" /><Relationship Type="http://schemas.openxmlformats.org/officeDocument/2006/relationships/hyperlink" Target="https://www.leboncoin.fr/ad/voitures/3278894245" TargetMode="External" Id="rId35" /><Relationship Type="http://schemas.openxmlformats.org/officeDocument/2006/relationships/hyperlink" Target="https://www.leboncoin.fr/ad/voitures/3279039279" TargetMode="External" Id="rId36" /><Relationship Type="http://schemas.openxmlformats.org/officeDocument/2006/relationships/hyperlink" Target="https://www.leboncoin.fr/ad/voitures/3279053465" TargetMode="External" Id="rId37" /><Relationship Type="http://schemas.openxmlformats.org/officeDocument/2006/relationships/hyperlink" Target="https://www.leboncoin.fr/ad/voitures/3279236263" TargetMode="External" Id="rId38" /><Relationship Type="http://schemas.openxmlformats.org/officeDocument/2006/relationships/hyperlink" Target="https://www.leboncoin.fr/ad/voitures/3279820686" TargetMode="External" Id="rId39" /><Relationship Type="http://schemas.openxmlformats.org/officeDocument/2006/relationships/hyperlink" Target="https://www.leboncoin.fr/ad/voitures/3280095370" TargetMode="External" Id="rId4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leboncoin.fr/ad/voitures/3277073683" TargetMode="External" Id="rId1" /><Relationship Type="http://schemas.openxmlformats.org/officeDocument/2006/relationships/hyperlink" Target="https://www.leboncoin.fr/ad/voitures/3278866640" TargetMode="External" Id="rId2" /><Relationship Type="http://schemas.openxmlformats.org/officeDocument/2006/relationships/hyperlink" Target="https://www.leboncoin.fr/ad/voitures/3273170431" TargetMode="External" Id="rId3" /><Relationship Type="http://schemas.openxmlformats.org/officeDocument/2006/relationships/hyperlink" Target="https://www.leboncoin.fr/ad/voitures/3279053465" TargetMode="External" Id="rId4" /><Relationship Type="http://schemas.openxmlformats.org/officeDocument/2006/relationships/hyperlink" Target="https://www.leboncoin.fr/ad/voitures/3278317897" TargetMode="External" Id="rId5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leboncoin.fr/recherche?category=2&amp;text=208+gti+30th&amp;regdate=2014-2016" TargetMode="External" Id="rId1" /><Relationship Type="http://schemas.openxmlformats.org/officeDocument/2006/relationships/hyperlink" Target="https://www.leboncoin.fr/recherche?category=2&amp;text=911+997+carrera+s&amp;regdate=2004-2012" TargetMode="External" Id="rId2" /><Relationship Type="http://schemas.openxmlformats.org/officeDocument/2006/relationships/hyperlink" Target="https://www.leboncoin.fr/recherche?category=2&amp;text=boxster+986&amp;regdate=1996-2004" TargetMode="External" Id="rId3" /><Relationship Type="http://schemas.openxmlformats.org/officeDocument/2006/relationships/hyperlink" Target="https://www.leboncoin.fr/recherche?category=2&amp;text=boxster+987&amp;regdate=2005-2012" TargetMode="External" Id="rId4" /><Relationship Type="http://schemas.openxmlformats.org/officeDocument/2006/relationships/hyperlink" Target="https://www.leboncoin.fr/recherche?category=2&amp;text=twingo+toit+ouvrant&amp;regdate=1993-2007" TargetMode="External" Id="rId5" /><Relationship Type="http://schemas.openxmlformats.org/officeDocument/2006/relationships/hyperlink" Target="https://www.leboncoin.fr/recherche?category=2&amp;text=206+rc&amp;regdate=2003-2007" TargetMode="External" Id="rId6" /><Relationship Type="http://schemas.openxmlformats.org/officeDocument/2006/relationships/hyperlink" Target="https://www.leboncoin.fr/recherche?category=2&amp;text=clio+rs&amp;regdate=2000-2006" TargetMode="External" Id="rId7" /><Relationship Type="http://schemas.openxmlformats.org/officeDocument/2006/relationships/hyperlink" Target="https://www.leboncoin.fr/recherche?category=2&amp;text=saxo+vts&amp;regdate=1997-2004" TargetMode="External" Id="rId8" /><Relationship Type="http://schemas.openxmlformats.org/officeDocument/2006/relationships/hyperlink" Target="https://www.leboncoin.fr/recherche?category=2&amp;text=306+s16&amp;regdate=1993-2001" TargetMode="External" Id="rId9" /><Relationship Type="http://schemas.openxmlformats.org/officeDocument/2006/relationships/hyperlink" Target="https://www.leboncoin.fr/recherche?category=2&amp;text=bmw+z3&amp;regdate=1996-2002" TargetMode="External" Id="rId10" /><Relationship Type="http://schemas.openxmlformats.org/officeDocument/2006/relationships/hyperlink" Target="https://www.leboncoin.fr/recherche?category=2&amp;text=golf+gti+25&amp;regdate=2001-2002" TargetMode="External" Id="rId11" /><Relationship Type="http://schemas.openxmlformats.org/officeDocument/2006/relationships/hyperlink" Target="https://www.leboncoin.fr/recherche?category=2&amp;text=alfa+156+v6&amp;regdate=1997-2005" TargetMode="External" Id="rId12" /><Relationship Type="http://schemas.openxmlformats.org/officeDocument/2006/relationships/hyperlink" Target="https://www.leboncoin.fr/recherche?category=2&amp;text=mazda+mx5&amp;regdate=1989-1998" TargetMode="External" Id="rId13" /><Relationship Type="http://schemas.openxmlformats.org/officeDocument/2006/relationships/hyperlink" Target="https://www.leboncoin.fr/recherche?category=2&amp;text=205+gti&amp;regdate=1984-1994" TargetMode="External" Id="rId14" /><Relationship Type="http://schemas.openxmlformats.org/officeDocument/2006/relationships/hyperlink" Target="https://www.leboncoin.fr/recherche?category=2&amp;text=honda+s2000&amp;regdate=1999-2009" TargetMode="External" Id="rId15" /><Relationship Type="http://schemas.openxmlformats.org/officeDocument/2006/relationships/hyperlink" Target="https://www.leboncoin.fr/recherche?category=2&amp;text=megane+rs+r26&amp;regdate=2007-2009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COTE — base de suivi des cotes</t>
        </is>
      </c>
    </row>
    <row r="3">
      <c r="A3" s="2" t="inlineStr">
        <is>
          <t>Généré le</t>
        </is>
      </c>
      <c r="B3" s="3" t="n">
        <v>46296</v>
      </c>
    </row>
    <row r="4">
      <c r="A4" s="2" t="inlineStr">
        <is>
          <t>Dernier relevé</t>
        </is>
      </c>
      <c r="B4" s="3" t="n">
        <v>46296</v>
      </c>
    </row>
    <row r="5">
      <c r="A5" s="2" t="inlineStr">
        <is>
          <t>Dashboard</t>
        </is>
      </c>
      <c r="B5" s="4" t="inlineStr">
        <is>
          <t>https://mattchampavier-ui.github.io/cote-auto/</t>
        </is>
      </c>
    </row>
    <row r="6">
      <c r="A6" s="2" t="inlineStr"/>
      <c r="B6" s="5" t="inlineStr"/>
    </row>
    <row r="7">
      <c r="A7" s="2" t="inlineStr">
        <is>
          <t>Fonctionnement</t>
        </is>
      </c>
      <c r="B7" s="5" t="inlineStr">
        <is>
          <t>Ce fichier est régénéré automatiquement à chaque relevé (chaque lundi et le 1er du mois) à partir de tout l'historique.</t>
        </is>
      </c>
    </row>
    <row r="8">
      <c r="A8" s="2" t="inlineStr"/>
      <c r="B8" s="5" t="inlineStr">
        <is>
          <t>Il est aussi joint au récap mensuel par mail. Toute modification faite à la main ici sera écrasée : enregistre une copie pour annoter.</t>
        </is>
      </c>
    </row>
    <row r="9">
      <c r="A9" s="2" t="inlineStr"/>
      <c r="B9" s="5" t="inlineStr"/>
    </row>
    <row r="10">
      <c r="A10" s="2" t="inlineStr">
        <is>
          <t>Onglets</t>
        </is>
      </c>
      <c r="B10" s="5" t="inlineStr"/>
    </row>
    <row r="11">
      <c r="A11" s="2" t="inlineStr">
        <is>
          <t>Analyse du mois</t>
        </is>
      </c>
      <c r="B11" s="5" t="inlineStr">
        <is>
          <t>Situation actuelle de chaque véhicule : score, signal, prix, tendances, offre, ventes. Indicateurs clés en haut.</t>
        </is>
      </c>
    </row>
    <row r="12">
      <c r="A12" s="2" t="inlineStr">
        <is>
          <t>Historique mensuel</t>
        </is>
      </c>
      <c r="B12" s="5" t="inlineStr">
        <is>
          <t>Une ligne par véhicule et par mois (dernier relevé du mois). Variations vs mois précédent calculées par formule.</t>
        </is>
      </c>
    </row>
    <row r="13">
      <c r="A13" s="2" t="inlineStr">
        <is>
          <t>Médianes par mois</t>
        </is>
      </c>
      <c r="B13" s="5" t="inlineStr">
        <is>
          <t>Tableau croisé véhicule × mois des prix médians (formules sur l'onglet Historique mensuel).</t>
        </is>
      </c>
    </row>
    <row r="14">
      <c r="A14" s="2" t="inlineStr">
        <is>
          <t>Indice base 100</t>
        </is>
      </c>
      <c r="B14" s="5" t="inlineStr">
        <is>
          <t>Évolution de la médiane depuis le premier mois suivi (100 = premier mois), avec graphique.</t>
        </is>
      </c>
    </row>
    <row r="15">
      <c r="A15" s="2" t="inlineStr">
        <is>
          <t>Relevés</t>
        </is>
      </c>
      <c r="B15" s="5" t="inlineStr">
        <is>
          <t>Tous les relevés bruts, y compris l'amorce manuelle de septembre 2026.</t>
        </is>
      </c>
    </row>
    <row r="16">
      <c r="A16" s="2" t="inlineStr">
        <is>
          <t>Annonces</t>
        </is>
      </c>
      <c r="B16" s="5" t="inlineStr">
        <is>
          <t>Chaque annonce suivie : en vente ou partie (≈ vendue), durée en ligne, baisse de prix.</t>
        </is>
      </c>
    </row>
    <row r="17">
      <c r="A17" s="2" t="inlineStr">
        <is>
          <t>Bonnes affaires</t>
        </is>
      </c>
      <c r="B17" s="5" t="inlineStr">
        <is>
          <t>Annonces du dernier relevé au moins 15 % sous la cote attendue pour leur kilométrage.</t>
        </is>
      </c>
    </row>
    <row r="18">
      <c r="A18" s="2" t="inlineStr">
        <is>
          <t>Véhicules</t>
        </is>
      </c>
      <c r="B18" s="5" t="inlineStr">
        <is>
          <t>Liste des véhicules suivis ou retirés et leurs critères de recherche.</t>
        </is>
      </c>
    </row>
    <row r="19">
      <c r="A19" s="2" t="inlineStr"/>
      <c r="B19" s="5" t="inlineStr"/>
    </row>
    <row r="20">
      <c r="A20" s="2" t="inlineStr">
        <is>
          <t>Définitions</t>
        </is>
      </c>
      <c r="B20" s="5" t="inlineStr"/>
    </row>
    <row r="21">
      <c r="A21" s="2" t="inlineStr">
        <is>
          <t>Médiane</t>
        </is>
      </c>
      <c r="B21" s="5" t="inlineStr">
        <is>
          <t>Prix médian des annonces retenues (après filtres : pièces, épaves, autres versions, doublons, prix aberrants).</t>
        </is>
      </c>
    </row>
    <row r="22">
      <c r="A22" s="2" t="inlineStr">
        <is>
          <t>Cote à km réf.</t>
        </is>
      </c>
      <c r="B22" s="5" t="inlineStr">
        <is>
          <t>Prix attendu à un kilométrage de référence fixe (régression prix/km) : compare les mois sans biais de kilométrage.</t>
        </is>
      </c>
    </row>
    <row r="23">
      <c r="A23" s="2" t="inlineStr">
        <is>
          <t>Position fourchette</t>
        </is>
      </c>
      <c r="B23" s="5" t="inlineStr">
        <is>
          <t>0 % = au plancher, 100 % = au plafond de prix observé (ou saisi pendant les 3 premiers mois).</t>
        </is>
      </c>
    </row>
    <row r="24">
      <c r="A24" s="2" t="inlineStr">
        <is>
          <t>Score</t>
        </is>
      </c>
      <c r="B24" s="5" t="inlineStr">
        <is>
          <t>Sur 100 : rareté 20 %, désirabilité 20 %, « dernier de » 10 %, proximité du plancher 20 %, momentum 15 %, marché 15 %.</t>
        </is>
      </c>
    </row>
    <row r="25">
      <c r="A25" s="2" t="inlineStr">
        <is>
          <t>Ventes</t>
        </is>
      </c>
      <c r="B25" s="5" t="inlineStr">
        <is>
          <t>Annonces disparues entre deux relevés. Une annonce peut aussi être retirée sans vente : c'est une estimation.</t>
        </is>
      </c>
    </row>
    <row r="26">
      <c r="A26" s="2" t="inlineStr">
        <is>
          <t>Avertissement</t>
        </is>
      </c>
      <c r="B26" s="5" t="inlineStr">
        <is>
          <t>Outil de suivi de marché, pas un conseil d'achat.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10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9" customWidth="1" min="18" max="18"/>
    <col width="11" customWidth="1" min="19" max="19"/>
    <col width="10" customWidth="1" min="20" max="20"/>
    <col width="11" customWidth="1" min="21" max="21"/>
    <col width="11" customWidth="1" min="22" max="22"/>
    <col width="9" customWidth="1" min="23" max="23"/>
    <col width="13" customWidth="1" min="24" max="24"/>
    <col width="11" customWidth="1" min="25" max="25"/>
  </cols>
  <sheetData>
    <row r="1">
      <c r="A1" s="1" t="inlineStr">
        <is>
          <t>Analyse au 01/10/2026</t>
        </is>
      </c>
    </row>
    <row r="3">
      <c r="A3" s="6" t="inlineStr">
        <is>
          <t>Véhicules suivis</t>
        </is>
      </c>
      <c r="C3" s="6" t="inlineStr">
        <is>
          <t>Score moyen</t>
        </is>
      </c>
      <c r="E3" s="6" t="inlineStr">
        <is>
          <t>Annonces actives</t>
        </is>
      </c>
    </row>
    <row r="4">
      <c r="A4" s="7">
        <f>COUNTA(A9:A24)</f>
        <v/>
      </c>
      <c r="C4" s="8">
        <f>IFERROR(AVERAGEIF(N9:N24,"&gt;0",C9:C24),0)</f>
        <v/>
      </c>
      <c r="E4" s="7">
        <f>SUM(N9:N24)</f>
        <v/>
      </c>
    </row>
    <row r="5">
      <c r="A5" s="6" t="inlineStr">
        <is>
          <t>Ventes sur 30 jours</t>
        </is>
      </c>
      <c r="C5" s="6" t="inlineStr">
        <is>
          <t>Signaux d'achat</t>
        </is>
      </c>
      <c r="E5" s="6" t="inlineStr">
        <is>
          <t>Bonnes affaires</t>
        </is>
      </c>
    </row>
    <row r="6">
      <c r="A6" s="7">
        <f>SUM(O9:O24)</f>
        <v/>
      </c>
      <c r="C6" s="7">
        <f>COUNTIF(D9:D24,"Signal d'achat")</f>
        <v/>
      </c>
      <c r="E6" s="7">
        <f>SUM(Q9:Q24)</f>
        <v/>
      </c>
    </row>
    <row r="8" ht="30" customHeight="1">
      <c r="A8" s="9" t="inlineStr">
        <is>
          <t>Véhicule</t>
        </is>
      </c>
      <c r="B8" s="9" t="inlineStr">
        <is>
          <t>Catégorie</t>
        </is>
      </c>
      <c r="C8" s="9" t="inlineStr">
        <is>
          <t>Score /100</t>
        </is>
      </c>
      <c r="D8" s="9" t="inlineStr">
        <is>
          <t>Signal</t>
        </is>
      </c>
      <c r="E8" s="9" t="inlineStr">
        <is>
          <t>Médiane</t>
        </is>
      </c>
      <c r="F8" s="9" t="inlineStr">
        <is>
          <t>Plancher</t>
        </is>
      </c>
      <c r="G8" s="9" t="inlineStr">
        <is>
          <t>Plafond</t>
        </is>
      </c>
      <c r="H8" s="9" t="inlineStr">
        <is>
          <t>Position fourchette</t>
        </is>
      </c>
      <c r="I8" s="9" t="inlineStr">
        <is>
          <t>Tendance 1 mois</t>
        </is>
      </c>
      <c r="J8" s="9" t="inlineStr">
        <is>
          <t>Tendance 3 mois</t>
        </is>
      </c>
      <c r="K8" s="9" t="inlineStr">
        <is>
          <t>Tendance 12 mois</t>
        </is>
      </c>
      <c r="L8" s="9" t="inlineStr">
        <is>
          <t>Cote à km réf.</t>
        </is>
      </c>
      <c r="M8" s="9" t="inlineStr">
        <is>
          <t>Km réf.</t>
        </is>
      </c>
      <c r="N8" s="9" t="inlineStr">
        <is>
          <t>Annonces</t>
        </is>
      </c>
      <c r="O8" s="9" t="inlineStr">
        <is>
          <t>Vendues (30 j)</t>
        </is>
      </c>
      <c r="P8" s="9" t="inlineStr">
        <is>
          <t>Délai de vente</t>
        </is>
      </c>
      <c r="Q8" s="9" t="inlineStr">
        <is>
          <t>Bonnes affaires</t>
        </is>
      </c>
      <c r="R8" s="9" t="inlineStr">
        <is>
          <t>Rareté</t>
        </is>
      </c>
      <c r="S8" s="9" t="inlineStr">
        <is>
          <t>Désirabilité</t>
        </is>
      </c>
      <c r="T8" s="9" t="inlineStr">
        <is>
          <t>Dernier de</t>
        </is>
      </c>
      <c r="U8" s="9" t="inlineStr">
        <is>
          <t>Proximité plancher</t>
        </is>
      </c>
      <c r="V8" s="9" t="inlineStr">
        <is>
          <t>Momentum</t>
        </is>
      </c>
      <c r="W8" s="9" t="inlineStr">
        <is>
          <t>Marché</t>
        </is>
      </c>
      <c r="X8" s="9" t="inlineStr">
        <is>
          <t>Dernier relevé</t>
        </is>
      </c>
      <c r="Y8" s="9" t="inlineStr">
        <is>
          <t>LeBonCoin</t>
        </is>
      </c>
    </row>
    <row r="9">
      <c r="A9" s="10" t="inlineStr">
        <is>
          <t>Peugeot 206 RC</t>
        </is>
      </c>
      <c r="B9" s="10" t="inlineStr">
        <is>
          <t>Hot-hatch youngtimer 2000-2005</t>
        </is>
      </c>
      <c r="C9" s="11" t="n">
        <v>71.5</v>
      </c>
      <c r="D9" s="10" t="inlineStr">
        <is>
          <t>Signal d'achat</t>
        </is>
      </c>
      <c r="E9" s="12" t="n">
        <v>9650</v>
      </c>
      <c r="F9" s="12" t="n">
        <v>6500</v>
      </c>
      <c r="G9" s="12" t="n">
        <v>13500</v>
      </c>
      <c r="H9" s="13">
        <f>IF(AND(ISNUMBER(E9),ISNUMBER(F9),ISNUMBER(G9),G9&gt;F9),(E9-F9)/(G9-F9),"")</f>
        <v/>
      </c>
      <c r="I9" s="14" t="n">
        <v>0.421</v>
      </c>
      <c r="J9" s="14" t="n"/>
      <c r="K9" s="14" t="n"/>
      <c r="L9" s="12" t="n">
        <v>9650</v>
      </c>
      <c r="M9" s="15" t="n">
        <v>150000</v>
      </c>
      <c r="N9" s="16" t="n">
        <v>40</v>
      </c>
      <c r="O9" s="16" t="n">
        <v>0</v>
      </c>
      <c r="P9" s="17" t="n"/>
      <c r="Q9" s="16" t="n">
        <v>5</v>
      </c>
      <c r="R9" s="16" t="n">
        <v>45</v>
      </c>
      <c r="S9" s="16" t="n">
        <v>70</v>
      </c>
      <c r="T9" s="16" t="n">
        <v>75</v>
      </c>
      <c r="U9" s="16" t="n">
        <v>55</v>
      </c>
      <c r="V9" s="16" t="n">
        <v>100</v>
      </c>
      <c r="W9" s="16" t="n">
        <v>100</v>
      </c>
      <c r="X9" s="18" t="n">
        <v>46296</v>
      </c>
      <c r="Y9" s="19" t="inlineStr">
        <is>
          <t>Voir</t>
        </is>
      </c>
    </row>
    <row r="10">
      <c r="A10" s="10" t="inlineStr">
        <is>
          <t>Peugeot 208 GTi 30th</t>
        </is>
      </c>
      <c r="B10" s="10" t="inlineStr">
        <is>
          <t>Hot-hatch récente à tirage limité</t>
        </is>
      </c>
      <c r="C10" s="11" t="n">
        <v>67.40000000000001</v>
      </c>
      <c r="D10" s="10" t="inlineStr">
        <is>
          <t>À surveiller</t>
        </is>
      </c>
      <c r="E10" s="12" t="n">
        <v>15990</v>
      </c>
      <c r="F10" s="12" t="n">
        <v>12000</v>
      </c>
      <c r="G10" s="12" t="n">
        <v>24000</v>
      </c>
      <c r="H10" s="13">
        <f>IF(AND(ISNUMBER(E10),ISNUMBER(F10),ISNUMBER(G10),G10&gt;F10),(E10-F10)/(G10-F10),"")</f>
        <v/>
      </c>
      <c r="I10" s="14" t="n"/>
      <c r="J10" s="14" t="n"/>
      <c r="K10" s="14" t="n"/>
      <c r="L10" s="12" t="n"/>
      <c r="M10" s="15" t="n">
        <v>100000</v>
      </c>
      <c r="N10" s="16" t="n">
        <v>7</v>
      </c>
      <c r="O10" s="16" t="n">
        <v>0</v>
      </c>
      <c r="P10" s="17" t="n"/>
      <c r="Q10" s="16" t="n">
        <v>0</v>
      </c>
      <c r="R10" s="16" t="n">
        <v>85</v>
      </c>
      <c r="S10" s="16" t="n">
        <v>80</v>
      </c>
      <c r="T10" s="16" t="n">
        <v>65</v>
      </c>
      <c r="U10" s="16" t="n">
        <v>67</v>
      </c>
      <c r="V10" s="16" t="n">
        <v>50</v>
      </c>
      <c r="W10" s="16" t="n">
        <v>47</v>
      </c>
      <c r="X10" s="18" t="n">
        <v>46273</v>
      </c>
      <c r="Y10" s="19" t="inlineStr">
        <is>
          <t>Voir</t>
        </is>
      </c>
    </row>
    <row r="11">
      <c r="A11" s="10" t="inlineStr">
        <is>
          <t>Porsche 911 997 Carrera S</t>
        </is>
      </c>
      <c r="B11" s="10" t="inlineStr">
        <is>
          <t>Sportive iconique</t>
        </is>
      </c>
      <c r="C11" s="11" t="n">
        <v>67.2</v>
      </c>
      <c r="D11" s="10" t="inlineStr">
        <is>
          <t>À surveiller</t>
        </is>
      </c>
      <c r="E11" s="12" t="n">
        <v>51000</v>
      </c>
      <c r="F11" s="12" t="n">
        <v>40000</v>
      </c>
      <c r="G11" s="12" t="n">
        <v>75000</v>
      </c>
      <c r="H11" s="13">
        <f>IF(AND(ISNUMBER(E11),ISNUMBER(F11),ISNUMBER(G11),G11&gt;F11),(E11-F11)/(G11-F11),"")</f>
        <v/>
      </c>
      <c r="I11" s="14" t="n"/>
      <c r="J11" s="14" t="n"/>
      <c r="K11" s="14" t="n"/>
      <c r="L11" s="12" t="n"/>
      <c r="M11" s="15" t="n">
        <v>100000</v>
      </c>
      <c r="N11" s="16" t="n">
        <v>11</v>
      </c>
      <c r="O11" s="16" t="n">
        <v>0</v>
      </c>
      <c r="P11" s="17" t="n"/>
      <c r="Q11" s="16" t="n">
        <v>0</v>
      </c>
      <c r="R11" s="16" t="n">
        <v>40</v>
      </c>
      <c r="S11" s="16" t="n">
        <v>90</v>
      </c>
      <c r="T11" s="16" t="n">
        <v>90</v>
      </c>
      <c r="U11" s="16" t="n">
        <v>69</v>
      </c>
      <c r="V11" s="16" t="n">
        <v>50</v>
      </c>
      <c r="W11" s="16" t="n">
        <v>73</v>
      </c>
      <c r="X11" s="18" t="n">
        <v>46273</v>
      </c>
      <c r="Y11" s="19" t="inlineStr">
        <is>
          <t>Voir</t>
        </is>
      </c>
    </row>
    <row r="12">
      <c r="A12" s="10" t="inlineStr">
        <is>
          <t>Renault Clio II RS (172/182 ch)</t>
        </is>
      </c>
      <c r="B12" s="10" t="inlineStr">
        <is>
          <t>Hot-hatch youngtimer 2000-2005</t>
        </is>
      </c>
      <c r="C12" s="11" t="n">
        <v>52</v>
      </c>
      <c r="D12" s="10" t="inlineStr">
        <is>
          <t>Attendre</t>
        </is>
      </c>
      <c r="E12" s="12" t="n">
        <v>8899.5</v>
      </c>
      <c r="F12" s="12" t="n">
        <v>5000</v>
      </c>
      <c r="G12" s="12" t="n">
        <v>17000</v>
      </c>
      <c r="H12" s="13">
        <f>IF(AND(ISNUMBER(E12),ISNUMBER(F12),ISNUMBER(G12),G12&gt;F12),(E12-F12)/(G12-F12),"")</f>
        <v/>
      </c>
      <c r="I12" s="14" t="n"/>
      <c r="J12" s="14" t="n"/>
      <c r="K12" s="14" t="n"/>
      <c r="L12" s="12" t="n"/>
      <c r="M12" s="15" t="n">
        <v>160000</v>
      </c>
      <c r="N12" s="16" t="n">
        <v>2</v>
      </c>
      <c r="O12" s="16" t="n">
        <v>0</v>
      </c>
      <c r="P12" s="17" t="n"/>
      <c r="Q12" s="16" t="n">
        <v>0</v>
      </c>
      <c r="R12" s="16" t="n">
        <v>40</v>
      </c>
      <c r="S12" s="16" t="n">
        <v>75</v>
      </c>
      <c r="T12" s="16" t="n">
        <v>60</v>
      </c>
      <c r="U12" s="16" t="n">
        <v>68</v>
      </c>
      <c r="V12" s="16" t="n">
        <v>50</v>
      </c>
      <c r="W12" s="16" t="n">
        <v>13</v>
      </c>
      <c r="X12" s="18" t="n">
        <v>46273</v>
      </c>
      <c r="Y12" s="19" t="inlineStr">
        <is>
          <t>Voir</t>
        </is>
      </c>
    </row>
    <row r="13">
      <c r="A13" s="10" t="inlineStr">
        <is>
          <t>Renault Twingo 1 découvrable</t>
        </is>
      </c>
      <c r="B13" s="10" t="inlineStr">
        <is>
          <t>Citadine iconique, variante toit ouvrant</t>
        </is>
      </c>
      <c r="C13" s="11" t="n">
        <v>46.5</v>
      </c>
      <c r="D13" s="10" t="inlineStr">
        <is>
          <t>Attendre</t>
        </is>
      </c>
      <c r="E13" s="12" t="n">
        <v>5490</v>
      </c>
      <c r="F13" s="12" t="n">
        <v>1500</v>
      </c>
      <c r="G13" s="12" t="n">
        <v>6500</v>
      </c>
      <c r="H13" s="13">
        <f>IF(AND(ISNUMBER(E13),ISNUMBER(F13),ISNUMBER(G13),G13&gt;F13),(E13-F13)/(G13-F13),"")</f>
        <v/>
      </c>
      <c r="I13" s="14" t="n"/>
      <c r="J13" s="14" t="n"/>
      <c r="K13" s="14" t="n"/>
      <c r="L13" s="12" t="n"/>
      <c r="M13" s="15" t="n">
        <v>150000</v>
      </c>
      <c r="N13" s="16" t="n">
        <v>6</v>
      </c>
      <c r="O13" s="16" t="n">
        <v>0</v>
      </c>
      <c r="P13" s="17" t="n"/>
      <c r="Q13" s="16" t="n">
        <v>0</v>
      </c>
      <c r="R13" s="16" t="n">
        <v>55</v>
      </c>
      <c r="S13" s="16" t="n">
        <v>65</v>
      </c>
      <c r="T13" s="16" t="n">
        <v>50</v>
      </c>
      <c r="U13" s="16" t="n">
        <v>20</v>
      </c>
      <c r="V13" s="16" t="n">
        <v>50</v>
      </c>
      <c r="W13" s="16" t="n">
        <v>40</v>
      </c>
      <c r="X13" s="18" t="n">
        <v>46273</v>
      </c>
      <c r="Y13" s="19" t="inlineStr">
        <is>
          <t>Voir</t>
        </is>
      </c>
    </row>
    <row r="14">
      <c r="A14" s="10" t="inlineStr">
        <is>
          <t>Citroën Saxo VTS 16V</t>
        </is>
      </c>
      <c r="B14" s="10" t="inlineStr">
        <is>
          <t>Hot-hatch youngtimer 2000-2005</t>
        </is>
      </c>
      <c r="C14" s="11" t="n">
        <v>43.6</v>
      </c>
      <c r="D14" s="10" t="inlineStr">
        <is>
          <t>Attendre</t>
        </is>
      </c>
      <c r="E14" s="12" t="n">
        <v>6600</v>
      </c>
      <c r="F14" s="12" t="n">
        <v>4500</v>
      </c>
      <c r="G14" s="12" t="n">
        <v>9500</v>
      </c>
      <c r="H14" s="13">
        <f>IF(AND(ISNUMBER(E14),ISNUMBER(F14),ISNUMBER(G14),G14&gt;F14),(E14-F14)/(G14-F14),"")</f>
        <v/>
      </c>
      <c r="I14" s="14" t="n"/>
      <c r="J14" s="14" t="n"/>
      <c r="K14" s="14" t="n"/>
      <c r="L14" s="12" t="n"/>
      <c r="M14" s="15" t="n">
        <v>150000</v>
      </c>
      <c r="N14" s="16" t="n">
        <v>2</v>
      </c>
      <c r="O14" s="16" t="n">
        <v>0</v>
      </c>
      <c r="P14" s="17" t="n"/>
      <c r="Q14" s="16" t="n">
        <v>0</v>
      </c>
      <c r="R14" s="16" t="n">
        <v>30</v>
      </c>
      <c r="S14" s="16" t="n">
        <v>55</v>
      </c>
      <c r="T14" s="16" t="n">
        <v>55</v>
      </c>
      <c r="U14" s="16" t="n">
        <v>58</v>
      </c>
      <c r="V14" s="16" t="n">
        <v>50</v>
      </c>
      <c r="W14" s="16" t="n">
        <v>13</v>
      </c>
      <c r="X14" s="18" t="n">
        <v>46273</v>
      </c>
      <c r="Y14" s="19" t="inlineStr">
        <is>
          <t>Voir</t>
        </is>
      </c>
    </row>
    <row r="15">
      <c r="A15" s="10" t="inlineStr">
        <is>
          <t>Porsche Boxster 986</t>
        </is>
      </c>
      <c r="B15" s="10" t="inlineStr">
        <is>
          <t>Roadster d'entrée de gamme Porsche</t>
        </is>
      </c>
      <c r="C15" s="11" t="n">
        <v>43.1</v>
      </c>
      <c r="D15" s="10" t="inlineStr">
        <is>
          <t>Attendre</t>
        </is>
      </c>
      <c r="E15" s="12" t="n">
        <v>22425</v>
      </c>
      <c r="F15" s="12" t="n">
        <v>15000</v>
      </c>
      <c r="G15" s="12" t="n">
        <v>27000</v>
      </c>
      <c r="H15" s="13">
        <f>IF(AND(ISNUMBER(E15),ISNUMBER(F15),ISNUMBER(G15),G15&gt;F15),(E15-F15)/(G15-F15),"")</f>
        <v/>
      </c>
      <c r="I15" s="14" t="n"/>
      <c r="J15" s="14" t="n"/>
      <c r="K15" s="14" t="n"/>
      <c r="L15" s="12" t="n"/>
      <c r="M15" s="15" t="n">
        <v>110000</v>
      </c>
      <c r="N15" s="16" t="n">
        <v>4</v>
      </c>
      <c r="O15" s="16" t="n">
        <v>0</v>
      </c>
      <c r="P15" s="17" t="n"/>
      <c r="Q15" s="16" t="n">
        <v>0</v>
      </c>
      <c r="R15" s="16" t="n">
        <v>35</v>
      </c>
      <c r="S15" s="16" t="n">
        <v>70</v>
      </c>
      <c r="T15" s="16" t="n">
        <v>30</v>
      </c>
      <c r="U15" s="16" t="n">
        <v>38</v>
      </c>
      <c r="V15" s="16" t="n">
        <v>50</v>
      </c>
      <c r="W15" s="16" t="n">
        <v>27</v>
      </c>
      <c r="X15" s="18" t="n">
        <v>46273</v>
      </c>
      <c r="Y15" s="19" t="inlineStr">
        <is>
          <t>Voir</t>
        </is>
      </c>
    </row>
    <row r="16">
      <c r="A16" s="10" t="inlineStr">
        <is>
          <t>Porsche Boxster 987</t>
        </is>
      </c>
      <c r="B16" s="10" t="inlineStr">
        <is>
          <t>Roadster Porsche</t>
        </is>
      </c>
      <c r="C16" s="11" t="n">
        <v>38.3</v>
      </c>
      <c r="D16" s="10" t="inlineStr">
        <is>
          <t>Attendre</t>
        </is>
      </c>
      <c r="E16" s="12" t="n">
        <v>43990</v>
      </c>
      <c r="F16" s="12" t="n">
        <v>20000</v>
      </c>
      <c r="G16" s="12" t="n">
        <v>45000</v>
      </c>
      <c r="H16" s="13">
        <f>IF(AND(ISNUMBER(E16),ISNUMBER(F16),ISNUMBER(G16),G16&gt;F16),(E16-F16)/(G16-F16),"")</f>
        <v/>
      </c>
      <c r="I16" s="14" t="n"/>
      <c r="J16" s="14" t="n"/>
      <c r="K16" s="14" t="n"/>
      <c r="L16" s="12" t="n"/>
      <c r="M16" s="15" t="n">
        <v>80000</v>
      </c>
      <c r="N16" s="16" t="n">
        <v>5</v>
      </c>
      <c r="O16" s="16" t="n">
        <v>0</v>
      </c>
      <c r="P16" s="17" t="n"/>
      <c r="Q16" s="16" t="n">
        <v>0</v>
      </c>
      <c r="R16" s="16" t="n">
        <v>30</v>
      </c>
      <c r="S16" s="16" t="n">
        <v>75</v>
      </c>
      <c r="T16" s="16" t="n">
        <v>40</v>
      </c>
      <c r="U16" s="16" t="n">
        <v>4</v>
      </c>
      <c r="V16" s="16" t="n">
        <v>50</v>
      </c>
      <c r="W16" s="16" t="n">
        <v>33</v>
      </c>
      <c r="X16" s="18" t="n">
        <v>46273</v>
      </c>
      <c r="Y16" s="19" t="inlineStr">
        <is>
          <t>Voir</t>
        </is>
      </c>
    </row>
    <row r="17">
      <c r="A17" s="10" t="inlineStr">
        <is>
          <t>Peugeot 306 S16</t>
        </is>
      </c>
      <c r="B17" s="10" t="inlineStr">
        <is>
          <t>Hot-hatch youngtimer 1990-2000</t>
        </is>
      </c>
      <c r="C17" s="11" t="n">
        <v>0</v>
      </c>
      <c r="D17" s="10" t="inlineStr">
        <is>
          <t>Pas de données</t>
        </is>
      </c>
      <c r="E17" s="12" t="n"/>
      <c r="F17" s="12" t="n"/>
      <c r="G17" s="12" t="n"/>
      <c r="H17" s="13">
        <f>IF(AND(ISNUMBER(E17),ISNUMBER(F17),ISNUMBER(G17),G17&gt;F17),(E17-F17)/(G17-F17),"")</f>
        <v/>
      </c>
      <c r="I17" s="14" t="n"/>
      <c r="J17" s="14" t="n"/>
      <c r="K17" s="14" t="n"/>
      <c r="L17" s="12" t="n"/>
      <c r="M17" s="15" t="n"/>
      <c r="N17" s="16" t="n">
        <v>0</v>
      </c>
      <c r="O17" s="16" t="n">
        <v>0</v>
      </c>
      <c r="P17" s="17" t="n"/>
      <c r="Q17" s="16" t="n">
        <v>0</v>
      </c>
      <c r="R17" s="16" t="n">
        <v>40</v>
      </c>
      <c r="S17" s="16" t="n">
        <v>65</v>
      </c>
      <c r="T17" s="16" t="n">
        <v>50</v>
      </c>
      <c r="U17" s="16" t="n">
        <v>0</v>
      </c>
      <c r="V17" s="16" t="n">
        <v>50</v>
      </c>
      <c r="W17" s="16" t="n">
        <v>0</v>
      </c>
      <c r="X17" s="18" t="n"/>
      <c r="Y17" s="19" t="inlineStr">
        <is>
          <t>Voir</t>
        </is>
      </c>
    </row>
    <row r="18">
      <c r="A18" s="10" t="inlineStr">
        <is>
          <t>BMW Z3 1.9i / 2.0i</t>
        </is>
      </c>
      <c r="B18" s="10" t="inlineStr">
        <is>
          <t>Roadster youngtimer</t>
        </is>
      </c>
      <c r="C18" s="11" t="n">
        <v>0</v>
      </c>
      <c r="D18" s="10" t="inlineStr">
        <is>
          <t>Pas de données</t>
        </is>
      </c>
      <c r="E18" s="12" t="n"/>
      <c r="F18" s="12" t="n"/>
      <c r="G18" s="12" t="n"/>
      <c r="H18" s="13">
        <f>IF(AND(ISNUMBER(E18),ISNUMBER(F18),ISNUMBER(G18),G18&gt;F18),(E18-F18)/(G18-F18),"")</f>
        <v/>
      </c>
      <c r="I18" s="14" t="n"/>
      <c r="J18" s="14" t="n"/>
      <c r="K18" s="14" t="n"/>
      <c r="L18" s="12" t="n"/>
      <c r="M18" s="15" t="n"/>
      <c r="N18" s="16" t="n">
        <v>0</v>
      </c>
      <c r="O18" s="16" t="n">
        <v>0</v>
      </c>
      <c r="P18" s="17" t="n"/>
      <c r="Q18" s="16" t="n">
        <v>0</v>
      </c>
      <c r="R18" s="16" t="n">
        <v>35</v>
      </c>
      <c r="S18" s="16" t="n">
        <v>65</v>
      </c>
      <c r="T18" s="16" t="n">
        <v>40</v>
      </c>
      <c r="U18" s="16" t="n">
        <v>0</v>
      </c>
      <c r="V18" s="16" t="n">
        <v>50</v>
      </c>
      <c r="W18" s="16" t="n">
        <v>0</v>
      </c>
      <c r="X18" s="18" t="n"/>
      <c r="Y18" s="19" t="inlineStr">
        <is>
          <t>Voir</t>
        </is>
      </c>
    </row>
    <row r="19">
      <c r="A19" s="10" t="inlineStr">
        <is>
          <t>Volkswagen Golf IV GTI 25th Anniversary</t>
        </is>
      </c>
      <c r="B19" s="10" t="inlineStr">
        <is>
          <t>Hot-hatch à série limitée</t>
        </is>
      </c>
      <c r="C19" s="11" t="n">
        <v>0</v>
      </c>
      <c r="D19" s="10" t="inlineStr">
        <is>
          <t>Pas de données</t>
        </is>
      </c>
      <c r="E19" s="12" t="n"/>
      <c r="F19" s="12" t="n"/>
      <c r="G19" s="12" t="n"/>
      <c r="H19" s="13">
        <f>IF(AND(ISNUMBER(E19),ISNUMBER(F19),ISNUMBER(G19),G19&gt;F19),(E19-F19)/(G19-F19),"")</f>
        <v/>
      </c>
      <c r="I19" s="14" t="n"/>
      <c r="J19" s="14" t="n"/>
      <c r="K19" s="14" t="n"/>
      <c r="L19" s="12" t="n"/>
      <c r="M19" s="15" t="n"/>
      <c r="N19" s="16" t="n">
        <v>0</v>
      </c>
      <c r="O19" s="16" t="n">
        <v>0</v>
      </c>
      <c r="P19" s="17" t="n"/>
      <c r="Q19" s="16" t="n">
        <v>0</v>
      </c>
      <c r="R19" s="16" t="n">
        <v>70</v>
      </c>
      <c r="S19" s="16" t="n">
        <v>65</v>
      </c>
      <c r="T19" s="16" t="n">
        <v>55</v>
      </c>
      <c r="U19" s="16" t="n">
        <v>0</v>
      </c>
      <c r="V19" s="16" t="n">
        <v>50</v>
      </c>
      <c r="W19" s="16" t="n">
        <v>0</v>
      </c>
      <c r="X19" s="18" t="n"/>
      <c r="Y19" s="19" t="inlineStr">
        <is>
          <t>Voir</t>
        </is>
      </c>
    </row>
    <row r="20">
      <c r="A20" s="10" t="inlineStr">
        <is>
          <t>Alfa Romeo 156 2.5 V6 24V</t>
        </is>
      </c>
      <c r="B20" s="10" t="inlineStr">
        <is>
          <t>Berline sportive youngtimer</t>
        </is>
      </c>
      <c r="C20" s="11" t="n">
        <v>0</v>
      </c>
      <c r="D20" s="10" t="inlineStr">
        <is>
          <t>Pas de données</t>
        </is>
      </c>
      <c r="E20" s="12" t="n"/>
      <c r="F20" s="12" t="n"/>
      <c r="G20" s="12" t="n"/>
      <c r="H20" s="13">
        <f>IF(AND(ISNUMBER(E20),ISNUMBER(F20),ISNUMBER(G20),G20&gt;F20),(E20-F20)/(G20-F20),"")</f>
        <v/>
      </c>
      <c r="I20" s="14" t="n"/>
      <c r="J20" s="14" t="n"/>
      <c r="K20" s="14" t="n"/>
      <c r="L20" s="12" t="n"/>
      <c r="M20" s="15" t="n"/>
      <c r="N20" s="16" t="n">
        <v>0</v>
      </c>
      <c r="O20" s="16" t="n">
        <v>0</v>
      </c>
      <c r="P20" s="17" t="n"/>
      <c r="Q20" s="16" t="n">
        <v>0</v>
      </c>
      <c r="R20" s="16" t="n">
        <v>50</v>
      </c>
      <c r="S20" s="16" t="n">
        <v>65</v>
      </c>
      <c r="T20" s="16" t="n">
        <v>70</v>
      </c>
      <c r="U20" s="16" t="n">
        <v>0</v>
      </c>
      <c r="V20" s="16" t="n">
        <v>50</v>
      </c>
      <c r="W20" s="16" t="n">
        <v>0</v>
      </c>
      <c r="X20" s="18" t="n"/>
      <c r="Y20" s="19" t="inlineStr">
        <is>
          <t>Voir</t>
        </is>
      </c>
    </row>
    <row r="21">
      <c r="A21" s="10" t="inlineStr">
        <is>
          <t>Mazda MX-5 NA</t>
        </is>
      </c>
      <c r="B21" s="10" t="inlineStr">
        <is>
          <t>Roadster youngtimer</t>
        </is>
      </c>
      <c r="C21" s="11" t="n">
        <v>0</v>
      </c>
      <c r="D21" s="10" t="inlineStr">
        <is>
          <t>Pas de données</t>
        </is>
      </c>
      <c r="E21" s="12" t="n"/>
      <c r="F21" s="12" t="n"/>
      <c r="G21" s="12" t="n"/>
      <c r="H21" s="13">
        <f>IF(AND(ISNUMBER(E21),ISNUMBER(F21),ISNUMBER(G21),G21&gt;F21),(E21-F21)/(G21-F21),"")</f>
        <v/>
      </c>
      <c r="I21" s="14" t="n"/>
      <c r="J21" s="14" t="n"/>
      <c r="K21" s="14" t="n"/>
      <c r="L21" s="12" t="n"/>
      <c r="M21" s="15" t="n"/>
      <c r="N21" s="16" t="n">
        <v>0</v>
      </c>
      <c r="O21" s="16" t="n">
        <v>0</v>
      </c>
      <c r="P21" s="17" t="n"/>
      <c r="Q21" s="16" t="n">
        <v>0</v>
      </c>
      <c r="R21" s="16" t="n">
        <v>25</v>
      </c>
      <c r="S21" s="16" t="n">
        <v>75</v>
      </c>
      <c r="T21" s="16" t="n">
        <v>60</v>
      </c>
      <c r="U21" s="16" t="n">
        <v>0</v>
      </c>
      <c r="V21" s="16" t="n">
        <v>50</v>
      </c>
      <c r="W21" s="16" t="n">
        <v>0</v>
      </c>
      <c r="X21" s="18" t="n"/>
      <c r="Y21" s="19" t="inlineStr">
        <is>
          <t>Voir</t>
        </is>
      </c>
    </row>
    <row r="22">
      <c r="A22" s="10" t="inlineStr">
        <is>
          <t>Peugeot 205 GTI</t>
        </is>
      </c>
      <c r="B22" s="10" t="inlineStr">
        <is>
          <t>Hot-hatch icône des années 80</t>
        </is>
      </c>
      <c r="C22" s="11" t="n">
        <v>0</v>
      </c>
      <c r="D22" s="10" t="inlineStr">
        <is>
          <t>Pas de données</t>
        </is>
      </c>
      <c r="E22" s="12" t="n"/>
      <c r="F22" s="12" t="n"/>
      <c r="G22" s="12" t="n"/>
      <c r="H22" s="13">
        <f>IF(AND(ISNUMBER(E22),ISNUMBER(F22),ISNUMBER(G22),G22&gt;F22),(E22-F22)/(G22-F22),"")</f>
        <v/>
      </c>
      <c r="I22" s="14" t="n"/>
      <c r="J22" s="14" t="n"/>
      <c r="K22" s="14" t="n"/>
      <c r="L22" s="12" t="n"/>
      <c r="M22" s="15" t="n"/>
      <c r="N22" s="16" t="n">
        <v>0</v>
      </c>
      <c r="O22" s="16" t="n">
        <v>0</v>
      </c>
      <c r="P22" s="17" t="n"/>
      <c r="Q22" s="16" t="n">
        <v>0</v>
      </c>
      <c r="R22" s="16" t="n">
        <v>45</v>
      </c>
      <c r="S22" s="16" t="n">
        <v>85</v>
      </c>
      <c r="T22" s="16" t="n">
        <v>50</v>
      </c>
      <c r="U22" s="16" t="n">
        <v>0</v>
      </c>
      <c r="V22" s="16" t="n">
        <v>50</v>
      </c>
      <c r="W22" s="16" t="n">
        <v>0</v>
      </c>
      <c r="X22" s="18" t="n"/>
      <c r="Y22" s="19" t="inlineStr">
        <is>
          <t>Voir</t>
        </is>
      </c>
    </row>
    <row r="23">
      <c r="A23" s="10" t="inlineStr">
        <is>
          <t>Honda S2000</t>
        </is>
      </c>
      <c r="B23" s="10" t="inlineStr">
        <is>
          <t>Roadster japonais culte</t>
        </is>
      </c>
      <c r="C23" s="11" t="n">
        <v>0</v>
      </c>
      <c r="D23" s="10" t="inlineStr">
        <is>
          <t>Pas de données</t>
        </is>
      </c>
      <c r="E23" s="12" t="n"/>
      <c r="F23" s="12" t="n"/>
      <c r="G23" s="12" t="n"/>
      <c r="H23" s="13">
        <f>IF(AND(ISNUMBER(E23),ISNUMBER(F23),ISNUMBER(G23),G23&gt;F23),(E23-F23)/(G23-F23),"")</f>
        <v/>
      </c>
      <c r="I23" s="14" t="n"/>
      <c r="J23" s="14" t="n"/>
      <c r="K23" s="14" t="n"/>
      <c r="L23" s="12" t="n"/>
      <c r="M23" s="15" t="n"/>
      <c r="N23" s="16" t="n">
        <v>0</v>
      </c>
      <c r="O23" s="16" t="n">
        <v>0</v>
      </c>
      <c r="P23" s="17" t="n"/>
      <c r="Q23" s="16" t="n">
        <v>0</v>
      </c>
      <c r="R23" s="16" t="n">
        <v>50</v>
      </c>
      <c r="S23" s="16" t="n">
        <v>85</v>
      </c>
      <c r="T23" s="16" t="n">
        <v>85</v>
      </c>
      <c r="U23" s="16" t="n">
        <v>0</v>
      </c>
      <c r="V23" s="16" t="n">
        <v>50</v>
      </c>
      <c r="W23" s="16" t="n">
        <v>0</v>
      </c>
      <c r="X23" s="18" t="n"/>
      <c r="Y23" s="19" t="inlineStr">
        <is>
          <t>Voir</t>
        </is>
      </c>
    </row>
    <row r="24">
      <c r="A24" s="10" t="inlineStr">
        <is>
          <t>Renault Mégane II RS R26</t>
        </is>
      </c>
      <c r="B24" s="10" t="inlineStr">
        <is>
          <t>Hot-hatch à série limitée</t>
        </is>
      </c>
      <c r="C24" s="11" t="n">
        <v>0</v>
      </c>
      <c r="D24" s="10" t="inlineStr">
        <is>
          <t>Pas de données</t>
        </is>
      </c>
      <c r="E24" s="12" t="n"/>
      <c r="F24" s="12" t="n"/>
      <c r="G24" s="12" t="n"/>
      <c r="H24" s="13">
        <f>IF(AND(ISNUMBER(E24),ISNUMBER(F24),ISNUMBER(G24),G24&gt;F24),(E24-F24)/(G24-F24),"")</f>
        <v/>
      </c>
      <c r="I24" s="14" t="n"/>
      <c r="J24" s="14" t="n"/>
      <c r="K24" s="14" t="n"/>
      <c r="L24" s="12" t="n"/>
      <c r="M24" s="15" t="n"/>
      <c r="N24" s="16" t="n">
        <v>0</v>
      </c>
      <c r="O24" s="16" t="n">
        <v>0</v>
      </c>
      <c r="P24" s="17" t="n"/>
      <c r="Q24" s="16" t="n">
        <v>0</v>
      </c>
      <c r="R24" s="16" t="n">
        <v>55</v>
      </c>
      <c r="S24" s="16" t="n">
        <v>75</v>
      </c>
      <c r="T24" s="16" t="n">
        <v>50</v>
      </c>
      <c r="U24" s="16" t="n">
        <v>0</v>
      </c>
      <c r="V24" s="16" t="n">
        <v>50</v>
      </c>
      <c r="W24" s="16" t="n">
        <v>0</v>
      </c>
      <c r="X24" s="18" t="n"/>
      <c r="Y24" s="19" t="inlineStr">
        <is>
          <t>Voir</t>
        </is>
      </c>
    </row>
  </sheetData>
  <autoFilter ref="A8:Y24"/>
  <conditionalFormatting sqref="D9:D24">
    <cfRule type="expression" priority="1" dxfId="0">
      <formula>ISNUMBER(SEARCH("achat",D9))</formula>
    </cfRule>
    <cfRule type="expression" priority="2" dxfId="1">
      <formula>ISNUMBER(SEARCH("surveiller",D9))</formula>
    </cfRule>
  </conditionalFormatting>
  <hyperlinks>
    <hyperlink xmlns:r="http://schemas.openxmlformats.org/officeDocument/2006/relationships" ref="Y9" r:id="rId1"/>
    <hyperlink xmlns:r="http://schemas.openxmlformats.org/officeDocument/2006/relationships" ref="Y10" r:id="rId2"/>
    <hyperlink xmlns:r="http://schemas.openxmlformats.org/officeDocument/2006/relationships" ref="Y11" r:id="rId3"/>
    <hyperlink xmlns:r="http://schemas.openxmlformats.org/officeDocument/2006/relationships" ref="Y12" r:id="rId4"/>
    <hyperlink xmlns:r="http://schemas.openxmlformats.org/officeDocument/2006/relationships" ref="Y13" r:id="rId5"/>
    <hyperlink xmlns:r="http://schemas.openxmlformats.org/officeDocument/2006/relationships" ref="Y14" r:id="rId6"/>
    <hyperlink xmlns:r="http://schemas.openxmlformats.org/officeDocument/2006/relationships" ref="Y15" r:id="rId7"/>
    <hyperlink xmlns:r="http://schemas.openxmlformats.org/officeDocument/2006/relationships" ref="Y16" r:id="rId8"/>
    <hyperlink xmlns:r="http://schemas.openxmlformats.org/officeDocument/2006/relationships" ref="Y17" r:id="rId9"/>
    <hyperlink xmlns:r="http://schemas.openxmlformats.org/officeDocument/2006/relationships" ref="Y18" r:id="rId10"/>
    <hyperlink xmlns:r="http://schemas.openxmlformats.org/officeDocument/2006/relationships" ref="Y19" r:id="rId11"/>
    <hyperlink xmlns:r="http://schemas.openxmlformats.org/officeDocument/2006/relationships" ref="Y20" r:id="rId12"/>
    <hyperlink xmlns:r="http://schemas.openxmlformats.org/officeDocument/2006/relationships" ref="Y21" r:id="rId13"/>
    <hyperlink xmlns:r="http://schemas.openxmlformats.org/officeDocument/2006/relationships" ref="Y22" r:id="rId14"/>
    <hyperlink xmlns:r="http://schemas.openxmlformats.org/officeDocument/2006/relationships" ref="Y23" r:id="rId15"/>
    <hyperlink xmlns:r="http://schemas.openxmlformats.org/officeDocument/2006/relationships" ref="Y24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0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1" customWidth="1" min="15" max="15"/>
    <col width="15" customWidth="1" min="16" max="16"/>
  </cols>
  <sheetData>
    <row r="1" ht="30" customHeight="1">
      <c r="A1" s="9" t="inlineStr">
        <is>
          <t>Mois</t>
        </is>
      </c>
      <c r="B1" s="9" t="inlineStr">
        <is>
          <t>Véhicule</t>
        </is>
      </c>
      <c r="C1" s="9" t="inlineStr">
        <is>
          <t>Médiane</t>
        </is>
      </c>
      <c r="D1" s="9" t="inlineStr">
        <is>
          <t>Évol. médiane vs mois préc.</t>
        </is>
      </c>
      <c r="E1" s="9" t="inlineStr">
        <is>
          <t>P25</t>
        </is>
      </c>
      <c r="F1" s="9" t="inlineStr">
        <is>
          <t>P75</t>
        </is>
      </c>
      <c r="G1" s="9" t="inlineStr">
        <is>
          <t>Cote à km réf.</t>
        </is>
      </c>
      <c r="H1" s="9" t="inlineStr">
        <is>
          <t>Évol. cote km réf.</t>
        </is>
      </c>
      <c r="I1" s="9" t="inlineStr">
        <is>
          <t>Annonces</t>
        </is>
      </c>
      <c r="J1" s="9" t="inlineStr">
        <is>
          <t>Nouvelles annonces</t>
        </is>
      </c>
      <c r="K1" s="9" t="inlineStr">
        <is>
          <t>Vendues</t>
        </is>
      </c>
      <c r="L1" s="9" t="inlineStr">
        <is>
          <t>Délai de vente</t>
        </is>
      </c>
      <c r="M1" s="9" t="inlineStr">
        <is>
          <t>Relevés dans le mois</t>
        </is>
      </c>
      <c r="N1" s="9" t="inlineStr">
        <is>
          <t>Score /100</t>
        </is>
      </c>
      <c r="O1" s="9" t="inlineStr">
        <is>
          <t>Évol. score (pts)</t>
        </is>
      </c>
      <c r="P1" s="9" t="inlineStr">
        <is>
          <t>Signal</t>
        </is>
      </c>
    </row>
    <row r="2">
      <c r="A2" s="10" t="inlineStr">
        <is>
          <t>2026-09</t>
        </is>
      </c>
      <c r="B2" s="10" t="inlineStr">
        <is>
          <t>Citroën Saxo VTS 16V</t>
        </is>
      </c>
      <c r="C2" s="12" t="n">
        <v>6600</v>
      </c>
      <c r="D2" s="14">
        <f>IF(AND($B2=$B1,ISNUMBER(C2),ISNUMBER(C1)),C2/C1-1,"")</f>
        <v/>
      </c>
      <c r="E2" s="12" t="n"/>
      <c r="F2" s="12" t="n"/>
      <c r="G2" s="12" t="n"/>
      <c r="H2" s="14">
        <f>IF(AND($B2=$B1,ISNUMBER(G2),ISNUMBER(G1)),G2/G1-1,"")</f>
        <v/>
      </c>
      <c r="I2" s="16" t="n">
        <v>2</v>
      </c>
      <c r="J2" s="16" t="n">
        <v>0</v>
      </c>
      <c r="K2" s="16" t="n"/>
      <c r="L2" s="17" t="n"/>
      <c r="M2" s="16" t="n">
        <v>1</v>
      </c>
      <c r="N2" s="11" t="n">
        <v>43.6</v>
      </c>
      <c r="O2" s="20">
        <f>IF(AND($B2=$B1,ISNUMBER(N2),ISNUMBER(N1)),N2-N1,"")</f>
        <v/>
      </c>
      <c r="P2" s="10" t="inlineStr">
        <is>
          <t>Attendre</t>
        </is>
      </c>
    </row>
    <row r="3">
      <c r="A3" s="10" t="inlineStr">
        <is>
          <t>2026-09</t>
        </is>
      </c>
      <c r="B3" s="10" t="inlineStr">
        <is>
          <t>Peugeot 206 RC</t>
        </is>
      </c>
      <c r="C3" s="12" t="n">
        <v>6790</v>
      </c>
      <c r="D3" s="14">
        <f>IF(AND($B3=$B2,ISNUMBER(C3),ISNUMBER(C2)),C3/C2-1,"")</f>
        <v/>
      </c>
      <c r="E3" s="12" t="n"/>
      <c r="F3" s="12" t="n"/>
      <c r="G3" s="12" t="n"/>
      <c r="H3" s="14">
        <f>IF(AND($B3=$B2,ISNUMBER(G3),ISNUMBER(G2)),G3/G2-1,"")</f>
        <v/>
      </c>
      <c r="I3" s="16" t="n">
        <v>1</v>
      </c>
      <c r="J3" s="16" t="n">
        <v>0</v>
      </c>
      <c r="K3" s="16" t="n"/>
      <c r="L3" s="17" t="n"/>
      <c r="M3" s="16" t="n">
        <v>1</v>
      </c>
      <c r="N3" s="11" t="n">
        <v>58.2</v>
      </c>
      <c r="O3" s="20">
        <f>IF(AND($B3=$B2,ISNUMBER(N3),ISNUMBER(N2)),N3-N2,"")</f>
        <v/>
      </c>
      <c r="P3" s="10" t="inlineStr">
        <is>
          <t>À surveiller</t>
        </is>
      </c>
    </row>
    <row r="4">
      <c r="A4" s="10" t="inlineStr">
        <is>
          <t>2026-10</t>
        </is>
      </c>
      <c r="B4" s="10" t="inlineStr">
        <is>
          <t>Peugeot 206 RC</t>
        </is>
      </c>
      <c r="C4" s="12" t="n">
        <v>9650</v>
      </c>
      <c r="D4" s="14">
        <f>IF(AND($B4=$B3,ISNUMBER(C4),ISNUMBER(C3)),C4/C3-1,"")</f>
        <v/>
      </c>
      <c r="E4" s="12" t="n">
        <v>7000</v>
      </c>
      <c r="F4" s="12" t="n">
        <v>12125</v>
      </c>
      <c r="G4" s="12" t="n">
        <v>9650</v>
      </c>
      <c r="H4" s="14">
        <f>IF(AND($B4=$B3,ISNUMBER(G4),ISNUMBER(G3)),G4/G3-1,"")</f>
        <v/>
      </c>
      <c r="I4" s="16" t="n">
        <v>40</v>
      </c>
      <c r="J4" s="16" t="n">
        <v>40</v>
      </c>
      <c r="K4" s="16" t="n">
        <v>0</v>
      </c>
      <c r="L4" s="17" t="n"/>
      <c r="M4" s="16" t="n">
        <v>1</v>
      </c>
      <c r="N4" s="11" t="n">
        <v>71.5</v>
      </c>
      <c r="O4" s="20">
        <f>IF(AND($B4=$B3,ISNUMBER(N4),ISNUMBER(N3)),N4-N3,"")</f>
        <v/>
      </c>
      <c r="P4" s="10" t="inlineStr">
        <is>
          <t>Signal d'achat</t>
        </is>
      </c>
    </row>
    <row r="5">
      <c r="A5" s="10" t="inlineStr">
        <is>
          <t>2026-09</t>
        </is>
      </c>
      <c r="B5" s="10" t="inlineStr">
        <is>
          <t>Peugeot 208 GTi 30th</t>
        </is>
      </c>
      <c r="C5" s="12" t="n">
        <v>15990</v>
      </c>
      <c r="D5" s="14">
        <f>IF(AND($B5=$B4,ISNUMBER(C5),ISNUMBER(C4)),C5/C4-1,"")</f>
        <v/>
      </c>
      <c r="E5" s="12" t="n"/>
      <c r="F5" s="12" t="n"/>
      <c r="G5" s="12" t="n"/>
      <c r="H5" s="14">
        <f>IF(AND($B5=$B4,ISNUMBER(G5),ISNUMBER(G4)),G5/G4-1,"")</f>
        <v/>
      </c>
      <c r="I5" s="16" t="n">
        <v>7</v>
      </c>
      <c r="J5" s="16" t="n">
        <v>0</v>
      </c>
      <c r="K5" s="16" t="n"/>
      <c r="L5" s="17" t="n"/>
      <c r="M5" s="16" t="n">
        <v>1</v>
      </c>
      <c r="N5" s="11" t="n">
        <v>67.40000000000001</v>
      </c>
      <c r="O5" s="20">
        <f>IF(AND($B5=$B4,ISNUMBER(N5),ISNUMBER(N4)),N5-N4,"")</f>
        <v/>
      </c>
      <c r="P5" s="10" t="inlineStr">
        <is>
          <t>À surveiller</t>
        </is>
      </c>
    </row>
    <row r="6">
      <c r="A6" s="10" t="inlineStr">
        <is>
          <t>2026-09</t>
        </is>
      </c>
      <c r="B6" s="10" t="inlineStr">
        <is>
          <t>Porsche 911 997 Carrera S</t>
        </is>
      </c>
      <c r="C6" s="12" t="n">
        <v>51000</v>
      </c>
      <c r="D6" s="14">
        <f>IF(AND($B6=$B5,ISNUMBER(C6),ISNUMBER(C5)),C6/C5-1,"")</f>
        <v/>
      </c>
      <c r="E6" s="12" t="n"/>
      <c r="F6" s="12" t="n"/>
      <c r="G6" s="12" t="n"/>
      <c r="H6" s="14">
        <f>IF(AND($B6=$B5,ISNUMBER(G6),ISNUMBER(G5)),G6/G5-1,"")</f>
        <v/>
      </c>
      <c r="I6" s="16" t="n">
        <v>11</v>
      </c>
      <c r="J6" s="16" t="n">
        <v>0</v>
      </c>
      <c r="K6" s="16" t="n"/>
      <c r="L6" s="17" t="n"/>
      <c r="M6" s="16" t="n">
        <v>1</v>
      </c>
      <c r="N6" s="11" t="n">
        <v>67.2</v>
      </c>
      <c r="O6" s="20">
        <f>IF(AND($B6=$B5,ISNUMBER(N6),ISNUMBER(N5)),N6-N5,"")</f>
        <v/>
      </c>
      <c r="P6" s="10" t="inlineStr">
        <is>
          <t>À surveiller</t>
        </is>
      </c>
    </row>
    <row r="7">
      <c r="A7" s="10" t="inlineStr">
        <is>
          <t>2026-09</t>
        </is>
      </c>
      <c r="B7" s="10" t="inlineStr">
        <is>
          <t>Porsche Boxster 986</t>
        </is>
      </c>
      <c r="C7" s="12" t="n">
        <v>22425</v>
      </c>
      <c r="D7" s="14">
        <f>IF(AND($B7=$B6,ISNUMBER(C7),ISNUMBER(C6)),C7/C6-1,"")</f>
        <v/>
      </c>
      <c r="E7" s="12" t="n"/>
      <c r="F7" s="12" t="n"/>
      <c r="G7" s="12" t="n"/>
      <c r="H7" s="14">
        <f>IF(AND($B7=$B6,ISNUMBER(G7),ISNUMBER(G6)),G7/G6-1,"")</f>
        <v/>
      </c>
      <c r="I7" s="16" t="n">
        <v>4</v>
      </c>
      <c r="J7" s="16" t="n">
        <v>0</v>
      </c>
      <c r="K7" s="16" t="n"/>
      <c r="L7" s="17" t="n"/>
      <c r="M7" s="16" t="n">
        <v>1</v>
      </c>
      <c r="N7" s="11" t="n">
        <v>43.1</v>
      </c>
      <c r="O7" s="20">
        <f>IF(AND($B7=$B6,ISNUMBER(N7),ISNUMBER(N6)),N7-N6,"")</f>
        <v/>
      </c>
      <c r="P7" s="10" t="inlineStr">
        <is>
          <t>Attendre</t>
        </is>
      </c>
    </row>
    <row r="8">
      <c r="A8" s="10" t="inlineStr">
        <is>
          <t>2026-09</t>
        </is>
      </c>
      <c r="B8" s="10" t="inlineStr">
        <is>
          <t>Porsche Boxster 987</t>
        </is>
      </c>
      <c r="C8" s="12" t="n">
        <v>43990</v>
      </c>
      <c r="D8" s="14">
        <f>IF(AND($B8=$B7,ISNUMBER(C8),ISNUMBER(C7)),C8/C7-1,"")</f>
        <v/>
      </c>
      <c r="E8" s="12" t="n"/>
      <c r="F8" s="12" t="n"/>
      <c r="G8" s="12" t="n"/>
      <c r="H8" s="14">
        <f>IF(AND($B8=$B7,ISNUMBER(G8),ISNUMBER(G7)),G8/G7-1,"")</f>
        <v/>
      </c>
      <c r="I8" s="16" t="n">
        <v>5</v>
      </c>
      <c r="J8" s="16" t="n">
        <v>0</v>
      </c>
      <c r="K8" s="16" t="n"/>
      <c r="L8" s="17" t="n"/>
      <c r="M8" s="16" t="n">
        <v>1</v>
      </c>
      <c r="N8" s="11" t="n">
        <v>38.3</v>
      </c>
      <c r="O8" s="20">
        <f>IF(AND($B8=$B7,ISNUMBER(N8),ISNUMBER(N7)),N8-N7,"")</f>
        <v/>
      </c>
      <c r="P8" s="10" t="inlineStr">
        <is>
          <t>Attendre</t>
        </is>
      </c>
    </row>
    <row r="9">
      <c r="A9" s="10" t="inlineStr">
        <is>
          <t>2026-09</t>
        </is>
      </c>
      <c r="B9" s="10" t="inlineStr">
        <is>
          <t>Renault Clio II RS (172/182 ch)</t>
        </is>
      </c>
      <c r="C9" s="12" t="n">
        <v>8899.5</v>
      </c>
      <c r="D9" s="14">
        <f>IF(AND($B9=$B8,ISNUMBER(C9),ISNUMBER(C8)),C9/C8-1,"")</f>
        <v/>
      </c>
      <c r="E9" s="12" t="n"/>
      <c r="F9" s="12" t="n"/>
      <c r="G9" s="12" t="n"/>
      <c r="H9" s="14">
        <f>IF(AND($B9=$B8,ISNUMBER(G9),ISNUMBER(G8)),G9/G8-1,"")</f>
        <v/>
      </c>
      <c r="I9" s="16" t="n">
        <v>2</v>
      </c>
      <c r="J9" s="16" t="n">
        <v>0</v>
      </c>
      <c r="K9" s="16" t="n"/>
      <c r="L9" s="17" t="n"/>
      <c r="M9" s="16" t="n">
        <v>1</v>
      </c>
      <c r="N9" s="11" t="n">
        <v>52</v>
      </c>
      <c r="O9" s="20">
        <f>IF(AND($B9=$B8,ISNUMBER(N9),ISNUMBER(N8)),N9-N8,"")</f>
        <v/>
      </c>
      <c r="P9" s="10" t="inlineStr">
        <is>
          <t>Attendre</t>
        </is>
      </c>
    </row>
    <row r="10">
      <c r="A10" s="10" t="inlineStr">
        <is>
          <t>2026-09</t>
        </is>
      </c>
      <c r="B10" s="10" t="inlineStr">
        <is>
          <t>Renault Twingo 1 découvrable</t>
        </is>
      </c>
      <c r="C10" s="12" t="n">
        <v>5490</v>
      </c>
      <c r="D10" s="14">
        <f>IF(AND($B10=$B9,ISNUMBER(C10),ISNUMBER(C9)),C10/C9-1,"")</f>
        <v/>
      </c>
      <c r="E10" s="12" t="n"/>
      <c r="F10" s="12" t="n"/>
      <c r="G10" s="12" t="n"/>
      <c r="H10" s="14">
        <f>IF(AND($B10=$B9,ISNUMBER(G10),ISNUMBER(G9)),G10/G9-1,"")</f>
        <v/>
      </c>
      <c r="I10" s="16" t="n">
        <v>6</v>
      </c>
      <c r="J10" s="16" t="n">
        <v>0</v>
      </c>
      <c r="K10" s="16" t="n"/>
      <c r="L10" s="17" t="n"/>
      <c r="M10" s="16" t="n">
        <v>1</v>
      </c>
      <c r="N10" s="11" t="n">
        <v>46.5</v>
      </c>
      <c r="O10" s="20">
        <f>IF(AND($B10=$B9,ISNUMBER(N10),ISNUMBER(N9)),N10-N9,"")</f>
        <v/>
      </c>
      <c r="P10" s="10" t="inlineStr">
        <is>
          <t>Attendre</t>
        </is>
      </c>
    </row>
  </sheetData>
  <autoFilter ref="A1:P10"/>
  <conditionalFormatting sqref="P2:P10">
    <cfRule type="expression" priority="1" dxfId="0">
      <formula>ISNUMBER(SEARCH("achat",P2))</formula>
    </cfRule>
    <cfRule type="expression" priority="2" dxfId="1">
      <formula>ISNUMBER(SEARCH("surveiller",P2))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</cols>
  <sheetData>
    <row r="1">
      <c r="A1" s="21" t="inlineStr">
        <is>
          <t>Véhicule</t>
        </is>
      </c>
      <c r="B1" s="21" t="inlineStr">
        <is>
          <t>2026-09</t>
        </is>
      </c>
      <c r="C1" s="21" t="inlineStr">
        <is>
          <t>2026-10</t>
        </is>
      </c>
    </row>
    <row r="2">
      <c r="A2" s="5" t="inlineStr">
        <is>
          <t>Citroën Saxo VTS 16V</t>
        </is>
      </c>
      <c r="B2" s="22">
        <f>IFERROR(AVERAGEIFS('Historique mensuel'!$C$2:$C$10,'Historique mensuel'!$B$2:$B$10,$A2,'Historique mensuel'!$A$2:$A$10,B$1),"")</f>
        <v/>
      </c>
      <c r="C2" s="22">
        <f>IFERROR(AVERAGEIFS('Historique mensuel'!$C$2:$C$10,'Historique mensuel'!$B$2:$B$10,$A2,'Historique mensuel'!$A$2:$A$10,C$1),"")</f>
        <v/>
      </c>
    </row>
    <row r="3">
      <c r="A3" s="5" t="inlineStr">
        <is>
          <t>Peugeot 206 RC</t>
        </is>
      </c>
      <c r="B3" s="22">
        <f>IFERROR(AVERAGEIFS('Historique mensuel'!$C$2:$C$10,'Historique mensuel'!$B$2:$B$10,$A3,'Historique mensuel'!$A$2:$A$10,B$1),"")</f>
        <v/>
      </c>
      <c r="C3" s="22">
        <f>IFERROR(AVERAGEIFS('Historique mensuel'!$C$2:$C$10,'Historique mensuel'!$B$2:$B$10,$A3,'Historique mensuel'!$A$2:$A$10,C$1),"")</f>
        <v/>
      </c>
    </row>
    <row r="4">
      <c r="A4" s="5" t="inlineStr">
        <is>
          <t>Peugeot 208 GTi 30th</t>
        </is>
      </c>
      <c r="B4" s="22">
        <f>IFERROR(AVERAGEIFS('Historique mensuel'!$C$2:$C$10,'Historique mensuel'!$B$2:$B$10,$A4,'Historique mensuel'!$A$2:$A$10,B$1),"")</f>
        <v/>
      </c>
      <c r="C4" s="22">
        <f>IFERROR(AVERAGEIFS('Historique mensuel'!$C$2:$C$10,'Historique mensuel'!$B$2:$B$10,$A4,'Historique mensuel'!$A$2:$A$10,C$1),"")</f>
        <v/>
      </c>
    </row>
    <row r="5">
      <c r="A5" s="5" t="inlineStr">
        <is>
          <t>Porsche 911 997 Carrera S</t>
        </is>
      </c>
      <c r="B5" s="22">
        <f>IFERROR(AVERAGEIFS('Historique mensuel'!$C$2:$C$10,'Historique mensuel'!$B$2:$B$10,$A5,'Historique mensuel'!$A$2:$A$10,B$1),"")</f>
        <v/>
      </c>
      <c r="C5" s="22">
        <f>IFERROR(AVERAGEIFS('Historique mensuel'!$C$2:$C$10,'Historique mensuel'!$B$2:$B$10,$A5,'Historique mensuel'!$A$2:$A$10,C$1),"")</f>
        <v/>
      </c>
    </row>
    <row r="6">
      <c r="A6" s="5" t="inlineStr">
        <is>
          <t>Porsche Boxster 986</t>
        </is>
      </c>
      <c r="B6" s="22">
        <f>IFERROR(AVERAGEIFS('Historique mensuel'!$C$2:$C$10,'Historique mensuel'!$B$2:$B$10,$A6,'Historique mensuel'!$A$2:$A$10,B$1),"")</f>
        <v/>
      </c>
      <c r="C6" s="22">
        <f>IFERROR(AVERAGEIFS('Historique mensuel'!$C$2:$C$10,'Historique mensuel'!$B$2:$B$10,$A6,'Historique mensuel'!$A$2:$A$10,C$1),"")</f>
        <v/>
      </c>
    </row>
    <row r="7">
      <c r="A7" s="5" t="inlineStr">
        <is>
          <t>Porsche Boxster 987</t>
        </is>
      </c>
      <c r="B7" s="22">
        <f>IFERROR(AVERAGEIFS('Historique mensuel'!$C$2:$C$10,'Historique mensuel'!$B$2:$B$10,$A7,'Historique mensuel'!$A$2:$A$10,B$1),"")</f>
        <v/>
      </c>
      <c r="C7" s="22">
        <f>IFERROR(AVERAGEIFS('Historique mensuel'!$C$2:$C$10,'Historique mensuel'!$B$2:$B$10,$A7,'Historique mensuel'!$A$2:$A$10,C$1),"")</f>
        <v/>
      </c>
    </row>
    <row r="8">
      <c r="A8" s="5" t="inlineStr">
        <is>
          <t>Renault Clio II RS (172/182 ch)</t>
        </is>
      </c>
      <c r="B8" s="22">
        <f>IFERROR(AVERAGEIFS('Historique mensuel'!$C$2:$C$10,'Historique mensuel'!$B$2:$B$10,$A8,'Historique mensuel'!$A$2:$A$10,B$1),"")</f>
        <v/>
      </c>
      <c r="C8" s="22">
        <f>IFERROR(AVERAGEIFS('Historique mensuel'!$C$2:$C$10,'Historique mensuel'!$B$2:$B$10,$A8,'Historique mensuel'!$A$2:$A$10,C$1),"")</f>
        <v/>
      </c>
    </row>
    <row r="9">
      <c r="A9" s="5" t="inlineStr">
        <is>
          <t>Renault Twingo 1 découvrable</t>
        </is>
      </c>
      <c r="B9" s="22">
        <f>IFERROR(AVERAGEIFS('Historique mensuel'!$C$2:$C$10,'Historique mensuel'!$B$2:$B$10,$A9,'Historique mensuel'!$A$2:$A$10,B$1),"")</f>
        <v/>
      </c>
      <c r="C9" s="22">
        <f>IFERROR(AVERAGEIFS('Historique mensuel'!$C$2:$C$10,'Historique mensuel'!$B$2:$B$10,$A9,'Historique mensuel'!$A$2:$A$10,C$1),"")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3" t="inlineStr">
        <is>
          <t>Évolution de la médiane, base 100 au premier mois suivi de chaque véhicule</t>
        </is>
      </c>
    </row>
    <row r="2">
      <c r="A2" s="6" t="inlineStr">
        <is>
          <t>Valeurs calculées par le robot à partir de l'onglet Historique mensuel (cases vides = pas de relevé ce mois-là, pour que le graphique ne les compte pas comme des zéros).</t>
        </is>
      </c>
    </row>
    <row r="4" ht="42" customHeight="1">
      <c r="A4" s="9" t="inlineStr">
        <is>
          <t>Mois</t>
        </is>
      </c>
      <c r="B4" s="9" t="inlineStr">
        <is>
          <t>Citroën Saxo VTS 16V</t>
        </is>
      </c>
      <c r="C4" s="9" t="inlineStr">
        <is>
          <t>Peugeot 206 RC</t>
        </is>
      </c>
      <c r="D4" s="9" t="inlineStr">
        <is>
          <t>Peugeot 208 GTi 30th</t>
        </is>
      </c>
      <c r="E4" s="9" t="inlineStr">
        <is>
          <t>Porsche 911 997 Carrera S</t>
        </is>
      </c>
      <c r="F4" s="9" t="inlineStr">
        <is>
          <t>Porsche Boxster 986</t>
        </is>
      </c>
      <c r="G4" s="9" t="inlineStr">
        <is>
          <t>Porsche Boxster 987</t>
        </is>
      </c>
      <c r="H4" s="9" t="inlineStr">
        <is>
          <t>Renault Clio II RS (172/182 ch)</t>
        </is>
      </c>
      <c r="I4" s="9" t="inlineStr">
        <is>
          <t>Renault Twingo 1 découvrable</t>
        </is>
      </c>
    </row>
    <row r="5">
      <c r="A5" s="5" t="inlineStr">
        <is>
          <t>2026-09</t>
        </is>
      </c>
      <c r="B5" s="24" t="n">
        <v>100</v>
      </c>
      <c r="C5" s="24" t="n">
        <v>100</v>
      </c>
      <c r="D5" s="24" t="n">
        <v>100</v>
      </c>
      <c r="E5" s="24" t="n">
        <v>100</v>
      </c>
      <c r="F5" s="24" t="n">
        <v>100</v>
      </c>
      <c r="G5" s="24" t="n">
        <v>100</v>
      </c>
      <c r="H5" s="24" t="n">
        <v>100</v>
      </c>
      <c r="I5" s="24" t="n">
        <v>100</v>
      </c>
    </row>
    <row r="6">
      <c r="A6" s="5" t="inlineStr">
        <is>
          <t>2026-10</t>
        </is>
      </c>
      <c r="C6" s="24" t="n">
        <v>142.1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0" customWidth="1" min="13" max="13"/>
    <col width="9" customWidth="1" min="14" max="14"/>
    <col width="10" customWidth="1" min="15" max="15"/>
    <col width="11" customWidth="1" min="16" max="16"/>
  </cols>
  <sheetData>
    <row r="1" ht="30" customHeight="1">
      <c r="A1" s="9" t="inlineStr">
        <is>
          <t>Date</t>
        </is>
      </c>
      <c r="B1" s="9" t="inlineStr">
        <is>
          <t>Véhicule</t>
        </is>
      </c>
      <c r="C1" s="9" t="inlineStr">
        <is>
          <t>Source</t>
        </is>
      </c>
      <c r="D1" s="9" t="inlineStr">
        <is>
          <t>Annonces</t>
        </is>
      </c>
      <c r="E1" s="9" t="inlineStr">
        <is>
          <t>Min</t>
        </is>
      </c>
      <c r="F1" s="9" t="inlineStr">
        <is>
          <t>P25</t>
        </is>
      </c>
      <c r="G1" s="9" t="inlineStr">
        <is>
          <t>Médiane</t>
        </is>
      </c>
      <c r="H1" s="9" t="inlineStr">
        <is>
          <t>P75</t>
        </is>
      </c>
      <c r="I1" s="9" t="inlineStr">
        <is>
          <t>Max</t>
        </is>
      </c>
      <c r="J1" s="9" t="inlineStr">
        <is>
          <t>Km médian</t>
        </is>
      </c>
      <c r="K1" s="9" t="inlineStr">
        <is>
          <t>Cote à km réf.</t>
        </is>
      </c>
      <c r="L1" s="9" t="inlineStr">
        <is>
          <t>Km réf.</t>
        </is>
      </c>
      <c r="M1" s="9" t="inlineStr">
        <is>
          <t>Nouvelles</t>
        </is>
      </c>
      <c r="N1" s="9" t="inlineStr">
        <is>
          <t>Vendues</t>
        </is>
      </c>
      <c r="O1" s="9" t="inlineStr">
        <is>
          <t>Délai de vente</t>
        </is>
      </c>
      <c r="P1" s="9" t="inlineStr">
        <is>
          <t>Annonces écartées</t>
        </is>
      </c>
    </row>
    <row r="2">
      <c r="A2" s="18" t="n">
        <v>46296</v>
      </c>
      <c r="B2" s="10" t="inlineStr">
        <is>
          <t>Peugeot 206 RC</t>
        </is>
      </c>
      <c r="C2" s="10" t="inlineStr">
        <is>
          <t>apify</t>
        </is>
      </c>
      <c r="D2" s="16" t="n">
        <v>40</v>
      </c>
      <c r="E2" s="12" t="n">
        <v>5300</v>
      </c>
      <c r="F2" s="12" t="n">
        <v>7000</v>
      </c>
      <c r="G2" s="12" t="n">
        <v>9650</v>
      </c>
      <c r="H2" s="12" t="n">
        <v>12125</v>
      </c>
      <c r="I2" s="12" t="n">
        <v>18500</v>
      </c>
      <c r="J2" s="15" t="n"/>
      <c r="K2" s="12" t="n">
        <v>9650</v>
      </c>
      <c r="L2" s="15" t="n">
        <v>150000</v>
      </c>
      <c r="M2" s="16" t="n">
        <v>40</v>
      </c>
      <c r="N2" s="16" t="n">
        <v>0</v>
      </c>
      <c r="O2" s="17" t="n"/>
      <c r="P2" s="16" t="n">
        <v>0</v>
      </c>
    </row>
    <row r="3">
      <c r="A3" s="18" t="n">
        <v>46273</v>
      </c>
      <c r="B3" s="10" t="inlineStr">
        <is>
          <t>Citroën Saxo VTS 16V</t>
        </is>
      </c>
      <c r="C3" s="10" t="inlineStr">
        <is>
          <t>manuel</t>
        </is>
      </c>
      <c r="D3" s="16" t="n">
        <v>2</v>
      </c>
      <c r="E3" s="12" t="n">
        <v>6500</v>
      </c>
      <c r="F3" s="12" t="n"/>
      <c r="G3" s="12" t="n">
        <v>6600</v>
      </c>
      <c r="H3" s="12" t="n"/>
      <c r="I3" s="12" t="n">
        <v>6700</v>
      </c>
      <c r="J3" s="15" t="n">
        <v>153683</v>
      </c>
      <c r="K3" s="12" t="n"/>
      <c r="L3" s="15" t="n"/>
      <c r="M3" s="16" t="n"/>
      <c r="N3" s="16" t="n"/>
      <c r="O3" s="17" t="n"/>
      <c r="P3" s="16" t="n"/>
    </row>
    <row r="4">
      <c r="A4" s="18" t="n">
        <v>46273</v>
      </c>
      <c r="B4" s="10" t="inlineStr">
        <is>
          <t>Peugeot 206 RC</t>
        </is>
      </c>
      <c r="C4" s="10" t="inlineStr">
        <is>
          <t>manuel</t>
        </is>
      </c>
      <c r="D4" s="16" t="n">
        <v>1</v>
      </c>
      <c r="E4" s="12" t="n">
        <v>6790</v>
      </c>
      <c r="F4" s="12" t="n"/>
      <c r="G4" s="12" t="n">
        <v>6790</v>
      </c>
      <c r="H4" s="12" t="n"/>
      <c r="I4" s="12" t="n">
        <v>6790</v>
      </c>
      <c r="J4" s="15" t="n">
        <v>244000</v>
      </c>
      <c r="K4" s="12" t="n"/>
      <c r="L4" s="15" t="n"/>
      <c r="M4" s="16" t="n"/>
      <c r="N4" s="16" t="n"/>
      <c r="O4" s="17" t="n"/>
      <c r="P4" s="16" t="n"/>
    </row>
    <row r="5">
      <c r="A5" s="18" t="n">
        <v>46273</v>
      </c>
      <c r="B5" s="10" t="inlineStr">
        <is>
          <t>Peugeot 208 GTi 30th</t>
        </is>
      </c>
      <c r="C5" s="10" t="inlineStr">
        <is>
          <t>manuel</t>
        </is>
      </c>
      <c r="D5" s="16" t="n">
        <v>7</v>
      </c>
      <c r="E5" s="12" t="n">
        <v>12990</v>
      </c>
      <c r="F5" s="12" t="n"/>
      <c r="G5" s="12" t="n">
        <v>15990</v>
      </c>
      <c r="H5" s="12" t="n"/>
      <c r="I5" s="12" t="n">
        <v>23490</v>
      </c>
      <c r="J5" s="15" t="n">
        <v>108000</v>
      </c>
      <c r="K5" s="12" t="n"/>
      <c r="L5" s="15" t="n"/>
      <c r="M5" s="16" t="n"/>
      <c r="N5" s="16" t="n"/>
      <c r="O5" s="17" t="n"/>
      <c r="P5" s="16" t="n"/>
    </row>
    <row r="6">
      <c r="A6" s="18" t="n">
        <v>46273</v>
      </c>
      <c r="B6" s="10" t="inlineStr">
        <is>
          <t>Porsche 911 997 Carrera S</t>
        </is>
      </c>
      <c r="C6" s="10" t="inlineStr">
        <is>
          <t>manuel</t>
        </is>
      </c>
      <c r="D6" s="16" t="n">
        <v>11</v>
      </c>
      <c r="E6" s="12" t="n">
        <v>46500</v>
      </c>
      <c r="F6" s="12" t="n"/>
      <c r="G6" s="12" t="n">
        <v>51000</v>
      </c>
      <c r="H6" s="12" t="n"/>
      <c r="I6" s="12" t="n">
        <v>74900</v>
      </c>
      <c r="J6" s="15" t="n">
        <v>100000</v>
      </c>
      <c r="K6" s="12" t="n"/>
      <c r="L6" s="15" t="n"/>
      <c r="M6" s="16" t="n"/>
      <c r="N6" s="16" t="n"/>
      <c r="O6" s="17" t="n"/>
      <c r="P6" s="16" t="n"/>
    </row>
    <row r="7">
      <c r="A7" s="18" t="n">
        <v>46273</v>
      </c>
      <c r="B7" s="10" t="inlineStr">
        <is>
          <t>Porsche Boxster 986</t>
        </is>
      </c>
      <c r="C7" s="10" t="inlineStr">
        <is>
          <t>manuel</t>
        </is>
      </c>
      <c r="D7" s="16" t="n">
        <v>4</v>
      </c>
      <c r="E7" s="12" t="n">
        <v>17986</v>
      </c>
      <c r="F7" s="12" t="n"/>
      <c r="G7" s="12" t="n">
        <v>22425</v>
      </c>
      <c r="H7" s="12" t="n"/>
      <c r="I7" s="12" t="n">
        <v>26900</v>
      </c>
      <c r="J7" s="15" t="n">
        <v>110000</v>
      </c>
      <c r="K7" s="12" t="n"/>
      <c r="L7" s="15" t="n"/>
      <c r="M7" s="16" t="n"/>
      <c r="N7" s="16" t="n"/>
      <c r="O7" s="17" t="n"/>
      <c r="P7" s="16" t="n"/>
    </row>
    <row r="8">
      <c r="A8" s="18" t="n">
        <v>46273</v>
      </c>
      <c r="B8" s="10" t="inlineStr">
        <is>
          <t>Porsche Boxster 987</t>
        </is>
      </c>
      <c r="C8" s="10" t="inlineStr">
        <is>
          <t>manuel</t>
        </is>
      </c>
      <c r="D8" s="16" t="n">
        <v>5</v>
      </c>
      <c r="E8" s="12" t="n">
        <v>33000</v>
      </c>
      <c r="F8" s="12" t="n"/>
      <c r="G8" s="12" t="n">
        <v>43990</v>
      </c>
      <c r="H8" s="12" t="n"/>
      <c r="I8" s="12" t="n">
        <v>72986</v>
      </c>
      <c r="J8" s="15" t="n">
        <v>65000</v>
      </c>
      <c r="K8" s="12" t="n"/>
      <c r="L8" s="15" t="n"/>
      <c r="M8" s="16" t="n"/>
      <c r="N8" s="16" t="n"/>
      <c r="O8" s="17" t="n"/>
      <c r="P8" s="16" t="n"/>
    </row>
    <row r="9">
      <c r="A9" s="18" t="n">
        <v>46273</v>
      </c>
      <c r="B9" s="10" t="inlineStr">
        <is>
          <t>Renault Clio II RS (172/182 ch)</t>
        </is>
      </c>
      <c r="C9" s="10" t="inlineStr">
        <is>
          <t>manuel</t>
        </is>
      </c>
      <c r="D9" s="16" t="n">
        <v>2</v>
      </c>
      <c r="E9" s="12" t="n">
        <v>6000</v>
      </c>
      <c r="F9" s="12" t="n"/>
      <c r="G9" s="12" t="n">
        <v>8899.5</v>
      </c>
      <c r="H9" s="12" t="n"/>
      <c r="I9" s="12" t="n">
        <v>11799</v>
      </c>
      <c r="J9" s="15" t="n">
        <v>168000</v>
      </c>
      <c r="K9" s="12" t="n"/>
      <c r="L9" s="15" t="n"/>
      <c r="M9" s="16" t="n"/>
      <c r="N9" s="16" t="n"/>
      <c r="O9" s="17" t="n"/>
      <c r="P9" s="16" t="n"/>
    </row>
    <row r="10">
      <c r="A10" s="18" t="n">
        <v>46273</v>
      </c>
      <c r="B10" s="10" t="inlineStr">
        <is>
          <t>Renault Twingo 1 découvrable</t>
        </is>
      </c>
      <c r="C10" s="10" t="inlineStr">
        <is>
          <t>manuel</t>
        </is>
      </c>
      <c r="D10" s="16" t="n">
        <v>6</v>
      </c>
      <c r="E10" s="12" t="n">
        <v>1500</v>
      </c>
      <c r="F10" s="12" t="n"/>
      <c r="G10" s="12" t="n">
        <v>5490</v>
      </c>
      <c r="H10" s="12" t="n"/>
      <c r="I10" s="12" t="n">
        <v>6290</v>
      </c>
      <c r="J10" s="15" t="n">
        <v>150000</v>
      </c>
      <c r="K10" s="12" t="n"/>
      <c r="L10" s="15" t="n"/>
      <c r="M10" s="16" t="n"/>
      <c r="N10" s="16" t="n"/>
      <c r="O10" s="17" t="n"/>
      <c r="P10" s="16" t="n"/>
    </row>
  </sheetData>
  <autoFilter ref="A1:P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  <col width="8" customWidth="1" min="12" max="12"/>
    <col width="16" customWidth="1" min="13" max="13"/>
    <col width="9" customWidth="1" min="14" max="14"/>
    <col width="13" customWidth="1" min="15" max="15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Statut</t>
        </is>
      </c>
      <c r="D1" s="9" t="inlineStr">
        <is>
          <t>Première vue</t>
        </is>
      </c>
      <c r="E1" s="9" t="inlineStr">
        <is>
          <t>Dernière vue</t>
        </is>
      </c>
      <c r="F1" s="9" t="inlineStr">
        <is>
          <t>Partie le</t>
        </is>
      </c>
      <c r="G1" s="9" t="inlineStr">
        <is>
          <t>Jours en ligne</t>
        </is>
      </c>
      <c r="H1" s="9" t="inlineStr">
        <is>
          <t>Prix initial</t>
        </is>
      </c>
      <c r="I1" s="9" t="inlineStr">
        <is>
          <t>Prix actuel</t>
        </is>
      </c>
      <c r="J1" s="9" t="inlineStr">
        <is>
          <t>Baisse de prix</t>
        </is>
      </c>
      <c r="K1" s="9" t="inlineStr">
        <is>
          <t>Km</t>
        </is>
      </c>
      <c r="L1" s="9" t="inlineStr">
        <is>
          <t>Année</t>
        </is>
      </c>
      <c r="M1" s="9" t="inlineStr">
        <is>
          <t>Ville</t>
        </is>
      </c>
      <c r="N1" s="9" t="inlineStr">
        <is>
          <t>Annonce</t>
        </is>
      </c>
      <c r="O1" s="9" t="inlineStr">
        <is>
          <t>Id</t>
        </is>
      </c>
    </row>
    <row r="2">
      <c r="A2" s="10" t="inlineStr">
        <is>
          <t>Peugeot 206 RC</t>
        </is>
      </c>
      <c r="B2" s="10" t="inlineStr">
        <is>
          <t>206 rc</t>
        </is>
      </c>
      <c r="C2" s="10" t="inlineStr">
        <is>
          <t>En vente</t>
        </is>
      </c>
      <c r="D2" s="18" t="n">
        <v>46296</v>
      </c>
      <c r="E2" s="18" t="n">
        <v>46296</v>
      </c>
      <c r="F2" s="18" t="n"/>
      <c r="G2" s="17">
        <f>IF(ISNUMBER(D2),IF(ISNUMBER(F2),F2,E2)-D2,"")</f>
        <v/>
      </c>
      <c r="H2" s="12" t="n">
        <v>17900</v>
      </c>
      <c r="I2" s="12" t="n">
        <v>17900</v>
      </c>
      <c r="J2" s="13">
        <f>IF(AND(ISNUMBER(H2),ISNUMBER(I2),H2&gt;0),1-I2/H2,"")</f>
        <v/>
      </c>
      <c r="K2" s="15" t="n"/>
      <c r="L2" s="16" t="n"/>
      <c r="M2" s="10" t="inlineStr">
        <is>
          <t>Troyes</t>
        </is>
      </c>
      <c r="N2" s="19" t="inlineStr">
        <is>
          <t>Voir</t>
        </is>
      </c>
      <c r="O2" s="10" t="inlineStr">
        <is>
          <t>2988747124</t>
        </is>
      </c>
    </row>
    <row r="3">
      <c r="A3" s="10" t="inlineStr">
        <is>
          <t>Peugeot 206 RC</t>
        </is>
      </c>
      <c r="B3" s="10" t="inlineStr">
        <is>
          <t>206 rc</t>
        </is>
      </c>
      <c r="C3" s="10" t="inlineStr">
        <is>
          <t>En vente</t>
        </is>
      </c>
      <c r="D3" s="18" t="n">
        <v>46296</v>
      </c>
      <c r="E3" s="18" t="n">
        <v>46296</v>
      </c>
      <c r="F3" s="18" t="n"/>
      <c r="G3" s="17">
        <f>IF(ISNUMBER(D3),IF(ISNUMBER(F3),F3,E3)-D3,"")</f>
        <v/>
      </c>
      <c r="H3" s="12" t="n">
        <v>11000</v>
      </c>
      <c r="I3" s="12" t="n">
        <v>11000</v>
      </c>
      <c r="J3" s="13">
        <f>IF(AND(ISNUMBER(H3),ISNUMBER(I3),H3&gt;0),1-I3/H3,"")</f>
        <v/>
      </c>
      <c r="K3" s="15" t="n"/>
      <c r="L3" s="16" t="n"/>
      <c r="M3" s="10" t="inlineStr">
        <is>
          <t>Valserhône</t>
        </is>
      </c>
      <c r="N3" s="19" t="inlineStr">
        <is>
          <t>Voir</t>
        </is>
      </c>
      <c r="O3" s="10" t="inlineStr">
        <is>
          <t>3123040394</t>
        </is>
      </c>
    </row>
    <row r="4">
      <c r="A4" s="10" t="inlineStr">
        <is>
          <t>Peugeot 206 RC</t>
        </is>
      </c>
      <c r="B4" s="10" t="inlineStr">
        <is>
          <t>206 rc f2014</t>
        </is>
      </c>
      <c r="C4" s="10" t="inlineStr">
        <is>
          <t>En vente</t>
        </is>
      </c>
      <c r="D4" s="18" t="n">
        <v>46296</v>
      </c>
      <c r="E4" s="18" t="n">
        <v>46296</v>
      </c>
      <c r="F4" s="18" t="n"/>
      <c r="G4" s="17">
        <f>IF(ISNUMBER(D4),IF(ISNUMBER(F4),F4,E4)-D4,"")</f>
        <v/>
      </c>
      <c r="H4" s="12" t="n">
        <v>18500</v>
      </c>
      <c r="I4" s="12" t="n">
        <v>18500</v>
      </c>
      <c r="J4" s="13">
        <f>IF(AND(ISNUMBER(H4),ISNUMBER(I4),H4&gt;0),1-I4/H4,"")</f>
        <v/>
      </c>
      <c r="K4" s="15" t="n"/>
      <c r="L4" s="16" t="n"/>
      <c r="M4" s="10" t="inlineStr">
        <is>
          <t>Blesle</t>
        </is>
      </c>
      <c r="N4" s="19" t="inlineStr">
        <is>
          <t>Voir</t>
        </is>
      </c>
      <c r="O4" s="10" t="inlineStr">
        <is>
          <t>3151025653</t>
        </is>
      </c>
    </row>
    <row r="5">
      <c r="A5" s="10" t="inlineStr">
        <is>
          <t>Peugeot 206 RC</t>
        </is>
      </c>
      <c r="B5" s="10" t="inlineStr">
        <is>
          <t>Peugeot 206 RC</t>
        </is>
      </c>
      <c r="C5" s="10" t="inlineStr">
        <is>
          <t>En vente</t>
        </is>
      </c>
      <c r="D5" s="18" t="n">
        <v>46296</v>
      </c>
      <c r="E5" s="18" t="n">
        <v>46296</v>
      </c>
      <c r="F5" s="18" t="n"/>
      <c r="G5" s="17">
        <f>IF(ISNUMBER(D5),IF(ISNUMBER(F5),F5,E5)-D5,"")</f>
        <v/>
      </c>
      <c r="H5" s="12" t="n">
        <v>10500</v>
      </c>
      <c r="I5" s="12" t="n">
        <v>10500</v>
      </c>
      <c r="J5" s="13">
        <f>IF(AND(ISNUMBER(H5),ISNUMBER(I5),H5&gt;0),1-I5/H5,"")</f>
        <v/>
      </c>
      <c r="K5" s="15" t="n"/>
      <c r="L5" s="16" t="n"/>
      <c r="M5" s="10" t="inlineStr">
        <is>
          <t>Tagnon</t>
        </is>
      </c>
      <c r="N5" s="19" t="inlineStr">
        <is>
          <t>Voir</t>
        </is>
      </c>
      <c r="O5" s="10" t="inlineStr">
        <is>
          <t>3193819824</t>
        </is>
      </c>
    </row>
    <row r="6">
      <c r="A6" s="10" t="inlineStr">
        <is>
          <t>Peugeot 206 RC</t>
        </is>
      </c>
      <c r="B6" s="10" t="inlineStr">
        <is>
          <t>Peugeot 206 RC</t>
        </is>
      </c>
      <c r="C6" s="10" t="inlineStr">
        <is>
          <t>En vente</t>
        </is>
      </c>
      <c r="D6" s="18" t="n">
        <v>46296</v>
      </c>
      <c r="E6" s="18" t="n">
        <v>46296</v>
      </c>
      <c r="F6" s="18" t="n"/>
      <c r="G6" s="17">
        <f>IF(ISNUMBER(D6),IF(ISNUMBER(F6),F6,E6)-D6,"")</f>
        <v/>
      </c>
      <c r="H6" s="12" t="n">
        <v>9500</v>
      </c>
      <c r="I6" s="12" t="n">
        <v>9500</v>
      </c>
      <c r="J6" s="13">
        <f>IF(AND(ISNUMBER(H6),ISNUMBER(I6),H6&gt;0),1-I6/H6,"")</f>
        <v/>
      </c>
      <c r="K6" s="15" t="n"/>
      <c r="L6" s="16" t="n"/>
      <c r="M6" s="10" t="inlineStr">
        <is>
          <t>Thaon-les-Vosges</t>
        </is>
      </c>
      <c r="N6" s="19" t="inlineStr">
        <is>
          <t>Voir</t>
        </is>
      </c>
      <c r="O6" s="10" t="inlineStr">
        <is>
          <t>3202654340</t>
        </is>
      </c>
    </row>
    <row r="7">
      <c r="A7" s="10" t="inlineStr">
        <is>
          <t>Peugeot 206 RC</t>
        </is>
      </c>
      <c r="B7" s="10" t="inlineStr">
        <is>
          <t>Peugeot 206 rc</t>
        </is>
      </c>
      <c r="C7" s="10" t="inlineStr">
        <is>
          <t>En vente</t>
        </is>
      </c>
      <c r="D7" s="18" t="n">
        <v>46296</v>
      </c>
      <c r="E7" s="18" t="n">
        <v>46296</v>
      </c>
      <c r="F7" s="18" t="n"/>
      <c r="G7" s="17">
        <f>IF(ISNUMBER(D7),IF(ISNUMBER(F7),F7,E7)-D7,"")</f>
        <v/>
      </c>
      <c r="H7" s="12" t="n">
        <v>8800</v>
      </c>
      <c r="I7" s="12" t="n">
        <v>8800</v>
      </c>
      <c r="J7" s="13">
        <f>IF(AND(ISNUMBER(H7),ISNUMBER(I7),H7&gt;0),1-I7/H7,"")</f>
        <v/>
      </c>
      <c r="K7" s="15" t="n"/>
      <c r="L7" s="16" t="n"/>
      <c r="M7" s="10" t="inlineStr">
        <is>
          <t>Saint-Amand-Montrond</t>
        </is>
      </c>
      <c r="N7" s="19" t="inlineStr">
        <is>
          <t>Voir</t>
        </is>
      </c>
      <c r="O7" s="10" t="inlineStr">
        <is>
          <t>3227695185</t>
        </is>
      </c>
    </row>
    <row r="8">
      <c r="A8" s="10" t="inlineStr">
        <is>
          <t>Peugeot 206 RC</t>
        </is>
      </c>
      <c r="B8" s="10" t="inlineStr">
        <is>
          <t>PEUGEOT 206 2.0e 180 RC / LIGNE A CLAPET / COURROIE OK</t>
        </is>
      </c>
      <c r="C8" s="10" t="inlineStr">
        <is>
          <t>En vente</t>
        </is>
      </c>
      <c r="D8" s="18" t="n">
        <v>46296</v>
      </c>
      <c r="E8" s="18" t="n">
        <v>46296</v>
      </c>
      <c r="F8" s="18" t="n"/>
      <c r="G8" s="17">
        <f>IF(ISNUMBER(D8),IF(ISNUMBER(F8),F8,E8)-D8,"")</f>
        <v/>
      </c>
      <c r="H8" s="12" t="n">
        <v>9990</v>
      </c>
      <c r="I8" s="12" t="n">
        <v>9990</v>
      </c>
      <c r="J8" s="13">
        <f>IF(AND(ISNUMBER(H8),ISNUMBER(I8),H8&gt;0),1-I8/H8,"")</f>
        <v/>
      </c>
      <c r="K8" s="15" t="n"/>
      <c r="L8" s="16" t="n"/>
      <c r="M8" s="10" t="inlineStr">
        <is>
          <t>Lyon</t>
        </is>
      </c>
      <c r="N8" s="19" t="inlineStr">
        <is>
          <t>Voir</t>
        </is>
      </c>
      <c r="O8" s="10" t="inlineStr">
        <is>
          <t>3234323904</t>
        </is>
      </c>
    </row>
    <row r="9">
      <c r="A9" s="10" t="inlineStr">
        <is>
          <t>Peugeot 206 RC</t>
        </is>
      </c>
      <c r="B9" s="10" t="inlineStr">
        <is>
          <t>Peugeot 206 2.0 177ch RC - SUIVI COMPLET - DISTRIBUTION OK - BLUETOOTH</t>
        </is>
      </c>
      <c r="C9" s="10" t="inlineStr">
        <is>
          <t>En vente</t>
        </is>
      </c>
      <c r="D9" s="18" t="n">
        <v>46296</v>
      </c>
      <c r="E9" s="18" t="n">
        <v>46296</v>
      </c>
      <c r="F9" s="18" t="n"/>
      <c r="G9" s="17">
        <f>IF(ISNUMBER(D9),IF(ISNUMBER(F9),F9,E9)-D9,"")</f>
        <v/>
      </c>
      <c r="H9" s="12" t="n">
        <v>13990</v>
      </c>
      <c r="I9" s="12" t="n">
        <v>13990</v>
      </c>
      <c r="J9" s="13">
        <f>IF(AND(ISNUMBER(H9),ISNUMBER(I9),H9&gt;0),1-I9/H9,"")</f>
        <v/>
      </c>
      <c r="K9" s="15" t="n"/>
      <c r="L9" s="16" t="n"/>
      <c r="M9" s="10" t="inlineStr">
        <is>
          <t>La Ciotat</t>
        </is>
      </c>
      <c r="N9" s="19" t="inlineStr">
        <is>
          <t>Voir</t>
        </is>
      </c>
      <c r="O9" s="10" t="inlineStr">
        <is>
          <t>3248463615</t>
        </is>
      </c>
    </row>
    <row r="10">
      <c r="A10" s="10" t="inlineStr">
        <is>
          <t>Peugeot 206 RC</t>
        </is>
      </c>
      <c r="B10" s="10" t="inlineStr">
        <is>
          <t>206 rc</t>
        </is>
      </c>
      <c r="C10" s="10" t="inlineStr">
        <is>
          <t>En vente</t>
        </is>
      </c>
      <c r="D10" s="18" t="n">
        <v>46296</v>
      </c>
      <c r="E10" s="18" t="n">
        <v>46296</v>
      </c>
      <c r="F10" s="18" t="n"/>
      <c r="G10" s="17">
        <f>IF(ISNUMBER(D10),IF(ISNUMBER(F10),F10,E10)-D10,"")</f>
        <v/>
      </c>
      <c r="H10" s="12" t="n">
        <v>6200</v>
      </c>
      <c r="I10" s="12" t="n">
        <v>6200</v>
      </c>
      <c r="J10" s="13">
        <f>IF(AND(ISNUMBER(H10),ISNUMBER(I10),H10&gt;0),1-I10/H10,"")</f>
        <v/>
      </c>
      <c r="K10" s="15" t="n"/>
      <c r="L10" s="16" t="n"/>
      <c r="M10" s="10" t="inlineStr">
        <is>
          <t>Coulonges-sur-Sarthe</t>
        </is>
      </c>
      <c r="N10" s="19" t="inlineStr">
        <is>
          <t>Voir</t>
        </is>
      </c>
      <c r="O10" s="10" t="inlineStr">
        <is>
          <t>3251217335</t>
        </is>
      </c>
    </row>
    <row r="11">
      <c r="A11" s="10" t="inlineStr">
        <is>
          <t>Peugeot 206 RC</t>
        </is>
      </c>
      <c r="B11" s="10" t="inlineStr">
        <is>
          <t>206 rc</t>
        </is>
      </c>
      <c r="C11" s="10" t="inlineStr">
        <is>
          <t>En vente</t>
        </is>
      </c>
      <c r="D11" s="18" t="n">
        <v>46296</v>
      </c>
      <c r="E11" s="18" t="n">
        <v>46296</v>
      </c>
      <c r="F11" s="18" t="n"/>
      <c r="G11" s="17">
        <f>IF(ISNUMBER(D11),IF(ISNUMBER(F11),F11,E11)-D11,"")</f>
        <v/>
      </c>
      <c r="H11" s="12" t="n">
        <v>11500</v>
      </c>
      <c r="I11" s="12" t="n">
        <v>11500</v>
      </c>
      <c r="J11" s="13">
        <f>IF(AND(ISNUMBER(H11),ISNUMBER(I11),H11&gt;0),1-I11/H11,"")</f>
        <v/>
      </c>
      <c r="K11" s="15" t="n"/>
      <c r="L11" s="16" t="n"/>
      <c r="M11" s="10" t="inlineStr">
        <is>
          <t>Montaigu-Vendée</t>
        </is>
      </c>
      <c r="N11" s="19" t="inlineStr">
        <is>
          <t>Voir</t>
        </is>
      </c>
      <c r="O11" s="10" t="inlineStr">
        <is>
          <t>3254206684</t>
        </is>
      </c>
    </row>
    <row r="12">
      <c r="A12" s="10" t="inlineStr">
        <is>
          <t>Peugeot 206 RC</t>
        </is>
      </c>
      <c r="B12" s="10" t="inlineStr">
        <is>
          <t>206 rc</t>
        </is>
      </c>
      <c r="C12" s="10" t="inlineStr">
        <is>
          <t>En vente</t>
        </is>
      </c>
      <c r="D12" s="18" t="n">
        <v>46296</v>
      </c>
      <c r="E12" s="18" t="n">
        <v>46296</v>
      </c>
      <c r="F12" s="18" t="n"/>
      <c r="G12" s="17">
        <f>IF(ISNUMBER(D12),IF(ISNUMBER(F12),F12,E12)-D12,"")</f>
        <v/>
      </c>
      <c r="H12" s="12" t="n">
        <v>7000</v>
      </c>
      <c r="I12" s="12" t="n">
        <v>7000</v>
      </c>
      <c r="J12" s="13">
        <f>IF(AND(ISNUMBER(H12),ISNUMBER(I12),H12&gt;0),1-I12/H12,"")</f>
        <v/>
      </c>
      <c r="K12" s="15" t="n"/>
      <c r="L12" s="16" t="n"/>
      <c r="M12" s="10" t="inlineStr">
        <is>
          <t>Sanary-sur-Mer</t>
        </is>
      </c>
      <c r="N12" s="19" t="inlineStr">
        <is>
          <t>Voir</t>
        </is>
      </c>
      <c r="O12" s="10" t="inlineStr">
        <is>
          <t>3256639318</t>
        </is>
      </c>
    </row>
    <row r="13">
      <c r="A13" s="10" t="inlineStr">
        <is>
          <t>Peugeot 206 RC</t>
        </is>
      </c>
      <c r="B13" s="10" t="inlineStr">
        <is>
          <t>206 rc</t>
        </is>
      </c>
      <c r="C13" s="10" t="inlineStr">
        <is>
          <t>En vente</t>
        </is>
      </c>
      <c r="D13" s="18" t="n">
        <v>46296</v>
      </c>
      <c r="E13" s="18" t="n">
        <v>46296</v>
      </c>
      <c r="F13" s="18" t="n"/>
      <c r="G13" s="17">
        <f>IF(ISNUMBER(D13),IF(ISNUMBER(F13),F13,E13)-D13,"")</f>
        <v/>
      </c>
      <c r="H13" s="12" t="n">
        <v>16300</v>
      </c>
      <c r="I13" s="12" t="n">
        <v>16300</v>
      </c>
      <c r="J13" s="13">
        <f>IF(AND(ISNUMBER(H13),ISNUMBER(I13),H13&gt;0),1-I13/H13,"")</f>
        <v/>
      </c>
      <c r="K13" s="15" t="n"/>
      <c r="L13" s="16" t="n"/>
      <c r="M13" s="10" t="inlineStr">
        <is>
          <t>Épernay</t>
        </is>
      </c>
      <c r="N13" s="19" t="inlineStr">
        <is>
          <t>Voir</t>
        </is>
      </c>
      <c r="O13" s="10" t="inlineStr">
        <is>
          <t>3258422146</t>
        </is>
      </c>
    </row>
    <row r="14">
      <c r="A14" s="10" t="inlineStr">
        <is>
          <t>Peugeot 206 RC</t>
        </is>
      </c>
      <c r="B14" s="10" t="inlineStr">
        <is>
          <t>206 rc</t>
        </is>
      </c>
      <c r="C14" s="10" t="inlineStr">
        <is>
          <t>En vente</t>
        </is>
      </c>
      <c r="D14" s="18" t="n">
        <v>46296</v>
      </c>
      <c r="E14" s="18" t="n">
        <v>46296</v>
      </c>
      <c r="F14" s="18" t="n"/>
      <c r="G14" s="17">
        <f>IF(ISNUMBER(D14),IF(ISNUMBER(F14),F14,E14)-D14,"")</f>
        <v/>
      </c>
      <c r="H14" s="12" t="n">
        <v>7500</v>
      </c>
      <c r="I14" s="12" t="n">
        <v>7500</v>
      </c>
      <c r="J14" s="13">
        <f>IF(AND(ISNUMBER(H14),ISNUMBER(I14),H14&gt;0),1-I14/H14,"")</f>
        <v/>
      </c>
      <c r="K14" s="15" t="n"/>
      <c r="L14" s="16" t="n"/>
      <c r="M14" s="10" t="inlineStr">
        <is>
          <t>Les Grandes-Ventes</t>
        </is>
      </c>
      <c r="N14" s="19" t="inlineStr">
        <is>
          <t>Voir</t>
        </is>
      </c>
      <c r="O14" s="10" t="inlineStr">
        <is>
          <t>3259064609</t>
        </is>
      </c>
    </row>
    <row r="15">
      <c r="A15" s="10" t="inlineStr">
        <is>
          <t>Peugeot 206 RC</t>
        </is>
      </c>
      <c r="B15" s="10" t="inlineStr">
        <is>
          <t>206 rc 180</t>
        </is>
      </c>
      <c r="C15" s="10" t="inlineStr">
        <is>
          <t>En vente</t>
        </is>
      </c>
      <c r="D15" s="18" t="n">
        <v>46296</v>
      </c>
      <c r="E15" s="18" t="n">
        <v>46296</v>
      </c>
      <c r="F15" s="18" t="n"/>
      <c r="G15" s="17">
        <f>IF(ISNUMBER(D15),IF(ISNUMBER(F15),F15,E15)-D15,"")</f>
        <v/>
      </c>
      <c r="H15" s="12" t="n">
        <v>11000</v>
      </c>
      <c r="I15" s="12" t="n">
        <v>11000</v>
      </c>
      <c r="J15" s="13">
        <f>IF(AND(ISNUMBER(H15),ISNUMBER(I15),H15&gt;0),1-I15/H15,"")</f>
        <v/>
      </c>
      <c r="K15" s="15" t="n"/>
      <c r="L15" s="16" t="n"/>
      <c r="M15" s="10" t="inlineStr">
        <is>
          <t>Champagnole</t>
        </is>
      </c>
      <c r="N15" s="19" t="inlineStr">
        <is>
          <t>Voir</t>
        </is>
      </c>
      <c r="O15" s="10" t="inlineStr">
        <is>
          <t>3262442354</t>
        </is>
      </c>
    </row>
    <row r="16">
      <c r="A16" s="10" t="inlineStr">
        <is>
          <t>Peugeot 206 RC</t>
        </is>
      </c>
      <c r="B16" s="10" t="inlineStr">
        <is>
          <t>206 rc</t>
        </is>
      </c>
      <c r="C16" s="10" t="inlineStr">
        <is>
          <t>En vente</t>
        </is>
      </c>
      <c r="D16" s="18" t="n">
        <v>46296</v>
      </c>
      <c r="E16" s="18" t="n">
        <v>46296</v>
      </c>
      <c r="F16" s="18" t="n"/>
      <c r="G16" s="17">
        <f>IF(ISNUMBER(D16),IF(ISNUMBER(F16),F16,E16)-D16,"")</f>
        <v/>
      </c>
      <c r="H16" s="12" t="n">
        <v>12000</v>
      </c>
      <c r="I16" s="12" t="n">
        <v>12000</v>
      </c>
      <c r="J16" s="13">
        <f>IF(AND(ISNUMBER(H16),ISNUMBER(I16),H16&gt;0),1-I16/H16,"")</f>
        <v/>
      </c>
      <c r="K16" s="15" t="n"/>
      <c r="L16" s="16" t="n"/>
      <c r="M16" s="10" t="inlineStr">
        <is>
          <t>Figeac</t>
        </is>
      </c>
      <c r="N16" s="19" t="inlineStr">
        <is>
          <t>Voir</t>
        </is>
      </c>
      <c r="O16" s="10" t="inlineStr">
        <is>
          <t>3264412764</t>
        </is>
      </c>
    </row>
    <row r="17">
      <c r="A17" s="10" t="inlineStr">
        <is>
          <t>Peugeot 206 RC</t>
        </is>
      </c>
      <c r="B17" s="10" t="inlineStr">
        <is>
          <t>206 rc</t>
        </is>
      </c>
      <c r="C17" s="10" t="inlineStr">
        <is>
          <t>En vente</t>
        </is>
      </c>
      <c r="D17" s="18" t="n">
        <v>46296</v>
      </c>
      <c r="E17" s="18" t="n">
        <v>46296</v>
      </c>
      <c r="F17" s="18" t="n"/>
      <c r="G17" s="17">
        <f>IF(ISNUMBER(D17),IF(ISNUMBER(F17),F17,E17)-D17,"")</f>
        <v/>
      </c>
      <c r="H17" s="12" t="n">
        <v>11000</v>
      </c>
      <c r="I17" s="12" t="n">
        <v>11000</v>
      </c>
      <c r="J17" s="13">
        <f>IF(AND(ISNUMBER(H17),ISNUMBER(I17),H17&gt;0),1-I17/H17,"")</f>
        <v/>
      </c>
      <c r="K17" s="15" t="n"/>
      <c r="L17" s="16" t="n"/>
      <c r="M17" s="10" t="inlineStr">
        <is>
          <t>Caen</t>
        </is>
      </c>
      <c r="N17" s="19" t="inlineStr">
        <is>
          <t>Voir</t>
        </is>
      </c>
      <c r="O17" s="10" t="inlineStr">
        <is>
          <t>3265358347</t>
        </is>
      </c>
    </row>
    <row r="18">
      <c r="A18" s="10" t="inlineStr">
        <is>
          <t>Peugeot 206 RC</t>
        </is>
      </c>
      <c r="B18" s="10" t="inlineStr">
        <is>
          <t>206 RC Rouge Aden</t>
        </is>
      </c>
      <c r="C18" s="10" t="inlineStr">
        <is>
          <t>En vente</t>
        </is>
      </c>
      <c r="D18" s="18" t="n">
        <v>46296</v>
      </c>
      <c r="E18" s="18" t="n">
        <v>46296</v>
      </c>
      <c r="F18" s="18" t="n"/>
      <c r="G18" s="17">
        <f>IF(ISNUMBER(D18),IF(ISNUMBER(F18),F18,E18)-D18,"")</f>
        <v/>
      </c>
      <c r="H18" s="12" t="n">
        <v>13990</v>
      </c>
      <c r="I18" s="12" t="n">
        <v>13990</v>
      </c>
      <c r="J18" s="13">
        <f>IF(AND(ISNUMBER(H18),ISNUMBER(I18),H18&gt;0),1-I18/H18,"")</f>
        <v/>
      </c>
      <c r="K18" s="15" t="n"/>
      <c r="L18" s="16" t="n"/>
      <c r="M18" s="10" t="inlineStr">
        <is>
          <t>Souleuvre en Bocage</t>
        </is>
      </c>
      <c r="N18" s="19" t="inlineStr">
        <is>
          <t>Voir</t>
        </is>
      </c>
      <c r="O18" s="10" t="inlineStr">
        <is>
          <t>3265384769</t>
        </is>
      </c>
    </row>
    <row r="19">
      <c r="A19" s="10" t="inlineStr">
        <is>
          <t>Peugeot 206 RC</t>
        </is>
      </c>
      <c r="B19" s="10" t="inlineStr">
        <is>
          <t>Peugeot 206 RC - Rouge Aden - 180cv</t>
        </is>
      </c>
      <c r="C19" s="10" t="inlineStr">
        <is>
          <t>En vente</t>
        </is>
      </c>
      <c r="D19" s="18" t="n">
        <v>46296</v>
      </c>
      <c r="E19" s="18" t="n">
        <v>46296</v>
      </c>
      <c r="F19" s="18" t="n"/>
      <c r="G19" s="17">
        <f>IF(ISNUMBER(D19),IF(ISNUMBER(F19),F19,E19)-D19,"")</f>
        <v/>
      </c>
      <c r="H19" s="12" t="n">
        <v>12500</v>
      </c>
      <c r="I19" s="12" t="n">
        <v>12500</v>
      </c>
      <c r="J19" s="13">
        <f>IF(AND(ISNUMBER(H19),ISNUMBER(I19),H19&gt;0),1-I19/H19,"")</f>
        <v/>
      </c>
      <c r="K19" s="15" t="n"/>
      <c r="L19" s="16" t="n"/>
      <c r="M19" s="10" t="inlineStr">
        <is>
          <t>Molsheim</t>
        </is>
      </c>
      <c r="N19" s="19" t="inlineStr">
        <is>
          <t>Voir</t>
        </is>
      </c>
      <c r="O19" s="10" t="inlineStr">
        <is>
          <t>3267576253</t>
        </is>
      </c>
    </row>
    <row r="20">
      <c r="A20" s="10" t="inlineStr">
        <is>
          <t>Peugeot 206 RC</t>
        </is>
      </c>
      <c r="B20" s="10" t="inlineStr">
        <is>
          <t>Peugeot 206 rc</t>
        </is>
      </c>
      <c r="C20" s="10" t="inlineStr">
        <is>
          <t>En vente</t>
        </is>
      </c>
      <c r="D20" s="18" t="n">
        <v>46296</v>
      </c>
      <c r="E20" s="18" t="n">
        <v>46296</v>
      </c>
      <c r="F20" s="18" t="n"/>
      <c r="G20" s="17">
        <f>IF(ISNUMBER(D20),IF(ISNUMBER(F20),F20,E20)-D20,"")</f>
        <v/>
      </c>
      <c r="H20" s="12" t="n">
        <v>12700</v>
      </c>
      <c r="I20" s="12" t="n">
        <v>12700</v>
      </c>
      <c r="J20" s="13">
        <f>IF(AND(ISNUMBER(H20),ISNUMBER(I20),H20&gt;0),1-I20/H20,"")</f>
        <v/>
      </c>
      <c r="K20" s="15" t="n"/>
      <c r="L20" s="16" t="n"/>
      <c r="M20" s="10" t="inlineStr">
        <is>
          <t>Lantenne-Vertière</t>
        </is>
      </c>
      <c r="N20" s="19" t="inlineStr">
        <is>
          <t>Voir</t>
        </is>
      </c>
      <c r="O20" s="10" t="inlineStr">
        <is>
          <t>3268704461</t>
        </is>
      </c>
    </row>
    <row r="21">
      <c r="A21" s="10" t="inlineStr">
        <is>
          <t>Peugeot 206 RC</t>
        </is>
      </c>
      <c r="B21" s="10" t="inlineStr">
        <is>
          <t>Peugeot 206 RC 2.0 177ch</t>
        </is>
      </c>
      <c r="C21" s="10" t="inlineStr">
        <is>
          <t>En vente</t>
        </is>
      </c>
      <c r="D21" s="18" t="n">
        <v>46296</v>
      </c>
      <c r="E21" s="18" t="n">
        <v>46296</v>
      </c>
      <c r="F21" s="18" t="n"/>
      <c r="G21" s="17">
        <f>IF(ISNUMBER(D21),IF(ISNUMBER(F21),F21,E21)-D21,"")</f>
        <v/>
      </c>
      <c r="H21" s="12" t="n">
        <v>9800</v>
      </c>
      <c r="I21" s="12" t="n">
        <v>9800</v>
      </c>
      <c r="J21" s="13">
        <f>IF(AND(ISNUMBER(H21),ISNUMBER(I21),H21&gt;0),1-I21/H21,"")</f>
        <v/>
      </c>
      <c r="K21" s="15" t="n"/>
      <c r="L21" s="16" t="n"/>
      <c r="M21" s="10" t="inlineStr">
        <is>
          <t>Châteaudun</t>
        </is>
      </c>
      <c r="N21" s="19" t="inlineStr">
        <is>
          <t>Voir</t>
        </is>
      </c>
      <c r="O21" s="10" t="inlineStr">
        <is>
          <t>3269057716</t>
        </is>
      </c>
    </row>
    <row r="22">
      <c r="A22" s="10" t="inlineStr">
        <is>
          <t>Peugeot 206 RC</t>
        </is>
      </c>
      <c r="B22" s="10" t="inlineStr">
        <is>
          <t>206 rc</t>
        </is>
      </c>
      <c r="C22" s="10" t="inlineStr">
        <is>
          <t>En vente</t>
        </is>
      </c>
      <c r="D22" s="18" t="n">
        <v>46296</v>
      </c>
      <c r="E22" s="18" t="n">
        <v>46296</v>
      </c>
      <c r="F22" s="18" t="n"/>
      <c r="G22" s="17">
        <f>IF(ISNUMBER(D22),IF(ISNUMBER(F22),F22,E22)-D22,"")</f>
        <v/>
      </c>
      <c r="H22" s="12" t="n">
        <v>11500</v>
      </c>
      <c r="I22" s="12" t="n">
        <v>11500</v>
      </c>
      <c r="J22" s="13">
        <f>IF(AND(ISNUMBER(H22),ISNUMBER(I22),H22&gt;0),1-I22/H22,"")</f>
        <v/>
      </c>
      <c r="K22" s="15" t="n"/>
      <c r="L22" s="16" t="n"/>
      <c r="M22" s="10" t="inlineStr">
        <is>
          <t>Béziers</t>
        </is>
      </c>
      <c r="N22" s="19" t="inlineStr">
        <is>
          <t>Voir</t>
        </is>
      </c>
      <c r="O22" s="10" t="inlineStr">
        <is>
          <t>3270523427</t>
        </is>
      </c>
    </row>
    <row r="23">
      <c r="A23" s="10" t="inlineStr">
        <is>
          <t>Peugeot 206 RC</t>
        </is>
      </c>
      <c r="B23" s="10" t="inlineStr">
        <is>
          <t>Peugeot 206 rc 2.0 180</t>
        </is>
      </c>
      <c r="C23" s="10" t="inlineStr">
        <is>
          <t>En vente</t>
        </is>
      </c>
      <c r="D23" s="18" t="n">
        <v>46296</v>
      </c>
      <c r="E23" s="18" t="n">
        <v>46296</v>
      </c>
      <c r="F23" s="18" t="n"/>
      <c r="G23" s="17">
        <f>IF(ISNUMBER(D23),IF(ISNUMBER(F23),F23,E23)-D23,"")</f>
        <v/>
      </c>
      <c r="H23" s="12" t="n">
        <v>13990</v>
      </c>
      <c r="I23" s="12" t="n">
        <v>13990</v>
      </c>
      <c r="J23" s="13">
        <f>IF(AND(ISNUMBER(H23),ISNUMBER(I23),H23&gt;0),1-I23/H23,"")</f>
        <v/>
      </c>
      <c r="K23" s="15" t="n"/>
      <c r="L23" s="16" t="n"/>
      <c r="M23" s="10" t="inlineStr">
        <is>
          <t>Saint-Féliu-d'Avall</t>
        </is>
      </c>
      <c r="N23" s="19" t="inlineStr">
        <is>
          <t>Voir</t>
        </is>
      </c>
      <c r="O23" s="10" t="inlineStr">
        <is>
          <t>3270650631</t>
        </is>
      </c>
    </row>
    <row r="24">
      <c r="A24" s="10" t="inlineStr">
        <is>
          <t>Peugeot 206 RC</t>
        </is>
      </c>
      <c r="B24" s="10" t="inlineStr">
        <is>
          <t>Peugeot 206 rc</t>
        </is>
      </c>
      <c r="C24" s="10" t="inlineStr">
        <is>
          <t>En vente</t>
        </is>
      </c>
      <c r="D24" s="18" t="n">
        <v>46296</v>
      </c>
      <c r="E24" s="18" t="n">
        <v>46296</v>
      </c>
      <c r="F24" s="18" t="n"/>
      <c r="G24" s="17">
        <f>IF(ISNUMBER(D24),IF(ISNUMBER(F24),F24,E24)-D24,"")</f>
        <v/>
      </c>
      <c r="H24" s="12" t="n">
        <v>7800</v>
      </c>
      <c r="I24" s="12" t="n">
        <v>7800</v>
      </c>
      <c r="J24" s="13">
        <f>IF(AND(ISNUMBER(H24),ISNUMBER(I24),H24&gt;0),1-I24/H24,"")</f>
        <v/>
      </c>
      <c r="K24" s="15" t="n"/>
      <c r="L24" s="16" t="n"/>
      <c r="M24" s="10" t="inlineStr">
        <is>
          <t>Lavelanet</t>
        </is>
      </c>
      <c r="N24" s="19" t="inlineStr">
        <is>
          <t>Voir</t>
        </is>
      </c>
      <c r="O24" s="10" t="inlineStr">
        <is>
          <t>3271026847</t>
        </is>
      </c>
    </row>
    <row r="25">
      <c r="A25" s="10" t="inlineStr">
        <is>
          <t>Peugeot 206 RC</t>
        </is>
      </c>
      <c r="B25" s="10" t="inlineStr">
        <is>
          <t>206 rc</t>
        </is>
      </c>
      <c r="C25" s="10" t="inlineStr">
        <is>
          <t>En vente</t>
        </is>
      </c>
      <c r="D25" s="18" t="n">
        <v>46296</v>
      </c>
      <c r="E25" s="18" t="n">
        <v>46296</v>
      </c>
      <c r="F25" s="18" t="n"/>
      <c r="G25" s="17">
        <f>IF(ISNUMBER(D25),IF(ISNUMBER(F25),F25,E25)-D25,"")</f>
        <v/>
      </c>
      <c r="H25" s="12" t="n">
        <v>7000</v>
      </c>
      <c r="I25" s="12" t="n">
        <v>7000</v>
      </c>
      <c r="J25" s="13">
        <f>IF(AND(ISNUMBER(H25),ISNUMBER(I25),H25&gt;0),1-I25/H25,"")</f>
        <v/>
      </c>
      <c r="K25" s="15" t="n"/>
      <c r="L25" s="16" t="n"/>
      <c r="M25" s="10" t="inlineStr">
        <is>
          <t>Montpellier</t>
        </is>
      </c>
      <c r="N25" s="19" t="inlineStr">
        <is>
          <t>Voir</t>
        </is>
      </c>
      <c r="O25" s="10" t="inlineStr">
        <is>
          <t>3271661241</t>
        </is>
      </c>
    </row>
    <row r="26">
      <c r="A26" s="10" t="inlineStr">
        <is>
          <t>Peugeot 206 RC</t>
        </is>
      </c>
      <c r="B26" s="10" t="inlineStr">
        <is>
          <t>206 rc</t>
        </is>
      </c>
      <c r="C26" s="10" t="inlineStr">
        <is>
          <t>En vente</t>
        </is>
      </c>
      <c r="D26" s="18" t="n">
        <v>46296</v>
      </c>
      <c r="E26" s="18" t="n">
        <v>46296</v>
      </c>
      <c r="F26" s="18" t="n"/>
      <c r="G26" s="17">
        <f>IF(ISNUMBER(D26),IF(ISNUMBER(F26),F26,E26)-D26,"")</f>
        <v/>
      </c>
      <c r="H26" s="12" t="n">
        <v>5900</v>
      </c>
      <c r="I26" s="12" t="n">
        <v>5900</v>
      </c>
      <c r="J26" s="13">
        <f>IF(AND(ISNUMBER(H26),ISNUMBER(I26),H26&gt;0),1-I26/H26,"")</f>
        <v/>
      </c>
      <c r="K26" s="15" t="n"/>
      <c r="L26" s="16" t="n"/>
      <c r="M26" s="10" t="inlineStr">
        <is>
          <t>Tulle</t>
        </is>
      </c>
      <c r="N26" s="19" t="inlineStr">
        <is>
          <t>Voir</t>
        </is>
      </c>
      <c r="O26" s="10" t="inlineStr">
        <is>
          <t>3273170431</t>
        </is>
      </c>
    </row>
    <row r="27">
      <c r="A27" s="10" t="inlineStr">
        <is>
          <t>Peugeot 206 RC</t>
        </is>
      </c>
      <c r="B27" s="10" t="inlineStr">
        <is>
          <t>Peugeot 206 Rc</t>
        </is>
      </c>
      <c r="C27" s="10" t="inlineStr">
        <is>
          <t>En vente</t>
        </is>
      </c>
      <c r="D27" s="18" t="n">
        <v>46296</v>
      </c>
      <c r="E27" s="18" t="n">
        <v>46296</v>
      </c>
      <c r="F27" s="18" t="n"/>
      <c r="G27" s="17">
        <f>IF(ISNUMBER(D27),IF(ISNUMBER(F27),F27,E27)-D27,"")</f>
        <v/>
      </c>
      <c r="H27" s="12" t="n">
        <v>8000</v>
      </c>
      <c r="I27" s="12" t="n">
        <v>8000</v>
      </c>
      <c r="J27" s="13">
        <f>IF(AND(ISNUMBER(H27),ISNUMBER(I27),H27&gt;0),1-I27/H27,"")</f>
        <v/>
      </c>
      <c r="K27" s="15" t="n"/>
      <c r="L27" s="16" t="n"/>
      <c r="M27" s="10" t="inlineStr">
        <is>
          <t>Saint-Cyr-les-Vignes</t>
        </is>
      </c>
      <c r="N27" s="19" t="inlineStr">
        <is>
          <t>Voir</t>
        </is>
      </c>
      <c r="O27" s="10" t="inlineStr">
        <is>
          <t>3275009272</t>
        </is>
      </c>
    </row>
    <row r="28">
      <c r="A28" s="10" t="inlineStr">
        <is>
          <t>Peugeot 206 RC</t>
        </is>
      </c>
      <c r="B28" s="10" t="inlineStr">
        <is>
          <t>206 rc</t>
        </is>
      </c>
      <c r="C28" s="10" t="inlineStr">
        <is>
          <t>En vente</t>
        </is>
      </c>
      <c r="D28" s="18" t="n">
        <v>46296</v>
      </c>
      <c r="E28" s="18" t="n">
        <v>46296</v>
      </c>
      <c r="F28" s="18" t="n"/>
      <c r="G28" s="17">
        <f>IF(ISNUMBER(D28),IF(ISNUMBER(F28),F28,E28)-D28,"")</f>
        <v/>
      </c>
      <c r="H28" s="12" t="n">
        <v>7500</v>
      </c>
      <c r="I28" s="12" t="n">
        <v>7500</v>
      </c>
      <c r="J28" s="13">
        <f>IF(AND(ISNUMBER(H28),ISNUMBER(I28),H28&gt;0),1-I28/H28,"")</f>
        <v/>
      </c>
      <c r="K28" s="15" t="n"/>
      <c r="L28" s="16" t="n"/>
      <c r="M28" s="10" t="inlineStr">
        <is>
          <t>Perriers-sur-Andelle</t>
        </is>
      </c>
      <c r="N28" s="19" t="inlineStr">
        <is>
          <t>Voir</t>
        </is>
      </c>
      <c r="O28" s="10" t="inlineStr">
        <is>
          <t>3275531733</t>
        </is>
      </c>
    </row>
    <row r="29">
      <c r="A29" s="10" t="inlineStr">
        <is>
          <t>Peugeot 206 RC</t>
        </is>
      </c>
      <c r="B29" s="10" t="inlineStr">
        <is>
          <t>206 rc</t>
        </is>
      </c>
      <c r="C29" s="10" t="inlineStr">
        <is>
          <t>En vente</t>
        </is>
      </c>
      <c r="D29" s="18" t="n">
        <v>46296</v>
      </c>
      <c r="E29" s="18" t="n">
        <v>46296</v>
      </c>
      <c r="F29" s="18" t="n"/>
      <c r="G29" s="17">
        <f>IF(ISNUMBER(D29),IF(ISNUMBER(F29),F29,E29)-D29,"")</f>
        <v/>
      </c>
      <c r="H29" s="12" t="n">
        <v>13499</v>
      </c>
      <c r="I29" s="12" t="n">
        <v>13499</v>
      </c>
      <c r="J29" s="13">
        <f>IF(AND(ISNUMBER(H29),ISNUMBER(I29),H29&gt;0),1-I29/H29,"")</f>
        <v/>
      </c>
      <c r="K29" s="15" t="n"/>
      <c r="L29" s="16" t="n"/>
      <c r="M29" s="10" t="inlineStr">
        <is>
          <t>Saint-Hilaire-Saint-Mesmin</t>
        </is>
      </c>
      <c r="N29" s="19" t="inlineStr">
        <is>
          <t>Voir</t>
        </is>
      </c>
      <c r="O29" s="10" t="inlineStr">
        <is>
          <t>3276061576</t>
        </is>
      </c>
    </row>
    <row r="30">
      <c r="A30" s="10" t="inlineStr">
        <is>
          <t>Peugeot 206 RC</t>
        </is>
      </c>
      <c r="B30" s="10" t="inlineStr">
        <is>
          <t>206 rc line 1.6 110 cv</t>
        </is>
      </c>
      <c r="C30" s="10" t="inlineStr">
        <is>
          <t>En vente</t>
        </is>
      </c>
      <c r="D30" s="18" t="n">
        <v>46296</v>
      </c>
      <c r="E30" s="18" t="n">
        <v>46296</v>
      </c>
      <c r="F30" s="18" t="n"/>
      <c r="G30" s="17">
        <f>IF(ISNUMBER(D30),IF(ISNUMBER(F30),F30,E30)-D30,"")</f>
        <v/>
      </c>
      <c r="H30" s="12" t="n">
        <v>6800</v>
      </c>
      <c r="I30" s="12" t="n">
        <v>6800</v>
      </c>
      <c r="J30" s="13">
        <f>IF(AND(ISNUMBER(H30),ISNUMBER(I30),H30&gt;0),1-I30/H30,"")</f>
        <v/>
      </c>
      <c r="K30" s="15" t="n"/>
      <c r="L30" s="16" t="n"/>
      <c r="M30" s="10" t="inlineStr">
        <is>
          <t>Cernay</t>
        </is>
      </c>
      <c r="N30" s="19" t="inlineStr">
        <is>
          <t>Voir</t>
        </is>
      </c>
      <c r="O30" s="10" t="inlineStr">
        <is>
          <t>3276929411</t>
        </is>
      </c>
    </row>
    <row r="31">
      <c r="A31" s="10" t="inlineStr">
        <is>
          <t>Peugeot 206 RC</t>
        </is>
      </c>
      <c r="B31" s="10" t="inlineStr">
        <is>
          <t>Peugeot 206 RC 2.0 177ch - Bleu Récif</t>
        </is>
      </c>
      <c r="C31" s="10" t="inlineStr">
        <is>
          <t>En vente</t>
        </is>
      </c>
      <c r="D31" s="18" t="n">
        <v>46296</v>
      </c>
      <c r="E31" s="18" t="n">
        <v>46296</v>
      </c>
      <c r="F31" s="18" t="n"/>
      <c r="G31" s="17">
        <f>IF(ISNUMBER(D31),IF(ISNUMBER(F31),F31,E31)-D31,"")</f>
        <v/>
      </c>
      <c r="H31" s="12" t="n">
        <v>5300</v>
      </c>
      <c r="I31" s="12" t="n">
        <v>5300</v>
      </c>
      <c r="J31" s="13">
        <f>IF(AND(ISNUMBER(H31),ISNUMBER(I31),H31&gt;0),1-I31/H31,"")</f>
        <v/>
      </c>
      <c r="K31" s="15" t="n"/>
      <c r="L31" s="16" t="n"/>
      <c r="M31" s="10" t="inlineStr">
        <is>
          <t>Belley</t>
        </is>
      </c>
      <c r="N31" s="19" t="inlineStr">
        <is>
          <t>Voir</t>
        </is>
      </c>
      <c r="O31" s="10" t="inlineStr">
        <is>
          <t>3277073683</t>
        </is>
      </c>
    </row>
    <row r="32">
      <c r="A32" s="10" t="inlineStr">
        <is>
          <t>Peugeot 206 RC</t>
        </is>
      </c>
      <c r="B32" s="10" t="inlineStr">
        <is>
          <t>Peugeot 206 rc</t>
        </is>
      </c>
      <c r="C32" s="10" t="inlineStr">
        <is>
          <t>En vente</t>
        </is>
      </c>
      <c r="D32" s="18" t="n">
        <v>46296</v>
      </c>
      <c r="E32" s="18" t="n">
        <v>46296</v>
      </c>
      <c r="F32" s="18" t="n"/>
      <c r="G32" s="17">
        <f>IF(ISNUMBER(D32),IF(ISNUMBER(F32),F32,E32)-D32,"")</f>
        <v/>
      </c>
      <c r="H32" s="12" t="n">
        <v>11000</v>
      </c>
      <c r="I32" s="12" t="n">
        <v>11000</v>
      </c>
      <c r="J32" s="13">
        <f>IF(AND(ISNUMBER(H32),ISNUMBER(I32),H32&gt;0),1-I32/H32,"")</f>
        <v/>
      </c>
      <c r="K32" s="15" t="n"/>
      <c r="L32" s="16" t="n"/>
      <c r="M32" s="10" t="inlineStr">
        <is>
          <t>Saint-Cyr-de-Favières</t>
        </is>
      </c>
      <c r="N32" s="19" t="inlineStr">
        <is>
          <t>Voir</t>
        </is>
      </c>
      <c r="O32" s="10" t="inlineStr">
        <is>
          <t>3277840482</t>
        </is>
      </c>
    </row>
    <row r="33">
      <c r="A33" s="10" t="inlineStr">
        <is>
          <t>Peugeot 206 RC</t>
        </is>
      </c>
      <c r="B33" s="10" t="inlineStr">
        <is>
          <t>206 rc</t>
        </is>
      </c>
      <c r="C33" s="10" t="inlineStr">
        <is>
          <t>En vente</t>
        </is>
      </c>
      <c r="D33" s="18" t="n">
        <v>46296</v>
      </c>
      <c r="E33" s="18" t="n">
        <v>46296</v>
      </c>
      <c r="F33" s="18" t="n"/>
      <c r="G33" s="17">
        <f>IF(ISNUMBER(D33),IF(ISNUMBER(F33),F33,E33)-D33,"")</f>
        <v/>
      </c>
      <c r="H33" s="12" t="n">
        <v>6000</v>
      </c>
      <c r="I33" s="12" t="n">
        <v>6000</v>
      </c>
      <c r="J33" s="13">
        <f>IF(AND(ISNUMBER(H33),ISNUMBER(I33),H33&gt;0),1-I33/H33,"")</f>
        <v/>
      </c>
      <c r="K33" s="15" t="n"/>
      <c r="L33" s="16" t="n"/>
      <c r="M33" s="10" t="inlineStr">
        <is>
          <t>La Côte-Saint-André</t>
        </is>
      </c>
      <c r="N33" s="19" t="inlineStr">
        <is>
          <t>Voir</t>
        </is>
      </c>
      <c r="O33" s="10" t="inlineStr">
        <is>
          <t>3278317897</t>
        </is>
      </c>
    </row>
    <row r="34">
      <c r="A34" s="10" t="inlineStr">
        <is>
          <t>Peugeot 206 RC</t>
        </is>
      </c>
      <c r="B34" s="10" t="inlineStr">
        <is>
          <t>206 rc</t>
        </is>
      </c>
      <c r="C34" s="10" t="inlineStr">
        <is>
          <t>En vente</t>
        </is>
      </c>
      <c r="D34" s="18" t="n">
        <v>46296</v>
      </c>
      <c r="E34" s="18" t="n">
        <v>46296</v>
      </c>
      <c r="F34" s="18" t="n"/>
      <c r="G34" s="17">
        <f>IF(ISNUMBER(D34),IF(ISNUMBER(F34),F34,E34)-D34,"")</f>
        <v/>
      </c>
      <c r="H34" s="12" t="n">
        <v>8500</v>
      </c>
      <c r="I34" s="12" t="n">
        <v>8500</v>
      </c>
      <c r="J34" s="13">
        <f>IF(AND(ISNUMBER(H34),ISNUMBER(I34),H34&gt;0),1-I34/H34,"")</f>
        <v/>
      </c>
      <c r="K34" s="15" t="n"/>
      <c r="L34" s="16" t="n"/>
      <c r="M34" s="10" t="inlineStr">
        <is>
          <t>Perrecy-les-Forges</t>
        </is>
      </c>
      <c r="N34" s="19" t="inlineStr">
        <is>
          <t>Voir</t>
        </is>
      </c>
      <c r="O34" s="10" t="inlineStr">
        <is>
          <t>3278631826</t>
        </is>
      </c>
    </row>
    <row r="35">
      <c r="A35" s="10" t="inlineStr">
        <is>
          <t>Peugeot 206 RC</t>
        </is>
      </c>
      <c r="B35" s="10" t="inlineStr">
        <is>
          <t>Peugeot 206 RC</t>
        </is>
      </c>
      <c r="C35" s="10" t="inlineStr">
        <is>
          <t>En vente</t>
        </is>
      </c>
      <c r="D35" s="18" t="n">
        <v>46296</v>
      </c>
      <c r="E35" s="18" t="n">
        <v>46296</v>
      </c>
      <c r="F35" s="18" t="n"/>
      <c r="G35" s="17">
        <f>IF(ISNUMBER(D35),IF(ISNUMBER(F35),F35,E35)-D35,"")</f>
        <v/>
      </c>
      <c r="H35" s="12" t="n">
        <v>5400</v>
      </c>
      <c r="I35" s="12" t="n">
        <v>5400</v>
      </c>
      <c r="J35" s="13">
        <f>IF(AND(ISNUMBER(H35),ISNUMBER(I35),H35&gt;0),1-I35/H35,"")</f>
        <v/>
      </c>
      <c r="K35" s="15" t="n"/>
      <c r="L35" s="16" t="n"/>
      <c r="M35" s="10" t="inlineStr">
        <is>
          <t>La Roche-sur-Foron</t>
        </is>
      </c>
      <c r="N35" s="19" t="inlineStr">
        <is>
          <t>Voir</t>
        </is>
      </c>
      <c r="O35" s="10" t="inlineStr">
        <is>
          <t>3278866640</t>
        </is>
      </c>
    </row>
    <row r="36">
      <c r="A36" s="10" t="inlineStr">
        <is>
          <t>Peugeot 206 RC</t>
        </is>
      </c>
      <c r="B36" s="10" t="inlineStr">
        <is>
          <t>Peugeot 206 RC</t>
        </is>
      </c>
      <c r="C36" s="10" t="inlineStr">
        <is>
          <t>En vente</t>
        </is>
      </c>
      <c r="D36" s="18" t="n">
        <v>46296</v>
      </c>
      <c r="E36" s="18" t="n">
        <v>46296</v>
      </c>
      <c r="F36" s="18" t="n"/>
      <c r="G36" s="17">
        <f>IF(ISNUMBER(D36),IF(ISNUMBER(F36),F36,E36)-D36,"")</f>
        <v/>
      </c>
      <c r="H36" s="12" t="n">
        <v>14500</v>
      </c>
      <c r="I36" s="12" t="n">
        <v>14500</v>
      </c>
      <c r="J36" s="13">
        <f>IF(AND(ISNUMBER(H36),ISNUMBER(I36),H36&gt;0),1-I36/H36,"")</f>
        <v/>
      </c>
      <c r="K36" s="15" t="n"/>
      <c r="L36" s="16" t="n"/>
      <c r="M36" s="10" t="inlineStr">
        <is>
          <t>Chamalières</t>
        </is>
      </c>
      <c r="N36" s="19" t="inlineStr">
        <is>
          <t>Voir</t>
        </is>
      </c>
      <c r="O36" s="10" t="inlineStr">
        <is>
          <t>3278894245</t>
        </is>
      </c>
    </row>
    <row r="37">
      <c r="A37" s="10" t="inlineStr">
        <is>
          <t>Peugeot 206 RC</t>
        </is>
      </c>
      <c r="B37" s="10" t="inlineStr">
        <is>
          <t>206 rc</t>
        </is>
      </c>
      <c r="C37" s="10" t="inlineStr">
        <is>
          <t>En vente</t>
        </is>
      </c>
      <c r="D37" s="18" t="n">
        <v>46296</v>
      </c>
      <c r="E37" s="18" t="n">
        <v>46296</v>
      </c>
      <c r="F37" s="18" t="n"/>
      <c r="G37" s="17">
        <f>IF(ISNUMBER(D37),IF(ISNUMBER(F37),F37,E37)-D37,"")</f>
        <v/>
      </c>
      <c r="H37" s="12" t="n">
        <v>9000</v>
      </c>
      <c r="I37" s="12" t="n">
        <v>9000</v>
      </c>
      <c r="J37" s="13">
        <f>IF(AND(ISNUMBER(H37),ISNUMBER(I37),H37&gt;0),1-I37/H37,"")</f>
        <v/>
      </c>
      <c r="K37" s="15" t="n"/>
      <c r="L37" s="16" t="n"/>
      <c r="M37" s="10" t="inlineStr">
        <is>
          <t>La Clayette</t>
        </is>
      </c>
      <c r="N37" s="19" t="inlineStr">
        <is>
          <t>Voir</t>
        </is>
      </c>
      <c r="O37" s="10" t="inlineStr">
        <is>
          <t>3279039279</t>
        </is>
      </c>
    </row>
    <row r="38">
      <c r="A38" s="10" t="inlineStr">
        <is>
          <t>Peugeot 206 RC</t>
        </is>
      </c>
      <c r="B38" s="10" t="inlineStr">
        <is>
          <t>206 rc</t>
        </is>
      </c>
      <c r="C38" s="10" t="inlineStr">
        <is>
          <t>En vente</t>
        </is>
      </c>
      <c r="D38" s="18" t="n">
        <v>46296</v>
      </c>
      <c r="E38" s="18" t="n">
        <v>46296</v>
      </c>
      <c r="F38" s="18" t="n"/>
      <c r="G38" s="17">
        <f>IF(ISNUMBER(D38),IF(ISNUMBER(F38),F38,E38)-D38,"")</f>
        <v/>
      </c>
      <c r="H38" s="12" t="n">
        <v>5900</v>
      </c>
      <c r="I38" s="12" t="n">
        <v>5900</v>
      </c>
      <c r="J38" s="13">
        <f>IF(AND(ISNUMBER(H38),ISNUMBER(I38),H38&gt;0),1-I38/H38,"")</f>
        <v/>
      </c>
      <c r="K38" s="15" t="n"/>
      <c r="L38" s="16" t="n"/>
      <c r="M38" s="10" t="inlineStr">
        <is>
          <t>Lons-le-Saunier</t>
        </is>
      </c>
      <c r="N38" s="19" t="inlineStr">
        <is>
          <t>Voir</t>
        </is>
      </c>
      <c r="O38" s="10" t="inlineStr">
        <is>
          <t>3279053465</t>
        </is>
      </c>
    </row>
    <row r="39">
      <c r="A39" s="10" t="inlineStr">
        <is>
          <t>Peugeot 206 RC</t>
        </is>
      </c>
      <c r="B39" s="10" t="inlineStr">
        <is>
          <t>Peugeot 206 rc</t>
        </is>
      </c>
      <c r="C39" s="10" t="inlineStr">
        <is>
          <t>En vente</t>
        </is>
      </c>
      <c r="D39" s="18" t="n">
        <v>46296</v>
      </c>
      <c r="E39" s="18" t="n">
        <v>46296</v>
      </c>
      <c r="F39" s="18" t="n"/>
      <c r="G39" s="17">
        <f>IF(ISNUMBER(D39),IF(ISNUMBER(F39),F39,E39)-D39,"")</f>
        <v/>
      </c>
      <c r="H39" s="12" t="n">
        <v>9190</v>
      </c>
      <c r="I39" s="12" t="n">
        <v>9190</v>
      </c>
      <c r="J39" s="13">
        <f>IF(AND(ISNUMBER(H39),ISNUMBER(I39),H39&gt;0),1-I39/H39,"")</f>
        <v/>
      </c>
      <c r="K39" s="15" t="n"/>
      <c r="L39" s="16" t="n"/>
      <c r="M39" s="10" t="inlineStr">
        <is>
          <t>Saint-Dizier</t>
        </is>
      </c>
      <c r="N39" s="19" t="inlineStr">
        <is>
          <t>Voir</t>
        </is>
      </c>
      <c r="O39" s="10" t="inlineStr">
        <is>
          <t>3279236263</t>
        </is>
      </c>
    </row>
    <row r="40">
      <c r="A40" s="10" t="inlineStr">
        <is>
          <t>Peugeot 206 RC</t>
        </is>
      </c>
      <c r="B40" s="10" t="inlineStr">
        <is>
          <t>Peugeot 206 RC</t>
        </is>
      </c>
      <c r="C40" s="10" t="inlineStr">
        <is>
          <t>En vente</t>
        </is>
      </c>
      <c r="D40" s="18" t="n">
        <v>46296</v>
      </c>
      <c r="E40" s="18" t="n">
        <v>46296</v>
      </c>
      <c r="F40" s="18" t="n"/>
      <c r="G40" s="17">
        <f>IF(ISNUMBER(D40),IF(ISNUMBER(F40),F40,E40)-D40,"")</f>
        <v/>
      </c>
      <c r="H40" s="12" t="n">
        <v>6500</v>
      </c>
      <c r="I40" s="12" t="n">
        <v>6500</v>
      </c>
      <c r="J40" s="13">
        <f>IF(AND(ISNUMBER(H40),ISNUMBER(I40),H40&gt;0),1-I40/H40,"")</f>
        <v/>
      </c>
      <c r="K40" s="15" t="n"/>
      <c r="L40" s="16" t="n"/>
      <c r="M40" s="10" t="inlineStr">
        <is>
          <t>Pirmil</t>
        </is>
      </c>
      <c r="N40" s="19" t="inlineStr">
        <is>
          <t>Voir</t>
        </is>
      </c>
      <c r="O40" s="10" t="inlineStr">
        <is>
          <t>3279820686</t>
        </is>
      </c>
    </row>
    <row r="41">
      <c r="A41" s="10" t="inlineStr">
        <is>
          <t>Peugeot 206 RC</t>
        </is>
      </c>
      <c r="B41" s="10" t="inlineStr">
        <is>
          <t>Peugeot 206 rc 20.16v</t>
        </is>
      </c>
      <c r="C41" s="10" t="inlineStr">
        <is>
          <t>En vente</t>
        </is>
      </c>
      <c r="D41" s="18" t="n">
        <v>46296</v>
      </c>
      <c r="E41" s="18" t="n">
        <v>46296</v>
      </c>
      <c r="F41" s="18" t="n"/>
      <c r="G41" s="17">
        <f>IF(ISNUMBER(D41),IF(ISNUMBER(F41),F41,E41)-D41,"")</f>
        <v/>
      </c>
      <c r="H41" s="12" t="n">
        <v>6000</v>
      </c>
      <c r="I41" s="12" t="n">
        <v>6000</v>
      </c>
      <c r="J41" s="13">
        <f>IF(AND(ISNUMBER(H41),ISNUMBER(I41),H41&gt;0),1-I41/H41,"")</f>
        <v/>
      </c>
      <c r="K41" s="15" t="n"/>
      <c r="L41" s="16" t="n"/>
      <c r="M41" s="10" t="inlineStr">
        <is>
          <t>Erstein</t>
        </is>
      </c>
      <c r="N41" s="19" t="inlineStr">
        <is>
          <t>Voir</t>
        </is>
      </c>
      <c r="O41" s="10" t="inlineStr">
        <is>
          <t>3280095370</t>
        </is>
      </c>
    </row>
  </sheetData>
  <autoFilter ref="A1:O41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1" customWidth="1" min="3" max="3"/>
    <col width="13" customWidth="1" min="4" max="4"/>
    <col width="9" customWidth="1" min="5" max="5"/>
    <col width="12" customWidth="1" min="6" max="6"/>
    <col width="8" customWidth="1" min="7" max="7"/>
    <col width="16" customWidth="1" min="8" max="8"/>
    <col width="9" customWidth="1" min="9" max="9"/>
    <col width="11" customWidth="1" min="10" max="10"/>
  </cols>
  <sheetData>
    <row r="1" ht="30" customHeight="1">
      <c r="A1" s="9" t="inlineStr">
        <is>
          <t>Véhicule</t>
        </is>
      </c>
      <c r="B1" s="9" t="inlineStr">
        <is>
          <t>Titre</t>
        </is>
      </c>
      <c r="C1" s="9" t="inlineStr">
        <is>
          <t>Prix</t>
        </is>
      </c>
      <c r="D1" s="9" t="inlineStr">
        <is>
          <t>Cote attendue</t>
        </is>
      </c>
      <c r="E1" s="9" t="inlineStr">
        <is>
          <t>Décote</t>
        </is>
      </c>
      <c r="F1" s="9" t="inlineStr">
        <is>
          <t>Km</t>
        </is>
      </c>
      <c r="G1" s="9" t="inlineStr">
        <is>
          <t>Année</t>
        </is>
      </c>
      <c r="H1" s="9" t="inlineStr">
        <is>
          <t>Ville</t>
        </is>
      </c>
      <c r="I1" s="9" t="inlineStr">
        <is>
          <t>Annonce</t>
        </is>
      </c>
      <c r="J1" s="9" t="inlineStr">
        <is>
          <t>Relevé</t>
        </is>
      </c>
    </row>
    <row r="2">
      <c r="A2" s="10" t="inlineStr">
        <is>
          <t>Peugeot 206 RC</t>
        </is>
      </c>
      <c r="B2" s="10" t="inlineStr">
        <is>
          <t>Peugeot 206 RC 2.0 177ch - Bleu Récif</t>
        </is>
      </c>
      <c r="C2" s="12" t="n">
        <v>5300</v>
      </c>
      <c r="D2" s="12" t="n">
        <v>9650</v>
      </c>
      <c r="E2" s="13">
        <f>IF(AND(ISNUMBER(C2),ISNUMBER(D2),D2&gt;0),1-C2/D2,"")</f>
        <v/>
      </c>
      <c r="F2" s="15" t="n"/>
      <c r="G2" s="16" t="n"/>
      <c r="H2" s="10" t="inlineStr">
        <is>
          <t>Belley</t>
        </is>
      </c>
      <c r="I2" s="19" t="inlineStr">
        <is>
          <t>Voir</t>
        </is>
      </c>
      <c r="J2" s="18" t="n">
        <v>46296</v>
      </c>
    </row>
    <row r="3">
      <c r="A3" s="10" t="inlineStr">
        <is>
          <t>Peugeot 206 RC</t>
        </is>
      </c>
      <c r="B3" s="10" t="inlineStr">
        <is>
          <t>Peugeot 206 RC</t>
        </is>
      </c>
      <c r="C3" s="12" t="n">
        <v>5400</v>
      </c>
      <c r="D3" s="12" t="n">
        <v>9650</v>
      </c>
      <c r="E3" s="13">
        <f>IF(AND(ISNUMBER(C3),ISNUMBER(D3),D3&gt;0),1-C3/D3,"")</f>
        <v/>
      </c>
      <c r="F3" s="15" t="n"/>
      <c r="G3" s="16" t="n"/>
      <c r="H3" s="10" t="inlineStr">
        <is>
          <t>La Roche-sur-Foron</t>
        </is>
      </c>
      <c r="I3" s="19" t="inlineStr">
        <is>
          <t>Voir</t>
        </is>
      </c>
      <c r="J3" s="18" t="n">
        <v>46296</v>
      </c>
    </row>
    <row r="4">
      <c r="A4" s="10" t="inlineStr">
        <is>
          <t>Peugeot 206 RC</t>
        </is>
      </c>
      <c r="B4" s="10" t="inlineStr">
        <is>
          <t>206 rc</t>
        </is>
      </c>
      <c r="C4" s="12" t="n">
        <v>5900</v>
      </c>
      <c r="D4" s="12" t="n">
        <v>9650</v>
      </c>
      <c r="E4" s="13">
        <f>IF(AND(ISNUMBER(C4),ISNUMBER(D4),D4&gt;0),1-C4/D4,"")</f>
        <v/>
      </c>
      <c r="F4" s="15" t="n"/>
      <c r="G4" s="16" t="n"/>
      <c r="H4" s="10" t="inlineStr">
        <is>
          <t>Tulle</t>
        </is>
      </c>
      <c r="I4" s="19" t="inlineStr">
        <is>
          <t>Voir</t>
        </is>
      </c>
      <c r="J4" s="18" t="n">
        <v>46296</v>
      </c>
    </row>
    <row r="5">
      <c r="A5" s="10" t="inlineStr">
        <is>
          <t>Peugeot 206 RC</t>
        </is>
      </c>
      <c r="B5" s="10" t="inlineStr">
        <is>
          <t>206 rc</t>
        </is>
      </c>
      <c r="C5" s="12" t="n">
        <v>5900</v>
      </c>
      <c r="D5" s="12" t="n">
        <v>9650</v>
      </c>
      <c r="E5" s="13">
        <f>IF(AND(ISNUMBER(C5),ISNUMBER(D5),D5&gt;0),1-C5/D5,"")</f>
        <v/>
      </c>
      <c r="F5" s="15" t="n"/>
      <c r="G5" s="16" t="n"/>
      <c r="H5" s="10" t="inlineStr">
        <is>
          <t>Lons-le-Saunier</t>
        </is>
      </c>
      <c r="I5" s="19" t="inlineStr">
        <is>
          <t>Voir</t>
        </is>
      </c>
      <c r="J5" s="18" t="n">
        <v>46296</v>
      </c>
    </row>
    <row r="6">
      <c r="A6" s="10" t="inlineStr">
        <is>
          <t>Peugeot 206 RC</t>
        </is>
      </c>
      <c r="B6" s="10" t="inlineStr">
        <is>
          <t>206 rc</t>
        </is>
      </c>
      <c r="C6" s="12" t="n">
        <v>6000</v>
      </c>
      <c r="D6" s="12" t="n">
        <v>9650</v>
      </c>
      <c r="E6" s="13">
        <f>IF(AND(ISNUMBER(C6),ISNUMBER(D6),D6&gt;0),1-C6/D6,"")</f>
        <v/>
      </c>
      <c r="F6" s="15" t="n"/>
      <c r="G6" s="16" t="n"/>
      <c r="H6" s="10" t="inlineStr">
        <is>
          <t>La Côte-Saint-André</t>
        </is>
      </c>
      <c r="I6" s="19" t="inlineStr">
        <is>
          <t>Voir</t>
        </is>
      </c>
      <c r="J6" s="18" t="n">
        <v>46296</v>
      </c>
    </row>
  </sheetData>
  <autoFilter ref="A1:J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9" customWidth="1" min="3" max="3"/>
    <col width="30" customWidth="1" min="4" max="4"/>
    <col width="20" customWidth="1" min="5" max="5"/>
    <col width="11" customWidth="1" min="6" max="6"/>
    <col width="16" customWidth="1" min="7" max="7"/>
    <col width="20" customWidth="1" min="8" max="8"/>
    <col width="28" customWidth="1" min="9" max="9"/>
    <col width="8" customWidth="1" min="10" max="10"/>
    <col width="9" customWidth="1" min="11" max="11"/>
    <col width="10" customWidth="1" min="12" max="12"/>
    <col width="11" customWidth="1" min="13" max="13"/>
    <col width="60" customWidth="1" min="14" max="14"/>
    <col width="11" customWidth="1" min="15" max="15"/>
  </cols>
  <sheetData>
    <row r="1" ht="30" customHeight="1">
      <c r="A1" s="9" t="inlineStr">
        <is>
          <t>Véhicule</t>
        </is>
      </c>
      <c r="B1" s="9" t="inlineStr">
        <is>
          <t>Identifiant</t>
        </is>
      </c>
      <c r="C1" s="9" t="inlineStr">
        <is>
          <t>Statut</t>
        </is>
      </c>
      <c r="D1" s="9" t="inlineStr">
        <is>
          <t>Catégorie</t>
        </is>
      </c>
      <c r="E1" s="9" t="inlineStr">
        <is>
          <t>Recherche</t>
        </is>
      </c>
      <c r="F1" s="9" t="inlineStr">
        <is>
          <t>Années</t>
        </is>
      </c>
      <c r="G1" s="9" t="inlineStr">
        <is>
          <t>Mots obligatoires</t>
        </is>
      </c>
      <c r="H1" s="9" t="inlineStr">
        <is>
          <t>Variantes</t>
        </is>
      </c>
      <c r="I1" s="9" t="inlineStr">
        <is>
          <t>Mots exclus</t>
        </is>
      </c>
      <c r="J1" s="9" t="inlineStr">
        <is>
          <t>Rareté</t>
        </is>
      </c>
      <c r="K1" s="9" t="inlineStr">
        <is>
          <t>Dernier de</t>
        </is>
      </c>
      <c r="L1" s="9" t="inlineStr">
        <is>
          <t>Désirabilité</t>
        </is>
      </c>
      <c r="M1" s="9" t="inlineStr">
        <is>
          <t>Ajouté le</t>
        </is>
      </c>
      <c r="N1" s="9" t="inlineStr">
        <is>
          <t>Notes</t>
        </is>
      </c>
      <c r="O1" s="9" t="inlineStr">
        <is>
          <t>LeBonCoin</t>
        </is>
      </c>
    </row>
    <row r="2">
      <c r="A2" s="10" t="inlineStr">
        <is>
          <t>Peugeot 208 GTi 30th</t>
        </is>
      </c>
      <c r="B2" s="10" t="inlineStr">
        <is>
          <t>peugeot-208-gti-30th</t>
        </is>
      </c>
      <c r="C2" s="10" t="inlineStr">
        <is>
          <t>Suivi</t>
        </is>
      </c>
      <c r="D2" s="10" t="inlineStr">
        <is>
          <t>Hot-hatch récente à tirage limité</t>
        </is>
      </c>
      <c r="E2" s="10" t="inlineStr">
        <is>
          <t>208 gti 30th</t>
        </is>
      </c>
      <c r="F2" s="10" t="inlineStr">
        <is>
          <t>2014-2016</t>
        </is>
      </c>
      <c r="G2" s="10" t="inlineStr"/>
      <c r="H2" s="10" t="inlineStr">
        <is>
          <t>30th, 30 th, trentieme</t>
        </is>
      </c>
      <c r="I2" s="10" t="inlineStr"/>
      <c r="J2" s="16" t="n">
        <v>85</v>
      </c>
      <c r="K2" s="16" t="n">
        <v>65</v>
      </c>
      <c r="L2" s="16" t="n">
        <v>80</v>
      </c>
      <c r="M2" s="18" t="n">
        <v>46273</v>
      </c>
      <c r="N2" s="10" t="inlineStr">
        <is>
          <t>Édition limitée et numérotée (1.6 THP 208 ch).</t>
        </is>
      </c>
      <c r="O2" s="19" t="inlineStr">
        <is>
          <t>Voir</t>
        </is>
      </c>
    </row>
    <row r="3">
      <c r="A3" s="10" t="inlineStr">
        <is>
          <t>Porsche 911 997 Carrera S</t>
        </is>
      </c>
      <c r="B3" s="10" t="inlineStr">
        <is>
          <t>porsche-911-997</t>
        </is>
      </c>
      <c r="C3" s="10" t="inlineStr">
        <is>
          <t>Suivi</t>
        </is>
      </c>
      <c r="D3" s="10" t="inlineStr">
        <is>
          <t>Sportive iconique</t>
        </is>
      </c>
      <c r="E3" s="10" t="inlineStr">
        <is>
          <t>911 997 carrera s</t>
        </is>
      </c>
      <c r="F3" s="10" t="inlineStr">
        <is>
          <t>2004-2012</t>
        </is>
      </c>
      <c r="G3" s="10" t="inlineStr">
        <is>
          <t>997</t>
        </is>
      </c>
      <c r="H3" s="10" t="inlineStr"/>
      <c r="I3" s="10" t="inlineStr">
        <is>
          <t>turbo, gt3, gt2</t>
        </is>
      </c>
      <c r="J3" s="16" t="n">
        <v>40</v>
      </c>
      <c r="K3" s="16" t="n">
        <v>90</v>
      </c>
      <c r="L3" s="16" t="n">
        <v>90</v>
      </c>
      <c r="M3" s="18" t="n">
        <v>46273</v>
      </c>
      <c r="N3" s="10" t="inlineStr">
        <is>
          <t>Dernière 911 à direction assistée hydraulique. Recherche centrée sur la Carrera S : retirer « s » du texte de recherche pour inclure la Carrera de base.</t>
        </is>
      </c>
      <c r="O3" s="19" t="inlineStr">
        <is>
          <t>Voir</t>
        </is>
      </c>
    </row>
    <row r="4">
      <c r="A4" s="10" t="inlineStr">
        <is>
          <t>Porsche Boxster 986</t>
        </is>
      </c>
      <c r="B4" s="10" t="inlineStr">
        <is>
          <t>porsche-boxster-986</t>
        </is>
      </c>
      <c r="C4" s="10" t="inlineStr">
        <is>
          <t>Suivi</t>
        </is>
      </c>
      <c r="D4" s="10" t="inlineStr">
        <is>
          <t>Roadster d'entrée de gamme Porsche</t>
        </is>
      </c>
      <c r="E4" s="10" t="inlineStr">
        <is>
          <t>boxster 986</t>
        </is>
      </c>
      <c r="F4" s="10" t="inlineStr">
        <is>
          <t>1996-2004</t>
        </is>
      </c>
      <c r="G4" s="10" t="inlineStr">
        <is>
          <t>boxster</t>
        </is>
      </c>
      <c r="H4" s="10" t="inlineStr"/>
      <c r="I4" s="10" t="inlineStr"/>
      <c r="J4" s="16" t="n">
        <v>35</v>
      </c>
      <c r="K4" s="16" t="n">
        <v>30</v>
      </c>
      <c r="L4" s="16" t="n">
        <v>70</v>
      </c>
      <c r="M4" s="18" t="n">
        <v>46273</v>
      </c>
      <c r="N4" s="10" t="inlineStr">
        <is>
          <t>Première génération (1996-2004). Point de vigilance IMS à l'achat.</t>
        </is>
      </c>
      <c r="O4" s="19" t="inlineStr">
        <is>
          <t>Voir</t>
        </is>
      </c>
    </row>
    <row r="5">
      <c r="A5" s="10" t="inlineStr">
        <is>
          <t>Porsche Boxster 987</t>
        </is>
      </c>
      <c r="B5" s="10" t="inlineStr">
        <is>
          <t>porsche-boxster-987</t>
        </is>
      </c>
      <c r="C5" s="10" t="inlineStr">
        <is>
          <t>Suivi</t>
        </is>
      </c>
      <c r="D5" s="10" t="inlineStr">
        <is>
          <t>Roadster Porsche</t>
        </is>
      </c>
      <c r="E5" s="10" t="inlineStr">
        <is>
          <t>boxster 987</t>
        </is>
      </c>
      <c r="F5" s="10" t="inlineStr">
        <is>
          <t>2005-2012</t>
        </is>
      </c>
      <c r="G5" s="10" t="inlineStr">
        <is>
          <t>boxster</t>
        </is>
      </c>
      <c r="H5" s="10" t="inlineStr"/>
      <c r="I5" s="10" t="inlineStr">
        <is>
          <t>spyder</t>
        </is>
      </c>
      <c r="J5" s="16" t="n">
        <v>30</v>
      </c>
      <c r="K5" s="16" t="n">
        <v>40</v>
      </c>
      <c r="L5" s="16" t="n">
        <v>75</v>
      </c>
      <c r="M5" s="18" t="n">
        <v>46273</v>
      </c>
      <c r="N5" s="10" t="inlineStr">
        <is>
          <t>Deuxième génération (2005-2012), fiabilité nettement améliorée. Spyder exclu (marché à part).</t>
        </is>
      </c>
      <c r="O5" s="19" t="inlineStr">
        <is>
          <t>Voir</t>
        </is>
      </c>
    </row>
    <row r="6">
      <c r="A6" s="10" t="inlineStr">
        <is>
          <t>Renault Twingo 1 découvrable</t>
        </is>
      </c>
      <c r="B6" s="10" t="inlineStr">
        <is>
          <t>renault-twingo-1</t>
        </is>
      </c>
      <c r="C6" s="10" t="inlineStr">
        <is>
          <t>Suivi</t>
        </is>
      </c>
      <c r="D6" s="10" t="inlineStr">
        <is>
          <t>Citadine iconique, variante toit ouvrant</t>
        </is>
      </c>
      <c r="E6" s="10" t="inlineStr">
        <is>
          <t>twingo toit ouvrant</t>
        </is>
      </c>
      <c r="F6" s="10" t="inlineStr">
        <is>
          <t>1993-2007</t>
        </is>
      </c>
      <c r="G6" s="10" t="inlineStr"/>
      <c r="H6" s="10" t="inlineStr">
        <is>
          <t>toit ouvrant, decouvrable, toit toile, toit souple</t>
        </is>
      </c>
      <c r="I6" s="10" t="inlineStr">
        <is>
          <t>twingo 2, twingo ii, twingo 3, twingo iii</t>
        </is>
      </c>
      <c r="J6" s="16" t="n">
        <v>55</v>
      </c>
      <c r="K6" s="16" t="n">
        <v>50</v>
      </c>
      <c r="L6" s="16" t="n">
        <v>65</v>
      </c>
      <c r="M6" s="18" t="n">
        <v>46273</v>
      </c>
      <c r="N6" s="10" t="inlineStr">
        <is>
          <t>La Twingo 1 n'a jamais eu de cabriolet officiel : la variante suivie est le toit ouvrant en toile.</t>
        </is>
      </c>
      <c r="O6" s="19" t="inlineStr">
        <is>
          <t>Voir</t>
        </is>
      </c>
    </row>
    <row r="7">
      <c r="A7" s="10" t="inlineStr">
        <is>
          <t>Peugeot 206 RC</t>
        </is>
      </c>
      <c r="B7" s="10" t="inlineStr">
        <is>
          <t>peugeot-206-rc</t>
        </is>
      </c>
      <c r="C7" s="10" t="inlineStr">
        <is>
          <t>Suivi</t>
        </is>
      </c>
      <c r="D7" s="10" t="inlineStr">
        <is>
          <t>Hot-hatch youngtimer 2000-2005</t>
        </is>
      </c>
      <c r="E7" s="10" t="inlineStr">
        <is>
          <t>206 rc</t>
        </is>
      </c>
      <c r="F7" s="10" t="inlineStr">
        <is>
          <t>2003-2007</t>
        </is>
      </c>
      <c r="G7" s="10" t="inlineStr">
        <is>
          <t>rc</t>
        </is>
      </c>
      <c r="H7" s="10" t="inlineStr"/>
      <c r="I7" s="10" t="inlineStr">
        <is>
          <t>hdi, 206+, 206 cc</t>
        </is>
      </c>
      <c r="J7" s="16" t="n">
        <v>45</v>
      </c>
      <c r="K7" s="16" t="n">
        <v>75</v>
      </c>
      <c r="L7" s="16" t="n">
        <v>70</v>
      </c>
      <c r="M7" s="18" t="n">
        <v>46273</v>
      </c>
      <c r="N7" s="10" t="inlineStr">
        <is>
          <t>2.0 16v 177 ch. Nommée GTi 180 à l'export.</t>
        </is>
      </c>
      <c r="O7" s="19" t="inlineStr">
        <is>
          <t>Voir</t>
        </is>
      </c>
    </row>
    <row r="8">
      <c r="A8" s="10" t="inlineStr">
        <is>
          <t>Renault Clio II RS (172/182 ch)</t>
        </is>
      </c>
      <c r="B8" s="10" t="inlineStr">
        <is>
          <t>renault-clio-2-rs</t>
        </is>
      </c>
      <c r="C8" s="10" t="inlineStr">
        <is>
          <t>Suivi</t>
        </is>
      </c>
      <c r="D8" s="10" t="inlineStr">
        <is>
          <t>Hot-hatch youngtimer 2000-2005</t>
        </is>
      </c>
      <c r="E8" s="10" t="inlineStr">
        <is>
          <t>clio rs</t>
        </is>
      </c>
      <c r="F8" s="10" t="inlineStr">
        <is>
          <t>2000-2006</t>
        </is>
      </c>
      <c r="G8" s="10" t="inlineStr"/>
      <c r="H8" s="10" t="inlineStr">
        <is>
          <t>172, 182, rs</t>
        </is>
      </c>
      <c r="I8" s="10" t="inlineStr">
        <is>
          <t>v6, dci, clio 3, clio iii, clio 4, clio iv, gt line</t>
        </is>
      </c>
      <c r="J8" s="16" t="n">
        <v>40</v>
      </c>
      <c r="K8" s="16" t="n">
        <v>60</v>
      </c>
      <c r="L8" s="16" t="n">
        <v>75</v>
      </c>
      <c r="M8" s="18" t="n">
        <v>46273</v>
      </c>
      <c r="N8" s="10" t="inlineStr">
        <is>
          <t>Châssis Renault Sport très réputé, succède à la Williams déjà collector.</t>
        </is>
      </c>
      <c r="O8" s="19" t="inlineStr">
        <is>
          <t>Voir</t>
        </is>
      </c>
    </row>
    <row r="9">
      <c r="A9" s="10" t="inlineStr">
        <is>
          <t>Citroën Saxo VTS 16V</t>
        </is>
      </c>
      <c r="B9" s="10" t="inlineStr">
        <is>
          <t>citroen-saxo-vts</t>
        </is>
      </c>
      <c r="C9" s="10" t="inlineStr">
        <is>
          <t>Suivi</t>
        </is>
      </c>
      <c r="D9" s="10" t="inlineStr">
        <is>
          <t>Hot-hatch youngtimer 2000-2005</t>
        </is>
      </c>
      <c r="E9" s="10" t="inlineStr">
        <is>
          <t>saxo vts</t>
        </is>
      </c>
      <c r="F9" s="10" t="inlineStr">
        <is>
          <t>1997-2004</t>
        </is>
      </c>
      <c r="G9" s="10" t="inlineStr">
        <is>
          <t>vts</t>
        </is>
      </c>
      <c r="H9" s="10" t="inlineStr"/>
      <c r="I9" s="10" t="inlineStr">
        <is>
          <t>rallye, piste, course, preparee, kit car</t>
        </is>
      </c>
      <c r="J9" s="16" t="n">
        <v>30</v>
      </c>
      <c r="K9" s="16" t="n">
        <v>55</v>
      </c>
      <c r="L9" s="16" t="n">
        <v>55</v>
      </c>
      <c r="M9" s="18" t="n">
        <v>46273</v>
      </c>
      <c r="N9" s="10" t="inlineStr">
        <is>
          <t>Marché parasité par les exemplaires modifiés/rallye, exclus par filtre : on suit les originaux.</t>
        </is>
      </c>
      <c r="O9" s="19" t="inlineStr">
        <is>
          <t>Voir</t>
        </is>
      </c>
    </row>
    <row r="10">
      <c r="A10" s="10" t="inlineStr">
        <is>
          <t>Peugeot 306 S16</t>
        </is>
      </c>
      <c r="B10" s="10" t="inlineStr">
        <is>
          <t>peugeot-306-s16</t>
        </is>
      </c>
      <c r="C10" s="10" t="inlineStr">
        <is>
          <t>Suivi</t>
        </is>
      </c>
      <c r="D10" s="10" t="inlineStr">
        <is>
          <t>Hot-hatch youngtimer 1990-2000</t>
        </is>
      </c>
      <c r="E10" s="10" t="inlineStr">
        <is>
          <t>306 s16</t>
        </is>
      </c>
      <c r="F10" s="10" t="inlineStr">
        <is>
          <t>1993-2001</t>
        </is>
      </c>
      <c r="G10" s="10" t="inlineStr">
        <is>
          <t>s16</t>
        </is>
      </c>
      <c r="H10" s="10" t="inlineStr"/>
      <c r="I10" s="10" t="inlineStr">
        <is>
          <t>hdi, cabriolet</t>
        </is>
      </c>
      <c r="J10" s="16" t="n">
        <v>40</v>
      </c>
      <c r="K10" s="16" t="n">
        <v>50</v>
      </c>
      <c r="L10" s="16" t="n">
        <v>65</v>
      </c>
      <c r="M10" s="18" t="n">
        <v>46296</v>
      </c>
      <c r="N10" s="10" t="inlineStr">
        <is>
          <t>2.0 16v 150-167 ch, châssis encensé à l’époque. Beaucoup d’exemplaires fatigués : l’état d’origine fait la valeur.</t>
        </is>
      </c>
      <c r="O10" s="19" t="inlineStr">
        <is>
          <t>Voir</t>
        </is>
      </c>
    </row>
    <row r="11">
      <c r="A11" s="10" t="inlineStr">
        <is>
          <t>BMW Z3 1.9i / 2.0i</t>
        </is>
      </c>
      <c r="B11" s="10" t="inlineStr">
        <is>
          <t>bmw-z3-19-20</t>
        </is>
      </c>
      <c r="C11" s="10" t="inlineStr">
        <is>
          <t>Suivi</t>
        </is>
      </c>
      <c r="D11" s="10" t="inlineStr">
        <is>
          <t>Roadster youngtimer</t>
        </is>
      </c>
      <c r="E11" s="10" t="inlineStr">
        <is>
          <t>bmw z3</t>
        </is>
      </c>
      <c r="F11" s="10" t="inlineStr">
        <is>
          <t>1996-2002</t>
        </is>
      </c>
      <c r="G11" s="10" t="inlineStr"/>
      <c r="H11" s="10" t="inlineStr">
        <is>
          <t>1.9, 1.9i, 2.0, 2.0i, 1.8, 1.8i, 2.2, 2.2i</t>
        </is>
      </c>
      <c r="I11" s="10" t="inlineStr">
        <is>
          <t>m roadster, m coupe, coupe, 3.0, 2.8</t>
        </is>
      </c>
      <c r="J11" s="16" t="n">
        <v>35</v>
      </c>
      <c r="K11" s="16" t="n">
        <v>40</v>
      </c>
      <c r="L11" s="16" t="n">
        <v>65</v>
      </c>
      <c r="M11" s="18" t="n">
        <v>46296</v>
      </c>
      <c r="N11" s="10" t="inlineStr">
        <is>
          <t>Roadster BMW le plus abordable. M Roadster et coupé exclus (marchés à part).</t>
        </is>
      </c>
      <c r="O11" s="19" t="inlineStr">
        <is>
          <t>Voir</t>
        </is>
      </c>
    </row>
    <row r="12">
      <c r="A12" s="10" t="inlineStr">
        <is>
          <t>Volkswagen Golf IV GTI 25th Anniversary</t>
        </is>
      </c>
      <c r="B12" s="10" t="inlineStr">
        <is>
          <t>vw-golf-4-gti-25</t>
        </is>
      </c>
      <c r="C12" s="10" t="inlineStr">
        <is>
          <t>Suivi</t>
        </is>
      </c>
      <c r="D12" s="10" t="inlineStr">
        <is>
          <t>Hot-hatch à série limitée</t>
        </is>
      </c>
      <c r="E12" s="10" t="inlineStr">
        <is>
          <t>golf gti 25</t>
        </is>
      </c>
      <c r="F12" s="10" t="inlineStr">
        <is>
          <t>2001-2002</t>
        </is>
      </c>
      <c r="G12" s="10" t="inlineStr">
        <is>
          <t>gti</t>
        </is>
      </c>
      <c r="H12" s="10" t="inlineStr">
        <is>
          <t>25, 25th, anniversary, anniversaire, edition 25</t>
        </is>
      </c>
      <c r="I12" s="10" t="inlineStr">
        <is>
          <t>tdi, golf 5, golf v, golf 6, golf vi</t>
        </is>
      </c>
      <c r="J12" s="16" t="n">
        <v>70</v>
      </c>
      <c r="K12" s="16" t="n">
        <v>55</v>
      </c>
      <c r="L12" s="16" t="n">
        <v>65</v>
      </c>
      <c r="M12" s="18" t="n">
        <v>46296</v>
      </c>
      <c r="N12" s="10" t="inlineStr">
        <is>
          <t>1.8T 180 ch, sièges Recaro, jantes BBS. Série limitée : vérifier la plaque et les équipements spécifiques.</t>
        </is>
      </c>
      <c r="O12" s="19" t="inlineStr">
        <is>
          <t>Voir</t>
        </is>
      </c>
    </row>
    <row r="13">
      <c r="A13" s="10" t="inlineStr">
        <is>
          <t>Alfa Romeo 156 2.5 V6 24V</t>
        </is>
      </c>
      <c r="B13" s="10" t="inlineStr">
        <is>
          <t>alfa-156-v6</t>
        </is>
      </c>
      <c r="C13" s="10" t="inlineStr">
        <is>
          <t>Suivi</t>
        </is>
      </c>
      <c r="D13" s="10" t="inlineStr">
        <is>
          <t>Berline sportive youngtimer</t>
        </is>
      </c>
      <c r="E13" s="10" t="inlineStr">
        <is>
          <t>alfa 156 v6</t>
        </is>
      </c>
      <c r="F13" s="10" t="inlineStr">
        <is>
          <t>1997-2005</t>
        </is>
      </c>
      <c r="G13" s="10" t="inlineStr">
        <is>
          <t>v6</t>
        </is>
      </c>
      <c r="H13" s="10" t="inlineStr"/>
      <c r="I13" s="10" t="inlineStr">
        <is>
          <t>gta, jtd, diesel</t>
        </is>
      </c>
      <c r="J13" s="16" t="n">
        <v>50</v>
      </c>
      <c r="K13" s="16" t="n">
        <v>70</v>
      </c>
      <c r="L13" s="16" t="n">
        <v>65</v>
      </c>
      <c r="M13" s="18" t="n">
        <v>46296</v>
      </c>
      <c r="N13" s="10" t="inlineStr">
        <is>
          <t>V6 « Busso » atmosphérique. GTA exclue (marché à part). Courroie de distribution et variateur à surveiller.</t>
        </is>
      </c>
      <c r="O13" s="19" t="inlineStr">
        <is>
          <t>Voir</t>
        </is>
      </c>
    </row>
    <row r="14">
      <c r="A14" s="10" t="inlineStr">
        <is>
          <t>Mazda MX-5 NA</t>
        </is>
      </c>
      <c r="B14" s="10" t="inlineStr">
        <is>
          <t>mazda-mx5-na</t>
        </is>
      </c>
      <c r="C14" s="10" t="inlineStr">
        <is>
          <t>Suivi</t>
        </is>
      </c>
      <c r="D14" s="10" t="inlineStr">
        <is>
          <t>Roadster youngtimer</t>
        </is>
      </c>
      <c r="E14" s="10" t="inlineStr">
        <is>
          <t>mazda mx5</t>
        </is>
      </c>
      <c r="F14" s="10" t="inlineStr">
        <is>
          <t>1989-1998</t>
        </is>
      </c>
      <c r="G14" s="10" t="inlineStr"/>
      <c r="H14" s="10" t="inlineStr"/>
      <c r="I14" s="10" t="inlineStr">
        <is>
          <t>nb, nc, nd, hard top seul</t>
        </is>
      </c>
      <c r="J14" s="16" t="n">
        <v>25</v>
      </c>
      <c r="K14" s="16" t="n">
        <v>60</v>
      </c>
      <c r="L14" s="16" t="n">
        <v>75</v>
      </c>
      <c r="M14" s="18" t="n">
        <v>46296</v>
      </c>
      <c r="N14" s="10" t="inlineStr">
        <is>
          <t>Première génération, phares escamotables. Offre abondante : la corrosion des bas de caisse fait la différence.</t>
        </is>
      </c>
      <c r="O14" s="19" t="inlineStr">
        <is>
          <t>Voir</t>
        </is>
      </c>
    </row>
    <row r="15">
      <c r="A15" s="10" t="inlineStr">
        <is>
          <t>Peugeot 205 GTI</t>
        </is>
      </c>
      <c r="B15" s="10" t="inlineStr">
        <is>
          <t>peugeot-205-gti</t>
        </is>
      </c>
      <c r="C15" s="10" t="inlineStr">
        <is>
          <t>Suivi</t>
        </is>
      </c>
      <c r="D15" s="10" t="inlineStr">
        <is>
          <t>Hot-hatch icône des années 80</t>
        </is>
      </c>
      <c r="E15" s="10" t="inlineStr">
        <is>
          <t>205 gti</t>
        </is>
      </c>
      <c r="F15" s="10" t="inlineStr">
        <is>
          <t>1984-1994</t>
        </is>
      </c>
      <c r="G15" s="10" t="inlineStr">
        <is>
          <t>gti</t>
        </is>
      </c>
      <c r="H15" s="10" t="inlineStr"/>
      <c r="I15" s="10" t="inlineStr">
        <is>
          <t>look, replica, replique, gtx, xs, cti</t>
        </is>
      </c>
      <c r="J15" s="16" t="n">
        <v>45</v>
      </c>
      <c r="K15" s="16" t="n">
        <v>50</v>
      </c>
      <c r="L15" s="16" t="n">
        <v>85</v>
      </c>
      <c r="M15" s="18" t="n">
        <v>46296</v>
      </c>
      <c r="N15" s="10" t="inlineStr">
        <is>
          <t>1.6 et 1.9. Cote déjà élevée et soutenue ; nombreuses « répliques » à partir de 205 XS/GT, exclues par filtre mais à vérifier (numéro de série).</t>
        </is>
      </c>
      <c r="O15" s="19" t="inlineStr">
        <is>
          <t>Voir</t>
        </is>
      </c>
    </row>
    <row r="16">
      <c r="A16" s="10" t="inlineStr">
        <is>
          <t>Honda S2000</t>
        </is>
      </c>
      <c r="B16" s="10" t="inlineStr">
        <is>
          <t>honda-s2000</t>
        </is>
      </c>
      <c r="C16" s="10" t="inlineStr">
        <is>
          <t>Suivi</t>
        </is>
      </c>
      <c r="D16" s="10" t="inlineStr">
        <is>
          <t>Roadster japonais culte</t>
        </is>
      </c>
      <c r="E16" s="10" t="inlineStr">
        <is>
          <t>honda s2000</t>
        </is>
      </c>
      <c r="F16" s="10" t="inlineStr">
        <is>
          <t>1999-2009</t>
        </is>
      </c>
      <c r="G16" s="10" t="inlineStr"/>
      <c r="H16" s="10" t="inlineStr"/>
      <c r="I16" s="10" t="inlineStr"/>
      <c r="J16" s="16" t="n">
        <v>50</v>
      </c>
      <c r="K16" s="16" t="n">
        <v>85</v>
      </c>
      <c r="L16" s="16" t="n">
        <v>85</v>
      </c>
      <c r="M16" s="18" t="n">
        <v>46296</v>
      </c>
      <c r="N16" s="10" t="inlineStr">
        <is>
          <t>2.0 VTEC atmosphérique à 9 000 tr/min, sans successeur. Exemplaires d’origine non modifiés de plus en plus recherchés.</t>
        </is>
      </c>
      <c r="O16" s="19" t="inlineStr">
        <is>
          <t>Voir</t>
        </is>
      </c>
    </row>
    <row r="17">
      <c r="A17" s="10" t="inlineStr">
        <is>
          <t>Renault Mégane II RS R26</t>
        </is>
      </c>
      <c r="B17" s="10" t="inlineStr">
        <is>
          <t>renault-megane-r26</t>
        </is>
      </c>
      <c r="C17" s="10" t="inlineStr">
        <is>
          <t>Suivi</t>
        </is>
      </c>
      <c r="D17" s="10" t="inlineStr">
        <is>
          <t>Hot-hatch à série limitée</t>
        </is>
      </c>
      <c r="E17" s="10" t="inlineStr">
        <is>
          <t>megane rs r26</t>
        </is>
      </c>
      <c r="F17" s="10" t="inlineStr">
        <is>
          <t>2007-2009</t>
        </is>
      </c>
      <c r="G17" s="10" t="inlineStr"/>
      <c r="H17" s="10" t="inlineStr">
        <is>
          <t>r26, r 26</t>
        </is>
      </c>
      <c r="I17" s="10" t="inlineStr">
        <is>
          <t>dci, gt line, megane 3, megane iii</t>
        </is>
      </c>
      <c r="J17" s="16" t="n">
        <v>55</v>
      </c>
      <c r="K17" s="16" t="n">
        <v>50</v>
      </c>
      <c r="L17" s="16" t="n">
        <v>75</v>
      </c>
      <c r="M17" s="18" t="n">
        <v>46296</v>
      </c>
      <c r="N17" s="10" t="inlineStr">
        <is>
          <t>Série R26 (différentiel autobloquant). La R26.R, beaucoup plus rare, sort du même filtre : à repérer à part.</t>
        </is>
      </c>
      <c r="O17" s="19" t="inlineStr">
        <is>
          <t>Voir</t>
        </is>
      </c>
    </row>
  </sheetData>
  <autoFilter ref="A1:O1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2026-10-01T15:46:44Z</dcterms:created>
  <dcterms:modified xsi:type="dcterms:W3CDTF">2026-10-01T15:46:44Z</dcterms:modified>
</cp:coreProperties>
</file>
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mensuel'!$A$1:$P$9</definedName>
    <definedName name="_xlnm._FilterDatabase" localSheetId="5" hidden="1">'Relevés'!$A$1:$P$9</definedName>
    <definedName name="_xlnm._FilterDatabase" localSheetId="6" hidden="1">'Annonces'!$A$1:$O$2</definedName>
    <definedName name="_xlnm._FilterDatabase" localSheetId="7" hidden="1">'Bonnes affaires'!$A$1:$J$2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100'!$B$5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100'!$C$5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100'!$D$5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100'!$E$5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100'!$F$5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100'!$G$5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100'!$H$5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</f>
            </numRef>
          </cat>
          <val>
            <numRef>
              <f>'Indice base 100'!$I$5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206+rc&amp;regdate=2003-2007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4" t="inlineStr">
        <is>
          <t>aucun relevé automatique pour l'instant</t>
        </is>
      </c>
    </row>
    <row r="5">
      <c r="A5" s="2" t="inlineStr">
        <is>
          <t>Dashboard</t>
        </is>
      </c>
      <c r="B5" s="5" t="inlineStr">
        <is>
          <t>https://mattchampavier-ui.github.io/cote-auto/</t>
        </is>
      </c>
    </row>
    <row r="6">
      <c r="A6" s="2" t="inlineStr"/>
      <c r="B6" s="4" t="inlineStr"/>
    </row>
    <row r="7">
      <c r="A7" s="2" t="inlineStr">
        <is>
          <t>Fonctionnement</t>
        </is>
      </c>
      <c r="B7" s="4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4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4" t="inlineStr"/>
    </row>
    <row r="10">
      <c r="A10" s="2" t="inlineStr">
        <is>
          <t>Onglets</t>
        </is>
      </c>
      <c r="B10" s="4" t="inlineStr"/>
    </row>
    <row r="11">
      <c r="A11" s="2" t="inlineStr">
        <is>
          <t>Analyse du mois</t>
        </is>
      </c>
      <c r="B11" s="4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4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4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4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4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4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4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4" t="inlineStr">
        <is>
          <t>Liste des véhicules suivis ou retirés et leurs critères de recherche.</t>
        </is>
      </c>
    </row>
    <row r="19">
      <c r="A19" s="2" t="inlineStr"/>
      <c r="B19" s="4" t="inlineStr"/>
    </row>
    <row r="20">
      <c r="A20" s="2" t="inlineStr">
        <is>
          <t>Définitions</t>
        </is>
      </c>
      <c r="B20" s="4" t="inlineStr"/>
    </row>
    <row r="21">
      <c r="A21" s="2" t="inlineStr">
        <is>
          <t>Médiane</t>
        </is>
      </c>
      <c r="B21" s="4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4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4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4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4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4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208 GTi 30th</t>
        </is>
      </c>
      <c r="B9" s="10" t="inlineStr">
        <is>
          <t>Hot-hatch récente à tirage limité</t>
        </is>
      </c>
      <c r="C9" s="11" t="n">
        <v>67.40000000000001</v>
      </c>
      <c r="D9" s="10" t="inlineStr">
        <is>
          <t>À surveiller</t>
        </is>
      </c>
      <c r="E9" s="12" t="n">
        <v>15990</v>
      </c>
      <c r="F9" s="12" t="n">
        <v>12000</v>
      </c>
      <c r="G9" s="12" t="n">
        <v>24000</v>
      </c>
      <c r="H9" s="13">
        <f>IF(AND(ISNUMBER(E9),ISNUMBER(F9),ISNUMBER(G9),G9&gt;F9),(E9-F9)/(G9-F9),"")</f>
        <v/>
      </c>
      <c r="I9" s="14" t="n"/>
      <c r="J9" s="14" t="n"/>
      <c r="K9" s="14" t="n"/>
      <c r="L9" s="12" t="n"/>
      <c r="M9" s="15" t="n">
        <v>100000</v>
      </c>
      <c r="N9" s="16" t="n">
        <v>7</v>
      </c>
      <c r="O9" s="16" t="n">
        <v>0</v>
      </c>
      <c r="P9" s="17" t="n"/>
      <c r="Q9" s="16" t="n">
        <v>0</v>
      </c>
      <c r="R9" s="16" t="n">
        <v>85</v>
      </c>
      <c r="S9" s="16" t="n">
        <v>80</v>
      </c>
      <c r="T9" s="16" t="n">
        <v>65</v>
      </c>
      <c r="U9" s="16" t="n">
        <v>67</v>
      </c>
      <c r="V9" s="16" t="n">
        <v>50</v>
      </c>
      <c r="W9" s="16" t="n">
        <v>47</v>
      </c>
      <c r="X9" s="18" t="n">
        <v>46273</v>
      </c>
      <c r="Y9" s="19" t="inlineStr">
        <is>
          <t>Voir</t>
        </is>
      </c>
    </row>
    <row r="10">
      <c r="A10" s="10" t="inlineStr">
        <is>
          <t>Porsche 911 997 Carrera S</t>
        </is>
      </c>
      <c r="B10" s="10" t="inlineStr">
        <is>
          <t>Sportive iconique</t>
        </is>
      </c>
      <c r="C10" s="11" t="n">
        <v>67.2</v>
      </c>
      <c r="D10" s="10" t="inlineStr">
        <is>
          <t>À surveiller</t>
        </is>
      </c>
      <c r="E10" s="12" t="n">
        <v>51000</v>
      </c>
      <c r="F10" s="12" t="n">
        <v>40000</v>
      </c>
      <c r="G10" s="12" t="n">
        <v>75000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11</v>
      </c>
      <c r="O10" s="16" t="n">
        <v>0</v>
      </c>
      <c r="P10" s="17" t="n"/>
      <c r="Q10" s="16" t="n">
        <v>0</v>
      </c>
      <c r="R10" s="16" t="n">
        <v>40</v>
      </c>
      <c r="S10" s="16" t="n">
        <v>90</v>
      </c>
      <c r="T10" s="16" t="n">
        <v>90</v>
      </c>
      <c r="U10" s="16" t="n">
        <v>69</v>
      </c>
      <c r="V10" s="16" t="n">
        <v>50</v>
      </c>
      <c r="W10" s="16" t="n">
        <v>73</v>
      </c>
      <c r="X10" s="18" t="n">
        <v>46273</v>
      </c>
      <c r="Y10" s="19" t="inlineStr">
        <is>
          <t>Voir</t>
        </is>
      </c>
    </row>
    <row r="11">
      <c r="A11" s="10" t="inlineStr">
        <is>
          <t>Peugeot 206 RC</t>
        </is>
      </c>
      <c r="B11" s="10" t="inlineStr">
        <is>
          <t>Hot-hatch youngtimer 2000-2005</t>
        </is>
      </c>
      <c r="C11" s="11" t="n">
        <v>58.2</v>
      </c>
      <c r="D11" s="10" t="inlineStr">
        <is>
          <t>À surveiller</t>
        </is>
      </c>
      <c r="E11" s="12" t="n">
        <v>6790</v>
      </c>
      <c r="F11" s="12" t="n">
        <v>6500</v>
      </c>
      <c r="G11" s="12" t="n">
        <v>13500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150000</v>
      </c>
      <c r="N11" s="16" t="n">
        <v>1</v>
      </c>
      <c r="O11" s="16" t="n">
        <v>0</v>
      </c>
      <c r="P11" s="17" t="n"/>
      <c r="Q11" s="16" t="n">
        <v>0</v>
      </c>
      <c r="R11" s="16" t="n">
        <v>45</v>
      </c>
      <c r="S11" s="16" t="n">
        <v>70</v>
      </c>
      <c r="T11" s="16" t="n">
        <v>75</v>
      </c>
      <c r="U11" s="16" t="n">
        <v>96</v>
      </c>
      <c r="V11" s="16" t="n">
        <v>50</v>
      </c>
      <c r="W11" s="16" t="n">
        <v>7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2026-09</t>
        </is>
      </c>
      <c r="B4" s="10" t="inlineStr">
        <is>
          <t>Peugeot 208 GTi 30th</t>
        </is>
      </c>
      <c r="C4" s="12" t="n">
        <v>15990</v>
      </c>
      <c r="D4" s="14">
        <f>IF(AND($B4=$B3,ISNUMBER(C4),ISNUMBER(C3)),C4/C3-1,"")</f>
        <v/>
      </c>
      <c r="E4" s="12" t="n"/>
      <c r="F4" s="12" t="n"/>
      <c r="G4" s="12" t="n"/>
      <c r="H4" s="14">
        <f>IF(AND($B4=$B3,ISNUMBER(G4),ISNUMBER(G3)),G4/G3-1,"")</f>
        <v/>
      </c>
      <c r="I4" s="16" t="n">
        <v>7</v>
      </c>
      <c r="J4" s="16" t="n">
        <v>0</v>
      </c>
      <c r="K4" s="16" t="n"/>
      <c r="L4" s="17" t="n"/>
      <c r="M4" s="16" t="n">
        <v>1</v>
      </c>
      <c r="N4" s="11" t="n">
        <v>67.40000000000001</v>
      </c>
      <c r="O4" s="20">
        <f>IF(AND($B4=$B3,ISNUMBER(N4),ISNUMBER(N3)),N4-N3,"")</f>
        <v/>
      </c>
      <c r="P4" s="10" t="inlineStr">
        <is>
          <t>À surveiller</t>
        </is>
      </c>
    </row>
    <row r="5">
      <c r="A5" s="10" t="inlineStr">
        <is>
          <t>2026-09</t>
        </is>
      </c>
      <c r="B5" s="10" t="inlineStr">
        <is>
          <t>Porsche 911 997 Carrera S</t>
        </is>
      </c>
      <c r="C5" s="12" t="n">
        <v>51000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11</v>
      </c>
      <c r="J5" s="16" t="n">
        <v>0</v>
      </c>
      <c r="K5" s="16" t="n"/>
      <c r="L5" s="17" t="n"/>
      <c r="M5" s="16" t="n">
        <v>1</v>
      </c>
      <c r="N5" s="11" t="n">
        <v>67.2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Boxster 986</t>
        </is>
      </c>
      <c r="C6" s="12" t="n">
        <v>22425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4</v>
      </c>
      <c r="J6" s="16" t="n">
        <v>0</v>
      </c>
      <c r="K6" s="16" t="n"/>
      <c r="L6" s="17" t="n"/>
      <c r="M6" s="16" t="n">
        <v>1</v>
      </c>
      <c r="N6" s="11" t="n">
        <v>43.1</v>
      </c>
      <c r="O6" s="20">
        <f>IF(AND($B6=$B5,ISNUMBER(N6),ISNUMBER(N5)),N6-N5,"")</f>
        <v/>
      </c>
      <c r="P6" s="10" t="inlineStr">
        <is>
          <t>Attendre</t>
        </is>
      </c>
    </row>
    <row r="7">
      <c r="A7" s="10" t="inlineStr">
        <is>
          <t>2026-09</t>
        </is>
      </c>
      <c r="B7" s="10" t="inlineStr">
        <is>
          <t>Porsche Boxster 987</t>
        </is>
      </c>
      <c r="C7" s="12" t="n">
        <v>43990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5</v>
      </c>
      <c r="J7" s="16" t="n">
        <v>0</v>
      </c>
      <c r="K7" s="16" t="n"/>
      <c r="L7" s="17" t="n"/>
      <c r="M7" s="16" t="n">
        <v>1</v>
      </c>
      <c r="N7" s="11" t="n">
        <v>38.3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Renault Clio II RS (172/182 ch)</t>
        </is>
      </c>
      <c r="C8" s="12" t="n">
        <v>8899.5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2</v>
      </c>
      <c r="J8" s="16" t="n">
        <v>0</v>
      </c>
      <c r="K8" s="16" t="n"/>
      <c r="L8" s="17" t="n"/>
      <c r="M8" s="16" t="n">
        <v>1</v>
      </c>
      <c r="N8" s="11" t="n">
        <v>52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Twingo 1 découvrable</t>
        </is>
      </c>
      <c r="C9" s="12" t="n">
        <v>5490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6</v>
      </c>
      <c r="J9" s="16" t="n">
        <v>0</v>
      </c>
      <c r="K9" s="16" t="n"/>
      <c r="L9" s="17" t="n"/>
      <c r="M9" s="16" t="n">
        <v>1</v>
      </c>
      <c r="N9" s="11" t="n">
        <v>46.5</v>
      </c>
      <c r="O9" s="20">
        <f>IF(AND($B9=$B8,ISNUMBER(N9),ISNUMBER(N8)),N9-N8,"")</f>
        <v/>
      </c>
      <c r="P9" s="10" t="inlineStr">
        <is>
          <t>Attendre</t>
        </is>
      </c>
    </row>
  </sheetData>
  <autoFilter ref="A1:P9"/>
  <conditionalFormatting sqref="P2:P9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21" t="inlineStr">
        <is>
          <t>Véhicule</t>
        </is>
      </c>
      <c r="B1" s="21" t="inlineStr">
        <is>
          <t>2026-09</t>
        </is>
      </c>
    </row>
    <row r="2">
      <c r="A2" s="4" t="inlineStr">
        <is>
          <t>Citroën Saxo VTS 16V</t>
        </is>
      </c>
      <c r="B2" s="22">
        <f>IFERROR(AVERAGEIFS('Historique mensuel'!$C$2:$C$9,'Historique mensuel'!$B$2:$B$9,$A2,'Historique mensuel'!$A$2:$A$9,B$1),"")</f>
        <v/>
      </c>
    </row>
    <row r="3">
      <c r="A3" s="4" t="inlineStr">
        <is>
          <t>Peugeot 206 RC</t>
        </is>
      </c>
      <c r="B3" s="22">
        <f>IFERROR(AVERAGEIFS('Historique mensuel'!$C$2:$C$9,'Historique mensuel'!$B$2:$B$9,$A3,'Historique mensuel'!$A$2:$A$9,B$1),"")</f>
        <v/>
      </c>
    </row>
    <row r="4">
      <c r="A4" s="4" t="inlineStr">
        <is>
          <t>Peugeot 208 GTi 30th</t>
        </is>
      </c>
      <c r="B4" s="22">
        <f>IFERROR(AVERAGEIFS('Historique mensuel'!$C$2:$C$9,'Historique mensuel'!$B$2:$B$9,$A4,'Historique mensuel'!$A$2:$A$9,B$1),"")</f>
        <v/>
      </c>
    </row>
    <row r="5">
      <c r="A5" s="4" t="inlineStr">
        <is>
          <t>Porsche 911 997 Carrera S</t>
        </is>
      </c>
      <c r="B5" s="22">
        <f>IFERROR(AVERAGEIFS('Historique mensuel'!$C$2:$C$9,'Historique mensuel'!$B$2:$B$9,$A5,'Historique mensuel'!$A$2:$A$9,B$1),"")</f>
        <v/>
      </c>
    </row>
    <row r="6">
      <c r="A6" s="4" t="inlineStr">
        <is>
          <t>Porsche Boxster 986</t>
        </is>
      </c>
      <c r="B6" s="22">
        <f>IFERROR(AVERAGEIFS('Historique mensuel'!$C$2:$C$9,'Historique mensuel'!$B$2:$B$9,$A6,'Historique mensuel'!$A$2:$A$9,B$1),"")</f>
        <v/>
      </c>
    </row>
    <row r="7">
      <c r="A7" s="4" t="inlineStr">
        <is>
          <t>Porsche Boxster 987</t>
        </is>
      </c>
      <c r="B7" s="22">
        <f>IFERROR(AVERAGEIFS('Historique mensuel'!$C$2:$C$9,'Historique mensuel'!$B$2:$B$9,$A7,'Historique mensuel'!$A$2:$A$9,B$1),"")</f>
        <v/>
      </c>
    </row>
    <row r="8">
      <c r="A8" s="4" t="inlineStr">
        <is>
          <t>Renault Clio II RS (172/182 ch)</t>
        </is>
      </c>
      <c r="B8" s="22">
        <f>IFERROR(AVERAGEIFS('Historique mensuel'!$C$2:$C$9,'Historique mensuel'!$B$2:$B$9,$A8,'Historique mensuel'!$A$2:$A$9,B$1),"")</f>
        <v/>
      </c>
    </row>
    <row r="9">
      <c r="A9" s="4" t="inlineStr">
        <is>
          <t>Renault Twingo 1 découvrable</t>
        </is>
      </c>
      <c r="B9" s="22">
        <f>IFERROR(AVERAGEIFS('Historique mensuel'!$C$2:$C$9,'Historique mensuel'!$B$2:$B$9,$A9,'Historique mensuel'!$A$2:$A$9,B$1),"")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4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46273</v>
      </c>
      <c r="B2" s="10" t="inlineStr">
        <is>
          <t>Citroën Saxo VTS 16V</t>
        </is>
      </c>
      <c r="C2" s="10" t="inlineStr">
        <is>
          <t>manuel</t>
        </is>
      </c>
      <c r="D2" s="16" t="n">
        <v>2</v>
      </c>
      <c r="E2" s="12" t="n">
        <v>6500</v>
      </c>
      <c r="F2" s="12" t="n"/>
      <c r="G2" s="12" t="n">
        <v>6600</v>
      </c>
      <c r="H2" s="12" t="n"/>
      <c r="I2" s="12" t="n">
        <v>6700</v>
      </c>
      <c r="J2" s="15" t="n">
        <v>153683</v>
      </c>
      <c r="K2" s="12" t="n"/>
      <c r="L2" s="15" t="n"/>
      <c r="M2" s="16" t="n"/>
      <c r="N2" s="16" t="n"/>
      <c r="O2" s="17" t="n"/>
      <c r="P2" s="16" t="n"/>
    </row>
    <row r="3">
      <c r="A3" s="18" t="n">
        <v>46273</v>
      </c>
      <c r="B3" s="10" t="inlineStr">
        <is>
          <t>Peugeot 206 RC</t>
        </is>
      </c>
      <c r="C3" s="10" t="inlineStr">
        <is>
          <t>manuel</t>
        </is>
      </c>
      <c r="D3" s="16" t="n">
        <v>1</v>
      </c>
      <c r="E3" s="12" t="n">
        <v>6790</v>
      </c>
      <c r="F3" s="12" t="n"/>
      <c r="G3" s="12" t="n">
        <v>6790</v>
      </c>
      <c r="H3" s="12" t="n"/>
      <c r="I3" s="12" t="n">
        <v>6790</v>
      </c>
      <c r="J3" s="15" t="n">
        <v>244000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208 GTi 30th</t>
        </is>
      </c>
      <c r="C4" s="10" t="inlineStr">
        <is>
          <t>manuel</t>
        </is>
      </c>
      <c r="D4" s="16" t="n">
        <v>7</v>
      </c>
      <c r="E4" s="12" t="n">
        <v>12990</v>
      </c>
      <c r="F4" s="12" t="n"/>
      <c r="G4" s="12" t="n">
        <v>15990</v>
      </c>
      <c r="H4" s="12" t="n"/>
      <c r="I4" s="12" t="n">
        <v>23490</v>
      </c>
      <c r="J4" s="15" t="n">
        <v>108000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Porsche 911 997 Carrera S</t>
        </is>
      </c>
      <c r="C5" s="10" t="inlineStr">
        <is>
          <t>manuel</t>
        </is>
      </c>
      <c r="D5" s="16" t="n">
        <v>11</v>
      </c>
      <c r="E5" s="12" t="n">
        <v>46500</v>
      </c>
      <c r="F5" s="12" t="n"/>
      <c r="G5" s="12" t="n">
        <v>51000</v>
      </c>
      <c r="H5" s="12" t="n"/>
      <c r="I5" s="12" t="n">
        <v>74900</v>
      </c>
      <c r="J5" s="15" t="n">
        <v>100000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Boxster 986</t>
        </is>
      </c>
      <c r="C6" s="10" t="inlineStr">
        <is>
          <t>manuel</t>
        </is>
      </c>
      <c r="D6" s="16" t="n">
        <v>4</v>
      </c>
      <c r="E6" s="12" t="n">
        <v>17986</v>
      </c>
      <c r="F6" s="12" t="n"/>
      <c r="G6" s="12" t="n">
        <v>22425</v>
      </c>
      <c r="H6" s="12" t="n"/>
      <c r="I6" s="12" t="n">
        <v>26900</v>
      </c>
      <c r="J6" s="15" t="n">
        <v>110000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987</t>
        </is>
      </c>
      <c r="C7" s="10" t="inlineStr">
        <is>
          <t>manuel</t>
        </is>
      </c>
      <c r="D7" s="16" t="n">
        <v>5</v>
      </c>
      <c r="E7" s="12" t="n">
        <v>33000</v>
      </c>
      <c r="F7" s="12" t="n"/>
      <c r="G7" s="12" t="n">
        <v>43990</v>
      </c>
      <c r="H7" s="12" t="n"/>
      <c r="I7" s="12" t="n">
        <v>72986</v>
      </c>
      <c r="J7" s="15" t="n">
        <v>65000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Renault Clio II RS (172/182 ch)</t>
        </is>
      </c>
      <c r="C8" s="10" t="inlineStr">
        <is>
          <t>manuel</t>
        </is>
      </c>
      <c r="D8" s="16" t="n">
        <v>2</v>
      </c>
      <c r="E8" s="12" t="n">
        <v>6000</v>
      </c>
      <c r="F8" s="12" t="n"/>
      <c r="G8" s="12" t="n">
        <v>8899.5</v>
      </c>
      <c r="H8" s="12" t="n"/>
      <c r="I8" s="12" t="n">
        <v>11799</v>
      </c>
      <c r="J8" s="15" t="n">
        <v>168000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Twingo 1 découvrable</t>
        </is>
      </c>
      <c r="C9" s="10" t="inlineStr">
        <is>
          <t>manuel</t>
        </is>
      </c>
      <c r="D9" s="16" t="n">
        <v>6</v>
      </c>
      <c r="E9" s="12" t="n">
        <v>1500</v>
      </c>
      <c r="F9" s="12" t="n"/>
      <c r="G9" s="12" t="n">
        <v>5490</v>
      </c>
      <c r="H9" s="12" t="n"/>
      <c r="I9" s="12" t="n">
        <v>6290</v>
      </c>
      <c r="J9" s="15" t="n">
        <v>150000</v>
      </c>
      <c r="K9" s="12" t="n"/>
      <c r="L9" s="15" t="n"/>
      <c r="M9" s="16" t="n"/>
      <c r="N9" s="16" t="n"/>
      <c r="O9" s="17" t="n"/>
      <c r="P9" s="16" t="n"/>
    </row>
  </sheetData>
  <autoFilter ref="A1:P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/>
  </sheetData>
  <autoFilter ref="A1:O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/>
    <row r="3">
      <c r="A3" s="6" t="inlineStr">
        <is>
          <t>Aucune annonce nettement sous la cote au dernier relevé.</t>
        </is>
      </c>
    </row>
  </sheetData>
  <autoFilter ref="A1:J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2026-10-01T14:37:43Z</dcterms:created>
  <dcterms:modified xsi:type="dcterms:W3CDTF">2026-10-01T14:37:43Z</dcterms:modified>
</cp:coreProperties>
</file>
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mois'!$A$8:$AB$24</definedName>
    <definedName name="_xlnm._FilterDatabase" localSheetId="2" hidden="1">'Historique mensuel'!$A$1:$P$24</definedName>
    <definedName name="_xlnm._FilterDatabase" localSheetId="5" hidden="1">'Relevés'!$A$1:$Q$24</definedName>
    <definedName name="_xlnm._FilterDatabase" localSheetId="6" hidden="1">'Annonces'!$A$1:$AH$451</definedName>
    <definedName name="_xlnm._FilterDatabase" localSheetId="7" hidden="1">'Historique des prix'!$A$1:$G$451</definedName>
    <definedName name="_xlnm._FilterDatabase" localSheetId="8" hidden="1">'Par année-modèle'!$A$2:$G$103</definedName>
    <definedName name="_xlnm._FilterDatabase" localSheetId="9" hidden="1">'Par kilométrage'!$A$2:$G$58</definedName>
    <definedName name="_xlnm._FilterDatabase" localSheetId="10" hidden="1">'Bonnes affaires'!$A$1:$J$62</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911+997+carrera+s&amp;regdate=2004-2012" TargetMode="External" Id="rId1" /><Relationship Type="http://schemas.openxmlformats.org/officeDocument/2006/relationships/hyperlink" Target="https://www.leboncoin.fr/recherche?category=2&amp;text=208+gti+30th&amp;regdate=2014-2016" TargetMode="External" Id="rId2" /><Relationship Type="http://schemas.openxmlformats.org/officeDocument/2006/relationships/hyperlink" Target="https://www.leboncoin.fr/recherche?category=2&amp;text=206+rc&amp;regdate=2003-2007" TargetMode="External" Id="rId3" /><Relationship Type="http://schemas.openxmlformats.org/officeDocument/2006/relationships/hyperlink" Target="https://www.leboncoin.fr/recherche?category=2&amp;text=clio+rs&amp;regdate=2000-2006" TargetMode="External" Id="rId4" /><Relationship Type="http://schemas.openxmlformats.org/officeDocument/2006/relationships/hyperlink" Target="https://www.leboncoin.fr/recherche?category=2&amp;text=honda+s2000&amp;regdate=1999-2009" TargetMode="External" Id="rId5" /><Relationship Type="http://schemas.openxmlformats.org/officeDocument/2006/relationships/hyperlink" Target="https://www.leboncoin.fr/recherche?category=2&amp;text=saxo+vts&amp;regdate=1997-2004" TargetMode="External" Id="rId6" /><Relationship Type="http://schemas.openxmlformats.org/officeDocument/2006/relationships/hyperlink" Target="https://www.leboncoin.fr/recherche?category=2&amp;text=306+s16&amp;regdate=1993-2001" TargetMode="External" Id="rId7" /><Relationship Type="http://schemas.openxmlformats.org/officeDocument/2006/relationships/hyperlink" Target="https://www.leboncoin.fr/recherche?category=2&amp;text=205+gti&amp;regdate=1984-1994" TargetMode="External" Id="rId8" /><Relationship Type="http://schemas.openxmlformats.org/officeDocument/2006/relationships/hyperlink" Target="https://www.leboncoin.fr/recherche?category=2&amp;text=megane+rs+r26&amp;regdate=2007-2009" TargetMode="External" Id="rId9" /><Relationship Type="http://schemas.openxmlformats.org/officeDocument/2006/relationships/hyperlink" Target="https://www.leboncoin.fr/recherche?category=2&amp;text=twingo+toit+ouvrant&amp;regdate=1993-2007" TargetMode="External" Id="rId10" /><Relationship Type="http://schemas.openxmlformats.org/officeDocument/2006/relationships/hyperlink" Target="https://www.leboncoin.fr/recherche?category=2&amp;text=bmw+z3&amp;regdate=1996-2002" TargetMode="External" Id="rId11" /><Relationship Type="http://schemas.openxmlformats.org/officeDocument/2006/relationships/hyperlink" Target="https://www.leboncoin.fr/recherche?category=2&amp;text=mazda+mx5&amp;regdate=1989-1998" TargetMode="External" Id="rId12" /><Relationship Type="http://schemas.openxmlformats.org/officeDocument/2006/relationships/hyperlink" Target="https://www.leboncoin.fr/recherche?category=2&amp;text=alfa+156+v6&amp;regdate=1997-2005" TargetMode="External" Id="rId13" /><Relationship Type="http://schemas.openxmlformats.org/officeDocument/2006/relationships/hyperlink" Target="https://www.leboncoin.fr/recherche?category=2&amp;text=boxster+986&amp;regdate=1996-2004" TargetMode="External" Id="rId14" /><Relationship Type="http://schemas.openxmlformats.org/officeDocument/2006/relationships/hyperlink" Target="https://www.leboncoin.fr/recherche?category=2&amp;text=boxster+987&amp;regdate=2005-2012" TargetMode="External" Id="rId15" /><Relationship Type="http://schemas.openxmlformats.org/officeDocument/2006/relationships/hyperlink" Target="https://www.leboncoin.fr/recherche?category=2&amp;text=golf+gti+25&amp;regdate=2001-2002"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171562700" TargetMode="External" Id="rId9" /><Relationship Type="http://schemas.openxmlformats.org/officeDocument/2006/relationships/hyperlink" Target="https://www.leboncoin.fr/ad/voitures/3197947364" TargetMode="External" Id="rId10" /><Relationship Type="http://schemas.openxmlformats.org/officeDocument/2006/relationships/hyperlink" Target="https://www.leboncoin.fr/ad/voitures/3217262918" TargetMode="External" Id="rId11" /><Relationship Type="http://schemas.openxmlformats.org/officeDocument/2006/relationships/hyperlink" Target="https://www.leboncoin.fr/ad/voitures/3220328214" TargetMode="External" Id="rId12" /><Relationship Type="http://schemas.openxmlformats.org/officeDocument/2006/relationships/hyperlink" Target="https://www.leboncoin.fr/ad/voitures/3230964764" TargetMode="External" Id="rId13" /><Relationship Type="http://schemas.openxmlformats.org/officeDocument/2006/relationships/hyperlink" Target="https://www.leboncoin.fr/ad/voitures/3245635449" TargetMode="External" Id="rId14" /><Relationship Type="http://schemas.openxmlformats.org/officeDocument/2006/relationships/hyperlink" Target="https://www.leboncoin.fr/ad/voitures/3249081293" TargetMode="External" Id="rId15" /><Relationship Type="http://schemas.openxmlformats.org/officeDocument/2006/relationships/hyperlink" Target="https://www.leboncoin.fr/ad/voitures/3249519594" TargetMode="External" Id="rId16" /><Relationship Type="http://schemas.openxmlformats.org/officeDocument/2006/relationships/hyperlink" Target="https://www.leboncoin.fr/ad/voitures/3256683007" TargetMode="External" Id="rId17" /><Relationship Type="http://schemas.openxmlformats.org/officeDocument/2006/relationships/hyperlink" Target="https://www.leboncoin.fr/ad/voitures/3258200097" TargetMode="External" Id="rId18" /><Relationship Type="http://schemas.openxmlformats.org/officeDocument/2006/relationships/hyperlink" Target="https://www.leboncoin.fr/ad/voitures/3258446503" TargetMode="External" Id="rId19" /><Relationship Type="http://schemas.openxmlformats.org/officeDocument/2006/relationships/hyperlink" Target="https://www.leboncoin.fr/ad/voitures/3258548235" TargetMode="External" Id="rId20" /><Relationship Type="http://schemas.openxmlformats.org/officeDocument/2006/relationships/hyperlink" Target="https://www.leboncoin.fr/ad/voitures/3271074708" TargetMode="External" Id="rId21" /><Relationship Type="http://schemas.openxmlformats.org/officeDocument/2006/relationships/hyperlink" Target="https://www.leboncoin.fr/ad/voitures/3272577206" TargetMode="External" Id="rId22" /><Relationship Type="http://schemas.openxmlformats.org/officeDocument/2006/relationships/hyperlink" Target="https://www.leboncoin.fr/ad/voitures/3122468671" TargetMode="External" Id="rId23" /><Relationship Type="http://schemas.openxmlformats.org/officeDocument/2006/relationships/hyperlink" Target="https://www.leboncoin.fr/ad/voitures/3179205726" TargetMode="External" Id="rId24" /><Relationship Type="http://schemas.openxmlformats.org/officeDocument/2006/relationships/hyperlink" Target="https://www.leboncoin.fr/ad/voitures/3179893341" TargetMode="External" Id="rId25" /><Relationship Type="http://schemas.openxmlformats.org/officeDocument/2006/relationships/hyperlink" Target="https://www.leboncoin.fr/ad/voitures/3198012563" TargetMode="External" Id="rId26" /><Relationship Type="http://schemas.openxmlformats.org/officeDocument/2006/relationships/hyperlink" Target="https://www.leboncoin.fr/ad/voitures/3217942758" TargetMode="External" Id="rId27" /><Relationship Type="http://schemas.openxmlformats.org/officeDocument/2006/relationships/hyperlink" Target="https://www.leboncoin.fr/ad/voitures/3229777091" TargetMode="External" Id="rId28" /><Relationship Type="http://schemas.openxmlformats.org/officeDocument/2006/relationships/hyperlink" Target="https://www.leboncoin.fr/ad/voitures/3233589487" TargetMode="External" Id="rId29" /><Relationship Type="http://schemas.openxmlformats.org/officeDocument/2006/relationships/hyperlink" Target="https://www.leboncoin.fr/ad/voitures/3249782225" TargetMode="External" Id="rId30" /><Relationship Type="http://schemas.openxmlformats.org/officeDocument/2006/relationships/hyperlink" Target="https://www.leboncoin.fr/ad/voitures/3250813636" TargetMode="External" Id="rId31" /><Relationship Type="http://schemas.openxmlformats.org/officeDocument/2006/relationships/hyperlink" Target="https://www.leboncoin.fr/ad/voitures/3252260409" TargetMode="External" Id="rId32" /><Relationship Type="http://schemas.openxmlformats.org/officeDocument/2006/relationships/hyperlink" Target="https://www.leboncoin.fr/ad/voitures/3253410252" TargetMode="External" Id="rId33" /><Relationship Type="http://schemas.openxmlformats.org/officeDocument/2006/relationships/hyperlink" Target="https://www.leboncoin.fr/ad/voitures/3253798936" TargetMode="External" Id="rId34" /><Relationship Type="http://schemas.openxmlformats.org/officeDocument/2006/relationships/hyperlink" Target="https://www.leboncoin.fr/ad/voitures/3259234628" TargetMode="External" Id="rId35" /><Relationship Type="http://schemas.openxmlformats.org/officeDocument/2006/relationships/hyperlink" Target="https://www.leboncoin.fr/ad/voitures/3259437359" TargetMode="External" Id="rId36" /><Relationship Type="http://schemas.openxmlformats.org/officeDocument/2006/relationships/hyperlink" Target="https://www.leboncoin.fr/ad/voitures/3260316059" TargetMode="External" Id="rId37" /><Relationship Type="http://schemas.openxmlformats.org/officeDocument/2006/relationships/hyperlink" Target="https://www.leboncoin.fr/ad/voitures/3260650856" TargetMode="External" Id="rId38" /><Relationship Type="http://schemas.openxmlformats.org/officeDocument/2006/relationships/hyperlink" Target="https://www.leboncoin.fr/ad/voitures/3260831234" TargetMode="External" Id="rId39" /><Relationship Type="http://schemas.openxmlformats.org/officeDocument/2006/relationships/hyperlink" Target="https://www.leboncoin.fr/ad/voitures/3261627755" TargetMode="External" Id="rId40" /><Relationship Type="http://schemas.openxmlformats.org/officeDocument/2006/relationships/hyperlink" Target="https://www.leboncoin.fr/ad/voitures/3262635276" TargetMode="External" Id="rId41" /><Relationship Type="http://schemas.openxmlformats.org/officeDocument/2006/relationships/hyperlink" Target="https://www.leboncoin.fr/ad/voitures/3264107945" TargetMode="External" Id="rId42" /><Relationship Type="http://schemas.openxmlformats.org/officeDocument/2006/relationships/hyperlink" Target="https://www.leboncoin.fr/ad/voitures/3266045304" TargetMode="External" Id="rId43" /><Relationship Type="http://schemas.openxmlformats.org/officeDocument/2006/relationships/hyperlink" Target="https://www.leboncoin.fr/ad/voitures/3269890983" TargetMode="External" Id="rId44" /><Relationship Type="http://schemas.openxmlformats.org/officeDocument/2006/relationships/hyperlink" Target="https://www.leboncoin.fr/ad/voitures/3270100305" TargetMode="External" Id="rId45" /><Relationship Type="http://schemas.openxmlformats.org/officeDocument/2006/relationships/hyperlink" Target="https://www.leboncoin.fr/ad/voitures/3271080732" TargetMode="External" Id="rId46" /><Relationship Type="http://schemas.openxmlformats.org/officeDocument/2006/relationships/hyperlink" Target="https://www.leboncoin.fr/ad/voitures/3274386766" TargetMode="External" Id="rId47" /><Relationship Type="http://schemas.openxmlformats.org/officeDocument/2006/relationships/hyperlink" Target="https://www.leboncoin.fr/ad/voitures/3274786995" TargetMode="External" Id="rId48" /><Relationship Type="http://schemas.openxmlformats.org/officeDocument/2006/relationships/hyperlink" Target="https://www.leboncoin.fr/ad/voitures/3275584509" TargetMode="External" Id="rId49" /><Relationship Type="http://schemas.openxmlformats.org/officeDocument/2006/relationships/hyperlink" Target="https://www.leboncoin.fr/ad/voitures/3275636332" TargetMode="External" Id="rId50" /><Relationship Type="http://schemas.openxmlformats.org/officeDocument/2006/relationships/hyperlink" Target="https://www.leboncoin.fr/ad/voitures/3275939150" TargetMode="External" Id="rId51" /><Relationship Type="http://schemas.openxmlformats.org/officeDocument/2006/relationships/hyperlink" Target="https://www.leboncoin.fr/ad/voitures/3276019569" TargetMode="External" Id="rId52" /><Relationship Type="http://schemas.openxmlformats.org/officeDocument/2006/relationships/hyperlink" Target="https://www.leboncoin.fr/ad/voitures/3276045076" TargetMode="External" Id="rId53" /><Relationship Type="http://schemas.openxmlformats.org/officeDocument/2006/relationships/hyperlink" Target="https://www.leboncoin.fr/ad/voitures/3276707355" TargetMode="External" Id="rId54" /><Relationship Type="http://schemas.openxmlformats.org/officeDocument/2006/relationships/hyperlink" Target="https://www.leboncoin.fr/ad/voitures/3277544949" TargetMode="External" Id="rId55" /><Relationship Type="http://schemas.openxmlformats.org/officeDocument/2006/relationships/hyperlink" Target="https://www.leboncoin.fr/ad/voitures/3278294886" TargetMode="External" Id="rId56" /><Relationship Type="http://schemas.openxmlformats.org/officeDocument/2006/relationships/hyperlink" Target="https://www.leboncoin.fr/ad/voitures/3278304303" TargetMode="External" Id="rId57" /><Relationship Type="http://schemas.openxmlformats.org/officeDocument/2006/relationships/hyperlink" Target="https://www.leboncoin.fr/ad/voitures/3278388859" TargetMode="External" Id="rId58" /><Relationship Type="http://schemas.openxmlformats.org/officeDocument/2006/relationships/hyperlink" Target="https://www.leboncoin.fr/ad/voitures/3278923547" TargetMode="External" Id="rId59" /><Relationship Type="http://schemas.openxmlformats.org/officeDocument/2006/relationships/hyperlink" Target="https://www.leboncoin.fr/ad/voitures/3279836593" TargetMode="External" Id="rId60" /><Relationship Type="http://schemas.openxmlformats.org/officeDocument/2006/relationships/hyperlink" Target="https://www.leboncoin.fr/ad/voitures/3279840069" TargetMode="External" Id="rId61" /><Relationship Type="http://schemas.openxmlformats.org/officeDocument/2006/relationships/hyperlink" Target="https://www.leboncoin.fr/ad/voitures/3279949039" TargetMode="External" Id="rId62" /><Relationship Type="http://schemas.openxmlformats.org/officeDocument/2006/relationships/hyperlink" Target="https://www.leboncoin.fr/ad/voitures/3140247303" TargetMode="External" Id="rId63" /><Relationship Type="http://schemas.openxmlformats.org/officeDocument/2006/relationships/hyperlink" Target="https://www.leboncoin.fr/ad/voitures/3155762075" TargetMode="External" Id="rId64" /><Relationship Type="http://schemas.openxmlformats.org/officeDocument/2006/relationships/hyperlink" Target="https://www.leboncoin.fr/ad/voitures/3165194701" TargetMode="External" Id="rId65" /><Relationship Type="http://schemas.openxmlformats.org/officeDocument/2006/relationships/hyperlink" Target="https://www.leboncoin.fr/ad/voitures/3166175681" TargetMode="External" Id="rId66" /><Relationship Type="http://schemas.openxmlformats.org/officeDocument/2006/relationships/hyperlink" Target="https://www.leboncoin.fr/ad/voitures/3182140973" TargetMode="External" Id="rId67" /><Relationship Type="http://schemas.openxmlformats.org/officeDocument/2006/relationships/hyperlink" Target="https://www.leboncoin.fr/ad/voitures/3183271891" TargetMode="External" Id="rId68" /><Relationship Type="http://schemas.openxmlformats.org/officeDocument/2006/relationships/hyperlink" Target="https://www.leboncoin.fr/ad/voitures/3185838540" TargetMode="External" Id="rId69" /><Relationship Type="http://schemas.openxmlformats.org/officeDocument/2006/relationships/hyperlink" Target="https://www.leboncoin.fr/ad/voitures/3206462061" TargetMode="External" Id="rId70" /><Relationship Type="http://schemas.openxmlformats.org/officeDocument/2006/relationships/hyperlink" Target="https://www.leboncoin.fr/ad/voitures/3217513763" TargetMode="External" Id="rId71" /><Relationship Type="http://schemas.openxmlformats.org/officeDocument/2006/relationships/hyperlink" Target="https://www.leboncoin.fr/ad/voitures/3231572470" TargetMode="External" Id="rId72" /><Relationship Type="http://schemas.openxmlformats.org/officeDocument/2006/relationships/hyperlink" Target="https://www.leboncoin.fr/ad/voitures/3234430383" TargetMode="External" Id="rId73" /><Relationship Type="http://schemas.openxmlformats.org/officeDocument/2006/relationships/hyperlink" Target="https://www.leboncoin.fr/ad/voitures/3237454171" TargetMode="External" Id="rId74" /><Relationship Type="http://schemas.openxmlformats.org/officeDocument/2006/relationships/hyperlink" Target="https://www.leboncoin.fr/ad/voitures/3243670260" TargetMode="External" Id="rId75" /><Relationship Type="http://schemas.openxmlformats.org/officeDocument/2006/relationships/hyperlink" Target="https://www.leboncoin.fr/ad/voitures/3246600883" TargetMode="External" Id="rId76" /><Relationship Type="http://schemas.openxmlformats.org/officeDocument/2006/relationships/hyperlink" Target="https://www.leboncoin.fr/ad/voitures/3247204311" TargetMode="External" Id="rId77" /><Relationship Type="http://schemas.openxmlformats.org/officeDocument/2006/relationships/hyperlink" Target="https://www.leboncoin.fr/ad/voitures/3247698308" TargetMode="External" Id="rId78" /><Relationship Type="http://schemas.openxmlformats.org/officeDocument/2006/relationships/hyperlink" Target="https://www.leboncoin.fr/ad/voitures/3247804233" TargetMode="External" Id="rId79" /><Relationship Type="http://schemas.openxmlformats.org/officeDocument/2006/relationships/hyperlink" Target="https://www.leboncoin.fr/ad/voitures/3249751722" TargetMode="External" Id="rId80" /><Relationship Type="http://schemas.openxmlformats.org/officeDocument/2006/relationships/hyperlink" Target="https://www.leboncoin.fr/ad/voitures/3253686728" TargetMode="External" Id="rId81" /><Relationship Type="http://schemas.openxmlformats.org/officeDocument/2006/relationships/hyperlink" Target="https://www.leboncoin.fr/ad/voitures/3254057230" TargetMode="External" Id="rId82" /><Relationship Type="http://schemas.openxmlformats.org/officeDocument/2006/relationships/hyperlink" Target="https://www.leboncoin.fr/ad/voitures/3254395601" TargetMode="External" Id="rId83" /><Relationship Type="http://schemas.openxmlformats.org/officeDocument/2006/relationships/hyperlink" Target="https://www.leboncoin.fr/ad/voitures/3254788855" TargetMode="External" Id="rId84" /><Relationship Type="http://schemas.openxmlformats.org/officeDocument/2006/relationships/hyperlink" Target="https://www.leboncoin.fr/ad/voitures/3256705549" TargetMode="External" Id="rId85" /><Relationship Type="http://schemas.openxmlformats.org/officeDocument/2006/relationships/hyperlink" Target="https://www.leboncoin.fr/ad/voitures/3258000352" TargetMode="External" Id="rId86" /><Relationship Type="http://schemas.openxmlformats.org/officeDocument/2006/relationships/hyperlink" Target="https://www.leboncoin.fr/ad/voitures/3266038843" TargetMode="External" Id="rId87" /><Relationship Type="http://schemas.openxmlformats.org/officeDocument/2006/relationships/hyperlink" Target="https://www.leboncoin.fr/ad/voitures/3268164763" TargetMode="External" Id="rId88" /><Relationship Type="http://schemas.openxmlformats.org/officeDocument/2006/relationships/hyperlink" Target="https://www.leboncoin.fr/ad/voitures/3269545549" TargetMode="External" Id="rId89" /><Relationship Type="http://schemas.openxmlformats.org/officeDocument/2006/relationships/hyperlink" Target="https://www.leboncoin.fr/ad/voitures/3270236878" TargetMode="External" Id="rId90" /><Relationship Type="http://schemas.openxmlformats.org/officeDocument/2006/relationships/hyperlink" Target="https://www.leboncoin.fr/ad/voitures/3270657423" TargetMode="External" Id="rId91" /><Relationship Type="http://schemas.openxmlformats.org/officeDocument/2006/relationships/hyperlink" Target="https://www.leboncoin.fr/ad/voitures/3271776834" TargetMode="External" Id="rId92" /><Relationship Type="http://schemas.openxmlformats.org/officeDocument/2006/relationships/hyperlink" Target="https://www.leboncoin.fr/ad/voitures/3274290118" TargetMode="External" Id="rId93" /><Relationship Type="http://schemas.openxmlformats.org/officeDocument/2006/relationships/hyperlink" Target="https://www.leboncoin.fr/ad/voitures/3275414023" TargetMode="External" Id="rId94" /><Relationship Type="http://schemas.openxmlformats.org/officeDocument/2006/relationships/hyperlink" Target="https://www.leboncoin.fr/ad/voitures/3275889267" TargetMode="External" Id="rId95" /><Relationship Type="http://schemas.openxmlformats.org/officeDocument/2006/relationships/hyperlink" Target="https://www.leboncoin.fr/ad/voitures/3278304133" TargetMode="External" Id="rId96" /><Relationship Type="http://schemas.openxmlformats.org/officeDocument/2006/relationships/hyperlink" Target="https://www.leboncoin.fr/ad/voitures/3278641460" TargetMode="External" Id="rId97" /><Relationship Type="http://schemas.openxmlformats.org/officeDocument/2006/relationships/hyperlink" Target="https://www.leboncoin.fr/ad/voitures/3278735968" TargetMode="External" Id="rId98" /><Relationship Type="http://schemas.openxmlformats.org/officeDocument/2006/relationships/hyperlink" Target="https://www.leboncoin.fr/ad/voitures/3278871252" TargetMode="External" Id="rId99" /><Relationship Type="http://schemas.openxmlformats.org/officeDocument/2006/relationships/hyperlink" Target="https://www.leboncoin.fr/ad/voitures/3279647179" TargetMode="External" Id="rId100" /><Relationship Type="http://schemas.openxmlformats.org/officeDocument/2006/relationships/hyperlink" Target="https://www.leboncoin.fr/ad/voitures/3280188594" TargetMode="External" Id="rId101" /><Relationship Type="http://schemas.openxmlformats.org/officeDocument/2006/relationships/hyperlink" Target="https://www.leboncoin.fr/ad/voitures/3198496140" TargetMode="External" Id="rId102" /><Relationship Type="http://schemas.openxmlformats.org/officeDocument/2006/relationships/hyperlink" Target="https://www.leboncoin.fr/ad/voitures/3199317557" TargetMode="External" Id="rId103" /><Relationship Type="http://schemas.openxmlformats.org/officeDocument/2006/relationships/hyperlink" Target="https://www.leboncoin.fr/ad/voitures/3203841842" TargetMode="External" Id="rId104" /><Relationship Type="http://schemas.openxmlformats.org/officeDocument/2006/relationships/hyperlink" Target="https://www.leboncoin.fr/ad/voitures/3227901009" TargetMode="External" Id="rId105" /><Relationship Type="http://schemas.openxmlformats.org/officeDocument/2006/relationships/hyperlink" Target="https://www.leboncoin.fr/ad/voitures/3232034023" TargetMode="External" Id="rId106" /><Relationship Type="http://schemas.openxmlformats.org/officeDocument/2006/relationships/hyperlink" Target="https://www.leboncoin.fr/ad/voitures/3234020888" TargetMode="External" Id="rId107" /><Relationship Type="http://schemas.openxmlformats.org/officeDocument/2006/relationships/hyperlink" Target="https://www.leboncoin.fr/ad/voitures/3235292026" TargetMode="External" Id="rId108" /><Relationship Type="http://schemas.openxmlformats.org/officeDocument/2006/relationships/hyperlink" Target="https://www.leboncoin.fr/ad/voitures/3235335116" TargetMode="External" Id="rId109" /><Relationship Type="http://schemas.openxmlformats.org/officeDocument/2006/relationships/hyperlink" Target="https://www.leboncoin.fr/ad/voitures/3236647415" TargetMode="External" Id="rId110" /><Relationship Type="http://schemas.openxmlformats.org/officeDocument/2006/relationships/hyperlink" Target="https://www.leboncoin.fr/ad/voitures/3237501387" TargetMode="External" Id="rId111" /><Relationship Type="http://schemas.openxmlformats.org/officeDocument/2006/relationships/hyperlink" Target="https://www.leboncoin.fr/ad/voitures/3255091039" TargetMode="External" Id="rId112" /><Relationship Type="http://schemas.openxmlformats.org/officeDocument/2006/relationships/hyperlink" Target="https://www.leboncoin.fr/ad/voitures/3260415699" TargetMode="External" Id="rId113" /><Relationship Type="http://schemas.openxmlformats.org/officeDocument/2006/relationships/hyperlink" Target="https://www.leboncoin.fr/ad/voitures/3260654659" TargetMode="External" Id="rId114" /><Relationship Type="http://schemas.openxmlformats.org/officeDocument/2006/relationships/hyperlink" Target="https://www.leboncoin.fr/ad/voitures/3262698527" TargetMode="External" Id="rId115" /><Relationship Type="http://schemas.openxmlformats.org/officeDocument/2006/relationships/hyperlink" Target="https://www.leboncoin.fr/ad/voitures/3263224799" TargetMode="External" Id="rId116" /><Relationship Type="http://schemas.openxmlformats.org/officeDocument/2006/relationships/hyperlink" Target="https://www.leboncoin.fr/ad/voitures/3265533307" TargetMode="External" Id="rId117" /><Relationship Type="http://schemas.openxmlformats.org/officeDocument/2006/relationships/hyperlink" Target="https://www.leboncoin.fr/ad/voitures/3267479895" TargetMode="External" Id="rId118" /><Relationship Type="http://schemas.openxmlformats.org/officeDocument/2006/relationships/hyperlink" Target="https://www.leboncoin.fr/ad/voitures/3268572356" TargetMode="External" Id="rId119" /><Relationship Type="http://schemas.openxmlformats.org/officeDocument/2006/relationships/hyperlink" Target="https://www.leboncoin.fr/ad/voitures/3268726676" TargetMode="External" Id="rId120" /><Relationship Type="http://schemas.openxmlformats.org/officeDocument/2006/relationships/hyperlink" Target="https://www.leboncoin.fr/ad/voitures/3269222663" TargetMode="External" Id="rId121" /><Relationship Type="http://schemas.openxmlformats.org/officeDocument/2006/relationships/hyperlink" Target="https://www.leboncoin.fr/ad/voitures/3269876574" TargetMode="External" Id="rId122" /><Relationship Type="http://schemas.openxmlformats.org/officeDocument/2006/relationships/hyperlink" Target="https://www.leboncoin.fr/ad/voitures/3269880037" TargetMode="External" Id="rId123" /><Relationship Type="http://schemas.openxmlformats.org/officeDocument/2006/relationships/hyperlink" Target="https://www.leboncoin.fr/ad/voitures/3269883180" TargetMode="External" Id="rId124" /><Relationship Type="http://schemas.openxmlformats.org/officeDocument/2006/relationships/hyperlink" Target="https://www.leboncoin.fr/ad/voitures/3270050795" TargetMode="External" Id="rId125" /><Relationship Type="http://schemas.openxmlformats.org/officeDocument/2006/relationships/hyperlink" Target="https://www.leboncoin.fr/ad/voitures/3270203905" TargetMode="External" Id="rId126" /><Relationship Type="http://schemas.openxmlformats.org/officeDocument/2006/relationships/hyperlink" Target="https://www.leboncoin.fr/ad/voitures/3270232311" TargetMode="External" Id="rId127" /><Relationship Type="http://schemas.openxmlformats.org/officeDocument/2006/relationships/hyperlink" Target="https://www.leboncoin.fr/ad/voitures/3270458808" TargetMode="External" Id="rId128" /><Relationship Type="http://schemas.openxmlformats.org/officeDocument/2006/relationships/hyperlink" Target="https://www.leboncoin.fr/ad/voitures/3270565112" TargetMode="External" Id="rId129" /><Relationship Type="http://schemas.openxmlformats.org/officeDocument/2006/relationships/hyperlink" Target="https://www.leboncoin.fr/ad/voitures/3271672291" TargetMode="External" Id="rId130" /><Relationship Type="http://schemas.openxmlformats.org/officeDocument/2006/relationships/hyperlink" Target="https://www.leboncoin.fr/ad/voitures/3272203068" TargetMode="External" Id="rId131" /><Relationship Type="http://schemas.openxmlformats.org/officeDocument/2006/relationships/hyperlink" Target="https://www.leboncoin.fr/ad/voitures/3273479241" TargetMode="External" Id="rId132" /><Relationship Type="http://schemas.openxmlformats.org/officeDocument/2006/relationships/hyperlink" Target="https://www.leboncoin.fr/ad/voitures/3275326732" TargetMode="External" Id="rId133" /><Relationship Type="http://schemas.openxmlformats.org/officeDocument/2006/relationships/hyperlink" Target="https://www.leboncoin.fr/ad/voitures/3276609067" TargetMode="External" Id="rId134" /><Relationship Type="http://schemas.openxmlformats.org/officeDocument/2006/relationships/hyperlink" Target="https://www.leboncoin.fr/ad/voitures/3277088692" TargetMode="External" Id="rId135" /><Relationship Type="http://schemas.openxmlformats.org/officeDocument/2006/relationships/hyperlink" Target="https://www.leboncoin.fr/ad/voitures/3277280211" TargetMode="External" Id="rId136" /><Relationship Type="http://schemas.openxmlformats.org/officeDocument/2006/relationships/hyperlink" Target="https://www.leboncoin.fr/ad/voitures/3279515840" TargetMode="External" Id="rId137" /><Relationship Type="http://schemas.openxmlformats.org/officeDocument/2006/relationships/hyperlink" Target="https://www.leboncoin.fr/ad/voitures/3280227190" TargetMode="External" Id="rId138" /><Relationship Type="http://schemas.openxmlformats.org/officeDocument/2006/relationships/hyperlink" Target="https://www.leboncoin.fr/ad/voitures/3199378668" TargetMode="External" Id="rId139" /><Relationship Type="http://schemas.openxmlformats.org/officeDocument/2006/relationships/hyperlink" Target="https://www.leboncoin.fr/ad/voitures/3226018309" TargetMode="External" Id="rId140" /><Relationship Type="http://schemas.openxmlformats.org/officeDocument/2006/relationships/hyperlink" Target="https://www.leboncoin.fr/ad/voitures/3228549093" TargetMode="External" Id="rId141" /><Relationship Type="http://schemas.openxmlformats.org/officeDocument/2006/relationships/hyperlink" Target="https://www.leboncoin.fr/ad/voitures/3232618598" TargetMode="External" Id="rId142" /><Relationship Type="http://schemas.openxmlformats.org/officeDocument/2006/relationships/hyperlink" Target="https://www.leboncoin.fr/ad/voitures/3236436226" TargetMode="External" Id="rId143" /><Relationship Type="http://schemas.openxmlformats.org/officeDocument/2006/relationships/hyperlink" Target="https://www.leboncoin.fr/ad/voitures/3252631252" TargetMode="External" Id="rId144" /><Relationship Type="http://schemas.openxmlformats.org/officeDocument/2006/relationships/hyperlink" Target="https://www.leboncoin.fr/ad/voitures/3257729524" TargetMode="External" Id="rId145" /><Relationship Type="http://schemas.openxmlformats.org/officeDocument/2006/relationships/hyperlink" Target="https://www.leboncoin.fr/ad/voitures/3259144220" TargetMode="External" Id="rId146" /><Relationship Type="http://schemas.openxmlformats.org/officeDocument/2006/relationships/hyperlink" Target="https://www.leboncoin.fr/ad/voitures/3262353989" TargetMode="External" Id="rId147" /><Relationship Type="http://schemas.openxmlformats.org/officeDocument/2006/relationships/hyperlink" Target="https://www.leboncoin.fr/ad/voitures/3264569173" TargetMode="External" Id="rId148" /><Relationship Type="http://schemas.openxmlformats.org/officeDocument/2006/relationships/hyperlink" Target="https://www.leboncoin.fr/ad/voitures/3265038164" TargetMode="External" Id="rId149" /><Relationship Type="http://schemas.openxmlformats.org/officeDocument/2006/relationships/hyperlink" Target="https://www.leboncoin.fr/ad/voitures/3267921242" TargetMode="External" Id="rId150" /><Relationship Type="http://schemas.openxmlformats.org/officeDocument/2006/relationships/hyperlink" Target="https://www.leboncoin.fr/ad/voitures/3270139360" TargetMode="External" Id="rId151" /><Relationship Type="http://schemas.openxmlformats.org/officeDocument/2006/relationships/hyperlink" Target="https://www.leboncoin.fr/ad/voitures/3271015511" TargetMode="External" Id="rId152" /><Relationship Type="http://schemas.openxmlformats.org/officeDocument/2006/relationships/hyperlink" Target="https://www.leboncoin.fr/ad/voitures/3271061636" TargetMode="External" Id="rId153" /><Relationship Type="http://schemas.openxmlformats.org/officeDocument/2006/relationships/hyperlink" Target="https://www.leboncoin.fr/ad/voitures/3271423566" TargetMode="External" Id="rId154" /><Relationship Type="http://schemas.openxmlformats.org/officeDocument/2006/relationships/hyperlink" Target="https://www.leboncoin.fr/ad/voitures/3272026247" TargetMode="External" Id="rId155" /><Relationship Type="http://schemas.openxmlformats.org/officeDocument/2006/relationships/hyperlink" Target="https://www.leboncoin.fr/ad/voitures/3273035594" TargetMode="External" Id="rId156" /><Relationship Type="http://schemas.openxmlformats.org/officeDocument/2006/relationships/hyperlink" Target="https://www.leboncoin.fr/ad/voitures/3273223439" TargetMode="External" Id="rId157" /><Relationship Type="http://schemas.openxmlformats.org/officeDocument/2006/relationships/hyperlink" Target="https://www.leboncoin.fr/ad/voitures/3273415437" TargetMode="External" Id="rId158" /><Relationship Type="http://schemas.openxmlformats.org/officeDocument/2006/relationships/hyperlink" Target="https://www.leboncoin.fr/ad/voitures/3273551701" TargetMode="External" Id="rId159" /><Relationship Type="http://schemas.openxmlformats.org/officeDocument/2006/relationships/hyperlink" Target="https://www.leboncoin.fr/ad/voitures/3273983702" TargetMode="External" Id="rId160" /><Relationship Type="http://schemas.openxmlformats.org/officeDocument/2006/relationships/hyperlink" Target="https://www.leboncoin.fr/ad/voitures/3274091200" TargetMode="External" Id="rId161" /><Relationship Type="http://schemas.openxmlformats.org/officeDocument/2006/relationships/hyperlink" Target="https://www.leboncoin.fr/ad/voitures/3274510816" TargetMode="External" Id="rId162" /><Relationship Type="http://schemas.openxmlformats.org/officeDocument/2006/relationships/hyperlink" Target="https://www.leboncoin.fr/ad/voitures/3274519093" TargetMode="External" Id="rId163" /><Relationship Type="http://schemas.openxmlformats.org/officeDocument/2006/relationships/hyperlink" Target="https://www.leboncoin.fr/ad/voitures/3274885691" TargetMode="External" Id="rId164" /><Relationship Type="http://schemas.openxmlformats.org/officeDocument/2006/relationships/hyperlink" Target="https://www.leboncoin.fr/ad/voitures/3276172426" TargetMode="External" Id="rId165" /><Relationship Type="http://schemas.openxmlformats.org/officeDocument/2006/relationships/hyperlink" Target="https://www.leboncoin.fr/ad/voitures/3276591709" TargetMode="External" Id="rId166" /><Relationship Type="http://schemas.openxmlformats.org/officeDocument/2006/relationships/hyperlink" Target="https://www.leboncoin.fr/ad/voitures/3278135099" TargetMode="External" Id="rId167" /><Relationship Type="http://schemas.openxmlformats.org/officeDocument/2006/relationships/hyperlink" Target="https://www.leboncoin.fr/ad/voitures/3278574221" TargetMode="External" Id="rId168" /><Relationship Type="http://schemas.openxmlformats.org/officeDocument/2006/relationships/hyperlink" Target="https://www.leboncoin.fr/ad/voitures/3278855920" TargetMode="External" Id="rId169" /><Relationship Type="http://schemas.openxmlformats.org/officeDocument/2006/relationships/hyperlink" Target="https://www.leboncoin.fr/ad/voitures/3279074639" TargetMode="External" Id="rId170" /><Relationship Type="http://schemas.openxmlformats.org/officeDocument/2006/relationships/hyperlink" Target="https://www.leboncoin.fr/ad/voitures/3279249484" TargetMode="External" Id="rId171" /><Relationship Type="http://schemas.openxmlformats.org/officeDocument/2006/relationships/hyperlink" Target="https://www.leboncoin.fr/ad/voitures/3279375431" TargetMode="External" Id="rId172" /><Relationship Type="http://schemas.openxmlformats.org/officeDocument/2006/relationships/hyperlink" Target="https://www.leboncoin.fr/ad/voitures/3279615676" TargetMode="External" Id="rId173" /><Relationship Type="http://schemas.openxmlformats.org/officeDocument/2006/relationships/hyperlink" Target="https://www.leboncoin.fr/ad/voitures/3279816006" TargetMode="External" Id="rId174" /><Relationship Type="http://schemas.openxmlformats.org/officeDocument/2006/relationships/hyperlink" Target="https://www.leboncoin.fr/ad/voitures/3280078944" TargetMode="External" Id="rId175" /><Relationship Type="http://schemas.openxmlformats.org/officeDocument/2006/relationships/hyperlink" Target="https://www.leboncoin.fr/ad/voitures/3280278211" TargetMode="External" Id="rId176" /><Relationship Type="http://schemas.openxmlformats.org/officeDocument/2006/relationships/hyperlink" Target="https://www.leboncoin.fr/ad/voitures/2988747124" TargetMode="External" Id="rId177" /><Relationship Type="http://schemas.openxmlformats.org/officeDocument/2006/relationships/hyperlink" Target="https://www.leboncoin.fr/ad/voitures/3123040394" TargetMode="External" Id="rId178" /><Relationship Type="http://schemas.openxmlformats.org/officeDocument/2006/relationships/hyperlink" Target="https://www.leboncoin.fr/ad/voitures/3151025653" TargetMode="External" Id="rId179" /><Relationship Type="http://schemas.openxmlformats.org/officeDocument/2006/relationships/hyperlink" Target="https://www.leboncoin.fr/ad/voitures/3193819824" TargetMode="External" Id="rId180" /><Relationship Type="http://schemas.openxmlformats.org/officeDocument/2006/relationships/hyperlink" Target="https://www.leboncoin.fr/ad/voitures/3202654340" TargetMode="External" Id="rId181" /><Relationship Type="http://schemas.openxmlformats.org/officeDocument/2006/relationships/hyperlink" Target="https://www.leboncoin.fr/ad/voitures/3227695185" TargetMode="External" Id="rId182" /><Relationship Type="http://schemas.openxmlformats.org/officeDocument/2006/relationships/hyperlink" Target="https://www.leboncoin.fr/ad/voitures/3234323904" TargetMode="External" Id="rId183" /><Relationship Type="http://schemas.openxmlformats.org/officeDocument/2006/relationships/hyperlink" Target="https://www.leboncoin.fr/ad/voitures/3248463615" TargetMode="External" Id="rId184" /><Relationship Type="http://schemas.openxmlformats.org/officeDocument/2006/relationships/hyperlink" Target="https://www.leboncoin.fr/ad/voitures/3251217335" TargetMode="External" Id="rId185" /><Relationship Type="http://schemas.openxmlformats.org/officeDocument/2006/relationships/hyperlink" Target="https://www.leboncoin.fr/ad/voitures/3254206684" TargetMode="External" Id="rId186" /><Relationship Type="http://schemas.openxmlformats.org/officeDocument/2006/relationships/hyperlink" Target="https://www.leboncoin.fr/ad/voitures/3256639318" TargetMode="External" Id="rId187" /><Relationship Type="http://schemas.openxmlformats.org/officeDocument/2006/relationships/hyperlink" Target="https://www.leboncoin.fr/ad/voitures/3258113450" TargetMode="External" Id="rId188" /><Relationship Type="http://schemas.openxmlformats.org/officeDocument/2006/relationships/hyperlink" Target="https://www.leboncoin.fr/ad/voitures/3258422146" TargetMode="External" Id="rId189" /><Relationship Type="http://schemas.openxmlformats.org/officeDocument/2006/relationships/hyperlink" Target="https://www.leboncoin.fr/ad/voitures/3259064609" TargetMode="External" Id="rId190" /><Relationship Type="http://schemas.openxmlformats.org/officeDocument/2006/relationships/hyperlink" Target="https://www.leboncoin.fr/ad/voitures/3262442354" TargetMode="External" Id="rId191" /><Relationship Type="http://schemas.openxmlformats.org/officeDocument/2006/relationships/hyperlink" Target="https://www.leboncoin.fr/ad/voitures/3264412764" TargetMode="External" Id="rId192" /><Relationship Type="http://schemas.openxmlformats.org/officeDocument/2006/relationships/hyperlink" Target="https://www.leboncoin.fr/ad/voitures/3265358347" TargetMode="External" Id="rId193" /><Relationship Type="http://schemas.openxmlformats.org/officeDocument/2006/relationships/hyperlink" Target="https://www.leboncoin.fr/ad/voitures/3265384769" TargetMode="External" Id="rId194" /><Relationship Type="http://schemas.openxmlformats.org/officeDocument/2006/relationships/hyperlink" Target="https://www.leboncoin.fr/ad/voitures/3267576253" TargetMode="External" Id="rId195" /><Relationship Type="http://schemas.openxmlformats.org/officeDocument/2006/relationships/hyperlink" Target="https://www.leboncoin.fr/ad/voitures/3268704461" TargetMode="External" Id="rId196" /><Relationship Type="http://schemas.openxmlformats.org/officeDocument/2006/relationships/hyperlink" Target="https://www.leboncoin.fr/ad/voitures/3269057716" TargetMode="External" Id="rId197" /><Relationship Type="http://schemas.openxmlformats.org/officeDocument/2006/relationships/hyperlink" Target="https://www.leboncoin.fr/ad/voitures/3270523427" TargetMode="External" Id="rId198" /><Relationship Type="http://schemas.openxmlformats.org/officeDocument/2006/relationships/hyperlink" Target="https://www.leboncoin.fr/ad/voitures/3270650631" TargetMode="External" Id="rId199" /><Relationship Type="http://schemas.openxmlformats.org/officeDocument/2006/relationships/hyperlink" Target="https://www.leboncoin.fr/ad/voitures/3271026847" TargetMode="External" Id="rId200" /><Relationship Type="http://schemas.openxmlformats.org/officeDocument/2006/relationships/hyperlink" Target="https://www.leboncoin.fr/ad/voitures/3271661241" TargetMode="External" Id="rId201" /><Relationship Type="http://schemas.openxmlformats.org/officeDocument/2006/relationships/hyperlink" Target="https://www.leboncoin.fr/ad/voitures/3273170431" TargetMode="External" Id="rId202" /><Relationship Type="http://schemas.openxmlformats.org/officeDocument/2006/relationships/hyperlink" Target="https://www.leboncoin.fr/ad/voitures/3275009272" TargetMode="External" Id="rId203" /><Relationship Type="http://schemas.openxmlformats.org/officeDocument/2006/relationships/hyperlink" Target="https://www.leboncoin.fr/ad/voitures/3275531733" TargetMode="External" Id="rId204" /><Relationship Type="http://schemas.openxmlformats.org/officeDocument/2006/relationships/hyperlink" Target="https://www.leboncoin.fr/ad/voitures/3276061576" TargetMode="External" Id="rId205" /><Relationship Type="http://schemas.openxmlformats.org/officeDocument/2006/relationships/hyperlink" Target="https://www.leboncoin.fr/ad/voitures/3276929411" TargetMode="External" Id="rId206" /><Relationship Type="http://schemas.openxmlformats.org/officeDocument/2006/relationships/hyperlink" Target="https://www.leboncoin.fr/ad/voitures/3277073683" TargetMode="External" Id="rId207" /><Relationship Type="http://schemas.openxmlformats.org/officeDocument/2006/relationships/hyperlink" Target="https://www.leboncoin.fr/ad/voitures/3277840482" TargetMode="External" Id="rId208" /><Relationship Type="http://schemas.openxmlformats.org/officeDocument/2006/relationships/hyperlink" Target="https://www.leboncoin.fr/ad/voitures/3278317897" TargetMode="External" Id="rId209" /><Relationship Type="http://schemas.openxmlformats.org/officeDocument/2006/relationships/hyperlink" Target="https://www.leboncoin.fr/ad/voitures/3278631826" TargetMode="External" Id="rId210" /><Relationship Type="http://schemas.openxmlformats.org/officeDocument/2006/relationships/hyperlink" Target="https://www.leboncoin.fr/ad/voitures/3278866640" TargetMode="External" Id="rId211" /><Relationship Type="http://schemas.openxmlformats.org/officeDocument/2006/relationships/hyperlink" Target="https://www.leboncoin.fr/ad/voitures/3278894245" TargetMode="External" Id="rId212" /><Relationship Type="http://schemas.openxmlformats.org/officeDocument/2006/relationships/hyperlink" Target="https://www.leboncoin.fr/ad/voitures/3279039279" TargetMode="External" Id="rId213" /><Relationship Type="http://schemas.openxmlformats.org/officeDocument/2006/relationships/hyperlink" Target="https://www.leboncoin.fr/ad/voitures/3279053465" TargetMode="External" Id="rId214" /><Relationship Type="http://schemas.openxmlformats.org/officeDocument/2006/relationships/hyperlink" Target="https://www.leboncoin.fr/ad/voitures/3279236263" TargetMode="External" Id="rId215" /><Relationship Type="http://schemas.openxmlformats.org/officeDocument/2006/relationships/hyperlink" Target="https://www.leboncoin.fr/ad/voitures/3279820686" TargetMode="External" Id="rId216" /><Relationship Type="http://schemas.openxmlformats.org/officeDocument/2006/relationships/hyperlink" Target="https://www.leboncoin.fr/ad/voitures/3280095370" TargetMode="External" Id="rId217" /><Relationship Type="http://schemas.openxmlformats.org/officeDocument/2006/relationships/hyperlink" Target="https://www.leboncoin.fr/ad/voitures/3280307630" TargetMode="External" Id="rId218" /><Relationship Type="http://schemas.openxmlformats.org/officeDocument/2006/relationships/hyperlink" Target="https://www.leboncoin.fr/ad/voitures/3164531752" TargetMode="External" Id="rId219" /><Relationship Type="http://schemas.openxmlformats.org/officeDocument/2006/relationships/hyperlink" Target="https://www.leboncoin.fr/ad/voitures/3210880878" TargetMode="External" Id="rId220" /><Relationship Type="http://schemas.openxmlformats.org/officeDocument/2006/relationships/hyperlink" Target="https://www.leboncoin.fr/ad/voitures/3242289072" TargetMode="External" Id="rId221" /><Relationship Type="http://schemas.openxmlformats.org/officeDocument/2006/relationships/hyperlink" Target="https://www.leboncoin.fr/ad/voitures/3249108312" TargetMode="External" Id="rId222" /><Relationship Type="http://schemas.openxmlformats.org/officeDocument/2006/relationships/hyperlink" Target="https://www.leboncoin.fr/ad/voitures/3268508446" TargetMode="External" Id="rId223" /><Relationship Type="http://schemas.openxmlformats.org/officeDocument/2006/relationships/hyperlink" Target="https://www.leboncoin.fr/ad/voitures/3270584772" TargetMode="External" Id="rId224" /><Relationship Type="http://schemas.openxmlformats.org/officeDocument/2006/relationships/hyperlink" Target="https://www.leboncoin.fr/ad/voitures/3271215938" TargetMode="External" Id="rId225" /><Relationship Type="http://schemas.openxmlformats.org/officeDocument/2006/relationships/hyperlink" Target="https://www.leboncoin.fr/ad/voitures/3275390710" TargetMode="External" Id="rId226" /><Relationship Type="http://schemas.openxmlformats.org/officeDocument/2006/relationships/hyperlink" Target="https://www.leboncoin.fr/ad/voitures/3275427165" TargetMode="External" Id="rId227" /><Relationship Type="http://schemas.openxmlformats.org/officeDocument/2006/relationships/hyperlink" Target="https://www.leboncoin.fr/ad/voitures/3278215050" TargetMode="External" Id="rId228" /><Relationship Type="http://schemas.openxmlformats.org/officeDocument/2006/relationships/hyperlink" Target="https://www.leboncoin.fr/ad/voitures/3006219965" TargetMode="External" Id="rId229" /><Relationship Type="http://schemas.openxmlformats.org/officeDocument/2006/relationships/hyperlink" Target="https://www.leboncoin.fr/ad/voitures/3218818524" TargetMode="External" Id="rId230" /><Relationship Type="http://schemas.openxmlformats.org/officeDocument/2006/relationships/hyperlink" Target="https://www.leboncoin.fr/ad/voitures/3235223068" TargetMode="External" Id="rId231" /><Relationship Type="http://schemas.openxmlformats.org/officeDocument/2006/relationships/hyperlink" Target="https://www.leboncoin.fr/ad/voitures/3257692927" TargetMode="External" Id="rId232" /><Relationship Type="http://schemas.openxmlformats.org/officeDocument/2006/relationships/hyperlink" Target="https://www.leboncoin.fr/ad/voitures/3261159396" TargetMode="External" Id="rId233" /><Relationship Type="http://schemas.openxmlformats.org/officeDocument/2006/relationships/hyperlink" Target="https://www.leboncoin.fr/ad/voitures/3261609180" TargetMode="External" Id="rId234" /><Relationship Type="http://schemas.openxmlformats.org/officeDocument/2006/relationships/hyperlink" Target="https://www.leboncoin.fr/ad/voitures/3261852437" TargetMode="External" Id="rId235" /><Relationship Type="http://schemas.openxmlformats.org/officeDocument/2006/relationships/hyperlink" Target="https://www.leboncoin.fr/ad/voitures/3263390958" TargetMode="External" Id="rId236" /><Relationship Type="http://schemas.openxmlformats.org/officeDocument/2006/relationships/hyperlink" Target="https://www.leboncoin.fr/ad/voitures/3267049380" TargetMode="External" Id="rId237" /><Relationship Type="http://schemas.openxmlformats.org/officeDocument/2006/relationships/hyperlink" Target="https://www.leboncoin.fr/ad/voitures/3267140247" TargetMode="External" Id="rId238" /><Relationship Type="http://schemas.openxmlformats.org/officeDocument/2006/relationships/hyperlink" Target="https://www.leboncoin.fr/ad/voitures/3267746572" TargetMode="External" Id="rId239" /><Relationship Type="http://schemas.openxmlformats.org/officeDocument/2006/relationships/hyperlink" Target="https://www.leboncoin.fr/ad/voitures/3268479738" TargetMode="External" Id="rId240" /><Relationship Type="http://schemas.openxmlformats.org/officeDocument/2006/relationships/hyperlink" Target="https://www.leboncoin.fr/ad/voitures/3270051665" TargetMode="External" Id="rId241" /><Relationship Type="http://schemas.openxmlformats.org/officeDocument/2006/relationships/hyperlink" Target="https://www.leboncoin.fr/ad/voitures/3270125349" TargetMode="External" Id="rId242" /><Relationship Type="http://schemas.openxmlformats.org/officeDocument/2006/relationships/hyperlink" Target="https://www.leboncoin.fr/ad/voitures/3271090302" TargetMode="External" Id="rId243" /><Relationship Type="http://schemas.openxmlformats.org/officeDocument/2006/relationships/hyperlink" Target="https://www.leboncoin.fr/ad/voitures/3272177449" TargetMode="External" Id="rId244" /><Relationship Type="http://schemas.openxmlformats.org/officeDocument/2006/relationships/hyperlink" Target="https://www.leboncoin.fr/ad/voitures/3272423201" TargetMode="External" Id="rId245" /><Relationship Type="http://schemas.openxmlformats.org/officeDocument/2006/relationships/hyperlink" Target="https://www.leboncoin.fr/ad/voitures/3272452236" TargetMode="External" Id="rId246" /><Relationship Type="http://schemas.openxmlformats.org/officeDocument/2006/relationships/hyperlink" Target="https://www.leboncoin.fr/ad/voitures/3273929462" TargetMode="External" Id="rId247" /><Relationship Type="http://schemas.openxmlformats.org/officeDocument/2006/relationships/hyperlink" Target="https://www.leboncoin.fr/ad/voitures/3276024169" TargetMode="External" Id="rId248" /><Relationship Type="http://schemas.openxmlformats.org/officeDocument/2006/relationships/hyperlink" Target="https://www.leboncoin.fr/ad/voitures/3276353657" TargetMode="External" Id="rId249" /><Relationship Type="http://schemas.openxmlformats.org/officeDocument/2006/relationships/hyperlink" Target="https://www.leboncoin.fr/ad/voitures/3276437381" TargetMode="External" Id="rId250" /><Relationship Type="http://schemas.openxmlformats.org/officeDocument/2006/relationships/hyperlink" Target="https://www.leboncoin.fr/ad/voitures/3276571950" TargetMode="External" Id="rId251" /><Relationship Type="http://schemas.openxmlformats.org/officeDocument/2006/relationships/hyperlink" Target="https://www.leboncoin.fr/ad/voitures/3277457567" TargetMode="External" Id="rId252" /><Relationship Type="http://schemas.openxmlformats.org/officeDocument/2006/relationships/hyperlink" Target="https://www.leboncoin.fr/ad/voitures/3280107297" TargetMode="External" Id="rId253" /><Relationship Type="http://schemas.openxmlformats.org/officeDocument/2006/relationships/hyperlink" Target="https://www.leboncoin.fr/ad/voitures/2751924257" TargetMode="External" Id="rId254" /><Relationship Type="http://schemas.openxmlformats.org/officeDocument/2006/relationships/hyperlink" Target="https://www.leboncoin.fr/ad/voitures/3024366461" TargetMode="External" Id="rId255" /><Relationship Type="http://schemas.openxmlformats.org/officeDocument/2006/relationships/hyperlink" Target="https://www.leboncoin.fr/ad/voitures/3058221809" TargetMode="External" Id="rId256" /><Relationship Type="http://schemas.openxmlformats.org/officeDocument/2006/relationships/hyperlink" Target="https://www.leboncoin.fr/ad/voitures/3100841497" TargetMode="External" Id="rId257" /><Relationship Type="http://schemas.openxmlformats.org/officeDocument/2006/relationships/hyperlink" Target="https://www.leboncoin.fr/ad/voitures/3135209876" TargetMode="External" Id="rId258" /><Relationship Type="http://schemas.openxmlformats.org/officeDocument/2006/relationships/hyperlink" Target="https://www.leboncoin.fr/ad/voitures/3177094157" TargetMode="External" Id="rId259" /><Relationship Type="http://schemas.openxmlformats.org/officeDocument/2006/relationships/hyperlink" Target="https://www.leboncoin.fr/ad/voitures/3203471672" TargetMode="External" Id="rId260" /><Relationship Type="http://schemas.openxmlformats.org/officeDocument/2006/relationships/hyperlink" Target="https://www.leboncoin.fr/ad/voitures/3205610309" TargetMode="External" Id="rId261" /><Relationship Type="http://schemas.openxmlformats.org/officeDocument/2006/relationships/hyperlink" Target="https://www.leboncoin.fr/ad/voitures/3207867613" TargetMode="External" Id="rId262" /><Relationship Type="http://schemas.openxmlformats.org/officeDocument/2006/relationships/hyperlink" Target="https://www.leboncoin.fr/ad/voitures/3208968875" TargetMode="External" Id="rId263" /><Relationship Type="http://schemas.openxmlformats.org/officeDocument/2006/relationships/hyperlink" Target="https://www.leboncoin.fr/ad/voitures/3225420947" TargetMode="External" Id="rId264" /><Relationship Type="http://schemas.openxmlformats.org/officeDocument/2006/relationships/hyperlink" Target="https://www.leboncoin.fr/ad/voitures/3225995323" TargetMode="External" Id="rId265" /><Relationship Type="http://schemas.openxmlformats.org/officeDocument/2006/relationships/hyperlink" Target="https://www.leboncoin.fr/ad/voitures/3226399068" TargetMode="External" Id="rId266" /><Relationship Type="http://schemas.openxmlformats.org/officeDocument/2006/relationships/hyperlink" Target="https://www.leboncoin.fr/ad/voitures/3229875348" TargetMode="External" Id="rId267" /><Relationship Type="http://schemas.openxmlformats.org/officeDocument/2006/relationships/hyperlink" Target="https://www.leboncoin.fr/ad/voitures/3230591026" TargetMode="External" Id="rId268" /><Relationship Type="http://schemas.openxmlformats.org/officeDocument/2006/relationships/hyperlink" Target="https://www.leboncoin.fr/ad/voitures/3231127202" TargetMode="External" Id="rId269" /><Relationship Type="http://schemas.openxmlformats.org/officeDocument/2006/relationships/hyperlink" Target="https://www.leboncoin.fr/ad/voitures/3234122932" TargetMode="External" Id="rId270" /><Relationship Type="http://schemas.openxmlformats.org/officeDocument/2006/relationships/hyperlink" Target="https://www.leboncoin.fr/ad/voitures/3242206815" TargetMode="External" Id="rId271" /><Relationship Type="http://schemas.openxmlformats.org/officeDocument/2006/relationships/hyperlink" Target="https://www.leboncoin.fr/ad/voitures/3255178405" TargetMode="External" Id="rId272" /><Relationship Type="http://schemas.openxmlformats.org/officeDocument/2006/relationships/hyperlink" Target="https://www.leboncoin.fr/ad/voitures/3260467720" TargetMode="External" Id="rId273" /><Relationship Type="http://schemas.openxmlformats.org/officeDocument/2006/relationships/hyperlink" Target="https://www.leboncoin.fr/ad/voitures/3260820600" TargetMode="External" Id="rId274" /><Relationship Type="http://schemas.openxmlformats.org/officeDocument/2006/relationships/hyperlink" Target="https://www.leboncoin.fr/ad/voitures/3262657061" TargetMode="External" Id="rId275" /><Relationship Type="http://schemas.openxmlformats.org/officeDocument/2006/relationships/hyperlink" Target="https://www.leboncoin.fr/ad/voitures/3265883612" TargetMode="External" Id="rId276" /><Relationship Type="http://schemas.openxmlformats.org/officeDocument/2006/relationships/hyperlink" Target="https://www.leboncoin.fr/ad/voitures/3268572742" TargetMode="External" Id="rId277" /><Relationship Type="http://schemas.openxmlformats.org/officeDocument/2006/relationships/hyperlink" Target="https://www.leboncoin.fr/ad/voitures/3270837815" TargetMode="External" Id="rId278" /><Relationship Type="http://schemas.openxmlformats.org/officeDocument/2006/relationships/hyperlink" Target="https://www.leboncoin.fr/ad/voitures/3271951396" TargetMode="External" Id="rId279" /><Relationship Type="http://schemas.openxmlformats.org/officeDocument/2006/relationships/hyperlink" Target="https://www.leboncoin.fr/ad/voitures/3272054365" TargetMode="External" Id="rId280" /><Relationship Type="http://schemas.openxmlformats.org/officeDocument/2006/relationships/hyperlink" Target="https://www.leboncoin.fr/ad/voitures/3272281258" TargetMode="External" Id="rId281" /><Relationship Type="http://schemas.openxmlformats.org/officeDocument/2006/relationships/hyperlink" Target="https://www.leboncoin.fr/ad/voitures/3272652346" TargetMode="External" Id="rId282" /><Relationship Type="http://schemas.openxmlformats.org/officeDocument/2006/relationships/hyperlink" Target="https://www.leboncoin.fr/ad/voitures/3274429079" TargetMode="External" Id="rId283" /><Relationship Type="http://schemas.openxmlformats.org/officeDocument/2006/relationships/hyperlink" Target="https://www.leboncoin.fr/ad/voitures/3274821732" TargetMode="External" Id="rId284" /><Relationship Type="http://schemas.openxmlformats.org/officeDocument/2006/relationships/hyperlink" Target="https://www.leboncoin.fr/ad/voitures/3277227146" TargetMode="External" Id="rId285" /><Relationship Type="http://schemas.openxmlformats.org/officeDocument/2006/relationships/hyperlink" Target="https://www.leboncoin.fr/ad/voitures/3278165059" TargetMode="External" Id="rId286" /><Relationship Type="http://schemas.openxmlformats.org/officeDocument/2006/relationships/hyperlink" Target="https://www.leboncoin.fr/ad/voitures/3278304511" TargetMode="External" Id="rId287" /><Relationship Type="http://schemas.openxmlformats.org/officeDocument/2006/relationships/hyperlink" Target="https://www.leboncoin.fr/ad/voitures/3278388453" TargetMode="External" Id="rId288" /><Relationship Type="http://schemas.openxmlformats.org/officeDocument/2006/relationships/hyperlink" Target="https://www.leboncoin.fr/ad/voitures/3278787277" TargetMode="External" Id="rId289" /><Relationship Type="http://schemas.openxmlformats.org/officeDocument/2006/relationships/hyperlink" Target="https://www.leboncoin.fr/ad/voitures/3089498689" TargetMode="External" Id="rId290" /><Relationship Type="http://schemas.openxmlformats.org/officeDocument/2006/relationships/hyperlink" Target="https://www.leboncoin.fr/ad/voitures/3106206580" TargetMode="External" Id="rId291" /><Relationship Type="http://schemas.openxmlformats.org/officeDocument/2006/relationships/hyperlink" Target="https://www.leboncoin.fr/ad/voitures/3147288483" TargetMode="External" Id="rId292" /><Relationship Type="http://schemas.openxmlformats.org/officeDocument/2006/relationships/hyperlink" Target="https://www.leboncoin.fr/ad/voitures/3151264594" TargetMode="External" Id="rId293" /><Relationship Type="http://schemas.openxmlformats.org/officeDocument/2006/relationships/hyperlink" Target="https://www.leboncoin.fr/ad/voitures/3161953342" TargetMode="External" Id="rId294" /><Relationship Type="http://schemas.openxmlformats.org/officeDocument/2006/relationships/hyperlink" Target="https://www.leboncoin.fr/ad/voitures/3171445222" TargetMode="External" Id="rId295" /><Relationship Type="http://schemas.openxmlformats.org/officeDocument/2006/relationships/hyperlink" Target="https://www.leboncoin.fr/ad/voitures/3194804756" TargetMode="External" Id="rId296" /><Relationship Type="http://schemas.openxmlformats.org/officeDocument/2006/relationships/hyperlink" Target="https://www.leboncoin.fr/ad/voitures/3205141466" TargetMode="External" Id="rId297" /><Relationship Type="http://schemas.openxmlformats.org/officeDocument/2006/relationships/hyperlink" Target="https://www.leboncoin.fr/ad/voitures/3208942462" TargetMode="External" Id="rId298" /><Relationship Type="http://schemas.openxmlformats.org/officeDocument/2006/relationships/hyperlink" Target="https://www.leboncoin.fr/ad/voitures/3214892442" TargetMode="External" Id="rId299" /><Relationship Type="http://schemas.openxmlformats.org/officeDocument/2006/relationships/hyperlink" Target="https://www.leboncoin.fr/ad/voitures/3223210758" TargetMode="External" Id="rId300" /><Relationship Type="http://schemas.openxmlformats.org/officeDocument/2006/relationships/hyperlink" Target="https://www.leboncoin.fr/ad/voitures/3226389764" TargetMode="External" Id="rId301" /><Relationship Type="http://schemas.openxmlformats.org/officeDocument/2006/relationships/hyperlink" Target="https://www.leboncoin.fr/ad/voitures/3227346667" TargetMode="External" Id="rId302" /><Relationship Type="http://schemas.openxmlformats.org/officeDocument/2006/relationships/hyperlink" Target="https://www.leboncoin.fr/ad/voitures/3228200524" TargetMode="External" Id="rId303" /><Relationship Type="http://schemas.openxmlformats.org/officeDocument/2006/relationships/hyperlink" Target="https://www.leboncoin.fr/ad/voitures/3234830440" TargetMode="External" Id="rId304" /><Relationship Type="http://schemas.openxmlformats.org/officeDocument/2006/relationships/hyperlink" Target="https://www.leboncoin.fr/ad/voitures/3235072145" TargetMode="External" Id="rId305" /><Relationship Type="http://schemas.openxmlformats.org/officeDocument/2006/relationships/hyperlink" Target="https://www.leboncoin.fr/ad/voitures/3236629923" TargetMode="External" Id="rId306" /><Relationship Type="http://schemas.openxmlformats.org/officeDocument/2006/relationships/hyperlink" Target="https://www.leboncoin.fr/ad/voitures/3249044905" TargetMode="External" Id="rId307" /><Relationship Type="http://schemas.openxmlformats.org/officeDocument/2006/relationships/hyperlink" Target="https://www.leboncoin.fr/ad/voitures/3257381352" TargetMode="External" Id="rId308" /><Relationship Type="http://schemas.openxmlformats.org/officeDocument/2006/relationships/hyperlink" Target="https://www.leboncoin.fr/ad/voitures/3261091532" TargetMode="External" Id="rId309" /><Relationship Type="http://schemas.openxmlformats.org/officeDocument/2006/relationships/hyperlink" Target="https://www.leboncoin.fr/ad/voitures/3261152041" TargetMode="External" Id="rId310" /><Relationship Type="http://schemas.openxmlformats.org/officeDocument/2006/relationships/hyperlink" Target="https://www.leboncoin.fr/ad/voitures/3265294019" TargetMode="External" Id="rId311" /><Relationship Type="http://schemas.openxmlformats.org/officeDocument/2006/relationships/hyperlink" Target="https://www.leboncoin.fr/ad/voitures/3266137442" TargetMode="External" Id="rId312" /><Relationship Type="http://schemas.openxmlformats.org/officeDocument/2006/relationships/hyperlink" Target="https://www.leboncoin.fr/ad/voitures/3266468992" TargetMode="External" Id="rId313" /><Relationship Type="http://schemas.openxmlformats.org/officeDocument/2006/relationships/hyperlink" Target="https://www.leboncoin.fr/ad/voitures/3267019398" TargetMode="External" Id="rId314" /><Relationship Type="http://schemas.openxmlformats.org/officeDocument/2006/relationships/hyperlink" Target="https://www.leboncoin.fr/ad/voitures/3267529893" TargetMode="External" Id="rId315" /><Relationship Type="http://schemas.openxmlformats.org/officeDocument/2006/relationships/hyperlink" Target="https://www.leboncoin.fr/ad/voitures/3267627094" TargetMode="External" Id="rId316" /><Relationship Type="http://schemas.openxmlformats.org/officeDocument/2006/relationships/hyperlink" Target="https://www.leboncoin.fr/ad/voitures/3269059217" TargetMode="External" Id="rId317" /><Relationship Type="http://schemas.openxmlformats.org/officeDocument/2006/relationships/hyperlink" Target="https://www.leboncoin.fr/ad/voitures/3270983963" TargetMode="External" Id="rId318" /><Relationship Type="http://schemas.openxmlformats.org/officeDocument/2006/relationships/hyperlink" Target="https://www.leboncoin.fr/ad/voitures/3271472221" TargetMode="External" Id="rId319" /><Relationship Type="http://schemas.openxmlformats.org/officeDocument/2006/relationships/hyperlink" Target="https://www.leboncoin.fr/ad/voitures/3272892582" TargetMode="External" Id="rId320" /><Relationship Type="http://schemas.openxmlformats.org/officeDocument/2006/relationships/hyperlink" Target="https://www.leboncoin.fr/ad/voitures/3272963366" TargetMode="External" Id="rId321" /><Relationship Type="http://schemas.openxmlformats.org/officeDocument/2006/relationships/hyperlink" Target="https://www.leboncoin.fr/ad/voitures/3275167558" TargetMode="External" Id="rId322" /><Relationship Type="http://schemas.openxmlformats.org/officeDocument/2006/relationships/hyperlink" Target="https://www.leboncoin.fr/ad/voitures/3275432969" TargetMode="External" Id="rId323" /><Relationship Type="http://schemas.openxmlformats.org/officeDocument/2006/relationships/hyperlink" Target="https://www.leboncoin.fr/ad/voitures/3276464340" TargetMode="External" Id="rId324" /><Relationship Type="http://schemas.openxmlformats.org/officeDocument/2006/relationships/hyperlink" Target="https://www.leboncoin.fr/ad/voitures/3277303432" TargetMode="External" Id="rId325" /><Relationship Type="http://schemas.openxmlformats.org/officeDocument/2006/relationships/hyperlink" Target="https://www.leboncoin.fr/ad/voitures/3277850572" TargetMode="External" Id="rId326" /><Relationship Type="http://schemas.openxmlformats.org/officeDocument/2006/relationships/hyperlink" Target="https://www.leboncoin.fr/ad/voitures/3278140957" TargetMode="External" Id="rId327" /><Relationship Type="http://schemas.openxmlformats.org/officeDocument/2006/relationships/hyperlink" Target="https://www.leboncoin.fr/ad/voitures/3279539872" TargetMode="External" Id="rId328" /><Relationship Type="http://schemas.openxmlformats.org/officeDocument/2006/relationships/hyperlink" Target="https://www.leboncoin.fr/ad/voitures/3279820769" TargetMode="External" Id="rId329" /><Relationship Type="http://schemas.openxmlformats.org/officeDocument/2006/relationships/hyperlink" Target="https://www.leboncoin.fr/ad/voitures/3128001937" TargetMode="External" Id="rId330" /><Relationship Type="http://schemas.openxmlformats.org/officeDocument/2006/relationships/hyperlink" Target="https://www.leboncoin.fr/ad/voitures/3138081600" TargetMode="External" Id="rId331" /><Relationship Type="http://schemas.openxmlformats.org/officeDocument/2006/relationships/hyperlink" Target="https://www.leboncoin.fr/ad/voitures/3192502697" TargetMode="External" Id="rId332" /><Relationship Type="http://schemas.openxmlformats.org/officeDocument/2006/relationships/hyperlink" Target="https://www.leboncoin.fr/ad/voitures/3194330539" TargetMode="External" Id="rId333" /><Relationship Type="http://schemas.openxmlformats.org/officeDocument/2006/relationships/hyperlink" Target="https://www.leboncoin.fr/ad/voitures/3196043714" TargetMode="External" Id="rId334" /><Relationship Type="http://schemas.openxmlformats.org/officeDocument/2006/relationships/hyperlink" Target="https://www.leboncoin.fr/ad/voitures/3206698877" TargetMode="External" Id="rId335" /><Relationship Type="http://schemas.openxmlformats.org/officeDocument/2006/relationships/hyperlink" Target="https://www.leboncoin.fr/ad/voitures/3213424345" TargetMode="External" Id="rId336" /><Relationship Type="http://schemas.openxmlformats.org/officeDocument/2006/relationships/hyperlink" Target="https://www.leboncoin.fr/ad/voitures/3213662086" TargetMode="External" Id="rId337" /><Relationship Type="http://schemas.openxmlformats.org/officeDocument/2006/relationships/hyperlink" Target="https://www.leboncoin.fr/ad/voitures/3214587287" TargetMode="External" Id="rId338" /><Relationship Type="http://schemas.openxmlformats.org/officeDocument/2006/relationships/hyperlink" Target="https://www.leboncoin.fr/ad/voitures/3228156690" TargetMode="External" Id="rId339" /><Relationship Type="http://schemas.openxmlformats.org/officeDocument/2006/relationships/hyperlink" Target="https://www.leboncoin.fr/ad/voitures/3232184088" TargetMode="External" Id="rId340" /><Relationship Type="http://schemas.openxmlformats.org/officeDocument/2006/relationships/hyperlink" Target="https://www.leboncoin.fr/ad/voitures/3239890949" TargetMode="External" Id="rId341" /><Relationship Type="http://schemas.openxmlformats.org/officeDocument/2006/relationships/hyperlink" Target="https://www.leboncoin.fr/ad/voitures/3241715497" TargetMode="External" Id="rId342" /><Relationship Type="http://schemas.openxmlformats.org/officeDocument/2006/relationships/hyperlink" Target="https://www.leboncoin.fr/ad/voitures/3247666341" TargetMode="External" Id="rId343" /><Relationship Type="http://schemas.openxmlformats.org/officeDocument/2006/relationships/hyperlink" Target="https://www.leboncoin.fr/ad/voitures/3253304934" TargetMode="External" Id="rId344" /><Relationship Type="http://schemas.openxmlformats.org/officeDocument/2006/relationships/hyperlink" Target="https://www.leboncoin.fr/ad/voitures/3258419971" TargetMode="External" Id="rId345" /><Relationship Type="http://schemas.openxmlformats.org/officeDocument/2006/relationships/hyperlink" Target="https://www.leboncoin.fr/ad/voitures/3258520263" TargetMode="External" Id="rId346" /><Relationship Type="http://schemas.openxmlformats.org/officeDocument/2006/relationships/hyperlink" Target="https://www.leboncoin.fr/ad/voitures/3263120554" TargetMode="External" Id="rId347" /><Relationship Type="http://schemas.openxmlformats.org/officeDocument/2006/relationships/hyperlink" Target="https://www.leboncoin.fr/ad/voitures/3266721735" TargetMode="External" Id="rId348" /><Relationship Type="http://schemas.openxmlformats.org/officeDocument/2006/relationships/hyperlink" Target="https://www.leboncoin.fr/ad/voitures/3267035560" TargetMode="External" Id="rId349" /><Relationship Type="http://schemas.openxmlformats.org/officeDocument/2006/relationships/hyperlink" Target="https://www.leboncoin.fr/ad/voitures/3270378486" TargetMode="External" Id="rId350" /><Relationship Type="http://schemas.openxmlformats.org/officeDocument/2006/relationships/hyperlink" Target="https://www.leboncoin.fr/ad/voitures/3270568277" TargetMode="External" Id="rId351" /><Relationship Type="http://schemas.openxmlformats.org/officeDocument/2006/relationships/hyperlink" Target="https://www.leboncoin.fr/ad/voitures/3270821976" TargetMode="External" Id="rId352" /><Relationship Type="http://schemas.openxmlformats.org/officeDocument/2006/relationships/hyperlink" Target="https://www.leboncoin.fr/ad/voitures/3271574505" TargetMode="External" Id="rId353" /><Relationship Type="http://schemas.openxmlformats.org/officeDocument/2006/relationships/hyperlink" Target="https://www.leboncoin.fr/ad/voitures/3271944032" TargetMode="External" Id="rId354" /><Relationship Type="http://schemas.openxmlformats.org/officeDocument/2006/relationships/hyperlink" Target="https://www.leboncoin.fr/ad/voitures/3272175602" TargetMode="External" Id="rId355" /><Relationship Type="http://schemas.openxmlformats.org/officeDocument/2006/relationships/hyperlink" Target="https://www.leboncoin.fr/ad/voitures/3272603300" TargetMode="External" Id="rId356" /><Relationship Type="http://schemas.openxmlformats.org/officeDocument/2006/relationships/hyperlink" Target="https://www.leboncoin.fr/ad/voitures/3273797460" TargetMode="External" Id="rId357" /><Relationship Type="http://schemas.openxmlformats.org/officeDocument/2006/relationships/hyperlink" Target="https://www.leboncoin.fr/ad/voitures/3274728979" TargetMode="External" Id="rId358" /><Relationship Type="http://schemas.openxmlformats.org/officeDocument/2006/relationships/hyperlink" Target="https://www.leboncoin.fr/ad/voitures/3275857883" TargetMode="External" Id="rId359" /><Relationship Type="http://schemas.openxmlformats.org/officeDocument/2006/relationships/hyperlink" Target="https://www.leboncoin.fr/ad/voitures/3276480306" TargetMode="External" Id="rId360" /><Relationship Type="http://schemas.openxmlformats.org/officeDocument/2006/relationships/hyperlink" Target="https://www.leboncoin.fr/ad/voitures/3277011288" TargetMode="External" Id="rId361" /><Relationship Type="http://schemas.openxmlformats.org/officeDocument/2006/relationships/hyperlink" Target="https://www.leboncoin.fr/ad/voitures/3277083239" TargetMode="External" Id="rId362" /><Relationship Type="http://schemas.openxmlformats.org/officeDocument/2006/relationships/hyperlink" Target="https://www.leboncoin.fr/ad/voitures/3278151888" TargetMode="External" Id="rId363" /><Relationship Type="http://schemas.openxmlformats.org/officeDocument/2006/relationships/hyperlink" Target="https://www.leboncoin.fr/ad/voitures/3278205054" TargetMode="External" Id="rId364" /><Relationship Type="http://schemas.openxmlformats.org/officeDocument/2006/relationships/hyperlink" Target="https://www.leboncoin.fr/ad/voitures/3278260839" TargetMode="External" Id="rId365" /><Relationship Type="http://schemas.openxmlformats.org/officeDocument/2006/relationships/hyperlink" Target="https://www.leboncoin.fr/ad/voitures/3278728030" TargetMode="External" Id="rId366" /><Relationship Type="http://schemas.openxmlformats.org/officeDocument/2006/relationships/hyperlink" Target="https://www.leboncoin.fr/ad/voitures/3279041618" TargetMode="External" Id="rId367" /><Relationship Type="http://schemas.openxmlformats.org/officeDocument/2006/relationships/hyperlink" Target="https://www.leboncoin.fr/ad/voitures/3111952979" TargetMode="External" Id="rId368" /><Relationship Type="http://schemas.openxmlformats.org/officeDocument/2006/relationships/hyperlink" Target="https://www.leboncoin.fr/ad/voitures/3148980518" TargetMode="External" Id="rId369" /><Relationship Type="http://schemas.openxmlformats.org/officeDocument/2006/relationships/hyperlink" Target="https://www.leboncoin.fr/ad/voitures/3155317939" TargetMode="External" Id="rId370" /><Relationship Type="http://schemas.openxmlformats.org/officeDocument/2006/relationships/hyperlink" Target="https://www.leboncoin.fr/ad/voitures/3162482298" TargetMode="External" Id="rId371" /><Relationship Type="http://schemas.openxmlformats.org/officeDocument/2006/relationships/hyperlink" Target="https://www.leboncoin.fr/ad/voitures/3220887451" TargetMode="External" Id="rId372" /><Relationship Type="http://schemas.openxmlformats.org/officeDocument/2006/relationships/hyperlink" Target="https://www.leboncoin.fr/ad/voitures/3225541573" TargetMode="External" Id="rId373" /><Relationship Type="http://schemas.openxmlformats.org/officeDocument/2006/relationships/hyperlink" Target="https://www.leboncoin.fr/ad/voitures/3229733456" TargetMode="External" Id="rId374" /><Relationship Type="http://schemas.openxmlformats.org/officeDocument/2006/relationships/hyperlink" Target="https://www.leboncoin.fr/ad/voitures/3234959156" TargetMode="External" Id="rId375" /><Relationship Type="http://schemas.openxmlformats.org/officeDocument/2006/relationships/hyperlink" Target="https://www.leboncoin.fr/ad/voitures/3235031075" TargetMode="External" Id="rId376" /><Relationship Type="http://schemas.openxmlformats.org/officeDocument/2006/relationships/hyperlink" Target="https://www.leboncoin.fr/ad/voitures/3248026868" TargetMode="External" Id="rId377" /><Relationship Type="http://schemas.openxmlformats.org/officeDocument/2006/relationships/hyperlink" Target="https://www.leboncoin.fr/ad/voitures/3252273657" TargetMode="External" Id="rId378" /><Relationship Type="http://schemas.openxmlformats.org/officeDocument/2006/relationships/hyperlink" Target="https://www.leboncoin.fr/ad/voitures/3254332412" TargetMode="External" Id="rId379" /><Relationship Type="http://schemas.openxmlformats.org/officeDocument/2006/relationships/hyperlink" Target="https://www.leboncoin.fr/ad/voitures/3258667592" TargetMode="External" Id="rId380" /><Relationship Type="http://schemas.openxmlformats.org/officeDocument/2006/relationships/hyperlink" Target="https://www.leboncoin.fr/ad/voitures/3260553786" TargetMode="External" Id="rId381" /><Relationship Type="http://schemas.openxmlformats.org/officeDocument/2006/relationships/hyperlink" Target="https://www.leboncoin.fr/ad/voitures/3260826413" TargetMode="External" Id="rId382" /><Relationship Type="http://schemas.openxmlformats.org/officeDocument/2006/relationships/hyperlink" Target="https://www.leboncoin.fr/ad/voitures/3261006166" TargetMode="External" Id="rId383" /><Relationship Type="http://schemas.openxmlformats.org/officeDocument/2006/relationships/hyperlink" Target="https://www.leboncoin.fr/ad/voitures/3261622205" TargetMode="External" Id="rId384" /><Relationship Type="http://schemas.openxmlformats.org/officeDocument/2006/relationships/hyperlink" Target="https://www.leboncoin.fr/ad/voitures/3261693737" TargetMode="External" Id="rId385" /><Relationship Type="http://schemas.openxmlformats.org/officeDocument/2006/relationships/hyperlink" Target="https://www.leboncoin.fr/ad/voitures/3262040554" TargetMode="External" Id="rId386" /><Relationship Type="http://schemas.openxmlformats.org/officeDocument/2006/relationships/hyperlink" Target="https://www.leboncoin.fr/ad/voitures/3262391547" TargetMode="External" Id="rId387" /><Relationship Type="http://schemas.openxmlformats.org/officeDocument/2006/relationships/hyperlink" Target="https://www.leboncoin.fr/ad/voitures/3262638000" TargetMode="External" Id="rId388" /><Relationship Type="http://schemas.openxmlformats.org/officeDocument/2006/relationships/hyperlink" Target="https://www.leboncoin.fr/ad/voitures/3264837795" TargetMode="External" Id="rId389" /><Relationship Type="http://schemas.openxmlformats.org/officeDocument/2006/relationships/hyperlink" Target="https://www.leboncoin.fr/ad/voitures/3266864057" TargetMode="External" Id="rId390" /><Relationship Type="http://schemas.openxmlformats.org/officeDocument/2006/relationships/hyperlink" Target="https://www.leboncoin.fr/ad/voitures/3270112718" TargetMode="External" Id="rId391" /><Relationship Type="http://schemas.openxmlformats.org/officeDocument/2006/relationships/hyperlink" Target="https://www.leboncoin.fr/ad/voitures/3270289698" TargetMode="External" Id="rId392" /><Relationship Type="http://schemas.openxmlformats.org/officeDocument/2006/relationships/hyperlink" Target="https://www.leboncoin.fr/ad/voitures/3272175500" TargetMode="External" Id="rId393" /><Relationship Type="http://schemas.openxmlformats.org/officeDocument/2006/relationships/hyperlink" Target="https://www.leboncoin.fr/ad/voitures/3272349615" TargetMode="External" Id="rId394" /><Relationship Type="http://schemas.openxmlformats.org/officeDocument/2006/relationships/hyperlink" Target="https://www.leboncoin.fr/ad/voitures/3272615687" TargetMode="External" Id="rId395" /><Relationship Type="http://schemas.openxmlformats.org/officeDocument/2006/relationships/hyperlink" Target="https://www.leboncoin.fr/ad/voitures/3273076212" TargetMode="External" Id="rId396" /><Relationship Type="http://schemas.openxmlformats.org/officeDocument/2006/relationships/hyperlink" Target="https://www.leboncoin.fr/ad/voitures/3273260142" TargetMode="External" Id="rId397" /><Relationship Type="http://schemas.openxmlformats.org/officeDocument/2006/relationships/hyperlink" Target="https://www.leboncoin.fr/ad/voitures/3275029879" TargetMode="External" Id="rId398" /><Relationship Type="http://schemas.openxmlformats.org/officeDocument/2006/relationships/hyperlink" Target="https://www.leboncoin.fr/ad/voitures/3275151981" TargetMode="External" Id="rId399" /><Relationship Type="http://schemas.openxmlformats.org/officeDocument/2006/relationships/hyperlink" Target="https://www.leboncoin.fr/ad/voitures/3276649870" TargetMode="External" Id="rId400" /><Relationship Type="http://schemas.openxmlformats.org/officeDocument/2006/relationships/hyperlink" Target="https://www.leboncoin.fr/ad/voitures/3276674920" TargetMode="External" Id="rId401" /><Relationship Type="http://schemas.openxmlformats.org/officeDocument/2006/relationships/hyperlink" Target="https://www.leboncoin.fr/ad/voitures/3277297648" TargetMode="External" Id="rId402" /><Relationship Type="http://schemas.openxmlformats.org/officeDocument/2006/relationships/hyperlink" Target="https://www.leboncoin.fr/ad/voitures/3277619840" TargetMode="External" Id="rId403" /><Relationship Type="http://schemas.openxmlformats.org/officeDocument/2006/relationships/hyperlink" Target="https://www.leboncoin.fr/ad/voitures/3278695532" TargetMode="External" Id="rId404" /><Relationship Type="http://schemas.openxmlformats.org/officeDocument/2006/relationships/hyperlink" Target="https://www.leboncoin.fr/ad/voitures/3279867090" TargetMode="External" Id="rId405" /><Relationship Type="http://schemas.openxmlformats.org/officeDocument/2006/relationships/hyperlink" Target="https://www.leboncoin.fr/ad/voitures/3093503886" TargetMode="External" Id="rId406" /><Relationship Type="http://schemas.openxmlformats.org/officeDocument/2006/relationships/hyperlink" Target="https://www.leboncoin.fr/ad/voitures/3152592919" TargetMode="External" Id="rId407" /><Relationship Type="http://schemas.openxmlformats.org/officeDocument/2006/relationships/hyperlink" Target="https://www.leboncoin.fr/ad/voitures/3165656670" TargetMode="External" Id="rId408" /><Relationship Type="http://schemas.openxmlformats.org/officeDocument/2006/relationships/hyperlink" Target="https://www.leboncoin.fr/ad/voitures/3169074583" TargetMode="External" Id="rId409" /><Relationship Type="http://schemas.openxmlformats.org/officeDocument/2006/relationships/hyperlink" Target="https://www.leboncoin.fr/ad/voitures/3216991704" TargetMode="External" Id="rId410" /><Relationship Type="http://schemas.openxmlformats.org/officeDocument/2006/relationships/hyperlink" Target="https://www.leboncoin.fr/ad/voitures/3237229836" TargetMode="External" Id="rId411" /><Relationship Type="http://schemas.openxmlformats.org/officeDocument/2006/relationships/hyperlink" Target="https://www.leboncoin.fr/ad/voitures/3243865675" TargetMode="External" Id="rId412" /><Relationship Type="http://schemas.openxmlformats.org/officeDocument/2006/relationships/hyperlink" Target="https://www.leboncoin.fr/ad/voitures/3243871328" TargetMode="External" Id="rId413" /><Relationship Type="http://schemas.openxmlformats.org/officeDocument/2006/relationships/hyperlink" Target="https://www.leboncoin.fr/ad/voitures/3245939851" TargetMode="External" Id="rId414" /><Relationship Type="http://schemas.openxmlformats.org/officeDocument/2006/relationships/hyperlink" Target="https://www.leboncoin.fr/ad/voitures/3252684628" TargetMode="External" Id="rId415" /><Relationship Type="http://schemas.openxmlformats.org/officeDocument/2006/relationships/hyperlink" Target="https://www.leboncoin.fr/ad/voitures/3256587657" TargetMode="External" Id="rId416" /><Relationship Type="http://schemas.openxmlformats.org/officeDocument/2006/relationships/hyperlink" Target="https://www.leboncoin.fr/ad/voitures/3261154881" TargetMode="External" Id="rId417" /><Relationship Type="http://schemas.openxmlformats.org/officeDocument/2006/relationships/hyperlink" Target="https://www.leboncoin.fr/ad/voitures/3262231451" TargetMode="External" Id="rId418" /><Relationship Type="http://schemas.openxmlformats.org/officeDocument/2006/relationships/hyperlink" Target="https://www.leboncoin.fr/ad/voitures/3271644740" TargetMode="External" Id="rId419" /><Relationship Type="http://schemas.openxmlformats.org/officeDocument/2006/relationships/hyperlink" Target="https://www.leboncoin.fr/ad/voitures/3273010014" TargetMode="External" Id="rId420" /><Relationship Type="http://schemas.openxmlformats.org/officeDocument/2006/relationships/hyperlink" Target="https://www.leboncoin.fr/ad/voitures/3276458601" TargetMode="External" Id="rId421" /><Relationship Type="http://schemas.openxmlformats.org/officeDocument/2006/relationships/hyperlink" Target="https://www.leboncoin.fr/ad/voitures/3276459475" TargetMode="External" Id="rId422" /><Relationship Type="http://schemas.openxmlformats.org/officeDocument/2006/relationships/hyperlink" Target="https://www.leboncoin.fr/ad/voitures/3280273275" TargetMode="External" Id="rId423" /><Relationship Type="http://schemas.openxmlformats.org/officeDocument/2006/relationships/hyperlink" Target="https://www.leboncoin.fr/ad/voitures/3201621635" TargetMode="External" Id="rId424" /><Relationship Type="http://schemas.openxmlformats.org/officeDocument/2006/relationships/hyperlink" Target="https://www.leboncoin.fr/ad/voitures/3228654929" TargetMode="External" Id="rId425" /><Relationship Type="http://schemas.openxmlformats.org/officeDocument/2006/relationships/hyperlink" Target="https://www.leboncoin.fr/ad/voitures/3232797806" TargetMode="External" Id="rId426" /><Relationship Type="http://schemas.openxmlformats.org/officeDocument/2006/relationships/hyperlink" Target="https://www.leboncoin.fr/ad/voitures/3235601533" TargetMode="External" Id="rId427" /><Relationship Type="http://schemas.openxmlformats.org/officeDocument/2006/relationships/hyperlink" Target="https://www.leboncoin.fr/ad/voitures/3236310353" TargetMode="External" Id="rId428" /><Relationship Type="http://schemas.openxmlformats.org/officeDocument/2006/relationships/hyperlink" Target="https://www.leboncoin.fr/ad/voitures/3246605855" TargetMode="External" Id="rId429" /><Relationship Type="http://schemas.openxmlformats.org/officeDocument/2006/relationships/hyperlink" Target="https://www.leboncoin.fr/ad/voitures/3254091933" TargetMode="External" Id="rId430" /><Relationship Type="http://schemas.openxmlformats.org/officeDocument/2006/relationships/hyperlink" Target="https://www.leboncoin.fr/ad/voitures/3254592892" TargetMode="External" Id="rId431" /><Relationship Type="http://schemas.openxmlformats.org/officeDocument/2006/relationships/hyperlink" Target="https://www.leboncoin.fr/ad/voitures/3264401233" TargetMode="External" Id="rId432" /><Relationship Type="http://schemas.openxmlformats.org/officeDocument/2006/relationships/hyperlink" Target="https://www.leboncoin.fr/ad/voitures/3265072540" TargetMode="External" Id="rId433" /><Relationship Type="http://schemas.openxmlformats.org/officeDocument/2006/relationships/hyperlink" Target="https://www.leboncoin.fr/ad/voitures/3265411834" TargetMode="External" Id="rId434" /><Relationship Type="http://schemas.openxmlformats.org/officeDocument/2006/relationships/hyperlink" Target="https://www.leboncoin.fr/ad/voitures/3265418338" TargetMode="External" Id="rId435" /><Relationship Type="http://schemas.openxmlformats.org/officeDocument/2006/relationships/hyperlink" Target="https://www.leboncoin.fr/ad/voitures/3266701696" TargetMode="External" Id="rId436" /><Relationship Type="http://schemas.openxmlformats.org/officeDocument/2006/relationships/hyperlink" Target="https://www.leboncoin.fr/ad/voitures/3266949797" TargetMode="External" Id="rId437" /><Relationship Type="http://schemas.openxmlformats.org/officeDocument/2006/relationships/hyperlink" Target="https://www.leboncoin.fr/ad/voitures/3268258543" TargetMode="External" Id="rId438" /><Relationship Type="http://schemas.openxmlformats.org/officeDocument/2006/relationships/hyperlink" Target="https://www.leboncoin.fr/ad/voitures/3268824297" TargetMode="External" Id="rId439" /><Relationship Type="http://schemas.openxmlformats.org/officeDocument/2006/relationships/hyperlink" Target="https://www.leboncoin.fr/ad/voitures/3269180003" TargetMode="External" Id="rId440" /><Relationship Type="http://schemas.openxmlformats.org/officeDocument/2006/relationships/hyperlink" Target="https://www.leboncoin.fr/ad/voitures/3269220561" TargetMode="External" Id="rId441" /><Relationship Type="http://schemas.openxmlformats.org/officeDocument/2006/relationships/hyperlink" Target="https://www.leboncoin.fr/ad/voitures/3269820668" TargetMode="External" Id="rId442" /><Relationship Type="http://schemas.openxmlformats.org/officeDocument/2006/relationships/hyperlink" Target="https://www.leboncoin.fr/ad/voitures/3270178988" TargetMode="External" Id="rId443" /><Relationship Type="http://schemas.openxmlformats.org/officeDocument/2006/relationships/hyperlink" Target="https://www.leboncoin.fr/ad/voitures/3271251775" TargetMode="External" Id="rId444" /><Relationship Type="http://schemas.openxmlformats.org/officeDocument/2006/relationships/hyperlink" Target="https://www.leboncoin.fr/ad/voitures/3271536730" TargetMode="External" Id="rId445" /><Relationship Type="http://schemas.openxmlformats.org/officeDocument/2006/relationships/hyperlink" Target="https://www.leboncoin.fr/ad/voitures/3273813000" TargetMode="External" Id="rId446" /><Relationship Type="http://schemas.openxmlformats.org/officeDocument/2006/relationships/hyperlink" Target="https://www.leboncoin.fr/ad/voitures/3276478695" TargetMode="External" Id="rId447" /><Relationship Type="http://schemas.openxmlformats.org/officeDocument/2006/relationships/hyperlink" Target="https://www.leboncoin.fr/ad/voitures/3278551940" TargetMode="External" Id="rId448" /><Relationship Type="http://schemas.openxmlformats.org/officeDocument/2006/relationships/hyperlink" Target="https://www.leboncoin.fr/ad/voitures/3279265139" TargetMode="External" Id="rId449" /><Relationship Type="http://schemas.openxmlformats.org/officeDocument/2006/relationships/hyperlink" Target="https://www.leboncoin.fr/ad/voitures/3280012848" TargetMode="External" Id="rId45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171562700" TargetMode="External" Id="rId9" /><Relationship Type="http://schemas.openxmlformats.org/officeDocument/2006/relationships/hyperlink" Target="https://www.leboncoin.fr/ad/voitures/3197947364" TargetMode="External" Id="rId10" /><Relationship Type="http://schemas.openxmlformats.org/officeDocument/2006/relationships/hyperlink" Target="https://www.leboncoin.fr/ad/voitures/3217262918" TargetMode="External" Id="rId11" /><Relationship Type="http://schemas.openxmlformats.org/officeDocument/2006/relationships/hyperlink" Target="https://www.leboncoin.fr/ad/voitures/3220328214" TargetMode="External" Id="rId12" /><Relationship Type="http://schemas.openxmlformats.org/officeDocument/2006/relationships/hyperlink" Target="https://www.leboncoin.fr/ad/voitures/3230964764" TargetMode="External" Id="rId13" /><Relationship Type="http://schemas.openxmlformats.org/officeDocument/2006/relationships/hyperlink" Target="https://www.leboncoin.fr/ad/voitures/3245635449" TargetMode="External" Id="rId14" /><Relationship Type="http://schemas.openxmlformats.org/officeDocument/2006/relationships/hyperlink" Target="https://www.leboncoin.fr/ad/voitures/3249081293" TargetMode="External" Id="rId15" /><Relationship Type="http://schemas.openxmlformats.org/officeDocument/2006/relationships/hyperlink" Target="https://www.leboncoin.fr/ad/voitures/3249519594" TargetMode="External" Id="rId16" /><Relationship Type="http://schemas.openxmlformats.org/officeDocument/2006/relationships/hyperlink" Target="https://www.leboncoin.fr/ad/voitures/3256683007" TargetMode="External" Id="rId17" /><Relationship Type="http://schemas.openxmlformats.org/officeDocument/2006/relationships/hyperlink" Target="https://www.leboncoin.fr/ad/voitures/3258200097" TargetMode="External" Id="rId18" /><Relationship Type="http://schemas.openxmlformats.org/officeDocument/2006/relationships/hyperlink" Target="https://www.leboncoin.fr/ad/voitures/3258446503" TargetMode="External" Id="rId19" /><Relationship Type="http://schemas.openxmlformats.org/officeDocument/2006/relationships/hyperlink" Target="https://www.leboncoin.fr/ad/voitures/3258548235" TargetMode="External" Id="rId20" /><Relationship Type="http://schemas.openxmlformats.org/officeDocument/2006/relationships/hyperlink" Target="https://www.leboncoin.fr/ad/voitures/3271074708" TargetMode="External" Id="rId21" /><Relationship Type="http://schemas.openxmlformats.org/officeDocument/2006/relationships/hyperlink" Target="https://www.leboncoin.fr/ad/voitures/3272577206" TargetMode="External" Id="rId22" /><Relationship Type="http://schemas.openxmlformats.org/officeDocument/2006/relationships/hyperlink" Target="https://www.leboncoin.fr/ad/voitures/3122468671" TargetMode="External" Id="rId23" /><Relationship Type="http://schemas.openxmlformats.org/officeDocument/2006/relationships/hyperlink" Target="https://www.leboncoin.fr/ad/voitures/3179205726" TargetMode="External" Id="rId24" /><Relationship Type="http://schemas.openxmlformats.org/officeDocument/2006/relationships/hyperlink" Target="https://www.leboncoin.fr/ad/voitures/3179893341" TargetMode="External" Id="rId25" /><Relationship Type="http://schemas.openxmlformats.org/officeDocument/2006/relationships/hyperlink" Target="https://www.leboncoin.fr/ad/voitures/3198012563" TargetMode="External" Id="rId26" /><Relationship Type="http://schemas.openxmlformats.org/officeDocument/2006/relationships/hyperlink" Target="https://www.leboncoin.fr/ad/voitures/3217942758" TargetMode="External" Id="rId27" /><Relationship Type="http://schemas.openxmlformats.org/officeDocument/2006/relationships/hyperlink" Target="https://www.leboncoin.fr/ad/voitures/3229777091" TargetMode="External" Id="rId28" /><Relationship Type="http://schemas.openxmlformats.org/officeDocument/2006/relationships/hyperlink" Target="https://www.leboncoin.fr/ad/voitures/3233589487" TargetMode="External" Id="rId29" /><Relationship Type="http://schemas.openxmlformats.org/officeDocument/2006/relationships/hyperlink" Target="https://www.leboncoin.fr/ad/voitures/3249782225" TargetMode="External" Id="rId30" /><Relationship Type="http://schemas.openxmlformats.org/officeDocument/2006/relationships/hyperlink" Target="https://www.leboncoin.fr/ad/voitures/3250813636" TargetMode="External" Id="rId31" /><Relationship Type="http://schemas.openxmlformats.org/officeDocument/2006/relationships/hyperlink" Target="https://www.leboncoin.fr/ad/voitures/3252260409" TargetMode="External" Id="rId32" /><Relationship Type="http://schemas.openxmlformats.org/officeDocument/2006/relationships/hyperlink" Target="https://www.leboncoin.fr/ad/voitures/3253410252" TargetMode="External" Id="rId33" /><Relationship Type="http://schemas.openxmlformats.org/officeDocument/2006/relationships/hyperlink" Target="https://www.leboncoin.fr/ad/voitures/3253798936" TargetMode="External" Id="rId34" /><Relationship Type="http://schemas.openxmlformats.org/officeDocument/2006/relationships/hyperlink" Target="https://www.leboncoin.fr/ad/voitures/3259234628" TargetMode="External" Id="rId35" /><Relationship Type="http://schemas.openxmlformats.org/officeDocument/2006/relationships/hyperlink" Target="https://www.leboncoin.fr/ad/voitures/3259437359" TargetMode="External" Id="rId36" /><Relationship Type="http://schemas.openxmlformats.org/officeDocument/2006/relationships/hyperlink" Target="https://www.leboncoin.fr/ad/voitures/3260316059" TargetMode="External" Id="rId37" /><Relationship Type="http://schemas.openxmlformats.org/officeDocument/2006/relationships/hyperlink" Target="https://www.leboncoin.fr/ad/voitures/3260650856" TargetMode="External" Id="rId38" /><Relationship Type="http://schemas.openxmlformats.org/officeDocument/2006/relationships/hyperlink" Target="https://www.leboncoin.fr/ad/voitures/3260831234" TargetMode="External" Id="rId39" /><Relationship Type="http://schemas.openxmlformats.org/officeDocument/2006/relationships/hyperlink" Target="https://www.leboncoin.fr/ad/voitures/3261627755" TargetMode="External" Id="rId40" /><Relationship Type="http://schemas.openxmlformats.org/officeDocument/2006/relationships/hyperlink" Target="https://www.leboncoin.fr/ad/voitures/3262635276" TargetMode="External" Id="rId41" /><Relationship Type="http://schemas.openxmlformats.org/officeDocument/2006/relationships/hyperlink" Target="https://www.leboncoin.fr/ad/voitures/3264107945" TargetMode="External" Id="rId42" /><Relationship Type="http://schemas.openxmlformats.org/officeDocument/2006/relationships/hyperlink" Target="https://www.leboncoin.fr/ad/voitures/3266045304" TargetMode="External" Id="rId43" /><Relationship Type="http://schemas.openxmlformats.org/officeDocument/2006/relationships/hyperlink" Target="https://www.leboncoin.fr/ad/voitures/3269890983" TargetMode="External" Id="rId44" /><Relationship Type="http://schemas.openxmlformats.org/officeDocument/2006/relationships/hyperlink" Target="https://www.leboncoin.fr/ad/voitures/3270100305" TargetMode="External" Id="rId45" /><Relationship Type="http://schemas.openxmlformats.org/officeDocument/2006/relationships/hyperlink" Target="https://www.leboncoin.fr/ad/voitures/3271080732" TargetMode="External" Id="rId46" /><Relationship Type="http://schemas.openxmlformats.org/officeDocument/2006/relationships/hyperlink" Target="https://www.leboncoin.fr/ad/voitures/3274386766" TargetMode="External" Id="rId47" /><Relationship Type="http://schemas.openxmlformats.org/officeDocument/2006/relationships/hyperlink" Target="https://www.leboncoin.fr/ad/voitures/3274786995" TargetMode="External" Id="rId48" /><Relationship Type="http://schemas.openxmlformats.org/officeDocument/2006/relationships/hyperlink" Target="https://www.leboncoin.fr/ad/voitures/3275584509" TargetMode="External" Id="rId49" /><Relationship Type="http://schemas.openxmlformats.org/officeDocument/2006/relationships/hyperlink" Target="https://www.leboncoin.fr/ad/voitures/3275636332" TargetMode="External" Id="rId50" /><Relationship Type="http://schemas.openxmlformats.org/officeDocument/2006/relationships/hyperlink" Target="https://www.leboncoin.fr/ad/voitures/3275939150" TargetMode="External" Id="rId51" /><Relationship Type="http://schemas.openxmlformats.org/officeDocument/2006/relationships/hyperlink" Target="https://www.leboncoin.fr/ad/voitures/3276019569" TargetMode="External" Id="rId52" /><Relationship Type="http://schemas.openxmlformats.org/officeDocument/2006/relationships/hyperlink" Target="https://www.leboncoin.fr/ad/voitures/3276045076" TargetMode="External" Id="rId53" /><Relationship Type="http://schemas.openxmlformats.org/officeDocument/2006/relationships/hyperlink" Target="https://www.leboncoin.fr/ad/voitures/3276707355" TargetMode="External" Id="rId54" /><Relationship Type="http://schemas.openxmlformats.org/officeDocument/2006/relationships/hyperlink" Target="https://www.leboncoin.fr/ad/voitures/3277544949" TargetMode="External" Id="rId55" /><Relationship Type="http://schemas.openxmlformats.org/officeDocument/2006/relationships/hyperlink" Target="https://www.leboncoin.fr/ad/voitures/3278294886" TargetMode="External" Id="rId56" /><Relationship Type="http://schemas.openxmlformats.org/officeDocument/2006/relationships/hyperlink" Target="https://www.leboncoin.fr/ad/voitures/3278304303" TargetMode="External" Id="rId57" /><Relationship Type="http://schemas.openxmlformats.org/officeDocument/2006/relationships/hyperlink" Target="https://www.leboncoin.fr/ad/voitures/3278388859" TargetMode="External" Id="rId58" /><Relationship Type="http://schemas.openxmlformats.org/officeDocument/2006/relationships/hyperlink" Target="https://www.leboncoin.fr/ad/voitures/3278923547" TargetMode="External" Id="rId59" /><Relationship Type="http://schemas.openxmlformats.org/officeDocument/2006/relationships/hyperlink" Target="https://www.leboncoin.fr/ad/voitures/3279836593" TargetMode="External" Id="rId60" /><Relationship Type="http://schemas.openxmlformats.org/officeDocument/2006/relationships/hyperlink" Target="https://www.leboncoin.fr/ad/voitures/3279840069" TargetMode="External" Id="rId61" /><Relationship Type="http://schemas.openxmlformats.org/officeDocument/2006/relationships/hyperlink" Target="https://www.leboncoin.fr/ad/voitures/3279949039" TargetMode="External" Id="rId62" /><Relationship Type="http://schemas.openxmlformats.org/officeDocument/2006/relationships/hyperlink" Target="https://www.leboncoin.fr/ad/voitures/3140247303" TargetMode="External" Id="rId63" /><Relationship Type="http://schemas.openxmlformats.org/officeDocument/2006/relationships/hyperlink" Target="https://www.leboncoin.fr/ad/voitures/3155762075" TargetMode="External" Id="rId64" /><Relationship Type="http://schemas.openxmlformats.org/officeDocument/2006/relationships/hyperlink" Target="https://www.leboncoin.fr/ad/voitures/3165194701" TargetMode="External" Id="rId65" /><Relationship Type="http://schemas.openxmlformats.org/officeDocument/2006/relationships/hyperlink" Target="https://www.leboncoin.fr/ad/voitures/3166175681" TargetMode="External" Id="rId66" /><Relationship Type="http://schemas.openxmlformats.org/officeDocument/2006/relationships/hyperlink" Target="https://www.leboncoin.fr/ad/voitures/3182140973" TargetMode="External" Id="rId67" /><Relationship Type="http://schemas.openxmlformats.org/officeDocument/2006/relationships/hyperlink" Target="https://www.leboncoin.fr/ad/voitures/3183271891" TargetMode="External" Id="rId68" /><Relationship Type="http://schemas.openxmlformats.org/officeDocument/2006/relationships/hyperlink" Target="https://www.leboncoin.fr/ad/voitures/3185838540" TargetMode="External" Id="rId69" /><Relationship Type="http://schemas.openxmlformats.org/officeDocument/2006/relationships/hyperlink" Target="https://www.leboncoin.fr/ad/voitures/3206462061" TargetMode="External" Id="rId70" /><Relationship Type="http://schemas.openxmlformats.org/officeDocument/2006/relationships/hyperlink" Target="https://www.leboncoin.fr/ad/voitures/3217513763" TargetMode="External" Id="rId71" /><Relationship Type="http://schemas.openxmlformats.org/officeDocument/2006/relationships/hyperlink" Target="https://www.leboncoin.fr/ad/voitures/3231572470" TargetMode="External" Id="rId72" /><Relationship Type="http://schemas.openxmlformats.org/officeDocument/2006/relationships/hyperlink" Target="https://www.leboncoin.fr/ad/voitures/3234430383" TargetMode="External" Id="rId73" /><Relationship Type="http://schemas.openxmlformats.org/officeDocument/2006/relationships/hyperlink" Target="https://www.leboncoin.fr/ad/voitures/3237454171" TargetMode="External" Id="rId74" /><Relationship Type="http://schemas.openxmlformats.org/officeDocument/2006/relationships/hyperlink" Target="https://www.leboncoin.fr/ad/voitures/3243670260" TargetMode="External" Id="rId75" /><Relationship Type="http://schemas.openxmlformats.org/officeDocument/2006/relationships/hyperlink" Target="https://www.leboncoin.fr/ad/voitures/3246600883" TargetMode="External" Id="rId76" /><Relationship Type="http://schemas.openxmlformats.org/officeDocument/2006/relationships/hyperlink" Target="https://www.leboncoin.fr/ad/voitures/3247204311" TargetMode="External" Id="rId77" /><Relationship Type="http://schemas.openxmlformats.org/officeDocument/2006/relationships/hyperlink" Target="https://www.leboncoin.fr/ad/voitures/3247698308" TargetMode="External" Id="rId78" /><Relationship Type="http://schemas.openxmlformats.org/officeDocument/2006/relationships/hyperlink" Target="https://www.leboncoin.fr/ad/voitures/3247804233" TargetMode="External" Id="rId79" /><Relationship Type="http://schemas.openxmlformats.org/officeDocument/2006/relationships/hyperlink" Target="https://www.leboncoin.fr/ad/voitures/3249751722" TargetMode="External" Id="rId80" /><Relationship Type="http://schemas.openxmlformats.org/officeDocument/2006/relationships/hyperlink" Target="https://www.leboncoin.fr/ad/voitures/3253686728" TargetMode="External" Id="rId81" /><Relationship Type="http://schemas.openxmlformats.org/officeDocument/2006/relationships/hyperlink" Target="https://www.leboncoin.fr/ad/voitures/3254057230" TargetMode="External" Id="rId82" /><Relationship Type="http://schemas.openxmlformats.org/officeDocument/2006/relationships/hyperlink" Target="https://www.leboncoin.fr/ad/voitures/3254395601" TargetMode="External" Id="rId83" /><Relationship Type="http://schemas.openxmlformats.org/officeDocument/2006/relationships/hyperlink" Target="https://www.leboncoin.fr/ad/voitures/3254788855" TargetMode="External" Id="rId84" /><Relationship Type="http://schemas.openxmlformats.org/officeDocument/2006/relationships/hyperlink" Target="https://www.leboncoin.fr/ad/voitures/3256705549" TargetMode="External" Id="rId85" /><Relationship Type="http://schemas.openxmlformats.org/officeDocument/2006/relationships/hyperlink" Target="https://www.leboncoin.fr/ad/voitures/3258000352" TargetMode="External" Id="rId86" /><Relationship Type="http://schemas.openxmlformats.org/officeDocument/2006/relationships/hyperlink" Target="https://www.leboncoin.fr/ad/voitures/3266038843" TargetMode="External" Id="rId87" /><Relationship Type="http://schemas.openxmlformats.org/officeDocument/2006/relationships/hyperlink" Target="https://www.leboncoin.fr/ad/voitures/3268164763" TargetMode="External" Id="rId88" /><Relationship Type="http://schemas.openxmlformats.org/officeDocument/2006/relationships/hyperlink" Target="https://www.leboncoin.fr/ad/voitures/3269545549" TargetMode="External" Id="rId89" /><Relationship Type="http://schemas.openxmlformats.org/officeDocument/2006/relationships/hyperlink" Target="https://www.leboncoin.fr/ad/voitures/3270236878" TargetMode="External" Id="rId90" /><Relationship Type="http://schemas.openxmlformats.org/officeDocument/2006/relationships/hyperlink" Target="https://www.leboncoin.fr/ad/voitures/3270657423" TargetMode="External" Id="rId91" /><Relationship Type="http://schemas.openxmlformats.org/officeDocument/2006/relationships/hyperlink" Target="https://www.leboncoin.fr/ad/voitures/3271776834" TargetMode="External" Id="rId92" /><Relationship Type="http://schemas.openxmlformats.org/officeDocument/2006/relationships/hyperlink" Target="https://www.leboncoin.fr/ad/voitures/3274290118" TargetMode="External" Id="rId93" /><Relationship Type="http://schemas.openxmlformats.org/officeDocument/2006/relationships/hyperlink" Target="https://www.leboncoin.fr/ad/voitures/3275414023" TargetMode="External" Id="rId94" /><Relationship Type="http://schemas.openxmlformats.org/officeDocument/2006/relationships/hyperlink" Target="https://www.leboncoin.fr/ad/voitures/3275889267" TargetMode="External" Id="rId95" /><Relationship Type="http://schemas.openxmlformats.org/officeDocument/2006/relationships/hyperlink" Target="https://www.leboncoin.fr/ad/voitures/3278304133" TargetMode="External" Id="rId96" /><Relationship Type="http://schemas.openxmlformats.org/officeDocument/2006/relationships/hyperlink" Target="https://www.leboncoin.fr/ad/voitures/3278641460" TargetMode="External" Id="rId97" /><Relationship Type="http://schemas.openxmlformats.org/officeDocument/2006/relationships/hyperlink" Target="https://www.leboncoin.fr/ad/voitures/3278735968" TargetMode="External" Id="rId98" /><Relationship Type="http://schemas.openxmlformats.org/officeDocument/2006/relationships/hyperlink" Target="https://www.leboncoin.fr/ad/voitures/3278871252" TargetMode="External" Id="rId99" /><Relationship Type="http://schemas.openxmlformats.org/officeDocument/2006/relationships/hyperlink" Target="https://www.leboncoin.fr/ad/voitures/3279647179" TargetMode="External" Id="rId100" /><Relationship Type="http://schemas.openxmlformats.org/officeDocument/2006/relationships/hyperlink" Target="https://www.leboncoin.fr/ad/voitures/3280188594" TargetMode="External" Id="rId101" /><Relationship Type="http://schemas.openxmlformats.org/officeDocument/2006/relationships/hyperlink" Target="https://www.leboncoin.fr/ad/voitures/3198496140" TargetMode="External" Id="rId102" /><Relationship Type="http://schemas.openxmlformats.org/officeDocument/2006/relationships/hyperlink" Target="https://www.leboncoin.fr/ad/voitures/3199317557" TargetMode="External" Id="rId103" /><Relationship Type="http://schemas.openxmlformats.org/officeDocument/2006/relationships/hyperlink" Target="https://www.leboncoin.fr/ad/voitures/3203841842" TargetMode="External" Id="rId104" /><Relationship Type="http://schemas.openxmlformats.org/officeDocument/2006/relationships/hyperlink" Target="https://www.leboncoin.fr/ad/voitures/3227901009" TargetMode="External" Id="rId105" /><Relationship Type="http://schemas.openxmlformats.org/officeDocument/2006/relationships/hyperlink" Target="https://www.leboncoin.fr/ad/voitures/3232034023" TargetMode="External" Id="rId106" /><Relationship Type="http://schemas.openxmlformats.org/officeDocument/2006/relationships/hyperlink" Target="https://www.leboncoin.fr/ad/voitures/3234020888" TargetMode="External" Id="rId107" /><Relationship Type="http://schemas.openxmlformats.org/officeDocument/2006/relationships/hyperlink" Target="https://www.leboncoin.fr/ad/voitures/3235292026" TargetMode="External" Id="rId108" /><Relationship Type="http://schemas.openxmlformats.org/officeDocument/2006/relationships/hyperlink" Target="https://www.leboncoin.fr/ad/voitures/3235335116" TargetMode="External" Id="rId109" /><Relationship Type="http://schemas.openxmlformats.org/officeDocument/2006/relationships/hyperlink" Target="https://www.leboncoin.fr/ad/voitures/3236647415" TargetMode="External" Id="rId110" /><Relationship Type="http://schemas.openxmlformats.org/officeDocument/2006/relationships/hyperlink" Target="https://www.leboncoin.fr/ad/voitures/3237501387" TargetMode="External" Id="rId111" /><Relationship Type="http://schemas.openxmlformats.org/officeDocument/2006/relationships/hyperlink" Target="https://www.leboncoin.fr/ad/voitures/3255091039" TargetMode="External" Id="rId112" /><Relationship Type="http://schemas.openxmlformats.org/officeDocument/2006/relationships/hyperlink" Target="https://www.leboncoin.fr/ad/voitures/3260415699" TargetMode="External" Id="rId113" /><Relationship Type="http://schemas.openxmlformats.org/officeDocument/2006/relationships/hyperlink" Target="https://www.leboncoin.fr/ad/voitures/3260654659" TargetMode="External" Id="rId114" /><Relationship Type="http://schemas.openxmlformats.org/officeDocument/2006/relationships/hyperlink" Target="https://www.leboncoin.fr/ad/voitures/3262698527" TargetMode="External" Id="rId115" /><Relationship Type="http://schemas.openxmlformats.org/officeDocument/2006/relationships/hyperlink" Target="https://www.leboncoin.fr/ad/voitures/3263224799" TargetMode="External" Id="rId116" /><Relationship Type="http://schemas.openxmlformats.org/officeDocument/2006/relationships/hyperlink" Target="https://www.leboncoin.fr/ad/voitures/3265533307" TargetMode="External" Id="rId117" /><Relationship Type="http://schemas.openxmlformats.org/officeDocument/2006/relationships/hyperlink" Target="https://www.leboncoin.fr/ad/voitures/3267479895" TargetMode="External" Id="rId118" /><Relationship Type="http://schemas.openxmlformats.org/officeDocument/2006/relationships/hyperlink" Target="https://www.leboncoin.fr/ad/voitures/3268572356" TargetMode="External" Id="rId119" /><Relationship Type="http://schemas.openxmlformats.org/officeDocument/2006/relationships/hyperlink" Target="https://www.leboncoin.fr/ad/voitures/3268726676" TargetMode="External" Id="rId120" /><Relationship Type="http://schemas.openxmlformats.org/officeDocument/2006/relationships/hyperlink" Target="https://www.leboncoin.fr/ad/voitures/3269222663" TargetMode="External" Id="rId121" /><Relationship Type="http://schemas.openxmlformats.org/officeDocument/2006/relationships/hyperlink" Target="https://www.leboncoin.fr/ad/voitures/3269876574" TargetMode="External" Id="rId122" /><Relationship Type="http://schemas.openxmlformats.org/officeDocument/2006/relationships/hyperlink" Target="https://www.leboncoin.fr/ad/voitures/3269880037" TargetMode="External" Id="rId123" /><Relationship Type="http://schemas.openxmlformats.org/officeDocument/2006/relationships/hyperlink" Target="https://www.leboncoin.fr/ad/voitures/3269883180" TargetMode="External" Id="rId124" /><Relationship Type="http://schemas.openxmlformats.org/officeDocument/2006/relationships/hyperlink" Target="https://www.leboncoin.fr/ad/voitures/3270050795" TargetMode="External" Id="rId125" /><Relationship Type="http://schemas.openxmlformats.org/officeDocument/2006/relationships/hyperlink" Target="https://www.leboncoin.fr/ad/voitures/3270203905" TargetMode="External" Id="rId126" /><Relationship Type="http://schemas.openxmlformats.org/officeDocument/2006/relationships/hyperlink" Target="https://www.leboncoin.fr/ad/voitures/3270232311" TargetMode="External" Id="rId127" /><Relationship Type="http://schemas.openxmlformats.org/officeDocument/2006/relationships/hyperlink" Target="https://www.leboncoin.fr/ad/voitures/3270458808" TargetMode="External" Id="rId128" /><Relationship Type="http://schemas.openxmlformats.org/officeDocument/2006/relationships/hyperlink" Target="https://www.leboncoin.fr/ad/voitures/3270565112" TargetMode="External" Id="rId129" /><Relationship Type="http://schemas.openxmlformats.org/officeDocument/2006/relationships/hyperlink" Target="https://www.leboncoin.fr/ad/voitures/3271672291" TargetMode="External" Id="rId130" /><Relationship Type="http://schemas.openxmlformats.org/officeDocument/2006/relationships/hyperlink" Target="https://www.leboncoin.fr/ad/voitures/3272203068" TargetMode="External" Id="rId131" /><Relationship Type="http://schemas.openxmlformats.org/officeDocument/2006/relationships/hyperlink" Target="https://www.leboncoin.fr/ad/voitures/3273479241" TargetMode="External" Id="rId132" /><Relationship Type="http://schemas.openxmlformats.org/officeDocument/2006/relationships/hyperlink" Target="https://www.leboncoin.fr/ad/voitures/3275326732" TargetMode="External" Id="rId133" /><Relationship Type="http://schemas.openxmlformats.org/officeDocument/2006/relationships/hyperlink" Target="https://www.leboncoin.fr/ad/voitures/3276609067" TargetMode="External" Id="rId134" /><Relationship Type="http://schemas.openxmlformats.org/officeDocument/2006/relationships/hyperlink" Target="https://www.leboncoin.fr/ad/voitures/3277088692" TargetMode="External" Id="rId135" /><Relationship Type="http://schemas.openxmlformats.org/officeDocument/2006/relationships/hyperlink" Target="https://www.leboncoin.fr/ad/voitures/3277280211" TargetMode="External" Id="rId136" /><Relationship Type="http://schemas.openxmlformats.org/officeDocument/2006/relationships/hyperlink" Target="https://www.leboncoin.fr/ad/voitures/3279515840" TargetMode="External" Id="rId137" /><Relationship Type="http://schemas.openxmlformats.org/officeDocument/2006/relationships/hyperlink" Target="https://www.leboncoin.fr/ad/voitures/3280227190" TargetMode="External" Id="rId138" /><Relationship Type="http://schemas.openxmlformats.org/officeDocument/2006/relationships/hyperlink" Target="https://www.leboncoin.fr/ad/voitures/3199378668" TargetMode="External" Id="rId139" /><Relationship Type="http://schemas.openxmlformats.org/officeDocument/2006/relationships/hyperlink" Target="https://www.leboncoin.fr/ad/voitures/3226018309" TargetMode="External" Id="rId140" /><Relationship Type="http://schemas.openxmlformats.org/officeDocument/2006/relationships/hyperlink" Target="https://www.leboncoin.fr/ad/voitures/3228549093" TargetMode="External" Id="rId141" /><Relationship Type="http://schemas.openxmlformats.org/officeDocument/2006/relationships/hyperlink" Target="https://www.leboncoin.fr/ad/voitures/3232618598" TargetMode="External" Id="rId142" /><Relationship Type="http://schemas.openxmlformats.org/officeDocument/2006/relationships/hyperlink" Target="https://www.leboncoin.fr/ad/voitures/3236436226" TargetMode="External" Id="rId143" /><Relationship Type="http://schemas.openxmlformats.org/officeDocument/2006/relationships/hyperlink" Target="https://www.leboncoin.fr/ad/voitures/3252631252" TargetMode="External" Id="rId144" /><Relationship Type="http://schemas.openxmlformats.org/officeDocument/2006/relationships/hyperlink" Target="https://www.leboncoin.fr/ad/voitures/3257729524" TargetMode="External" Id="rId145" /><Relationship Type="http://schemas.openxmlformats.org/officeDocument/2006/relationships/hyperlink" Target="https://www.leboncoin.fr/ad/voitures/3259144220" TargetMode="External" Id="rId146" /><Relationship Type="http://schemas.openxmlformats.org/officeDocument/2006/relationships/hyperlink" Target="https://www.leboncoin.fr/ad/voitures/3262353989" TargetMode="External" Id="rId147" /><Relationship Type="http://schemas.openxmlformats.org/officeDocument/2006/relationships/hyperlink" Target="https://www.leboncoin.fr/ad/voitures/3264569173" TargetMode="External" Id="rId148" /><Relationship Type="http://schemas.openxmlformats.org/officeDocument/2006/relationships/hyperlink" Target="https://www.leboncoin.fr/ad/voitures/3265038164" TargetMode="External" Id="rId149" /><Relationship Type="http://schemas.openxmlformats.org/officeDocument/2006/relationships/hyperlink" Target="https://www.leboncoin.fr/ad/voitures/3267921242" TargetMode="External" Id="rId150" /><Relationship Type="http://schemas.openxmlformats.org/officeDocument/2006/relationships/hyperlink" Target="https://www.leboncoin.fr/ad/voitures/3270139360" TargetMode="External" Id="rId151" /><Relationship Type="http://schemas.openxmlformats.org/officeDocument/2006/relationships/hyperlink" Target="https://www.leboncoin.fr/ad/voitures/3271015511" TargetMode="External" Id="rId152" /><Relationship Type="http://schemas.openxmlformats.org/officeDocument/2006/relationships/hyperlink" Target="https://www.leboncoin.fr/ad/voitures/3271061636" TargetMode="External" Id="rId153" /><Relationship Type="http://schemas.openxmlformats.org/officeDocument/2006/relationships/hyperlink" Target="https://www.leboncoin.fr/ad/voitures/3271423566" TargetMode="External" Id="rId154" /><Relationship Type="http://schemas.openxmlformats.org/officeDocument/2006/relationships/hyperlink" Target="https://www.leboncoin.fr/ad/voitures/3272026247" TargetMode="External" Id="rId155" /><Relationship Type="http://schemas.openxmlformats.org/officeDocument/2006/relationships/hyperlink" Target="https://www.leboncoin.fr/ad/voitures/3273035594" TargetMode="External" Id="rId156" /><Relationship Type="http://schemas.openxmlformats.org/officeDocument/2006/relationships/hyperlink" Target="https://www.leboncoin.fr/ad/voitures/3273223439" TargetMode="External" Id="rId157" /><Relationship Type="http://schemas.openxmlformats.org/officeDocument/2006/relationships/hyperlink" Target="https://www.leboncoin.fr/ad/voitures/3273415437" TargetMode="External" Id="rId158" /><Relationship Type="http://schemas.openxmlformats.org/officeDocument/2006/relationships/hyperlink" Target="https://www.leboncoin.fr/ad/voitures/3273551701" TargetMode="External" Id="rId159" /><Relationship Type="http://schemas.openxmlformats.org/officeDocument/2006/relationships/hyperlink" Target="https://www.leboncoin.fr/ad/voitures/3273983702" TargetMode="External" Id="rId160" /><Relationship Type="http://schemas.openxmlformats.org/officeDocument/2006/relationships/hyperlink" Target="https://www.leboncoin.fr/ad/voitures/3274091200" TargetMode="External" Id="rId161" /><Relationship Type="http://schemas.openxmlformats.org/officeDocument/2006/relationships/hyperlink" Target="https://www.leboncoin.fr/ad/voitures/3274510816" TargetMode="External" Id="rId162" /><Relationship Type="http://schemas.openxmlformats.org/officeDocument/2006/relationships/hyperlink" Target="https://www.leboncoin.fr/ad/voitures/3274519093" TargetMode="External" Id="rId163" /><Relationship Type="http://schemas.openxmlformats.org/officeDocument/2006/relationships/hyperlink" Target="https://www.leboncoin.fr/ad/voitures/3274885691" TargetMode="External" Id="rId164" /><Relationship Type="http://schemas.openxmlformats.org/officeDocument/2006/relationships/hyperlink" Target="https://www.leboncoin.fr/ad/voitures/3276172426" TargetMode="External" Id="rId165" /><Relationship Type="http://schemas.openxmlformats.org/officeDocument/2006/relationships/hyperlink" Target="https://www.leboncoin.fr/ad/voitures/3276591709" TargetMode="External" Id="rId166" /><Relationship Type="http://schemas.openxmlformats.org/officeDocument/2006/relationships/hyperlink" Target="https://www.leboncoin.fr/ad/voitures/3278135099" TargetMode="External" Id="rId167" /><Relationship Type="http://schemas.openxmlformats.org/officeDocument/2006/relationships/hyperlink" Target="https://www.leboncoin.fr/ad/voitures/3278574221" TargetMode="External" Id="rId168" /><Relationship Type="http://schemas.openxmlformats.org/officeDocument/2006/relationships/hyperlink" Target="https://www.leboncoin.fr/ad/voitures/3278855920" TargetMode="External" Id="rId169" /><Relationship Type="http://schemas.openxmlformats.org/officeDocument/2006/relationships/hyperlink" Target="https://www.leboncoin.fr/ad/voitures/3279074639" TargetMode="External" Id="rId170" /><Relationship Type="http://schemas.openxmlformats.org/officeDocument/2006/relationships/hyperlink" Target="https://www.leboncoin.fr/ad/voitures/3279249484" TargetMode="External" Id="rId171" /><Relationship Type="http://schemas.openxmlformats.org/officeDocument/2006/relationships/hyperlink" Target="https://www.leboncoin.fr/ad/voitures/3279375431" TargetMode="External" Id="rId172" /><Relationship Type="http://schemas.openxmlformats.org/officeDocument/2006/relationships/hyperlink" Target="https://www.leboncoin.fr/ad/voitures/3279615676" TargetMode="External" Id="rId173" /><Relationship Type="http://schemas.openxmlformats.org/officeDocument/2006/relationships/hyperlink" Target="https://www.leboncoin.fr/ad/voitures/3279816006" TargetMode="External" Id="rId174" /><Relationship Type="http://schemas.openxmlformats.org/officeDocument/2006/relationships/hyperlink" Target="https://www.leboncoin.fr/ad/voitures/3280078944" TargetMode="External" Id="rId175" /><Relationship Type="http://schemas.openxmlformats.org/officeDocument/2006/relationships/hyperlink" Target="https://www.leboncoin.fr/ad/voitures/3280278211" TargetMode="External" Id="rId176" /><Relationship Type="http://schemas.openxmlformats.org/officeDocument/2006/relationships/hyperlink" Target="https://www.leboncoin.fr/ad/voitures/2988747124" TargetMode="External" Id="rId177" /><Relationship Type="http://schemas.openxmlformats.org/officeDocument/2006/relationships/hyperlink" Target="https://www.leboncoin.fr/ad/voitures/3123040394" TargetMode="External" Id="rId178" /><Relationship Type="http://schemas.openxmlformats.org/officeDocument/2006/relationships/hyperlink" Target="https://www.leboncoin.fr/ad/voitures/3151025653" TargetMode="External" Id="rId179" /><Relationship Type="http://schemas.openxmlformats.org/officeDocument/2006/relationships/hyperlink" Target="https://www.leboncoin.fr/ad/voitures/3193819824" TargetMode="External" Id="rId180" /><Relationship Type="http://schemas.openxmlformats.org/officeDocument/2006/relationships/hyperlink" Target="https://www.leboncoin.fr/ad/voitures/3202654340" TargetMode="External" Id="rId181" /><Relationship Type="http://schemas.openxmlformats.org/officeDocument/2006/relationships/hyperlink" Target="https://www.leboncoin.fr/ad/voitures/3227695185" TargetMode="External" Id="rId182" /><Relationship Type="http://schemas.openxmlformats.org/officeDocument/2006/relationships/hyperlink" Target="https://www.leboncoin.fr/ad/voitures/3234323904" TargetMode="External" Id="rId183" /><Relationship Type="http://schemas.openxmlformats.org/officeDocument/2006/relationships/hyperlink" Target="https://www.leboncoin.fr/ad/voitures/3248463615" TargetMode="External" Id="rId184" /><Relationship Type="http://schemas.openxmlformats.org/officeDocument/2006/relationships/hyperlink" Target="https://www.leboncoin.fr/ad/voitures/3251217335" TargetMode="External" Id="rId185" /><Relationship Type="http://schemas.openxmlformats.org/officeDocument/2006/relationships/hyperlink" Target="https://www.leboncoin.fr/ad/voitures/3254206684" TargetMode="External" Id="rId186" /><Relationship Type="http://schemas.openxmlformats.org/officeDocument/2006/relationships/hyperlink" Target="https://www.leboncoin.fr/ad/voitures/3256639318" TargetMode="External" Id="rId187" /><Relationship Type="http://schemas.openxmlformats.org/officeDocument/2006/relationships/hyperlink" Target="https://www.leboncoin.fr/ad/voitures/3258113450" TargetMode="External" Id="rId188" /><Relationship Type="http://schemas.openxmlformats.org/officeDocument/2006/relationships/hyperlink" Target="https://www.leboncoin.fr/ad/voitures/3258422146" TargetMode="External" Id="rId189" /><Relationship Type="http://schemas.openxmlformats.org/officeDocument/2006/relationships/hyperlink" Target="https://www.leboncoin.fr/ad/voitures/3259064609" TargetMode="External" Id="rId190" /><Relationship Type="http://schemas.openxmlformats.org/officeDocument/2006/relationships/hyperlink" Target="https://www.leboncoin.fr/ad/voitures/3262442354" TargetMode="External" Id="rId191" /><Relationship Type="http://schemas.openxmlformats.org/officeDocument/2006/relationships/hyperlink" Target="https://www.leboncoin.fr/ad/voitures/3264412764" TargetMode="External" Id="rId192" /><Relationship Type="http://schemas.openxmlformats.org/officeDocument/2006/relationships/hyperlink" Target="https://www.leboncoin.fr/ad/voitures/3265358347" TargetMode="External" Id="rId193" /><Relationship Type="http://schemas.openxmlformats.org/officeDocument/2006/relationships/hyperlink" Target="https://www.leboncoin.fr/ad/voitures/3265384769" TargetMode="External" Id="rId194" /><Relationship Type="http://schemas.openxmlformats.org/officeDocument/2006/relationships/hyperlink" Target="https://www.leboncoin.fr/ad/voitures/3267576253" TargetMode="External" Id="rId195" /><Relationship Type="http://schemas.openxmlformats.org/officeDocument/2006/relationships/hyperlink" Target="https://www.leboncoin.fr/ad/voitures/3268704461" TargetMode="External" Id="rId196" /><Relationship Type="http://schemas.openxmlformats.org/officeDocument/2006/relationships/hyperlink" Target="https://www.leboncoin.fr/ad/voitures/3269057716" TargetMode="External" Id="rId197" /><Relationship Type="http://schemas.openxmlformats.org/officeDocument/2006/relationships/hyperlink" Target="https://www.leboncoin.fr/ad/voitures/3270523427" TargetMode="External" Id="rId198" /><Relationship Type="http://schemas.openxmlformats.org/officeDocument/2006/relationships/hyperlink" Target="https://www.leboncoin.fr/ad/voitures/3270650631" TargetMode="External" Id="rId199" /><Relationship Type="http://schemas.openxmlformats.org/officeDocument/2006/relationships/hyperlink" Target="https://www.leboncoin.fr/ad/voitures/3271026847" TargetMode="External" Id="rId200" /><Relationship Type="http://schemas.openxmlformats.org/officeDocument/2006/relationships/hyperlink" Target="https://www.leboncoin.fr/ad/voitures/3271661241" TargetMode="External" Id="rId201" /><Relationship Type="http://schemas.openxmlformats.org/officeDocument/2006/relationships/hyperlink" Target="https://www.leboncoin.fr/ad/voitures/3273170431" TargetMode="External" Id="rId202" /><Relationship Type="http://schemas.openxmlformats.org/officeDocument/2006/relationships/hyperlink" Target="https://www.leboncoin.fr/ad/voitures/3275009272" TargetMode="External" Id="rId203" /><Relationship Type="http://schemas.openxmlformats.org/officeDocument/2006/relationships/hyperlink" Target="https://www.leboncoin.fr/ad/voitures/3275531733" TargetMode="External" Id="rId204" /><Relationship Type="http://schemas.openxmlformats.org/officeDocument/2006/relationships/hyperlink" Target="https://www.leboncoin.fr/ad/voitures/3276061576" TargetMode="External" Id="rId205" /><Relationship Type="http://schemas.openxmlformats.org/officeDocument/2006/relationships/hyperlink" Target="https://www.leboncoin.fr/ad/voitures/3276929411" TargetMode="External" Id="rId206" /><Relationship Type="http://schemas.openxmlformats.org/officeDocument/2006/relationships/hyperlink" Target="https://www.leboncoin.fr/ad/voitures/3277073683" TargetMode="External" Id="rId207" /><Relationship Type="http://schemas.openxmlformats.org/officeDocument/2006/relationships/hyperlink" Target="https://www.leboncoin.fr/ad/voitures/3277840482" TargetMode="External" Id="rId208" /><Relationship Type="http://schemas.openxmlformats.org/officeDocument/2006/relationships/hyperlink" Target="https://www.leboncoin.fr/ad/voitures/3278317897" TargetMode="External" Id="rId209" /><Relationship Type="http://schemas.openxmlformats.org/officeDocument/2006/relationships/hyperlink" Target="https://www.leboncoin.fr/ad/voitures/3278631826" TargetMode="External" Id="rId210" /><Relationship Type="http://schemas.openxmlformats.org/officeDocument/2006/relationships/hyperlink" Target="https://www.leboncoin.fr/ad/voitures/3278866640" TargetMode="External" Id="rId211" /><Relationship Type="http://schemas.openxmlformats.org/officeDocument/2006/relationships/hyperlink" Target="https://www.leboncoin.fr/ad/voitures/3278894245" TargetMode="External" Id="rId212" /><Relationship Type="http://schemas.openxmlformats.org/officeDocument/2006/relationships/hyperlink" Target="https://www.leboncoin.fr/ad/voitures/3279039279" TargetMode="External" Id="rId213" /><Relationship Type="http://schemas.openxmlformats.org/officeDocument/2006/relationships/hyperlink" Target="https://www.leboncoin.fr/ad/voitures/3279053465" TargetMode="External" Id="rId214" /><Relationship Type="http://schemas.openxmlformats.org/officeDocument/2006/relationships/hyperlink" Target="https://www.leboncoin.fr/ad/voitures/3279236263" TargetMode="External" Id="rId215" /><Relationship Type="http://schemas.openxmlformats.org/officeDocument/2006/relationships/hyperlink" Target="https://www.leboncoin.fr/ad/voitures/3279820686" TargetMode="External" Id="rId216" /><Relationship Type="http://schemas.openxmlformats.org/officeDocument/2006/relationships/hyperlink" Target="https://www.leboncoin.fr/ad/voitures/3280095370" TargetMode="External" Id="rId217" /><Relationship Type="http://schemas.openxmlformats.org/officeDocument/2006/relationships/hyperlink" Target="https://www.leboncoin.fr/ad/voitures/3280307630" TargetMode="External" Id="rId218" /><Relationship Type="http://schemas.openxmlformats.org/officeDocument/2006/relationships/hyperlink" Target="https://www.leboncoin.fr/ad/voitures/3164531752" TargetMode="External" Id="rId219" /><Relationship Type="http://schemas.openxmlformats.org/officeDocument/2006/relationships/hyperlink" Target="https://www.leboncoin.fr/ad/voitures/3210880878" TargetMode="External" Id="rId220" /><Relationship Type="http://schemas.openxmlformats.org/officeDocument/2006/relationships/hyperlink" Target="https://www.leboncoin.fr/ad/voitures/3242289072" TargetMode="External" Id="rId221" /><Relationship Type="http://schemas.openxmlformats.org/officeDocument/2006/relationships/hyperlink" Target="https://www.leboncoin.fr/ad/voitures/3249108312" TargetMode="External" Id="rId222" /><Relationship Type="http://schemas.openxmlformats.org/officeDocument/2006/relationships/hyperlink" Target="https://www.leboncoin.fr/ad/voitures/3268508446" TargetMode="External" Id="rId223" /><Relationship Type="http://schemas.openxmlformats.org/officeDocument/2006/relationships/hyperlink" Target="https://www.leboncoin.fr/ad/voitures/3270584772" TargetMode="External" Id="rId224" /><Relationship Type="http://schemas.openxmlformats.org/officeDocument/2006/relationships/hyperlink" Target="https://www.leboncoin.fr/ad/voitures/3271215938" TargetMode="External" Id="rId225" /><Relationship Type="http://schemas.openxmlformats.org/officeDocument/2006/relationships/hyperlink" Target="https://www.leboncoin.fr/ad/voitures/3275390710" TargetMode="External" Id="rId226" /><Relationship Type="http://schemas.openxmlformats.org/officeDocument/2006/relationships/hyperlink" Target="https://www.leboncoin.fr/ad/voitures/3275427165" TargetMode="External" Id="rId227" /><Relationship Type="http://schemas.openxmlformats.org/officeDocument/2006/relationships/hyperlink" Target="https://www.leboncoin.fr/ad/voitures/3278215050" TargetMode="External" Id="rId228" /><Relationship Type="http://schemas.openxmlformats.org/officeDocument/2006/relationships/hyperlink" Target="https://www.leboncoin.fr/ad/voitures/3006219965" TargetMode="External" Id="rId229" /><Relationship Type="http://schemas.openxmlformats.org/officeDocument/2006/relationships/hyperlink" Target="https://www.leboncoin.fr/ad/voitures/3218818524" TargetMode="External" Id="rId230" /><Relationship Type="http://schemas.openxmlformats.org/officeDocument/2006/relationships/hyperlink" Target="https://www.leboncoin.fr/ad/voitures/3235223068" TargetMode="External" Id="rId231" /><Relationship Type="http://schemas.openxmlformats.org/officeDocument/2006/relationships/hyperlink" Target="https://www.leboncoin.fr/ad/voitures/3257692927" TargetMode="External" Id="rId232" /><Relationship Type="http://schemas.openxmlformats.org/officeDocument/2006/relationships/hyperlink" Target="https://www.leboncoin.fr/ad/voitures/3261159396" TargetMode="External" Id="rId233" /><Relationship Type="http://schemas.openxmlformats.org/officeDocument/2006/relationships/hyperlink" Target="https://www.leboncoin.fr/ad/voitures/3261609180" TargetMode="External" Id="rId234" /><Relationship Type="http://schemas.openxmlformats.org/officeDocument/2006/relationships/hyperlink" Target="https://www.leboncoin.fr/ad/voitures/3261852437" TargetMode="External" Id="rId235" /><Relationship Type="http://schemas.openxmlformats.org/officeDocument/2006/relationships/hyperlink" Target="https://www.leboncoin.fr/ad/voitures/3263390958" TargetMode="External" Id="rId236" /><Relationship Type="http://schemas.openxmlformats.org/officeDocument/2006/relationships/hyperlink" Target="https://www.leboncoin.fr/ad/voitures/3267049380" TargetMode="External" Id="rId237" /><Relationship Type="http://schemas.openxmlformats.org/officeDocument/2006/relationships/hyperlink" Target="https://www.leboncoin.fr/ad/voitures/3267140247" TargetMode="External" Id="rId238" /><Relationship Type="http://schemas.openxmlformats.org/officeDocument/2006/relationships/hyperlink" Target="https://www.leboncoin.fr/ad/voitures/3267746572" TargetMode="External" Id="rId239" /><Relationship Type="http://schemas.openxmlformats.org/officeDocument/2006/relationships/hyperlink" Target="https://www.leboncoin.fr/ad/voitures/3268479738" TargetMode="External" Id="rId240" /><Relationship Type="http://schemas.openxmlformats.org/officeDocument/2006/relationships/hyperlink" Target="https://www.leboncoin.fr/ad/voitures/3270051665" TargetMode="External" Id="rId241" /><Relationship Type="http://schemas.openxmlformats.org/officeDocument/2006/relationships/hyperlink" Target="https://www.leboncoin.fr/ad/voitures/3270125349" TargetMode="External" Id="rId242" /><Relationship Type="http://schemas.openxmlformats.org/officeDocument/2006/relationships/hyperlink" Target="https://www.leboncoin.fr/ad/voitures/3271090302" TargetMode="External" Id="rId243" /><Relationship Type="http://schemas.openxmlformats.org/officeDocument/2006/relationships/hyperlink" Target="https://www.leboncoin.fr/ad/voitures/3272177449" TargetMode="External" Id="rId244" /><Relationship Type="http://schemas.openxmlformats.org/officeDocument/2006/relationships/hyperlink" Target="https://www.leboncoin.fr/ad/voitures/3272423201" TargetMode="External" Id="rId245" /><Relationship Type="http://schemas.openxmlformats.org/officeDocument/2006/relationships/hyperlink" Target="https://www.leboncoin.fr/ad/voitures/3272452236" TargetMode="External" Id="rId246" /><Relationship Type="http://schemas.openxmlformats.org/officeDocument/2006/relationships/hyperlink" Target="https://www.leboncoin.fr/ad/voitures/3273929462" TargetMode="External" Id="rId247" /><Relationship Type="http://schemas.openxmlformats.org/officeDocument/2006/relationships/hyperlink" Target="https://www.leboncoin.fr/ad/voitures/3276024169" TargetMode="External" Id="rId248" /><Relationship Type="http://schemas.openxmlformats.org/officeDocument/2006/relationships/hyperlink" Target="https://www.leboncoin.fr/ad/voitures/3276353657" TargetMode="External" Id="rId249" /><Relationship Type="http://schemas.openxmlformats.org/officeDocument/2006/relationships/hyperlink" Target="https://www.leboncoin.fr/ad/voitures/3276437381" TargetMode="External" Id="rId250" /><Relationship Type="http://schemas.openxmlformats.org/officeDocument/2006/relationships/hyperlink" Target="https://www.leboncoin.fr/ad/voitures/3276571950" TargetMode="External" Id="rId251" /><Relationship Type="http://schemas.openxmlformats.org/officeDocument/2006/relationships/hyperlink" Target="https://www.leboncoin.fr/ad/voitures/3277457567" TargetMode="External" Id="rId252" /><Relationship Type="http://schemas.openxmlformats.org/officeDocument/2006/relationships/hyperlink" Target="https://www.leboncoin.fr/ad/voitures/3280107297" TargetMode="External" Id="rId253" /><Relationship Type="http://schemas.openxmlformats.org/officeDocument/2006/relationships/hyperlink" Target="https://www.leboncoin.fr/ad/voitures/2751924257" TargetMode="External" Id="rId254" /><Relationship Type="http://schemas.openxmlformats.org/officeDocument/2006/relationships/hyperlink" Target="https://www.leboncoin.fr/ad/voitures/3024366461" TargetMode="External" Id="rId255" /><Relationship Type="http://schemas.openxmlformats.org/officeDocument/2006/relationships/hyperlink" Target="https://www.leboncoin.fr/ad/voitures/3058221809" TargetMode="External" Id="rId256" /><Relationship Type="http://schemas.openxmlformats.org/officeDocument/2006/relationships/hyperlink" Target="https://www.leboncoin.fr/ad/voitures/3100841497" TargetMode="External" Id="rId257" /><Relationship Type="http://schemas.openxmlformats.org/officeDocument/2006/relationships/hyperlink" Target="https://www.leboncoin.fr/ad/voitures/3135209876" TargetMode="External" Id="rId258" /><Relationship Type="http://schemas.openxmlformats.org/officeDocument/2006/relationships/hyperlink" Target="https://www.leboncoin.fr/ad/voitures/3177094157" TargetMode="External" Id="rId259" /><Relationship Type="http://schemas.openxmlformats.org/officeDocument/2006/relationships/hyperlink" Target="https://www.leboncoin.fr/ad/voitures/3203471672" TargetMode="External" Id="rId260" /><Relationship Type="http://schemas.openxmlformats.org/officeDocument/2006/relationships/hyperlink" Target="https://www.leboncoin.fr/ad/voitures/3205610309" TargetMode="External" Id="rId261" /><Relationship Type="http://schemas.openxmlformats.org/officeDocument/2006/relationships/hyperlink" Target="https://www.leboncoin.fr/ad/voitures/3207867613" TargetMode="External" Id="rId262" /><Relationship Type="http://schemas.openxmlformats.org/officeDocument/2006/relationships/hyperlink" Target="https://www.leboncoin.fr/ad/voitures/3208968875" TargetMode="External" Id="rId263" /><Relationship Type="http://schemas.openxmlformats.org/officeDocument/2006/relationships/hyperlink" Target="https://www.leboncoin.fr/ad/voitures/3225420947" TargetMode="External" Id="rId264" /><Relationship Type="http://schemas.openxmlformats.org/officeDocument/2006/relationships/hyperlink" Target="https://www.leboncoin.fr/ad/voitures/3225995323" TargetMode="External" Id="rId265" /><Relationship Type="http://schemas.openxmlformats.org/officeDocument/2006/relationships/hyperlink" Target="https://www.leboncoin.fr/ad/voitures/3226399068" TargetMode="External" Id="rId266" /><Relationship Type="http://schemas.openxmlformats.org/officeDocument/2006/relationships/hyperlink" Target="https://www.leboncoin.fr/ad/voitures/3229875348" TargetMode="External" Id="rId267" /><Relationship Type="http://schemas.openxmlformats.org/officeDocument/2006/relationships/hyperlink" Target="https://www.leboncoin.fr/ad/voitures/3230591026" TargetMode="External" Id="rId268" /><Relationship Type="http://schemas.openxmlformats.org/officeDocument/2006/relationships/hyperlink" Target="https://www.leboncoin.fr/ad/voitures/3231127202" TargetMode="External" Id="rId269" /><Relationship Type="http://schemas.openxmlformats.org/officeDocument/2006/relationships/hyperlink" Target="https://www.leboncoin.fr/ad/voitures/3234122932" TargetMode="External" Id="rId270" /><Relationship Type="http://schemas.openxmlformats.org/officeDocument/2006/relationships/hyperlink" Target="https://www.leboncoin.fr/ad/voitures/3242206815" TargetMode="External" Id="rId271" /><Relationship Type="http://schemas.openxmlformats.org/officeDocument/2006/relationships/hyperlink" Target="https://www.leboncoin.fr/ad/voitures/3255178405" TargetMode="External" Id="rId272" /><Relationship Type="http://schemas.openxmlformats.org/officeDocument/2006/relationships/hyperlink" Target="https://www.leboncoin.fr/ad/voitures/3260467720" TargetMode="External" Id="rId273" /><Relationship Type="http://schemas.openxmlformats.org/officeDocument/2006/relationships/hyperlink" Target="https://www.leboncoin.fr/ad/voitures/3260820600" TargetMode="External" Id="rId274" /><Relationship Type="http://schemas.openxmlformats.org/officeDocument/2006/relationships/hyperlink" Target="https://www.leboncoin.fr/ad/voitures/3262657061" TargetMode="External" Id="rId275" /><Relationship Type="http://schemas.openxmlformats.org/officeDocument/2006/relationships/hyperlink" Target="https://www.leboncoin.fr/ad/voitures/3265883612" TargetMode="External" Id="rId276" /><Relationship Type="http://schemas.openxmlformats.org/officeDocument/2006/relationships/hyperlink" Target="https://www.leboncoin.fr/ad/voitures/3268572742" TargetMode="External" Id="rId277" /><Relationship Type="http://schemas.openxmlformats.org/officeDocument/2006/relationships/hyperlink" Target="https://www.leboncoin.fr/ad/voitures/3270837815" TargetMode="External" Id="rId278" /><Relationship Type="http://schemas.openxmlformats.org/officeDocument/2006/relationships/hyperlink" Target="https://www.leboncoin.fr/ad/voitures/3271951396" TargetMode="External" Id="rId279" /><Relationship Type="http://schemas.openxmlformats.org/officeDocument/2006/relationships/hyperlink" Target="https://www.leboncoin.fr/ad/voitures/3272054365" TargetMode="External" Id="rId280" /><Relationship Type="http://schemas.openxmlformats.org/officeDocument/2006/relationships/hyperlink" Target="https://www.leboncoin.fr/ad/voitures/3272281258" TargetMode="External" Id="rId281" /><Relationship Type="http://schemas.openxmlformats.org/officeDocument/2006/relationships/hyperlink" Target="https://www.leboncoin.fr/ad/voitures/3272652346" TargetMode="External" Id="rId282" /><Relationship Type="http://schemas.openxmlformats.org/officeDocument/2006/relationships/hyperlink" Target="https://www.leboncoin.fr/ad/voitures/3274429079" TargetMode="External" Id="rId283" /><Relationship Type="http://schemas.openxmlformats.org/officeDocument/2006/relationships/hyperlink" Target="https://www.leboncoin.fr/ad/voitures/3274821732" TargetMode="External" Id="rId284" /><Relationship Type="http://schemas.openxmlformats.org/officeDocument/2006/relationships/hyperlink" Target="https://www.leboncoin.fr/ad/voitures/3277227146" TargetMode="External" Id="rId285" /><Relationship Type="http://schemas.openxmlformats.org/officeDocument/2006/relationships/hyperlink" Target="https://www.leboncoin.fr/ad/voitures/3278165059" TargetMode="External" Id="rId286" /><Relationship Type="http://schemas.openxmlformats.org/officeDocument/2006/relationships/hyperlink" Target="https://www.leboncoin.fr/ad/voitures/3278304511" TargetMode="External" Id="rId287" /><Relationship Type="http://schemas.openxmlformats.org/officeDocument/2006/relationships/hyperlink" Target="https://www.leboncoin.fr/ad/voitures/3278388453" TargetMode="External" Id="rId288" /><Relationship Type="http://schemas.openxmlformats.org/officeDocument/2006/relationships/hyperlink" Target="https://www.leboncoin.fr/ad/voitures/3278787277" TargetMode="External" Id="rId289" /><Relationship Type="http://schemas.openxmlformats.org/officeDocument/2006/relationships/hyperlink" Target="https://www.leboncoin.fr/ad/voitures/3089498689" TargetMode="External" Id="rId290" /><Relationship Type="http://schemas.openxmlformats.org/officeDocument/2006/relationships/hyperlink" Target="https://www.leboncoin.fr/ad/voitures/3106206580" TargetMode="External" Id="rId291" /><Relationship Type="http://schemas.openxmlformats.org/officeDocument/2006/relationships/hyperlink" Target="https://www.leboncoin.fr/ad/voitures/3147288483" TargetMode="External" Id="rId292" /><Relationship Type="http://schemas.openxmlformats.org/officeDocument/2006/relationships/hyperlink" Target="https://www.leboncoin.fr/ad/voitures/3151264594" TargetMode="External" Id="rId293" /><Relationship Type="http://schemas.openxmlformats.org/officeDocument/2006/relationships/hyperlink" Target="https://www.leboncoin.fr/ad/voitures/3161953342" TargetMode="External" Id="rId294" /><Relationship Type="http://schemas.openxmlformats.org/officeDocument/2006/relationships/hyperlink" Target="https://www.leboncoin.fr/ad/voitures/3171445222" TargetMode="External" Id="rId295" /><Relationship Type="http://schemas.openxmlformats.org/officeDocument/2006/relationships/hyperlink" Target="https://www.leboncoin.fr/ad/voitures/3194804756" TargetMode="External" Id="rId296" /><Relationship Type="http://schemas.openxmlformats.org/officeDocument/2006/relationships/hyperlink" Target="https://www.leboncoin.fr/ad/voitures/3205141466" TargetMode="External" Id="rId297" /><Relationship Type="http://schemas.openxmlformats.org/officeDocument/2006/relationships/hyperlink" Target="https://www.leboncoin.fr/ad/voitures/3208942462" TargetMode="External" Id="rId298" /><Relationship Type="http://schemas.openxmlformats.org/officeDocument/2006/relationships/hyperlink" Target="https://www.leboncoin.fr/ad/voitures/3214892442" TargetMode="External" Id="rId299" /><Relationship Type="http://schemas.openxmlformats.org/officeDocument/2006/relationships/hyperlink" Target="https://www.leboncoin.fr/ad/voitures/3223210758" TargetMode="External" Id="rId300" /><Relationship Type="http://schemas.openxmlformats.org/officeDocument/2006/relationships/hyperlink" Target="https://www.leboncoin.fr/ad/voitures/3226389764" TargetMode="External" Id="rId301" /><Relationship Type="http://schemas.openxmlformats.org/officeDocument/2006/relationships/hyperlink" Target="https://www.leboncoin.fr/ad/voitures/3227346667" TargetMode="External" Id="rId302" /><Relationship Type="http://schemas.openxmlformats.org/officeDocument/2006/relationships/hyperlink" Target="https://www.leboncoin.fr/ad/voitures/3228200524" TargetMode="External" Id="rId303" /><Relationship Type="http://schemas.openxmlformats.org/officeDocument/2006/relationships/hyperlink" Target="https://www.leboncoin.fr/ad/voitures/3234830440" TargetMode="External" Id="rId304" /><Relationship Type="http://schemas.openxmlformats.org/officeDocument/2006/relationships/hyperlink" Target="https://www.leboncoin.fr/ad/voitures/3235072145" TargetMode="External" Id="rId305" /><Relationship Type="http://schemas.openxmlformats.org/officeDocument/2006/relationships/hyperlink" Target="https://www.leboncoin.fr/ad/voitures/3236629923" TargetMode="External" Id="rId306" /><Relationship Type="http://schemas.openxmlformats.org/officeDocument/2006/relationships/hyperlink" Target="https://www.leboncoin.fr/ad/voitures/3249044905" TargetMode="External" Id="rId307" /><Relationship Type="http://schemas.openxmlformats.org/officeDocument/2006/relationships/hyperlink" Target="https://www.leboncoin.fr/ad/voitures/3257381352" TargetMode="External" Id="rId308" /><Relationship Type="http://schemas.openxmlformats.org/officeDocument/2006/relationships/hyperlink" Target="https://www.leboncoin.fr/ad/voitures/3261091532" TargetMode="External" Id="rId309" /><Relationship Type="http://schemas.openxmlformats.org/officeDocument/2006/relationships/hyperlink" Target="https://www.leboncoin.fr/ad/voitures/3261152041" TargetMode="External" Id="rId310" /><Relationship Type="http://schemas.openxmlformats.org/officeDocument/2006/relationships/hyperlink" Target="https://www.leboncoin.fr/ad/voitures/3265294019" TargetMode="External" Id="rId311" /><Relationship Type="http://schemas.openxmlformats.org/officeDocument/2006/relationships/hyperlink" Target="https://www.leboncoin.fr/ad/voitures/3266137442" TargetMode="External" Id="rId312" /><Relationship Type="http://schemas.openxmlformats.org/officeDocument/2006/relationships/hyperlink" Target="https://www.leboncoin.fr/ad/voitures/3266468992" TargetMode="External" Id="rId313" /><Relationship Type="http://schemas.openxmlformats.org/officeDocument/2006/relationships/hyperlink" Target="https://www.leboncoin.fr/ad/voitures/3267019398" TargetMode="External" Id="rId314" /><Relationship Type="http://schemas.openxmlformats.org/officeDocument/2006/relationships/hyperlink" Target="https://www.leboncoin.fr/ad/voitures/3267529893" TargetMode="External" Id="rId315" /><Relationship Type="http://schemas.openxmlformats.org/officeDocument/2006/relationships/hyperlink" Target="https://www.leboncoin.fr/ad/voitures/3267627094" TargetMode="External" Id="rId316" /><Relationship Type="http://schemas.openxmlformats.org/officeDocument/2006/relationships/hyperlink" Target="https://www.leboncoin.fr/ad/voitures/3269059217" TargetMode="External" Id="rId317" /><Relationship Type="http://schemas.openxmlformats.org/officeDocument/2006/relationships/hyperlink" Target="https://www.leboncoin.fr/ad/voitures/3270983963" TargetMode="External" Id="rId318" /><Relationship Type="http://schemas.openxmlformats.org/officeDocument/2006/relationships/hyperlink" Target="https://www.leboncoin.fr/ad/voitures/3271472221" TargetMode="External" Id="rId319" /><Relationship Type="http://schemas.openxmlformats.org/officeDocument/2006/relationships/hyperlink" Target="https://www.leboncoin.fr/ad/voitures/3272892582" TargetMode="External" Id="rId320" /><Relationship Type="http://schemas.openxmlformats.org/officeDocument/2006/relationships/hyperlink" Target="https://www.leboncoin.fr/ad/voitures/3272963366" TargetMode="External" Id="rId321" /><Relationship Type="http://schemas.openxmlformats.org/officeDocument/2006/relationships/hyperlink" Target="https://www.leboncoin.fr/ad/voitures/3275167558" TargetMode="External" Id="rId322" /><Relationship Type="http://schemas.openxmlformats.org/officeDocument/2006/relationships/hyperlink" Target="https://www.leboncoin.fr/ad/voitures/3275432969" TargetMode="External" Id="rId323" /><Relationship Type="http://schemas.openxmlformats.org/officeDocument/2006/relationships/hyperlink" Target="https://www.leboncoin.fr/ad/voitures/3276464340" TargetMode="External" Id="rId324" /><Relationship Type="http://schemas.openxmlformats.org/officeDocument/2006/relationships/hyperlink" Target="https://www.leboncoin.fr/ad/voitures/3277303432" TargetMode="External" Id="rId325" /><Relationship Type="http://schemas.openxmlformats.org/officeDocument/2006/relationships/hyperlink" Target="https://www.leboncoin.fr/ad/voitures/3277850572" TargetMode="External" Id="rId326" /><Relationship Type="http://schemas.openxmlformats.org/officeDocument/2006/relationships/hyperlink" Target="https://www.leboncoin.fr/ad/voitures/3278140957" TargetMode="External" Id="rId327" /><Relationship Type="http://schemas.openxmlformats.org/officeDocument/2006/relationships/hyperlink" Target="https://www.leboncoin.fr/ad/voitures/3279539872" TargetMode="External" Id="rId328" /><Relationship Type="http://schemas.openxmlformats.org/officeDocument/2006/relationships/hyperlink" Target="https://www.leboncoin.fr/ad/voitures/3279820769" TargetMode="External" Id="rId329" /><Relationship Type="http://schemas.openxmlformats.org/officeDocument/2006/relationships/hyperlink" Target="https://www.leboncoin.fr/ad/voitures/3128001937" TargetMode="External" Id="rId330" /><Relationship Type="http://schemas.openxmlformats.org/officeDocument/2006/relationships/hyperlink" Target="https://www.leboncoin.fr/ad/voitures/3138081600" TargetMode="External" Id="rId331" /><Relationship Type="http://schemas.openxmlformats.org/officeDocument/2006/relationships/hyperlink" Target="https://www.leboncoin.fr/ad/voitures/3192502697" TargetMode="External" Id="rId332" /><Relationship Type="http://schemas.openxmlformats.org/officeDocument/2006/relationships/hyperlink" Target="https://www.leboncoin.fr/ad/voitures/3194330539" TargetMode="External" Id="rId333" /><Relationship Type="http://schemas.openxmlformats.org/officeDocument/2006/relationships/hyperlink" Target="https://www.leboncoin.fr/ad/voitures/3196043714" TargetMode="External" Id="rId334" /><Relationship Type="http://schemas.openxmlformats.org/officeDocument/2006/relationships/hyperlink" Target="https://www.leboncoin.fr/ad/voitures/3206698877" TargetMode="External" Id="rId335" /><Relationship Type="http://schemas.openxmlformats.org/officeDocument/2006/relationships/hyperlink" Target="https://www.leboncoin.fr/ad/voitures/3213424345" TargetMode="External" Id="rId336" /><Relationship Type="http://schemas.openxmlformats.org/officeDocument/2006/relationships/hyperlink" Target="https://www.leboncoin.fr/ad/voitures/3213662086" TargetMode="External" Id="rId337" /><Relationship Type="http://schemas.openxmlformats.org/officeDocument/2006/relationships/hyperlink" Target="https://www.leboncoin.fr/ad/voitures/3214587287" TargetMode="External" Id="rId338" /><Relationship Type="http://schemas.openxmlformats.org/officeDocument/2006/relationships/hyperlink" Target="https://www.leboncoin.fr/ad/voitures/3228156690" TargetMode="External" Id="rId339" /><Relationship Type="http://schemas.openxmlformats.org/officeDocument/2006/relationships/hyperlink" Target="https://www.leboncoin.fr/ad/voitures/3232184088" TargetMode="External" Id="rId340" /><Relationship Type="http://schemas.openxmlformats.org/officeDocument/2006/relationships/hyperlink" Target="https://www.leboncoin.fr/ad/voitures/3239890949" TargetMode="External" Id="rId341" /><Relationship Type="http://schemas.openxmlformats.org/officeDocument/2006/relationships/hyperlink" Target="https://www.leboncoin.fr/ad/voitures/3241715497" TargetMode="External" Id="rId342" /><Relationship Type="http://schemas.openxmlformats.org/officeDocument/2006/relationships/hyperlink" Target="https://www.leboncoin.fr/ad/voitures/3247666341" TargetMode="External" Id="rId343" /><Relationship Type="http://schemas.openxmlformats.org/officeDocument/2006/relationships/hyperlink" Target="https://www.leboncoin.fr/ad/voitures/3253304934" TargetMode="External" Id="rId344" /><Relationship Type="http://schemas.openxmlformats.org/officeDocument/2006/relationships/hyperlink" Target="https://www.leboncoin.fr/ad/voitures/3258419971" TargetMode="External" Id="rId345" /><Relationship Type="http://schemas.openxmlformats.org/officeDocument/2006/relationships/hyperlink" Target="https://www.leboncoin.fr/ad/voitures/3258520263" TargetMode="External" Id="rId346" /><Relationship Type="http://schemas.openxmlformats.org/officeDocument/2006/relationships/hyperlink" Target="https://www.leboncoin.fr/ad/voitures/3263120554" TargetMode="External" Id="rId347" /><Relationship Type="http://schemas.openxmlformats.org/officeDocument/2006/relationships/hyperlink" Target="https://www.leboncoin.fr/ad/voitures/3266721735" TargetMode="External" Id="rId348" /><Relationship Type="http://schemas.openxmlformats.org/officeDocument/2006/relationships/hyperlink" Target="https://www.leboncoin.fr/ad/voitures/3267035560" TargetMode="External" Id="rId349" /><Relationship Type="http://schemas.openxmlformats.org/officeDocument/2006/relationships/hyperlink" Target="https://www.leboncoin.fr/ad/voitures/3270378486" TargetMode="External" Id="rId350" /><Relationship Type="http://schemas.openxmlformats.org/officeDocument/2006/relationships/hyperlink" Target="https://www.leboncoin.fr/ad/voitures/3270568277" TargetMode="External" Id="rId351" /><Relationship Type="http://schemas.openxmlformats.org/officeDocument/2006/relationships/hyperlink" Target="https://www.leboncoin.fr/ad/voitures/3270821976" TargetMode="External" Id="rId352" /><Relationship Type="http://schemas.openxmlformats.org/officeDocument/2006/relationships/hyperlink" Target="https://www.leboncoin.fr/ad/voitures/3271574505" TargetMode="External" Id="rId353" /><Relationship Type="http://schemas.openxmlformats.org/officeDocument/2006/relationships/hyperlink" Target="https://www.leboncoin.fr/ad/voitures/3271944032" TargetMode="External" Id="rId354" /><Relationship Type="http://schemas.openxmlformats.org/officeDocument/2006/relationships/hyperlink" Target="https://www.leboncoin.fr/ad/voitures/3272175602" TargetMode="External" Id="rId355" /><Relationship Type="http://schemas.openxmlformats.org/officeDocument/2006/relationships/hyperlink" Target="https://www.leboncoin.fr/ad/voitures/3272603300" TargetMode="External" Id="rId356" /><Relationship Type="http://schemas.openxmlformats.org/officeDocument/2006/relationships/hyperlink" Target="https://www.leboncoin.fr/ad/voitures/3273797460" TargetMode="External" Id="rId357" /><Relationship Type="http://schemas.openxmlformats.org/officeDocument/2006/relationships/hyperlink" Target="https://www.leboncoin.fr/ad/voitures/3274728979" TargetMode="External" Id="rId358" /><Relationship Type="http://schemas.openxmlformats.org/officeDocument/2006/relationships/hyperlink" Target="https://www.leboncoin.fr/ad/voitures/3275857883" TargetMode="External" Id="rId359" /><Relationship Type="http://schemas.openxmlformats.org/officeDocument/2006/relationships/hyperlink" Target="https://www.leboncoin.fr/ad/voitures/3276480306" TargetMode="External" Id="rId360" /><Relationship Type="http://schemas.openxmlformats.org/officeDocument/2006/relationships/hyperlink" Target="https://www.leboncoin.fr/ad/voitures/3277011288" TargetMode="External" Id="rId361" /><Relationship Type="http://schemas.openxmlformats.org/officeDocument/2006/relationships/hyperlink" Target="https://www.leboncoin.fr/ad/voitures/3277083239" TargetMode="External" Id="rId362" /><Relationship Type="http://schemas.openxmlformats.org/officeDocument/2006/relationships/hyperlink" Target="https://www.leboncoin.fr/ad/voitures/3278151888" TargetMode="External" Id="rId363" /><Relationship Type="http://schemas.openxmlformats.org/officeDocument/2006/relationships/hyperlink" Target="https://www.leboncoin.fr/ad/voitures/3278205054" TargetMode="External" Id="rId364" /><Relationship Type="http://schemas.openxmlformats.org/officeDocument/2006/relationships/hyperlink" Target="https://www.leboncoin.fr/ad/voitures/3278260839" TargetMode="External" Id="rId365" /><Relationship Type="http://schemas.openxmlformats.org/officeDocument/2006/relationships/hyperlink" Target="https://www.leboncoin.fr/ad/voitures/3278728030" TargetMode="External" Id="rId366" /><Relationship Type="http://schemas.openxmlformats.org/officeDocument/2006/relationships/hyperlink" Target="https://www.leboncoin.fr/ad/voitures/3279041618" TargetMode="External" Id="rId367" /><Relationship Type="http://schemas.openxmlformats.org/officeDocument/2006/relationships/hyperlink" Target="https://www.leboncoin.fr/ad/voitures/3111952979" TargetMode="External" Id="rId368" /><Relationship Type="http://schemas.openxmlformats.org/officeDocument/2006/relationships/hyperlink" Target="https://www.leboncoin.fr/ad/voitures/3148980518" TargetMode="External" Id="rId369" /><Relationship Type="http://schemas.openxmlformats.org/officeDocument/2006/relationships/hyperlink" Target="https://www.leboncoin.fr/ad/voitures/3155317939" TargetMode="External" Id="rId370" /><Relationship Type="http://schemas.openxmlformats.org/officeDocument/2006/relationships/hyperlink" Target="https://www.leboncoin.fr/ad/voitures/3162482298" TargetMode="External" Id="rId371" /><Relationship Type="http://schemas.openxmlformats.org/officeDocument/2006/relationships/hyperlink" Target="https://www.leboncoin.fr/ad/voitures/3220887451" TargetMode="External" Id="rId372" /><Relationship Type="http://schemas.openxmlformats.org/officeDocument/2006/relationships/hyperlink" Target="https://www.leboncoin.fr/ad/voitures/3225541573" TargetMode="External" Id="rId373" /><Relationship Type="http://schemas.openxmlformats.org/officeDocument/2006/relationships/hyperlink" Target="https://www.leboncoin.fr/ad/voitures/3229733456" TargetMode="External" Id="rId374" /><Relationship Type="http://schemas.openxmlformats.org/officeDocument/2006/relationships/hyperlink" Target="https://www.leboncoin.fr/ad/voitures/3234959156" TargetMode="External" Id="rId375" /><Relationship Type="http://schemas.openxmlformats.org/officeDocument/2006/relationships/hyperlink" Target="https://www.leboncoin.fr/ad/voitures/3235031075" TargetMode="External" Id="rId376" /><Relationship Type="http://schemas.openxmlformats.org/officeDocument/2006/relationships/hyperlink" Target="https://www.leboncoin.fr/ad/voitures/3248026868" TargetMode="External" Id="rId377" /><Relationship Type="http://schemas.openxmlformats.org/officeDocument/2006/relationships/hyperlink" Target="https://www.leboncoin.fr/ad/voitures/3252273657" TargetMode="External" Id="rId378" /><Relationship Type="http://schemas.openxmlformats.org/officeDocument/2006/relationships/hyperlink" Target="https://www.leboncoin.fr/ad/voitures/3254332412" TargetMode="External" Id="rId379" /><Relationship Type="http://schemas.openxmlformats.org/officeDocument/2006/relationships/hyperlink" Target="https://www.leboncoin.fr/ad/voitures/3258667592" TargetMode="External" Id="rId380" /><Relationship Type="http://schemas.openxmlformats.org/officeDocument/2006/relationships/hyperlink" Target="https://www.leboncoin.fr/ad/voitures/3260553786" TargetMode="External" Id="rId381" /><Relationship Type="http://schemas.openxmlformats.org/officeDocument/2006/relationships/hyperlink" Target="https://www.leboncoin.fr/ad/voitures/3260826413" TargetMode="External" Id="rId382" /><Relationship Type="http://schemas.openxmlformats.org/officeDocument/2006/relationships/hyperlink" Target="https://www.leboncoin.fr/ad/voitures/3261006166" TargetMode="External" Id="rId383" /><Relationship Type="http://schemas.openxmlformats.org/officeDocument/2006/relationships/hyperlink" Target="https://www.leboncoin.fr/ad/voitures/3261622205" TargetMode="External" Id="rId384" /><Relationship Type="http://schemas.openxmlformats.org/officeDocument/2006/relationships/hyperlink" Target="https://www.leboncoin.fr/ad/voitures/3261693737" TargetMode="External" Id="rId385" /><Relationship Type="http://schemas.openxmlformats.org/officeDocument/2006/relationships/hyperlink" Target="https://www.leboncoin.fr/ad/voitures/3262040554" TargetMode="External" Id="rId386" /><Relationship Type="http://schemas.openxmlformats.org/officeDocument/2006/relationships/hyperlink" Target="https://www.leboncoin.fr/ad/voitures/3262391547" TargetMode="External" Id="rId387" /><Relationship Type="http://schemas.openxmlformats.org/officeDocument/2006/relationships/hyperlink" Target="https://www.leboncoin.fr/ad/voitures/3262638000" TargetMode="External" Id="rId388" /><Relationship Type="http://schemas.openxmlformats.org/officeDocument/2006/relationships/hyperlink" Target="https://www.leboncoin.fr/ad/voitures/3264837795" TargetMode="External" Id="rId389" /><Relationship Type="http://schemas.openxmlformats.org/officeDocument/2006/relationships/hyperlink" Target="https://www.leboncoin.fr/ad/voitures/3266864057" TargetMode="External" Id="rId390" /><Relationship Type="http://schemas.openxmlformats.org/officeDocument/2006/relationships/hyperlink" Target="https://www.leboncoin.fr/ad/voitures/3270112718" TargetMode="External" Id="rId391" /><Relationship Type="http://schemas.openxmlformats.org/officeDocument/2006/relationships/hyperlink" Target="https://www.leboncoin.fr/ad/voitures/3270289698" TargetMode="External" Id="rId392" /><Relationship Type="http://schemas.openxmlformats.org/officeDocument/2006/relationships/hyperlink" Target="https://www.leboncoin.fr/ad/voitures/3272175500" TargetMode="External" Id="rId393" /><Relationship Type="http://schemas.openxmlformats.org/officeDocument/2006/relationships/hyperlink" Target="https://www.leboncoin.fr/ad/voitures/3272349615" TargetMode="External" Id="rId394" /><Relationship Type="http://schemas.openxmlformats.org/officeDocument/2006/relationships/hyperlink" Target="https://www.leboncoin.fr/ad/voitures/3272615687" TargetMode="External" Id="rId395" /><Relationship Type="http://schemas.openxmlformats.org/officeDocument/2006/relationships/hyperlink" Target="https://www.leboncoin.fr/ad/voitures/3273076212" TargetMode="External" Id="rId396" /><Relationship Type="http://schemas.openxmlformats.org/officeDocument/2006/relationships/hyperlink" Target="https://www.leboncoin.fr/ad/voitures/3273260142" TargetMode="External" Id="rId397" /><Relationship Type="http://schemas.openxmlformats.org/officeDocument/2006/relationships/hyperlink" Target="https://www.leboncoin.fr/ad/voitures/3275029879" TargetMode="External" Id="rId398" /><Relationship Type="http://schemas.openxmlformats.org/officeDocument/2006/relationships/hyperlink" Target="https://www.leboncoin.fr/ad/voitures/3275151981" TargetMode="External" Id="rId399" /><Relationship Type="http://schemas.openxmlformats.org/officeDocument/2006/relationships/hyperlink" Target="https://www.leboncoin.fr/ad/voitures/3276649870" TargetMode="External" Id="rId400" /><Relationship Type="http://schemas.openxmlformats.org/officeDocument/2006/relationships/hyperlink" Target="https://www.leboncoin.fr/ad/voitures/3276674920" TargetMode="External" Id="rId401" /><Relationship Type="http://schemas.openxmlformats.org/officeDocument/2006/relationships/hyperlink" Target="https://www.leboncoin.fr/ad/voitures/3277297648" TargetMode="External" Id="rId402" /><Relationship Type="http://schemas.openxmlformats.org/officeDocument/2006/relationships/hyperlink" Target="https://www.leboncoin.fr/ad/voitures/3277619840" TargetMode="External" Id="rId403" /><Relationship Type="http://schemas.openxmlformats.org/officeDocument/2006/relationships/hyperlink" Target="https://www.leboncoin.fr/ad/voitures/3278695532" TargetMode="External" Id="rId404" /><Relationship Type="http://schemas.openxmlformats.org/officeDocument/2006/relationships/hyperlink" Target="https://www.leboncoin.fr/ad/voitures/3279867090" TargetMode="External" Id="rId405" /><Relationship Type="http://schemas.openxmlformats.org/officeDocument/2006/relationships/hyperlink" Target="https://www.leboncoin.fr/ad/voitures/3093503886" TargetMode="External" Id="rId406" /><Relationship Type="http://schemas.openxmlformats.org/officeDocument/2006/relationships/hyperlink" Target="https://www.leboncoin.fr/ad/voitures/3152592919" TargetMode="External" Id="rId407" /><Relationship Type="http://schemas.openxmlformats.org/officeDocument/2006/relationships/hyperlink" Target="https://www.leboncoin.fr/ad/voitures/3165656670" TargetMode="External" Id="rId408" /><Relationship Type="http://schemas.openxmlformats.org/officeDocument/2006/relationships/hyperlink" Target="https://www.leboncoin.fr/ad/voitures/3169074583" TargetMode="External" Id="rId409" /><Relationship Type="http://schemas.openxmlformats.org/officeDocument/2006/relationships/hyperlink" Target="https://www.leboncoin.fr/ad/voitures/3216991704" TargetMode="External" Id="rId410" /><Relationship Type="http://schemas.openxmlformats.org/officeDocument/2006/relationships/hyperlink" Target="https://www.leboncoin.fr/ad/voitures/3237229836" TargetMode="External" Id="rId411" /><Relationship Type="http://schemas.openxmlformats.org/officeDocument/2006/relationships/hyperlink" Target="https://www.leboncoin.fr/ad/voitures/3243865675" TargetMode="External" Id="rId412" /><Relationship Type="http://schemas.openxmlformats.org/officeDocument/2006/relationships/hyperlink" Target="https://www.leboncoin.fr/ad/voitures/3243871328" TargetMode="External" Id="rId413" /><Relationship Type="http://schemas.openxmlformats.org/officeDocument/2006/relationships/hyperlink" Target="https://www.leboncoin.fr/ad/voitures/3245939851" TargetMode="External" Id="rId414" /><Relationship Type="http://schemas.openxmlformats.org/officeDocument/2006/relationships/hyperlink" Target="https://www.leboncoin.fr/ad/voitures/3252684628" TargetMode="External" Id="rId415" /><Relationship Type="http://schemas.openxmlformats.org/officeDocument/2006/relationships/hyperlink" Target="https://www.leboncoin.fr/ad/voitures/3256587657" TargetMode="External" Id="rId416" /><Relationship Type="http://schemas.openxmlformats.org/officeDocument/2006/relationships/hyperlink" Target="https://www.leboncoin.fr/ad/voitures/3261154881" TargetMode="External" Id="rId417" /><Relationship Type="http://schemas.openxmlformats.org/officeDocument/2006/relationships/hyperlink" Target="https://www.leboncoin.fr/ad/voitures/3262231451" TargetMode="External" Id="rId418" /><Relationship Type="http://schemas.openxmlformats.org/officeDocument/2006/relationships/hyperlink" Target="https://www.leboncoin.fr/ad/voitures/3271644740" TargetMode="External" Id="rId419" /><Relationship Type="http://schemas.openxmlformats.org/officeDocument/2006/relationships/hyperlink" Target="https://www.leboncoin.fr/ad/voitures/3273010014" TargetMode="External" Id="rId420" /><Relationship Type="http://schemas.openxmlformats.org/officeDocument/2006/relationships/hyperlink" Target="https://www.leboncoin.fr/ad/voitures/3276458601" TargetMode="External" Id="rId421" /><Relationship Type="http://schemas.openxmlformats.org/officeDocument/2006/relationships/hyperlink" Target="https://www.leboncoin.fr/ad/voitures/3276459475" TargetMode="External" Id="rId422" /><Relationship Type="http://schemas.openxmlformats.org/officeDocument/2006/relationships/hyperlink" Target="https://www.leboncoin.fr/ad/voitures/3280273275" TargetMode="External" Id="rId423" /><Relationship Type="http://schemas.openxmlformats.org/officeDocument/2006/relationships/hyperlink" Target="https://www.leboncoin.fr/ad/voitures/3201621635" TargetMode="External" Id="rId424" /><Relationship Type="http://schemas.openxmlformats.org/officeDocument/2006/relationships/hyperlink" Target="https://www.leboncoin.fr/ad/voitures/3228654929" TargetMode="External" Id="rId425" /><Relationship Type="http://schemas.openxmlformats.org/officeDocument/2006/relationships/hyperlink" Target="https://www.leboncoin.fr/ad/voitures/3232797806" TargetMode="External" Id="rId426" /><Relationship Type="http://schemas.openxmlformats.org/officeDocument/2006/relationships/hyperlink" Target="https://www.leboncoin.fr/ad/voitures/3235601533" TargetMode="External" Id="rId427" /><Relationship Type="http://schemas.openxmlformats.org/officeDocument/2006/relationships/hyperlink" Target="https://www.leboncoin.fr/ad/voitures/3236310353" TargetMode="External" Id="rId428" /><Relationship Type="http://schemas.openxmlformats.org/officeDocument/2006/relationships/hyperlink" Target="https://www.leboncoin.fr/ad/voitures/3246605855" TargetMode="External" Id="rId429" /><Relationship Type="http://schemas.openxmlformats.org/officeDocument/2006/relationships/hyperlink" Target="https://www.leboncoin.fr/ad/voitures/3254091933" TargetMode="External" Id="rId430" /><Relationship Type="http://schemas.openxmlformats.org/officeDocument/2006/relationships/hyperlink" Target="https://www.leboncoin.fr/ad/voitures/3254592892" TargetMode="External" Id="rId431" /><Relationship Type="http://schemas.openxmlformats.org/officeDocument/2006/relationships/hyperlink" Target="https://www.leboncoin.fr/ad/voitures/3264401233" TargetMode="External" Id="rId432" /><Relationship Type="http://schemas.openxmlformats.org/officeDocument/2006/relationships/hyperlink" Target="https://www.leboncoin.fr/ad/voitures/3265072540" TargetMode="External" Id="rId433" /><Relationship Type="http://schemas.openxmlformats.org/officeDocument/2006/relationships/hyperlink" Target="https://www.leboncoin.fr/ad/voitures/3265411834" TargetMode="External" Id="rId434" /><Relationship Type="http://schemas.openxmlformats.org/officeDocument/2006/relationships/hyperlink" Target="https://www.leboncoin.fr/ad/voitures/3265418338" TargetMode="External" Id="rId435" /><Relationship Type="http://schemas.openxmlformats.org/officeDocument/2006/relationships/hyperlink" Target="https://www.leboncoin.fr/ad/voitures/3266701696" TargetMode="External" Id="rId436" /><Relationship Type="http://schemas.openxmlformats.org/officeDocument/2006/relationships/hyperlink" Target="https://www.leboncoin.fr/ad/voitures/3266949797" TargetMode="External" Id="rId437" /><Relationship Type="http://schemas.openxmlformats.org/officeDocument/2006/relationships/hyperlink" Target="https://www.leboncoin.fr/ad/voitures/3268258543" TargetMode="External" Id="rId438" /><Relationship Type="http://schemas.openxmlformats.org/officeDocument/2006/relationships/hyperlink" Target="https://www.leboncoin.fr/ad/voitures/3268824297" TargetMode="External" Id="rId439" /><Relationship Type="http://schemas.openxmlformats.org/officeDocument/2006/relationships/hyperlink" Target="https://www.leboncoin.fr/ad/voitures/3269180003" TargetMode="External" Id="rId440" /><Relationship Type="http://schemas.openxmlformats.org/officeDocument/2006/relationships/hyperlink" Target="https://www.leboncoin.fr/ad/voitures/3269220561" TargetMode="External" Id="rId441" /><Relationship Type="http://schemas.openxmlformats.org/officeDocument/2006/relationships/hyperlink" Target="https://www.leboncoin.fr/ad/voitures/3269820668" TargetMode="External" Id="rId442" /><Relationship Type="http://schemas.openxmlformats.org/officeDocument/2006/relationships/hyperlink" Target="https://www.leboncoin.fr/ad/voitures/3270178988" TargetMode="External" Id="rId443" /><Relationship Type="http://schemas.openxmlformats.org/officeDocument/2006/relationships/hyperlink" Target="https://www.leboncoin.fr/ad/voitures/3271251775" TargetMode="External" Id="rId444" /><Relationship Type="http://schemas.openxmlformats.org/officeDocument/2006/relationships/hyperlink" Target="https://www.leboncoin.fr/ad/voitures/3271536730" TargetMode="External" Id="rId445" /><Relationship Type="http://schemas.openxmlformats.org/officeDocument/2006/relationships/hyperlink" Target="https://www.leboncoin.fr/ad/voitures/3273813000" TargetMode="External" Id="rId446" /><Relationship Type="http://schemas.openxmlformats.org/officeDocument/2006/relationships/hyperlink" Target="https://www.leboncoin.fr/ad/voitures/3276478695" TargetMode="External" Id="rId447" /><Relationship Type="http://schemas.openxmlformats.org/officeDocument/2006/relationships/hyperlink" Target="https://www.leboncoin.fr/ad/voitures/3278551940" TargetMode="External" Id="rId448" /><Relationship Type="http://schemas.openxmlformats.org/officeDocument/2006/relationships/hyperlink" Target="https://www.leboncoin.fr/ad/voitures/3279265139" TargetMode="External" Id="rId449" /><Relationship Type="http://schemas.openxmlformats.org/officeDocument/2006/relationships/hyperlink" Target="https://www.leboncoin.fr/ad/voitures/3280012848" TargetMode="External" Id="rId450" /></Relationships>
</file>

<file path=xl/worksheets/_rels/sheet11.xml.rels><Relationships xmlns="http://schemas.openxmlformats.org/package/2006/relationships"><Relationship Type="http://schemas.openxmlformats.org/officeDocument/2006/relationships/hyperlink" Target="https://www.leboncoin.fr/ad/voitures/3267049380" TargetMode="External" Id="rId1" /><Relationship Type="http://schemas.openxmlformats.org/officeDocument/2006/relationships/hyperlink" Target="https://www.leboncoin.fr/ad/voitures/3267140247" TargetMode="External" Id="rId2" /><Relationship Type="http://schemas.openxmlformats.org/officeDocument/2006/relationships/hyperlink" Target="https://www.leboncoin.fr/ad/voitures/3234430383" TargetMode="External" Id="rId3" /><Relationship Type="http://schemas.openxmlformats.org/officeDocument/2006/relationships/hyperlink" Target="https://www.leboncoin.fr/ad/voitures/3246605855" TargetMode="External" Id="rId4" /><Relationship Type="http://schemas.openxmlformats.org/officeDocument/2006/relationships/hyperlink" Target="https://www.leboncoin.fr/ad/voitures/3274510816" TargetMode="External" Id="rId5" /><Relationship Type="http://schemas.openxmlformats.org/officeDocument/2006/relationships/hyperlink" Target="https://www.leboncoin.fr/ad/voitures/3276464340" TargetMode="External" Id="rId6" /><Relationship Type="http://schemas.openxmlformats.org/officeDocument/2006/relationships/hyperlink" Target="https://www.leboncoin.fr/ad/voitures/3269890983" TargetMode="External" Id="rId7" /><Relationship Type="http://schemas.openxmlformats.org/officeDocument/2006/relationships/hyperlink" Target="https://www.leboncoin.fr/ad/voitures/3271080732" TargetMode="External" Id="rId8" /><Relationship Type="http://schemas.openxmlformats.org/officeDocument/2006/relationships/hyperlink" Target="https://www.leboncoin.fr/ad/voitures/3274885691" TargetMode="External" Id="rId9" /><Relationship Type="http://schemas.openxmlformats.org/officeDocument/2006/relationships/hyperlink" Target="https://www.leboncoin.fr/ad/voitures/3270050795" TargetMode="External" Id="rId10" /><Relationship Type="http://schemas.openxmlformats.org/officeDocument/2006/relationships/hyperlink" Target="https://www.leboncoin.fr/ad/voitures/3266137442" TargetMode="External" Id="rId11" /><Relationship Type="http://schemas.openxmlformats.org/officeDocument/2006/relationships/hyperlink" Target="https://www.leboncoin.fr/ad/voitures/3267746572" TargetMode="External" Id="rId12" /><Relationship Type="http://schemas.openxmlformats.org/officeDocument/2006/relationships/hyperlink" Target="https://www.leboncoin.fr/ad/voitures/3278304303" TargetMode="External" Id="rId13" /><Relationship Type="http://schemas.openxmlformats.org/officeDocument/2006/relationships/hyperlink" Target="https://www.leboncoin.fr/ad/voitures/3253798936" TargetMode="External" Id="rId14" /><Relationship Type="http://schemas.openxmlformats.org/officeDocument/2006/relationships/hyperlink" Target="https://www.leboncoin.fr/ad/voitures/3280107297" TargetMode="External" Id="rId15" /><Relationship Type="http://schemas.openxmlformats.org/officeDocument/2006/relationships/hyperlink" Target="https://www.leboncoin.fr/ad/voitures/3270236878" TargetMode="External" Id="rId16" /><Relationship Type="http://schemas.openxmlformats.org/officeDocument/2006/relationships/hyperlink" Target="https://www.leboncoin.fr/ad/voitures/3237454171" TargetMode="External" Id="rId17" /><Relationship Type="http://schemas.openxmlformats.org/officeDocument/2006/relationships/hyperlink" Target="https://www.leboncoin.fr/ad/voitures/3265418338" TargetMode="External" Id="rId18" /><Relationship Type="http://schemas.openxmlformats.org/officeDocument/2006/relationships/hyperlink" Target="https://www.leboncoin.fr/ad/voitures/3268726676" TargetMode="External" Id="rId19" /><Relationship Type="http://schemas.openxmlformats.org/officeDocument/2006/relationships/hyperlink" Target="https://www.leboncoin.fr/ad/voitures/3249782225" TargetMode="External" Id="rId20" /><Relationship Type="http://schemas.openxmlformats.org/officeDocument/2006/relationships/hyperlink" Target="https://www.leboncoin.fr/ad/voitures/3271251775" TargetMode="External" Id="rId21" /><Relationship Type="http://schemas.openxmlformats.org/officeDocument/2006/relationships/hyperlink" Target="https://www.leboncoin.fr/ad/voitures/3273929462" TargetMode="External" Id="rId22" /><Relationship Type="http://schemas.openxmlformats.org/officeDocument/2006/relationships/hyperlink" Target="https://www.leboncoin.fr/ad/voitures/3252273657" TargetMode="External" Id="rId23" /><Relationship Type="http://schemas.openxmlformats.org/officeDocument/2006/relationships/hyperlink" Target="https://www.leboncoin.fr/ad/voitures/3273170431" TargetMode="External" Id="rId24" /><Relationship Type="http://schemas.openxmlformats.org/officeDocument/2006/relationships/hyperlink" Target="https://www.leboncoin.fr/ad/voitures/3270232311" TargetMode="External" Id="rId25" /><Relationship Type="http://schemas.openxmlformats.org/officeDocument/2006/relationships/hyperlink" Target="https://www.leboncoin.fr/ad/voitures/3183271891" TargetMode="External" Id="rId26" /><Relationship Type="http://schemas.openxmlformats.org/officeDocument/2006/relationships/hyperlink" Target="https://www.leboncoin.fr/ad/voitures/3267921242" TargetMode="External" Id="rId27" /><Relationship Type="http://schemas.openxmlformats.org/officeDocument/2006/relationships/hyperlink" Target="https://www.leboncoin.fr/ad/voitures/3262353989" TargetMode="External" Id="rId28" /><Relationship Type="http://schemas.openxmlformats.org/officeDocument/2006/relationships/hyperlink" Target="https://www.leboncoin.fr/ad/voitures/3261414202" TargetMode="External" Id="rId29" /><Relationship Type="http://schemas.openxmlformats.org/officeDocument/2006/relationships/hyperlink" Target="https://www.leboncoin.fr/ad/voitures/3254395601" TargetMode="External" Id="rId30" /><Relationship Type="http://schemas.openxmlformats.org/officeDocument/2006/relationships/hyperlink" Target="https://www.leboncoin.fr/ad/voitures/3234020888" TargetMode="External" Id="rId31" /><Relationship Type="http://schemas.openxmlformats.org/officeDocument/2006/relationships/hyperlink" Target="https://www.leboncoin.fr/ad/voitures/3264837795" TargetMode="External" Id="rId32" /><Relationship Type="http://schemas.openxmlformats.org/officeDocument/2006/relationships/hyperlink" Target="https://www.leboncoin.fr/ad/voitures/3270203905" TargetMode="External" Id="rId33" /><Relationship Type="http://schemas.openxmlformats.org/officeDocument/2006/relationships/hyperlink" Target="https://www.leboncoin.fr/ad/voitures/3236436226" TargetMode="External" Id="rId34" /><Relationship Type="http://schemas.openxmlformats.org/officeDocument/2006/relationships/hyperlink" Target="https://www.leboncoin.fr/ad/voitures/3258419971" TargetMode="External" Id="rId35" /><Relationship Type="http://schemas.openxmlformats.org/officeDocument/2006/relationships/hyperlink" Target="https://www.leboncoin.fr/ad/voitures/3277303432" TargetMode="External" Id="rId36" /><Relationship Type="http://schemas.openxmlformats.org/officeDocument/2006/relationships/hyperlink" Target="https://www.leboncoin.fr/ad/voitures/3271574505" TargetMode="External" Id="rId37" /><Relationship Type="http://schemas.openxmlformats.org/officeDocument/2006/relationships/hyperlink" Target="https://www.leboncoin.fr/ad/voitures/3258667592" TargetMode="External" Id="rId38" /><Relationship Type="http://schemas.openxmlformats.org/officeDocument/2006/relationships/hyperlink" Target="https://www.leboncoin.fr/ad/voitures/3275564839" TargetMode="External" Id="rId39" /><Relationship Type="http://schemas.openxmlformats.org/officeDocument/2006/relationships/hyperlink" Target="https://www.leboncoin.fr/ad/voitures/3263120554" TargetMode="External" Id="rId40" /><Relationship Type="http://schemas.openxmlformats.org/officeDocument/2006/relationships/hyperlink" Target="https://www.leboncoin.fr/ad/voitures/3251217335" TargetMode="External" Id="rId41" /><Relationship Type="http://schemas.openxmlformats.org/officeDocument/2006/relationships/hyperlink" Target="https://www.leboncoin.fr/ad/voitures/3278866640" TargetMode="External" Id="rId42" /><Relationship Type="http://schemas.openxmlformats.org/officeDocument/2006/relationships/hyperlink" Target="https://www.leboncoin.fr/ad/voitures/3262040554" TargetMode="External" Id="rId43" /><Relationship Type="http://schemas.openxmlformats.org/officeDocument/2006/relationships/hyperlink" Target="https://www.leboncoin.fr/ad/voitures/3262391547" TargetMode="External" Id="rId44" /><Relationship Type="http://schemas.openxmlformats.org/officeDocument/2006/relationships/hyperlink" Target="https://www.leboncoin.fr/ad/voitures/3258548235" TargetMode="External" Id="rId45" /><Relationship Type="http://schemas.openxmlformats.org/officeDocument/2006/relationships/hyperlink" Target="https://www.leboncoin.fr/ad/voitures/3265072540" TargetMode="External" Id="rId46" /><Relationship Type="http://schemas.openxmlformats.org/officeDocument/2006/relationships/hyperlink" Target="https://www.leboncoin.fr/ad/voitures/3152592919" TargetMode="External" Id="rId47" /><Relationship Type="http://schemas.openxmlformats.org/officeDocument/2006/relationships/hyperlink" Target="https://www.leboncoin.fr/ad/voitures/3276478695" TargetMode="External" Id="rId48" /><Relationship Type="http://schemas.openxmlformats.org/officeDocument/2006/relationships/hyperlink" Target="https://www.leboncoin.fr/ad/voitures/3261154881" TargetMode="External" Id="rId49" /><Relationship Type="http://schemas.openxmlformats.org/officeDocument/2006/relationships/hyperlink" Target="https://www.leboncoin.fr/ad/voitures/3262191550" TargetMode="External" Id="rId50" /><Relationship Type="http://schemas.openxmlformats.org/officeDocument/2006/relationships/hyperlink" Target="https://www.leboncoin.fr/ad/voitures/3171445222" TargetMode="External" Id="rId51" /><Relationship Type="http://schemas.openxmlformats.org/officeDocument/2006/relationships/hyperlink" Target="https://www.leboncoin.fr/ad/voitures/3277850572" TargetMode="External" Id="rId52" /><Relationship Type="http://schemas.openxmlformats.org/officeDocument/2006/relationships/hyperlink" Target="https://www.leboncoin.fr/ad/voitures/3249519594" TargetMode="External" Id="rId53" /><Relationship Type="http://schemas.openxmlformats.org/officeDocument/2006/relationships/hyperlink" Target="https://www.leboncoin.fr/ad/voitures/3266721735" TargetMode="External" Id="rId54" /><Relationship Type="http://schemas.openxmlformats.org/officeDocument/2006/relationships/hyperlink" Target="https://www.leboncoin.fr/ad/voitures/3245939851" TargetMode="External" Id="rId55" /><Relationship Type="http://schemas.openxmlformats.org/officeDocument/2006/relationships/hyperlink" Target="https://www.leboncoin.fr/ad/voitures/3256639318" TargetMode="External" Id="rId56" /><Relationship Type="http://schemas.openxmlformats.org/officeDocument/2006/relationships/hyperlink" Target="https://www.leboncoin.fr/ad/voitures/3273797460" TargetMode="External" Id="rId57" /><Relationship Type="http://schemas.openxmlformats.org/officeDocument/2006/relationships/hyperlink" Target="https://www.leboncoin.fr/ad/voitures/3193819824" TargetMode="External" Id="rId58" /><Relationship Type="http://schemas.openxmlformats.org/officeDocument/2006/relationships/hyperlink" Target="https://www.leboncoin.fr/ad/voitures/3231127202" TargetMode="External" Id="rId59" /><Relationship Type="http://schemas.openxmlformats.org/officeDocument/2006/relationships/hyperlink" Target="https://www.leboncoin.fr/ad/voitures/3171562700" TargetMode="External" Id="rId60" /><Relationship Type="http://schemas.openxmlformats.org/officeDocument/2006/relationships/hyperlink" Target="https://www.leboncoin.fr/ad/voitures/3243871328" TargetMode="External" Id="rId61"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46296</v>
      </c>
    </row>
    <row r="4">
      <c r="A4" s="2" t="inlineStr">
        <is>
          <t>Dernier relevé</t>
        </is>
      </c>
      <c r="B4" s="3" t="n">
        <v>46296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(chaque lundi et le 1er du mois)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suivie avec tout ce que fournit LeBonCoin : prix, km, année, carburant, boîte, puissance, couleur, vendeur pro/particulier, localisation, photos, favoris, description, durée en ligne,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s>
  <sheetData>
    <row r="1">
      <c r="A1" s="1" t="inlineStr">
        <is>
          <t>Analyse au 01/10/2026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Favoris moyens</t>
        </is>
      </c>
      <c r="AB8" s="9" t="inlineStr">
        <is>
          <t>Jours en ligne moyens</t>
        </is>
      </c>
    </row>
    <row r="9">
      <c r="A9" s="10" t="inlineStr">
        <is>
          <t>Porsche 911 997 Carrera S</t>
        </is>
      </c>
      <c r="B9" s="10" t="inlineStr">
        <is>
          <t>Sportive iconique</t>
        </is>
      </c>
      <c r="C9" s="11" t="n">
        <v>78.5</v>
      </c>
      <c r="D9" s="10" t="inlineStr">
        <is>
          <t>Signal d'achat</t>
        </is>
      </c>
      <c r="E9" s="12" t="n">
        <v>51395</v>
      </c>
      <c r="F9" s="12" t="n">
        <v>40000</v>
      </c>
      <c r="G9" s="12" t="n">
        <v>75000</v>
      </c>
      <c r="H9" s="13">
        <f>IF(AND(ISNUMBER(E9),ISNUMBER(F9),ISNUMBER(G9),G9&gt;F9),(E9-F9)/(G9-F9),"")</f>
        <v/>
      </c>
      <c r="I9" s="14" t="n">
        <v>0.082</v>
      </c>
      <c r="J9" s="14" t="n"/>
      <c r="K9" s="14" t="n"/>
      <c r="L9" s="12" t="n">
        <v>55200</v>
      </c>
      <c r="M9" s="15" t="n">
        <v>100000</v>
      </c>
      <c r="N9" s="16" t="n">
        <v>36</v>
      </c>
      <c r="O9" s="16" t="n">
        <v>0</v>
      </c>
      <c r="P9" s="17" t="n"/>
      <c r="Q9" s="16" t="n">
        <v>1</v>
      </c>
      <c r="R9" s="16" t="n">
        <v>40</v>
      </c>
      <c r="S9" s="16" t="n">
        <v>90</v>
      </c>
      <c r="T9" s="16" t="n">
        <v>90</v>
      </c>
      <c r="U9" s="16" t="n">
        <v>67</v>
      </c>
      <c r="V9" s="16" t="n">
        <v>100</v>
      </c>
      <c r="W9" s="16" t="n">
        <v>100</v>
      </c>
      <c r="X9" s="18" t="n">
        <v>46296</v>
      </c>
      <c r="Y9" s="19" t="inlineStr">
        <is>
          <t>Voir</t>
        </is>
      </c>
      <c r="Z9" s="13">
        <f>IFERROR(COUNTIFS(Annonces!$A$2:$A$451,$A9,Annonces!$C$2:$C$451,"En vente",Annonces!$W$2:$W$451,"Pro")/COUNTIFS(Annonces!$A$2:$A$451,$A9,Annonces!$C$2:$C$451,"En vente",Annonces!$W$2:$W$451,"&lt;&gt;"),"")</f>
        <v/>
      </c>
      <c r="AA9" s="11">
        <f>IFERROR(AVERAGEIFS(Annonces!$AC$2:$AC$451,Annonces!$A$2:$A$451,$A9,Annonces!$C$2:$C$451,"En vente"),"")</f>
        <v/>
      </c>
      <c r="AB9" s="17">
        <f>IFERROR(AVERAGEIFS(Annonces!$H$2:$H$451,Annonces!$A$2:$A$451,$A9,Annonces!$C$2:$C$451,"En vente"),"")</f>
        <v/>
      </c>
    </row>
    <row r="10">
      <c r="A10" s="10" t="inlineStr">
        <is>
          <t>Peugeot 208 GTi 30th</t>
        </is>
      </c>
      <c r="B10" s="10" t="inlineStr">
        <is>
          <t>Hot-hatch récente à tirage limité</t>
        </is>
      </c>
      <c r="C10" s="11" t="n">
        <v>74.3</v>
      </c>
      <c r="D10" s="10" t="inlineStr">
        <is>
          <t>Signal d'achat</t>
        </is>
      </c>
      <c r="E10" s="12" t="n">
        <v>14940</v>
      </c>
      <c r="F10" s="12" t="n">
        <v>12000</v>
      </c>
      <c r="G10" s="12" t="n">
        <v>24000</v>
      </c>
      <c r="H10" s="13">
        <f>IF(AND(ISNUMBER(E10),ISNUMBER(F10),ISNUMBER(G10),G10&gt;F10),(E10-F10)/(G10-F10),"")</f>
        <v/>
      </c>
      <c r="I10" s="14" t="n">
        <v>0.018</v>
      </c>
      <c r="J10" s="14" t="n"/>
      <c r="K10" s="14" t="n"/>
      <c r="L10" s="12" t="n">
        <v>16280</v>
      </c>
      <c r="M10" s="15" t="n">
        <v>100000</v>
      </c>
      <c r="N10" s="16" t="n">
        <v>10</v>
      </c>
      <c r="O10" s="16" t="n">
        <v>0</v>
      </c>
      <c r="P10" s="17" t="n"/>
      <c r="Q10" s="16" t="n">
        <v>0</v>
      </c>
      <c r="R10" s="16" t="n">
        <v>85</v>
      </c>
      <c r="S10" s="16" t="n">
        <v>80</v>
      </c>
      <c r="T10" s="16" t="n">
        <v>65</v>
      </c>
      <c r="U10" s="16" t="n">
        <v>76</v>
      </c>
      <c r="V10" s="16" t="n">
        <v>65</v>
      </c>
      <c r="W10" s="16" t="n">
        <v>67</v>
      </c>
      <c r="X10" s="18" t="n">
        <v>46296</v>
      </c>
      <c r="Y10" s="19" t="inlineStr">
        <is>
          <t>Voir</t>
        </is>
      </c>
      <c r="Z10" s="13">
        <f>IFERROR(COUNTIFS(Annonces!$A$2:$A$451,$A10,Annonces!$C$2:$C$451,"En vente",Annonces!$W$2:$W$451,"Pro")/COUNTIFS(Annonces!$A$2:$A$451,$A10,Annonces!$C$2:$C$451,"En vente",Annonces!$W$2:$W$451,"&lt;&gt;"),"")</f>
        <v/>
      </c>
      <c r="AA10" s="11">
        <f>IFERROR(AVERAGEIFS(Annonces!$AC$2:$AC$451,Annonces!$A$2:$A$451,$A10,Annonces!$C$2:$C$451,"En vente"),"")</f>
        <v/>
      </c>
      <c r="AB10" s="17">
        <f>IFERROR(AVERAGEIFS(Annonces!$H$2:$H$451,Annonces!$A$2:$A$451,$A10,Annonces!$C$2:$C$451,"En vente"),"")</f>
        <v/>
      </c>
    </row>
    <row r="11">
      <c r="A11" s="10" t="inlineStr">
        <is>
          <t>Peugeot 206 RC</t>
        </is>
      </c>
      <c r="B11" s="10" t="inlineStr">
        <is>
          <t>Hot-hatch youngtimer 2000-2005</t>
        </is>
      </c>
      <c r="C11" s="11" t="n">
        <v>70.5</v>
      </c>
      <c r="D11" s="10" t="inlineStr">
        <is>
          <t>À surveiller</t>
        </is>
      </c>
      <c r="E11" s="12" t="n">
        <v>9990</v>
      </c>
      <c r="F11" s="12" t="n">
        <v>6500</v>
      </c>
      <c r="G11" s="12" t="n">
        <v>13500</v>
      </c>
      <c r="H11" s="13">
        <f>IF(AND(ISNUMBER(E11),ISNUMBER(F11),ISNUMBER(G11),G11&gt;F11),(E11-F11)/(G11-F11),"")</f>
        <v/>
      </c>
      <c r="I11" s="14" t="n">
        <v>0.655</v>
      </c>
      <c r="J11" s="14" t="n"/>
      <c r="K11" s="14" t="n"/>
      <c r="L11" s="12" t="n">
        <v>11240</v>
      </c>
      <c r="M11" s="15" t="n">
        <v>150000</v>
      </c>
      <c r="N11" s="16" t="n">
        <v>39</v>
      </c>
      <c r="O11" s="16" t="n">
        <v>0</v>
      </c>
      <c r="P11" s="17" t="n"/>
      <c r="Q11" s="16" t="n">
        <v>5</v>
      </c>
      <c r="R11" s="16" t="n">
        <v>45</v>
      </c>
      <c r="S11" s="16" t="n">
        <v>70</v>
      </c>
      <c r="T11" s="16" t="n">
        <v>75</v>
      </c>
      <c r="U11" s="16" t="n">
        <v>50</v>
      </c>
      <c r="V11" s="16" t="n">
        <v>100</v>
      </c>
      <c r="W11" s="16" t="n">
        <v>100</v>
      </c>
      <c r="X11" s="18" t="n">
        <v>46296</v>
      </c>
      <c r="Y11" s="19" t="inlineStr">
        <is>
          <t>Voir</t>
        </is>
      </c>
      <c r="Z11" s="13">
        <f>IFERROR(COUNTIFS(Annonces!$A$2:$A$451,$A11,Annonces!$C$2:$C$451,"En vente",Annonces!$W$2:$W$451,"Pro")/COUNTIFS(Annonces!$A$2:$A$451,$A11,Annonces!$C$2:$C$451,"En vente",Annonces!$W$2:$W$451,"&lt;&gt;"),"")</f>
        <v/>
      </c>
      <c r="AA11" s="11">
        <f>IFERROR(AVERAGEIFS(Annonces!$AC$2:$AC$451,Annonces!$A$2:$A$451,$A11,Annonces!$C$2:$C$451,"En vente"),"")</f>
        <v/>
      </c>
      <c r="AB11" s="17">
        <f>IFERROR(AVERAGEIFS(Annonces!$H$2:$H$451,Annonces!$A$2:$A$451,$A11,Annonces!$C$2:$C$451,"En vente"),"")</f>
        <v/>
      </c>
    </row>
    <row r="12">
      <c r="A12" s="10" t="inlineStr">
        <is>
          <t>Renault Clio II RS (172/182 ch)</t>
        </is>
      </c>
      <c r="B12" s="10" t="inlineStr">
        <is>
          <t>Hot-hatch youngtimer 2000-2005</t>
        </is>
      </c>
      <c r="C12" s="11" t="n">
        <v>69.8</v>
      </c>
      <c r="D12" s="10" t="inlineStr">
        <is>
          <t>À surveiller</t>
        </is>
      </c>
      <c r="E12" s="12" t="n">
        <v>10500</v>
      </c>
      <c r="F12" s="12" t="n">
        <v>5000</v>
      </c>
      <c r="G12" s="12" t="n">
        <v>17000</v>
      </c>
      <c r="H12" s="13">
        <f>IF(AND(ISNUMBER(E12),ISNUMBER(F12),ISNUMBER(G12),G12&gt;F12),(E12-F12)/(G12-F12),"")</f>
        <v/>
      </c>
      <c r="I12" s="14" t="n">
        <v>0.236</v>
      </c>
      <c r="J12" s="14" t="n"/>
      <c r="K12" s="14" t="n"/>
      <c r="L12" s="12" t="n">
        <v>11000</v>
      </c>
      <c r="M12" s="15" t="n">
        <v>160000</v>
      </c>
      <c r="N12" s="16" t="n">
        <v>38</v>
      </c>
      <c r="O12" s="16" t="n">
        <v>0</v>
      </c>
      <c r="P12" s="17" t="n"/>
      <c r="Q12" s="16" t="n">
        <v>5</v>
      </c>
      <c r="R12" s="16" t="n">
        <v>40</v>
      </c>
      <c r="S12" s="16" t="n">
        <v>75</v>
      </c>
      <c r="T12" s="16" t="n">
        <v>60</v>
      </c>
      <c r="U12" s="16" t="n">
        <v>54</v>
      </c>
      <c r="V12" s="16" t="n">
        <v>100</v>
      </c>
      <c r="W12" s="16" t="n">
        <v>100</v>
      </c>
      <c r="X12" s="18" t="n">
        <v>46296</v>
      </c>
      <c r="Y12" s="19" t="inlineStr">
        <is>
          <t>Voir</t>
        </is>
      </c>
      <c r="Z12" s="13">
        <f>IFERROR(COUNTIFS(Annonces!$A$2:$A$451,$A12,Annonces!$C$2:$C$451,"En vente",Annonces!$W$2:$W$451,"Pro")/COUNTIFS(Annonces!$A$2:$A$451,$A12,Annonces!$C$2:$C$451,"En vente",Annonces!$W$2:$W$451,"&lt;&gt;"),"")</f>
        <v/>
      </c>
      <c r="AA12" s="11">
        <f>IFERROR(AVERAGEIFS(Annonces!$AC$2:$AC$451,Annonces!$A$2:$A$451,$A12,Annonces!$C$2:$C$451,"En vente"),"")</f>
        <v/>
      </c>
      <c r="AB12" s="17">
        <f>IFERROR(AVERAGEIFS(Annonces!$H$2:$H$451,Annonces!$A$2:$A$451,$A12,Annonces!$C$2:$C$451,"En vente"),"")</f>
        <v/>
      </c>
    </row>
    <row r="13">
      <c r="A13" s="10" t="inlineStr">
        <is>
          <t>Honda S2000</t>
        </is>
      </c>
      <c r="B13" s="10" t="inlineStr">
        <is>
          <t>Roadster japonais culte</t>
        </is>
      </c>
      <c r="C13" s="11" t="n">
        <v>68.3</v>
      </c>
      <c r="D13" s="10" t="inlineStr">
        <is>
          <t>À surveiller</t>
        </is>
      </c>
      <c r="E13" s="12" t="n">
        <v>21000</v>
      </c>
      <c r="F13" s="12" t="n">
        <v>14900</v>
      </c>
      <c r="G13" s="12" t="n">
        <v>27500</v>
      </c>
      <c r="H13" s="13">
        <f>IF(AND(ISNUMBER(E13),ISNUMBER(F13),ISNUMBER(G13),G13&gt;F13),(E13-F13)/(G13-F13),"")</f>
        <v/>
      </c>
      <c r="I13" s="14" t="n"/>
      <c r="J13" s="14" t="n"/>
      <c r="K13" s="14" t="n"/>
      <c r="L13" s="12" t="n">
        <v>22260</v>
      </c>
      <c r="M13" s="15" t="n">
        <v>140000</v>
      </c>
      <c r="N13" s="16" t="n">
        <v>39</v>
      </c>
      <c r="O13" s="16" t="n">
        <v>0</v>
      </c>
      <c r="P13" s="17" t="n"/>
      <c r="Q13" s="16" t="n">
        <v>5</v>
      </c>
      <c r="R13" s="16" t="n">
        <v>50</v>
      </c>
      <c r="S13" s="16" t="n">
        <v>85</v>
      </c>
      <c r="T13" s="16" t="n">
        <v>85</v>
      </c>
      <c r="U13" s="16" t="n">
        <v>52</v>
      </c>
      <c r="V13" s="16" t="n">
        <v>50</v>
      </c>
      <c r="W13" s="16" t="n">
        <v>100</v>
      </c>
      <c r="X13" s="18" t="n">
        <v>46296</v>
      </c>
      <c r="Y13" s="19" t="inlineStr">
        <is>
          <t>Voir</t>
        </is>
      </c>
      <c r="Z13" s="13">
        <f>IFERROR(COUNTIFS(Annonces!$A$2:$A$451,$A13,Annonces!$C$2:$C$451,"En vente",Annonces!$W$2:$W$451,"Pro")/COUNTIFS(Annonces!$A$2:$A$451,$A13,Annonces!$C$2:$C$451,"En vente",Annonces!$W$2:$W$451,"&lt;&gt;"),"")</f>
        <v/>
      </c>
      <c r="AA13" s="11">
        <f>IFERROR(AVERAGEIFS(Annonces!$AC$2:$AC$451,Annonces!$A$2:$A$451,$A13,Annonces!$C$2:$C$451,"En vente"),"")</f>
        <v/>
      </c>
      <c r="AB13" s="17">
        <f>IFERROR(AVERAGEIFS(Annonces!$H$2:$H$451,Annonces!$A$2:$A$451,$A13,Annonces!$C$2:$C$451,"En vente"),"")</f>
        <v/>
      </c>
    </row>
    <row r="14">
      <c r="A14" s="10" t="inlineStr">
        <is>
          <t>Citroën Saxo VTS 16V</t>
        </is>
      </c>
      <c r="B14" s="10" t="inlineStr">
        <is>
          <t>Hot-hatch youngtimer 2000-2005</t>
        </is>
      </c>
      <c r="C14" s="11" t="n">
        <v>65.09999999999999</v>
      </c>
      <c r="D14" s="10" t="inlineStr">
        <is>
          <t>À surveiller</t>
        </is>
      </c>
      <c r="E14" s="12" t="n">
        <v>6350</v>
      </c>
      <c r="F14" s="12" t="n">
        <v>4500</v>
      </c>
      <c r="G14" s="12" t="n">
        <v>9500</v>
      </c>
      <c r="H14" s="13">
        <f>IF(AND(ISNUMBER(E14),ISNUMBER(F14),ISNUMBER(G14),G14&gt;F14),(E14-F14)/(G14-F14),"")</f>
        <v/>
      </c>
      <c r="I14" s="14" t="n">
        <v>0.174</v>
      </c>
      <c r="J14" s="14" t="n"/>
      <c r="K14" s="14" t="n"/>
      <c r="L14" s="12" t="n">
        <v>7750</v>
      </c>
      <c r="M14" s="15" t="n">
        <v>150000</v>
      </c>
      <c r="N14" s="16" t="n">
        <v>40</v>
      </c>
      <c r="O14" s="16" t="n">
        <v>0</v>
      </c>
      <c r="P14" s="17" t="n"/>
      <c r="Q14" s="16" t="n">
        <v>5</v>
      </c>
      <c r="R14" s="16" t="n">
        <v>30</v>
      </c>
      <c r="S14" s="16" t="n">
        <v>55</v>
      </c>
      <c r="T14" s="16" t="n">
        <v>55</v>
      </c>
      <c r="U14" s="16" t="n">
        <v>63</v>
      </c>
      <c r="V14" s="16" t="n">
        <v>100</v>
      </c>
      <c r="W14" s="16" t="n">
        <v>100</v>
      </c>
      <c r="X14" s="18" t="n">
        <v>46296</v>
      </c>
      <c r="Y14" s="19" t="inlineStr">
        <is>
          <t>Voir</t>
        </is>
      </c>
      <c r="Z14" s="13">
        <f>IFERROR(COUNTIFS(Annonces!$A$2:$A$451,$A14,Annonces!$C$2:$C$451,"En vente",Annonces!$W$2:$W$451,"Pro")/COUNTIFS(Annonces!$A$2:$A$451,$A14,Annonces!$C$2:$C$451,"En vente",Annonces!$W$2:$W$451,"&lt;&gt;"),"")</f>
        <v/>
      </c>
      <c r="AA14" s="11">
        <f>IFERROR(AVERAGEIFS(Annonces!$AC$2:$AC$451,Annonces!$A$2:$A$451,$A14,Annonces!$C$2:$C$451,"En vente"),"")</f>
        <v/>
      </c>
      <c r="AB14" s="17">
        <f>IFERROR(AVERAGEIFS(Annonces!$H$2:$H$451,Annonces!$A$2:$A$451,$A14,Annonces!$C$2:$C$451,"En vente"),"")</f>
        <v/>
      </c>
    </row>
    <row r="15">
      <c r="A15" s="10" t="inlineStr">
        <is>
          <t>Peugeot 306 S16</t>
        </is>
      </c>
      <c r="B15" s="10" t="inlineStr">
        <is>
          <t>Hot-hatch youngtimer 1990-2000</t>
        </is>
      </c>
      <c r="C15" s="11" t="n">
        <v>63.8</v>
      </c>
      <c r="D15" s="10" t="inlineStr">
        <is>
          <t>À surveiller</t>
        </is>
      </c>
      <c r="E15" s="12" t="n">
        <v>8200</v>
      </c>
      <c r="F15" s="12" t="n">
        <v>6800</v>
      </c>
      <c r="G15" s="12" t="n">
        <v>12800</v>
      </c>
      <c r="H15" s="13">
        <f>IF(AND(ISNUMBER(E15),ISNUMBER(F15),ISNUMBER(G15),G15&gt;F15),(E15-F15)/(G15-F15),"")</f>
        <v/>
      </c>
      <c r="I15" s="14" t="n"/>
      <c r="J15" s="14" t="n"/>
      <c r="K15" s="14" t="n"/>
      <c r="L15" s="12" t="n">
        <v>9790</v>
      </c>
      <c r="M15" s="15" t="n">
        <v>180000</v>
      </c>
      <c r="N15" s="16" t="n">
        <v>25</v>
      </c>
      <c r="O15" s="16" t="n">
        <v>0</v>
      </c>
      <c r="P15" s="17" t="n"/>
      <c r="Q15" s="16" t="n">
        <v>5</v>
      </c>
      <c r="R15" s="16" t="n">
        <v>40</v>
      </c>
      <c r="S15" s="16" t="n">
        <v>65</v>
      </c>
      <c r="T15" s="16" t="n">
        <v>50</v>
      </c>
      <c r="U15" s="16" t="n">
        <v>77</v>
      </c>
      <c r="V15" s="16" t="n">
        <v>50</v>
      </c>
      <c r="W15" s="16" t="n">
        <v>100</v>
      </c>
      <c r="X15" s="18" t="n">
        <v>46296</v>
      </c>
      <c r="Y15" s="19" t="inlineStr">
        <is>
          <t>Voir</t>
        </is>
      </c>
      <c r="Z15" s="13">
        <f>IFERROR(COUNTIFS(Annonces!$A$2:$A$451,$A15,Annonces!$C$2:$C$451,"En vente",Annonces!$W$2:$W$451,"Pro")/COUNTIFS(Annonces!$A$2:$A$451,$A15,Annonces!$C$2:$C$451,"En vente",Annonces!$W$2:$W$451,"&lt;&gt;"),"")</f>
        <v/>
      </c>
      <c r="AA15" s="11">
        <f>IFERROR(AVERAGEIFS(Annonces!$AC$2:$AC$451,Annonces!$A$2:$A$451,$A15,Annonces!$C$2:$C$451,"En vente"),"")</f>
        <v/>
      </c>
      <c r="AB15" s="17">
        <f>IFERROR(AVERAGEIFS(Annonces!$H$2:$H$451,Annonces!$A$2:$A$451,$A15,Annonces!$C$2:$C$451,"En vente"),"")</f>
        <v/>
      </c>
    </row>
    <row r="16">
      <c r="A16" s="10" t="inlineStr">
        <is>
          <t>Peugeot 205 GTI</t>
        </is>
      </c>
      <c r="B16" s="10" t="inlineStr">
        <is>
          <t>Hot-hatch icône des années 80</t>
        </is>
      </c>
      <c r="C16" s="11" t="n">
        <v>62.8</v>
      </c>
      <c r="D16" s="10" t="inlineStr">
        <is>
          <t>À surveiller</t>
        </is>
      </c>
      <c r="E16" s="12" t="n">
        <v>18000</v>
      </c>
      <c r="F16" s="12" t="n">
        <v>14925</v>
      </c>
      <c r="G16" s="12" t="n">
        <v>20675</v>
      </c>
      <c r="H16" s="13">
        <f>IF(AND(ISNUMBER(E16),ISNUMBER(F16),ISNUMBER(G16),G16&gt;F16),(E16-F16)/(G16-F16),"")</f>
        <v/>
      </c>
      <c r="I16" s="14" t="n"/>
      <c r="J16" s="14" t="n"/>
      <c r="K16" s="14" t="n"/>
      <c r="L16" s="12" t="n">
        <v>17870</v>
      </c>
      <c r="M16" s="15" t="n">
        <v>190000</v>
      </c>
      <c r="N16" s="16" t="n">
        <v>38</v>
      </c>
      <c r="O16" s="16" t="n">
        <v>0</v>
      </c>
      <c r="P16" s="17" t="n"/>
      <c r="Q16" s="16" t="n">
        <v>5</v>
      </c>
      <c r="R16" s="16" t="n">
        <v>45</v>
      </c>
      <c r="S16" s="16" t="n">
        <v>85</v>
      </c>
      <c r="T16" s="16" t="n">
        <v>50</v>
      </c>
      <c r="U16" s="16" t="n">
        <v>47</v>
      </c>
      <c r="V16" s="16" t="n">
        <v>50</v>
      </c>
      <c r="W16" s="16" t="n">
        <v>100</v>
      </c>
      <c r="X16" s="18" t="n">
        <v>46296</v>
      </c>
      <c r="Y16" s="19" t="inlineStr">
        <is>
          <t>Voir</t>
        </is>
      </c>
      <c r="Z16" s="13">
        <f>IFERROR(COUNTIFS(Annonces!$A$2:$A$451,$A16,Annonces!$C$2:$C$451,"En vente",Annonces!$W$2:$W$451,"Pro")/COUNTIFS(Annonces!$A$2:$A$451,$A16,Annonces!$C$2:$C$451,"En vente",Annonces!$W$2:$W$451,"&lt;&gt;"),"")</f>
        <v/>
      </c>
      <c r="AA16" s="11">
        <f>IFERROR(AVERAGEIFS(Annonces!$AC$2:$AC$451,Annonces!$A$2:$A$451,$A16,Annonces!$C$2:$C$451,"En vente"),"")</f>
        <v/>
      </c>
      <c r="AB16" s="17">
        <f>IFERROR(AVERAGEIFS(Annonces!$H$2:$H$451,Annonces!$A$2:$A$451,$A16,Annonces!$C$2:$C$451,"En vente"),"")</f>
        <v/>
      </c>
    </row>
    <row r="17">
      <c r="A17" s="10" t="inlineStr">
        <is>
          <t>Renault Mégane II RS R26</t>
        </is>
      </c>
      <c r="B17" s="10" t="inlineStr">
        <is>
          <t>Hot-hatch à série limitée</t>
        </is>
      </c>
      <c r="C17" s="11" t="n">
        <v>59.6</v>
      </c>
      <c r="D17" s="10" t="inlineStr">
        <is>
          <t>À surveiller</t>
        </is>
      </c>
      <c r="E17" s="12" t="n">
        <v>23485</v>
      </c>
      <c r="F17" s="12" t="n">
        <v>20050</v>
      </c>
      <c r="G17" s="12" t="n">
        <v>24990</v>
      </c>
      <c r="H17" s="13">
        <f>IF(AND(ISNUMBER(E17),ISNUMBER(F17),ISNUMBER(G17),G17&gt;F17),(E17-F17)/(G17-F17),"")</f>
        <v/>
      </c>
      <c r="I17" s="14" t="n"/>
      <c r="J17" s="14" t="n"/>
      <c r="K17" s="14" t="n"/>
      <c r="L17" s="12" t="n">
        <v>22980</v>
      </c>
      <c r="M17" s="15" t="n">
        <v>100000</v>
      </c>
      <c r="N17" s="16" t="n">
        <v>18</v>
      </c>
      <c r="O17" s="16" t="n">
        <v>0</v>
      </c>
      <c r="P17" s="17" t="n"/>
      <c r="Q17" s="16" t="n">
        <v>4</v>
      </c>
      <c r="R17" s="16" t="n">
        <v>55</v>
      </c>
      <c r="S17" s="16" t="n">
        <v>75</v>
      </c>
      <c r="T17" s="16" t="n">
        <v>50</v>
      </c>
      <c r="U17" s="16" t="n">
        <v>30</v>
      </c>
      <c r="V17" s="16" t="n">
        <v>50</v>
      </c>
      <c r="W17" s="16" t="n">
        <v>100</v>
      </c>
      <c r="X17" s="18" t="n">
        <v>46296</v>
      </c>
      <c r="Y17" s="19" t="inlineStr">
        <is>
          <t>Voir</t>
        </is>
      </c>
      <c r="Z17" s="13">
        <f>IFERROR(COUNTIFS(Annonces!$A$2:$A$451,$A17,Annonces!$C$2:$C$451,"En vente",Annonces!$W$2:$W$451,"Pro")/COUNTIFS(Annonces!$A$2:$A$451,$A17,Annonces!$C$2:$C$451,"En vente",Annonces!$W$2:$W$451,"&lt;&gt;"),"")</f>
        <v/>
      </c>
      <c r="AA17" s="11">
        <f>IFERROR(AVERAGEIFS(Annonces!$AC$2:$AC$451,Annonces!$A$2:$A$451,$A17,Annonces!$C$2:$C$451,"En vente"),"")</f>
        <v/>
      </c>
      <c r="AB17" s="17">
        <f>IFERROR(AVERAGEIFS(Annonces!$H$2:$H$451,Annonces!$A$2:$A$451,$A17,Annonces!$C$2:$C$451,"En vente"),"")</f>
        <v/>
      </c>
    </row>
    <row r="18">
      <c r="A18" s="10" t="inlineStr">
        <is>
          <t>Renault Twingo 1 découvrable</t>
        </is>
      </c>
      <c r="B18" s="10" t="inlineStr">
        <is>
          <t>Citadine iconique, variante toit ouvrant</t>
        </is>
      </c>
      <c r="C18" s="11" t="n">
        <v>58</v>
      </c>
      <c r="D18" s="10" t="inlineStr">
        <is>
          <t>À surveiller</t>
        </is>
      </c>
      <c r="E18" s="12" t="n">
        <v>2990</v>
      </c>
      <c r="F18" s="12" t="n">
        <v>1500</v>
      </c>
      <c r="G18" s="12" t="n">
        <v>6500</v>
      </c>
      <c r="H18" s="13">
        <f>IF(AND(ISNUMBER(E18),ISNUMBER(F18),ISNUMBER(G18),G18&gt;F18),(E18-F18)/(G18-F18),"")</f>
        <v/>
      </c>
      <c r="I18" s="14" t="n">
        <v>-0.384</v>
      </c>
      <c r="J18" s="14" t="n"/>
      <c r="K18" s="14" t="n"/>
      <c r="L18" s="12" t="n">
        <v>3380</v>
      </c>
      <c r="M18" s="15" t="n">
        <v>150000</v>
      </c>
      <c r="N18" s="16" t="n">
        <v>27</v>
      </c>
      <c r="O18" s="16" t="n">
        <v>0</v>
      </c>
      <c r="P18" s="17" t="n"/>
      <c r="Q18" s="16" t="n">
        <v>5</v>
      </c>
      <c r="R18" s="16" t="n">
        <v>55</v>
      </c>
      <c r="S18" s="16" t="n">
        <v>65</v>
      </c>
      <c r="T18" s="16" t="n">
        <v>50</v>
      </c>
      <c r="U18" s="16" t="n">
        <v>70</v>
      </c>
      <c r="V18" s="16" t="n">
        <v>0</v>
      </c>
      <c r="W18" s="16" t="n">
        <v>100</v>
      </c>
      <c r="X18" s="18" t="n">
        <v>46296</v>
      </c>
      <c r="Y18" s="19" t="inlineStr">
        <is>
          <t>Voir</t>
        </is>
      </c>
      <c r="Z18" s="13">
        <f>IFERROR(COUNTIFS(Annonces!$A$2:$A$451,$A18,Annonces!$C$2:$C$451,"En vente",Annonces!$W$2:$W$451,"Pro")/COUNTIFS(Annonces!$A$2:$A$451,$A18,Annonces!$C$2:$C$451,"En vente",Annonces!$W$2:$W$451,"&lt;&gt;"),"")</f>
        <v/>
      </c>
      <c r="AA18" s="11">
        <f>IFERROR(AVERAGEIFS(Annonces!$AC$2:$AC$451,Annonces!$A$2:$A$451,$A18,Annonces!$C$2:$C$451,"En vente"),"")</f>
        <v/>
      </c>
      <c r="AB18" s="17">
        <f>IFERROR(AVERAGEIFS(Annonces!$H$2:$H$451,Annonces!$A$2:$A$451,$A18,Annonces!$C$2:$C$451,"En vente"),"")</f>
        <v/>
      </c>
    </row>
    <row r="19">
      <c r="A19" s="10" t="inlineStr">
        <is>
          <t>BMW Z3 1.9i / 2.0i</t>
        </is>
      </c>
      <c r="B19" s="10" t="inlineStr">
        <is>
          <t>Roadster youngtimer</t>
        </is>
      </c>
      <c r="C19" s="11" t="n">
        <v>56.4</v>
      </c>
      <c r="D19" s="10" t="inlineStr">
        <is>
          <t>À surveiller</t>
        </is>
      </c>
      <c r="E19" s="12" t="n">
        <v>11240</v>
      </c>
      <c r="F19" s="12" t="n">
        <v>9990</v>
      </c>
      <c r="G19" s="12" t="n">
        <v>12740</v>
      </c>
      <c r="H19" s="13">
        <f>IF(AND(ISNUMBER(E19),ISNUMBER(F19),ISNUMBER(G19),G19&gt;F19),(E19-F19)/(G19-F19),"")</f>
        <v/>
      </c>
      <c r="I19" s="14" t="n"/>
      <c r="J19" s="14" t="n"/>
      <c r="K19" s="14" t="n"/>
      <c r="L19" s="12" t="n">
        <v>12020</v>
      </c>
      <c r="M19" s="15" t="n">
        <v>130000</v>
      </c>
      <c r="N19" s="16" t="n">
        <v>14</v>
      </c>
      <c r="O19" s="16" t="n">
        <v>0</v>
      </c>
      <c r="P19" s="17" t="n"/>
      <c r="Q19" s="16" t="n">
        <v>3</v>
      </c>
      <c r="R19" s="16" t="n">
        <v>35</v>
      </c>
      <c r="S19" s="16" t="n">
        <v>65</v>
      </c>
      <c r="T19" s="16" t="n">
        <v>40</v>
      </c>
      <c r="U19" s="16" t="n">
        <v>55</v>
      </c>
      <c r="V19" s="16" t="n">
        <v>50</v>
      </c>
      <c r="W19" s="16" t="n">
        <v>93</v>
      </c>
      <c r="X19" s="18" t="n">
        <v>46296</v>
      </c>
      <c r="Y19" s="19" t="inlineStr">
        <is>
          <t>Voir</t>
        </is>
      </c>
      <c r="Z19" s="13">
        <f>IFERROR(COUNTIFS(Annonces!$A$2:$A$451,$A19,Annonces!$C$2:$C$451,"En vente",Annonces!$W$2:$W$451,"Pro")/COUNTIFS(Annonces!$A$2:$A$451,$A19,Annonces!$C$2:$C$451,"En vente",Annonces!$W$2:$W$451,"&lt;&gt;"),"")</f>
        <v/>
      </c>
      <c r="AA19" s="11">
        <f>IFERROR(AVERAGEIFS(Annonces!$AC$2:$AC$451,Annonces!$A$2:$A$451,$A19,Annonces!$C$2:$C$451,"En vente"),"")</f>
        <v/>
      </c>
      <c r="AB19" s="17">
        <f>IFERROR(AVERAGEIFS(Annonces!$H$2:$H$451,Annonces!$A$2:$A$451,$A19,Annonces!$C$2:$C$451,"En vente"),"")</f>
        <v/>
      </c>
    </row>
    <row r="20">
      <c r="A20" s="10" t="inlineStr">
        <is>
          <t>Mazda MX-5 NA</t>
        </is>
      </c>
      <c r="B20" s="10" t="inlineStr">
        <is>
          <t>Roadster youngtimer</t>
        </is>
      </c>
      <c r="C20" s="11" t="n">
        <v>56.1</v>
      </c>
      <c r="D20" s="10" t="inlineStr">
        <is>
          <t>À surveiller</t>
        </is>
      </c>
      <c r="E20" s="12" t="n">
        <v>11980</v>
      </c>
      <c r="F20" s="12" t="n">
        <v>9500</v>
      </c>
      <c r="G20" s="12" t="n">
        <v>13500</v>
      </c>
      <c r="H20" s="13">
        <f>IF(AND(ISNUMBER(E20),ISNUMBER(F20),ISNUMBER(G20),G20&gt;F20),(E20-F20)/(G20-F20),"")</f>
        <v/>
      </c>
      <c r="I20" s="14" t="n"/>
      <c r="J20" s="14" t="n"/>
      <c r="K20" s="14" t="n"/>
      <c r="L20" s="12" t="n">
        <v>11580</v>
      </c>
      <c r="M20" s="15" t="n">
        <v>160000</v>
      </c>
      <c r="N20" s="16" t="n">
        <v>37</v>
      </c>
      <c r="O20" s="16" t="n">
        <v>0</v>
      </c>
      <c r="P20" s="17" t="n"/>
      <c r="Q20" s="16" t="n">
        <v>5</v>
      </c>
      <c r="R20" s="16" t="n">
        <v>25</v>
      </c>
      <c r="S20" s="16" t="n">
        <v>75</v>
      </c>
      <c r="T20" s="16" t="n">
        <v>60</v>
      </c>
      <c r="U20" s="16" t="n">
        <v>38</v>
      </c>
      <c r="V20" s="16" t="n">
        <v>50</v>
      </c>
      <c r="W20" s="16" t="n">
        <v>100</v>
      </c>
      <c r="X20" s="18" t="n">
        <v>46296</v>
      </c>
      <c r="Y20" s="19" t="inlineStr">
        <is>
          <t>Voir</t>
        </is>
      </c>
      <c r="Z20" s="13">
        <f>IFERROR(COUNTIFS(Annonces!$A$2:$A$451,$A20,Annonces!$C$2:$C$451,"En vente",Annonces!$W$2:$W$451,"Pro")/COUNTIFS(Annonces!$A$2:$A$451,$A20,Annonces!$C$2:$C$451,"En vente",Annonces!$W$2:$W$451,"&lt;&gt;"),"")</f>
        <v/>
      </c>
      <c r="AA20" s="11">
        <f>IFERROR(AVERAGEIFS(Annonces!$AC$2:$AC$451,Annonces!$A$2:$A$451,$A20,Annonces!$C$2:$C$451,"En vente"),"")</f>
        <v/>
      </c>
      <c r="AB20" s="17">
        <f>IFERROR(AVERAGEIFS(Annonces!$H$2:$H$451,Annonces!$A$2:$A$451,$A20,Annonces!$C$2:$C$451,"En vente"),"")</f>
        <v/>
      </c>
    </row>
    <row r="21">
      <c r="A21" s="10" t="inlineStr">
        <is>
          <t>Alfa Romeo 156 2.5 V6 24V</t>
        </is>
      </c>
      <c r="B21" s="10" t="inlineStr">
        <is>
          <t>Berline sportive youngtimer</t>
        </is>
      </c>
      <c r="C21" s="11" t="n">
        <v>55.6</v>
      </c>
      <c r="D21" s="10" t="inlineStr">
        <is>
          <t>À surveiller</t>
        </is>
      </c>
      <c r="E21" s="12" t="n">
        <v>5695</v>
      </c>
      <c r="F21" s="12" t="n">
        <v>4293</v>
      </c>
      <c r="G21" s="12" t="n">
        <v>7125</v>
      </c>
      <c r="H21" s="13">
        <f>IF(AND(ISNUMBER(E21),ISNUMBER(F21),ISNUMBER(G21),G21&gt;F21),(E21-F21)/(G21-F21),"")</f>
        <v/>
      </c>
      <c r="I21" s="14" t="n"/>
      <c r="J21" s="14" t="n"/>
      <c r="K21" s="14" t="n"/>
      <c r="L21" s="12" t="n">
        <v>5700</v>
      </c>
      <c r="M21" s="15" t="n">
        <v>200000</v>
      </c>
      <c r="N21" s="16" t="n">
        <v>8</v>
      </c>
      <c r="O21" s="16" t="n">
        <v>0</v>
      </c>
      <c r="P21" s="17" t="n"/>
      <c r="Q21" s="16" t="n">
        <v>3</v>
      </c>
      <c r="R21" s="16" t="n">
        <v>50</v>
      </c>
      <c r="S21" s="16" t="n">
        <v>65</v>
      </c>
      <c r="T21" s="16" t="n">
        <v>70</v>
      </c>
      <c r="U21" s="16" t="n">
        <v>50</v>
      </c>
      <c r="V21" s="16" t="n">
        <v>50</v>
      </c>
      <c r="W21" s="16" t="n">
        <v>53</v>
      </c>
      <c r="X21" s="18" t="n">
        <v>46296</v>
      </c>
      <c r="Y21" s="19" t="inlineStr">
        <is>
          <t>Voir</t>
        </is>
      </c>
      <c r="Z21" s="13">
        <f>IFERROR(COUNTIFS(Annonces!$A$2:$A$451,$A21,Annonces!$C$2:$C$451,"En vente",Annonces!$W$2:$W$451,"Pro")/COUNTIFS(Annonces!$A$2:$A$451,$A21,Annonces!$C$2:$C$451,"En vente",Annonces!$W$2:$W$451,"&lt;&gt;"),"")</f>
        <v/>
      </c>
      <c r="AA21" s="11">
        <f>IFERROR(AVERAGEIFS(Annonces!$AC$2:$AC$451,Annonces!$A$2:$A$451,$A21,Annonces!$C$2:$C$451,"En vente"),"")</f>
        <v/>
      </c>
      <c r="AB21" s="17">
        <f>IFERROR(AVERAGEIFS(Annonces!$H$2:$H$451,Annonces!$A$2:$A$451,$A21,Annonces!$C$2:$C$451,"En vente"),"")</f>
        <v/>
      </c>
    </row>
    <row r="22">
      <c r="A22" s="10" t="inlineStr">
        <is>
          <t>Porsche Boxster 986</t>
        </is>
      </c>
      <c r="B22" s="10" t="inlineStr">
        <is>
          <t>Roadster d'entrée de gamme Porsche</t>
        </is>
      </c>
      <c r="C22" s="11" t="n">
        <v>54.6</v>
      </c>
      <c r="D22" s="10" t="inlineStr">
        <is>
          <t>Attendre</t>
        </is>
      </c>
      <c r="E22" s="12" t="n">
        <v>17650</v>
      </c>
      <c r="F22" s="12" t="n">
        <v>15000</v>
      </c>
      <c r="G22" s="12" t="n">
        <v>27000</v>
      </c>
      <c r="H22" s="13">
        <f>IF(AND(ISNUMBER(E22),ISNUMBER(F22),ISNUMBER(G22),G22&gt;F22),(E22-F22)/(G22-F22),"")</f>
        <v/>
      </c>
      <c r="I22" s="14" t="n">
        <v>-0.14</v>
      </c>
      <c r="J22" s="14" t="n"/>
      <c r="K22" s="14" t="n"/>
      <c r="L22" s="12" t="n">
        <v>19280</v>
      </c>
      <c r="M22" s="15" t="n">
        <v>110000</v>
      </c>
      <c r="N22" s="16" t="n">
        <v>40</v>
      </c>
      <c r="O22" s="16" t="n">
        <v>0</v>
      </c>
      <c r="P22" s="17" t="n"/>
      <c r="Q22" s="16" t="n">
        <v>5</v>
      </c>
      <c r="R22" s="16" t="n">
        <v>35</v>
      </c>
      <c r="S22" s="16" t="n">
        <v>70</v>
      </c>
      <c r="T22" s="16" t="n">
        <v>30</v>
      </c>
      <c r="U22" s="16" t="n">
        <v>78</v>
      </c>
      <c r="V22" s="16" t="n">
        <v>0</v>
      </c>
      <c r="W22" s="16" t="n">
        <v>100</v>
      </c>
      <c r="X22" s="18" t="n">
        <v>46296</v>
      </c>
      <c r="Y22" s="19" t="inlineStr">
        <is>
          <t>Voir</t>
        </is>
      </c>
      <c r="Z22" s="13">
        <f>IFERROR(COUNTIFS(Annonces!$A$2:$A$451,$A22,Annonces!$C$2:$C$451,"En vente",Annonces!$W$2:$W$451,"Pro")/COUNTIFS(Annonces!$A$2:$A$451,$A22,Annonces!$C$2:$C$451,"En vente",Annonces!$W$2:$W$451,"&lt;&gt;"),"")</f>
        <v/>
      </c>
      <c r="AA22" s="11">
        <f>IFERROR(AVERAGEIFS(Annonces!$AC$2:$AC$451,Annonces!$A$2:$A$451,$A22,Annonces!$C$2:$C$451,"En vente"),"")</f>
        <v/>
      </c>
      <c r="AB22" s="17">
        <f>IFERROR(AVERAGEIFS(Annonces!$H$2:$H$451,Annonces!$A$2:$A$451,$A22,Annonces!$C$2:$C$451,"En vente"),"")</f>
        <v/>
      </c>
    </row>
    <row r="23">
      <c r="A23" s="10" t="inlineStr">
        <is>
          <t>Porsche Boxster 987</t>
        </is>
      </c>
      <c r="B23" s="10" t="inlineStr">
        <is>
          <t>Roadster Porsche</t>
        </is>
      </c>
      <c r="C23" s="11" t="n">
        <v>52.6</v>
      </c>
      <c r="D23" s="10" t="inlineStr">
        <is>
          <t>Attendre</t>
        </is>
      </c>
      <c r="E23" s="12" t="n">
        <v>29245</v>
      </c>
      <c r="F23" s="12" t="n">
        <v>20000</v>
      </c>
      <c r="G23" s="12" t="n">
        <v>45000</v>
      </c>
      <c r="H23" s="13">
        <f>IF(AND(ISNUMBER(E23),ISNUMBER(F23),ISNUMBER(G23),G23&gt;F23),(E23-F23)/(G23-F23),"")</f>
        <v/>
      </c>
      <c r="I23" s="14" t="n">
        <v>-0.242</v>
      </c>
      <c r="J23" s="14" t="n"/>
      <c r="K23" s="14" t="n"/>
      <c r="L23" s="12" t="n">
        <v>33340</v>
      </c>
      <c r="M23" s="15" t="n">
        <v>80000</v>
      </c>
      <c r="N23" s="16" t="n">
        <v>38</v>
      </c>
      <c r="O23" s="16" t="n">
        <v>0</v>
      </c>
      <c r="P23" s="17" t="n"/>
      <c r="Q23" s="16" t="n">
        <v>5</v>
      </c>
      <c r="R23" s="16" t="n">
        <v>30</v>
      </c>
      <c r="S23" s="16" t="n">
        <v>75</v>
      </c>
      <c r="T23" s="16" t="n">
        <v>40</v>
      </c>
      <c r="U23" s="16" t="n">
        <v>63</v>
      </c>
      <c r="V23" s="16" t="n">
        <v>0</v>
      </c>
      <c r="W23" s="16" t="n">
        <v>100</v>
      </c>
      <c r="X23" s="18" t="n">
        <v>46296</v>
      </c>
      <c r="Y23" s="19" t="inlineStr">
        <is>
          <t>Voir</t>
        </is>
      </c>
      <c r="Z23" s="13">
        <f>IFERROR(COUNTIFS(Annonces!$A$2:$A$451,$A23,Annonces!$C$2:$C$451,"En vente",Annonces!$W$2:$W$451,"Pro")/COUNTIFS(Annonces!$A$2:$A$451,$A23,Annonces!$C$2:$C$451,"En vente",Annonces!$W$2:$W$451,"&lt;&gt;"),"")</f>
        <v/>
      </c>
      <c r="AA23" s="11">
        <f>IFERROR(AVERAGEIFS(Annonces!$AC$2:$AC$451,Annonces!$A$2:$A$451,$A23,Annonces!$C$2:$C$451,"En vente"),"")</f>
        <v/>
      </c>
      <c r="AB23" s="17">
        <f>IFERROR(AVERAGEIFS(Annonces!$H$2:$H$451,Annonces!$A$2:$A$451,$A23,Annonces!$C$2:$C$451,"En vente"),"")</f>
        <v/>
      </c>
    </row>
    <row r="24">
      <c r="A24" s="10" t="inlineStr">
        <is>
          <t>Volkswagen Golf IV GTI 25th Anniversary</t>
        </is>
      </c>
      <c r="B24" s="10" t="inlineStr">
        <is>
          <t>Hot-hatch à série limitée</t>
        </is>
      </c>
      <c r="C24" s="11" t="n">
        <v>0</v>
      </c>
      <c r="D24" s="10" t="inlineStr">
        <is>
          <t>Pas de données</t>
        </is>
      </c>
      <c r="E24" s="12" t="n"/>
      <c r="F24" s="12" t="n"/>
      <c r="G24" s="12" t="n"/>
      <c r="H24" s="13">
        <f>IF(AND(ISNUMBER(E24),ISNUMBER(F24),ISNUMBER(G24),G24&gt;F24),(E24-F24)/(G24-F24),"")</f>
        <v/>
      </c>
      <c r="I24" s="14" t="n"/>
      <c r="J24" s="14" t="n"/>
      <c r="K24" s="14" t="n"/>
      <c r="L24" s="12" t="n"/>
      <c r="M24" s="15" t="n"/>
      <c r="N24" s="16" t="n">
        <v>0</v>
      </c>
      <c r="O24" s="16" t="n">
        <v>0</v>
      </c>
      <c r="P24" s="17" t="n"/>
      <c r="Q24" s="16" t="n">
        <v>0</v>
      </c>
      <c r="R24" s="16" t="n">
        <v>70</v>
      </c>
      <c r="S24" s="16" t="n">
        <v>65</v>
      </c>
      <c r="T24" s="16" t="n">
        <v>55</v>
      </c>
      <c r="U24" s="16" t="n">
        <v>0</v>
      </c>
      <c r="V24" s="16" t="n">
        <v>50</v>
      </c>
      <c r="W24" s="16" t="n">
        <v>0</v>
      </c>
      <c r="X24" s="18" t="n"/>
      <c r="Y24" s="19" t="inlineStr">
        <is>
          <t>Voir</t>
        </is>
      </c>
      <c r="Z24" s="13">
        <f>IFERROR(COUNTIFS(Annonces!$A$2:$A$451,$A24,Annonces!$C$2:$C$451,"En vente",Annonces!$W$2:$W$451,"Pro")/COUNTIFS(Annonces!$A$2:$A$451,$A24,Annonces!$C$2:$C$451,"En vente",Annonces!$W$2:$W$451,"&lt;&gt;"),"")</f>
        <v/>
      </c>
      <c r="AA24" s="11">
        <f>IFERROR(AVERAGEIFS(Annonces!$AC$2:$AC$451,Annonces!$A$2:$A$451,$A24,Annonces!$C$2:$C$451,"En vente"),"")</f>
        <v/>
      </c>
      <c r="AB24" s="17">
        <f>IFERROR(AVERAGEIFS(Annonces!$H$2:$H$451,Annonces!$A$2:$A$451,$A24,Annonces!$C$2:$C$451,"En vente"),"")</f>
        <v/>
      </c>
    </row>
  </sheetData>
  <autoFilter ref="A8:AB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5695</v>
      </c>
      <c r="D2" s="14">
        <f>IF(AND($B2=$B1,ISNUMBER(C2),ISNUMBER(C1)),C2/C1-1,"")</f>
        <v/>
      </c>
      <c r="E2" s="12" t="n">
        <v>4293</v>
      </c>
      <c r="F2" s="12" t="n">
        <v>7125</v>
      </c>
      <c r="G2" s="12" t="n">
        <v>5700</v>
      </c>
      <c r="H2" s="14">
        <f>IF(AND($B2=$B1,ISNUMBER(G2),ISNUMBER(G1)),G2/G1-1,"")</f>
        <v/>
      </c>
      <c r="I2" s="16" t="n">
        <v>8</v>
      </c>
      <c r="J2" s="16" t="n">
        <v>8</v>
      </c>
      <c r="K2" s="16" t="n">
        <v>0</v>
      </c>
      <c r="L2" s="17" t="n"/>
      <c r="M2" s="16" t="n">
        <v>1</v>
      </c>
      <c r="N2" s="11" t="n">
        <v>55.6</v>
      </c>
      <c r="O2" s="20">
        <f>IF(AND($B2=$B1,ISNUMBER(N2),ISNUMBER(N1)),N2-N1,"")</f>
        <v/>
      </c>
      <c r="P2" s="10" t="inlineStr">
        <is>
          <t>À surveiller</t>
        </is>
      </c>
    </row>
    <row r="3">
      <c r="A3" s="10" t="inlineStr">
        <is>
          <t>2026-10</t>
        </is>
      </c>
      <c r="B3" s="10" t="inlineStr">
        <is>
          <t>BMW Z3 1.9i / 2.0i</t>
        </is>
      </c>
      <c r="C3" s="12" t="n">
        <v>11240</v>
      </c>
      <c r="D3" s="14">
        <f>IF(AND($B3=$B2,ISNUMBER(C3),ISNUMBER(C2)),C3/C2-1,"")</f>
        <v/>
      </c>
      <c r="E3" s="12" t="n">
        <v>9990</v>
      </c>
      <c r="F3" s="12" t="n">
        <v>12740</v>
      </c>
      <c r="G3" s="12" t="n">
        <v>12020</v>
      </c>
      <c r="H3" s="14">
        <f>IF(AND($B3=$B2,ISNUMBER(G3),ISNUMBER(G2)),G3/G2-1,"")</f>
        <v/>
      </c>
      <c r="I3" s="16" t="n">
        <v>14</v>
      </c>
      <c r="J3" s="16" t="n">
        <v>14</v>
      </c>
      <c r="K3" s="16" t="n">
        <v>0</v>
      </c>
      <c r="L3" s="17" t="n"/>
      <c r="M3" s="16" t="n">
        <v>1</v>
      </c>
      <c r="N3" s="11" t="n">
        <v>56.4</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6350</v>
      </c>
      <c r="D5" s="14">
        <f>IF(AND($B5=$B4,ISNUMBER(C5),ISNUMBER(C4)),C5/C4-1,"")</f>
        <v/>
      </c>
      <c r="E5" s="12" t="n">
        <v>4875</v>
      </c>
      <c r="F5" s="12" t="n">
        <v>8350</v>
      </c>
      <c r="G5" s="12" t="n">
        <v>7750</v>
      </c>
      <c r="H5" s="14">
        <f>IF(AND($B5=$B4,ISNUMBER(G5),ISNUMBER(G4)),G5/G4-1,"")</f>
        <v/>
      </c>
      <c r="I5" s="16" t="n">
        <v>40</v>
      </c>
      <c r="J5" s="16" t="n">
        <v>40</v>
      </c>
      <c r="K5" s="16" t="n">
        <v>0</v>
      </c>
      <c r="L5" s="17" t="n"/>
      <c r="M5" s="16" t="n">
        <v>1</v>
      </c>
      <c r="N5" s="11" t="n">
        <v>65.09999999999999</v>
      </c>
      <c r="O5" s="20">
        <f>IF(AND($B5=$B4,ISNUMBER(N5),ISNUMBER(N4)),N5-N4,"")</f>
        <v/>
      </c>
      <c r="P5" s="10" t="inlineStr">
        <is>
          <t>À surveiller</t>
        </is>
      </c>
    </row>
    <row r="6">
      <c r="A6" s="10" t="inlineStr">
        <is>
          <t>2026-10</t>
        </is>
      </c>
      <c r="B6" s="10" t="inlineStr">
        <is>
          <t>Honda S2000</t>
        </is>
      </c>
      <c r="C6" s="12" t="n">
        <v>21000</v>
      </c>
      <c r="D6" s="14">
        <f>IF(AND($B6=$B5,ISNUMBER(C6),ISNUMBER(C5)),C6/C5-1,"")</f>
        <v/>
      </c>
      <c r="E6" s="12" t="n">
        <v>14900</v>
      </c>
      <c r="F6" s="12" t="n">
        <v>27500</v>
      </c>
      <c r="G6" s="12" t="n">
        <v>22260</v>
      </c>
      <c r="H6" s="14">
        <f>IF(AND($B6=$B5,ISNUMBER(G6),ISNUMBER(G5)),G6/G5-1,"")</f>
        <v/>
      </c>
      <c r="I6" s="16" t="n">
        <v>39</v>
      </c>
      <c r="J6" s="16" t="n">
        <v>39</v>
      </c>
      <c r="K6" s="16" t="n">
        <v>0</v>
      </c>
      <c r="L6" s="17" t="n"/>
      <c r="M6" s="16" t="n">
        <v>1</v>
      </c>
      <c r="N6" s="11" t="n">
        <v>68.3</v>
      </c>
      <c r="O6" s="20">
        <f>IF(AND($B6=$B5,ISNUMBER(N6),ISNUMBER(N5)),N6-N5,"")</f>
        <v/>
      </c>
      <c r="P6" s="10" t="inlineStr">
        <is>
          <t>À surveiller</t>
        </is>
      </c>
    </row>
    <row r="7">
      <c r="A7" s="10" t="inlineStr">
        <is>
          <t>2026-10</t>
        </is>
      </c>
      <c r="B7" s="10" t="inlineStr">
        <is>
          <t>Mazda MX-5 NA</t>
        </is>
      </c>
      <c r="C7" s="12" t="n">
        <v>11980</v>
      </c>
      <c r="D7" s="14">
        <f>IF(AND($B7=$B6,ISNUMBER(C7),ISNUMBER(C6)),C7/C6-1,"")</f>
        <v/>
      </c>
      <c r="E7" s="12" t="n">
        <v>9500</v>
      </c>
      <c r="F7" s="12" t="n">
        <v>13500</v>
      </c>
      <c r="G7" s="12" t="n">
        <v>11580</v>
      </c>
      <c r="H7" s="14">
        <f>IF(AND($B7=$B6,ISNUMBER(G7),ISNUMBER(G6)),G7/G6-1,"")</f>
        <v/>
      </c>
      <c r="I7" s="16" t="n">
        <v>37</v>
      </c>
      <c r="J7" s="16" t="n">
        <v>37</v>
      </c>
      <c r="K7" s="16" t="n">
        <v>0</v>
      </c>
      <c r="L7" s="17" t="n"/>
      <c r="M7" s="16" t="n">
        <v>1</v>
      </c>
      <c r="N7" s="11" t="n">
        <v>56.1</v>
      </c>
      <c r="O7" s="20">
        <f>IF(AND($B7=$B6,ISNUMBER(N7),ISNUMBER(N6)),N7-N6,"")</f>
        <v/>
      </c>
      <c r="P7" s="10" t="inlineStr">
        <is>
          <t>À surveiller</t>
        </is>
      </c>
    </row>
    <row r="8">
      <c r="A8" s="10" t="inlineStr">
        <is>
          <t>2026-10</t>
        </is>
      </c>
      <c r="B8" s="10" t="inlineStr">
        <is>
          <t>Peugeot 205 GTI</t>
        </is>
      </c>
      <c r="C8" s="12" t="n">
        <v>18000</v>
      </c>
      <c r="D8" s="14">
        <f>IF(AND($B8=$B7,ISNUMBER(C8),ISNUMBER(C7)),C8/C7-1,"")</f>
        <v/>
      </c>
      <c r="E8" s="12" t="n">
        <v>14925</v>
      </c>
      <c r="F8" s="12" t="n">
        <v>20675</v>
      </c>
      <c r="G8" s="12" t="n">
        <v>17870</v>
      </c>
      <c r="H8" s="14">
        <f>IF(AND($B8=$B7,ISNUMBER(G8),ISNUMBER(G7)),G8/G7-1,"")</f>
        <v/>
      </c>
      <c r="I8" s="16" t="n">
        <v>38</v>
      </c>
      <c r="J8" s="16" t="n">
        <v>38</v>
      </c>
      <c r="K8" s="16" t="n">
        <v>0</v>
      </c>
      <c r="L8" s="17" t="n"/>
      <c r="M8" s="16" t="n">
        <v>1</v>
      </c>
      <c r="N8" s="11" t="n">
        <v>62.8</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9990</v>
      </c>
      <c r="D10" s="14">
        <f>IF(AND($B10=$B9,ISNUMBER(C10),ISNUMBER(C9)),C10/C9-1,"")</f>
        <v/>
      </c>
      <c r="E10" s="12" t="n">
        <v>7500</v>
      </c>
      <c r="F10" s="12" t="n">
        <v>12600</v>
      </c>
      <c r="G10" s="12" t="n">
        <v>11240</v>
      </c>
      <c r="H10" s="14">
        <f>IF(AND($B10=$B9,ISNUMBER(G10),ISNUMBER(G9)),G10/G9-1,"")</f>
        <v/>
      </c>
      <c r="I10" s="16" t="n">
        <v>39</v>
      </c>
      <c r="J10" s="16" t="n">
        <v>2</v>
      </c>
      <c r="K10" s="16" t="n">
        <v>0</v>
      </c>
      <c r="L10" s="17" t="n"/>
      <c r="M10" s="16" t="n">
        <v>1</v>
      </c>
      <c r="N10" s="11" t="n">
        <v>70.5</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14940</v>
      </c>
      <c r="D12" s="14">
        <f>IF(AND($B12=$B11,ISNUMBER(C12),ISNUMBER(C11)),C12/C11-1,"")</f>
        <v/>
      </c>
      <c r="E12" s="12" t="n">
        <v>13368</v>
      </c>
      <c r="F12" s="12" t="n">
        <v>17100</v>
      </c>
      <c r="G12" s="12" t="n">
        <v>16280</v>
      </c>
      <c r="H12" s="14">
        <f>IF(AND($B12=$B11,ISNUMBER(G12),ISNUMBER(G11)),G12/G11-1,"")</f>
        <v/>
      </c>
      <c r="I12" s="16" t="n">
        <v>10</v>
      </c>
      <c r="J12" s="16" t="n">
        <v>10</v>
      </c>
      <c r="K12" s="16" t="n">
        <v>0</v>
      </c>
      <c r="L12" s="17" t="n"/>
      <c r="M12" s="16" t="n">
        <v>1</v>
      </c>
      <c r="N12" s="11" t="n">
        <v>74.3</v>
      </c>
      <c r="O12" s="20">
        <f>IF(AND($B12=$B11,ISNUMBER(N12),ISNUMBER(N11)),N12-N11,"")</f>
        <v/>
      </c>
      <c r="P12" s="10" t="inlineStr">
        <is>
          <t>Signal d'achat</t>
        </is>
      </c>
    </row>
    <row r="13">
      <c r="A13" s="10" t="inlineStr">
        <is>
          <t>2026-10</t>
        </is>
      </c>
      <c r="B13" s="10" t="inlineStr">
        <is>
          <t>Peugeot 306 S16</t>
        </is>
      </c>
      <c r="C13" s="12" t="n">
        <v>8200</v>
      </c>
      <c r="D13" s="14">
        <f>IF(AND($B13=$B12,ISNUMBER(C13),ISNUMBER(C12)),C13/C12-1,"")</f>
        <v/>
      </c>
      <c r="E13" s="12" t="n">
        <v>6800</v>
      </c>
      <c r="F13" s="12" t="n">
        <v>12800</v>
      </c>
      <c r="G13" s="12" t="n">
        <v>9790</v>
      </c>
      <c r="H13" s="14">
        <f>IF(AND($B13=$B12,ISNUMBER(G13),ISNUMBER(G12)),G13/G12-1,"")</f>
        <v/>
      </c>
      <c r="I13" s="16" t="n">
        <v>25</v>
      </c>
      <c r="J13" s="16" t="n">
        <v>25</v>
      </c>
      <c r="K13" s="16" t="n">
        <v>0</v>
      </c>
      <c r="L13" s="17" t="n"/>
      <c r="M13" s="16" t="n">
        <v>1</v>
      </c>
      <c r="N13" s="11" t="n">
        <v>63.8</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51395</v>
      </c>
      <c r="D15" s="14">
        <f>IF(AND($B15=$B14,ISNUMBER(C15),ISNUMBER(C14)),C15/C14-1,"")</f>
        <v/>
      </c>
      <c r="E15" s="12" t="n">
        <v>49988</v>
      </c>
      <c r="F15" s="12" t="n">
        <v>56240</v>
      </c>
      <c r="G15" s="12" t="n">
        <v>55200</v>
      </c>
      <c r="H15" s="14">
        <f>IF(AND($B15=$B14,ISNUMBER(G15),ISNUMBER(G14)),G15/G14-1,"")</f>
        <v/>
      </c>
      <c r="I15" s="16" t="n">
        <v>36</v>
      </c>
      <c r="J15" s="16" t="n">
        <v>36</v>
      </c>
      <c r="K15" s="16" t="n">
        <v>0</v>
      </c>
      <c r="L15" s="17" t="n"/>
      <c r="M15" s="16" t="n">
        <v>1</v>
      </c>
      <c r="N15" s="11" t="n">
        <v>78.5</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17650</v>
      </c>
      <c r="D17" s="14">
        <f>IF(AND($B17=$B16,ISNUMBER(C17),ISNUMBER(C16)),C17/C16-1,"")</f>
        <v/>
      </c>
      <c r="E17" s="12" t="n">
        <v>13998</v>
      </c>
      <c r="F17" s="12" t="n">
        <v>19900</v>
      </c>
      <c r="G17" s="12" t="n">
        <v>19280</v>
      </c>
      <c r="H17" s="14">
        <f>IF(AND($B17=$B16,ISNUMBER(G17),ISNUMBER(G16)),G17/G16-1,"")</f>
        <v/>
      </c>
      <c r="I17" s="16" t="n">
        <v>40</v>
      </c>
      <c r="J17" s="16" t="n">
        <v>40</v>
      </c>
      <c r="K17" s="16" t="n">
        <v>0</v>
      </c>
      <c r="L17" s="17" t="n"/>
      <c r="M17" s="16" t="n">
        <v>1</v>
      </c>
      <c r="N17" s="11" t="n">
        <v>54.6</v>
      </c>
      <c r="O17" s="20">
        <f>IF(AND($B17=$B16,ISNUMBER(N17),ISNUMBER(N16)),N17-N16,"")</f>
        <v/>
      </c>
      <c r="P17" s="10" t="inlineStr">
        <is>
          <t>Attendre</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29245</v>
      </c>
      <c r="D19" s="14">
        <f>IF(AND($B19=$B18,ISNUMBER(C19),ISNUMBER(C18)),C19/C18-1,"")</f>
        <v/>
      </c>
      <c r="E19" s="12" t="n">
        <v>27048</v>
      </c>
      <c r="F19" s="12" t="n">
        <v>35373</v>
      </c>
      <c r="G19" s="12" t="n">
        <v>33340</v>
      </c>
      <c r="H19" s="14">
        <f>IF(AND($B19=$B18,ISNUMBER(G19),ISNUMBER(G18)),G19/G18-1,"")</f>
        <v/>
      </c>
      <c r="I19" s="16" t="n">
        <v>38</v>
      </c>
      <c r="J19" s="16" t="n">
        <v>38</v>
      </c>
      <c r="K19" s="16" t="n">
        <v>0</v>
      </c>
      <c r="L19" s="17" t="n"/>
      <c r="M19" s="16" t="n">
        <v>1</v>
      </c>
      <c r="N19" s="11" t="n">
        <v>52.6</v>
      </c>
      <c r="O19" s="20">
        <f>IF(AND($B19=$B18,ISNUMBER(N19),ISNUMBER(N18)),N19-N18,"")</f>
        <v/>
      </c>
      <c r="P19" s="10" t="inlineStr">
        <is>
          <t>Attendre</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10500</v>
      </c>
      <c r="D21" s="14">
        <f>IF(AND($B21=$B20,ISNUMBER(C21),ISNUMBER(C20)),C21/C20-1,"")</f>
        <v/>
      </c>
      <c r="E21" s="12" t="n">
        <v>8600</v>
      </c>
      <c r="F21" s="12" t="n">
        <v>12865</v>
      </c>
      <c r="G21" s="12" t="n">
        <v>11000</v>
      </c>
      <c r="H21" s="14">
        <f>IF(AND($B21=$B20,ISNUMBER(G21),ISNUMBER(G20)),G21/G20-1,"")</f>
        <v/>
      </c>
      <c r="I21" s="16" t="n">
        <v>38</v>
      </c>
      <c r="J21" s="16" t="n">
        <v>38</v>
      </c>
      <c r="K21" s="16" t="n">
        <v>0</v>
      </c>
      <c r="L21" s="17" t="n"/>
      <c r="M21" s="16" t="n">
        <v>1</v>
      </c>
      <c r="N21" s="11" t="n">
        <v>69.8</v>
      </c>
      <c r="O21" s="20">
        <f>IF(AND($B21=$B20,ISNUMBER(N21),ISNUMBER(N20)),N21-N20,"")</f>
        <v/>
      </c>
      <c r="P21" s="10" t="inlineStr">
        <is>
          <t>À surveiller</t>
        </is>
      </c>
    </row>
    <row r="22">
      <c r="A22" s="10" t="inlineStr">
        <is>
          <t>2026-10</t>
        </is>
      </c>
      <c r="B22" s="10" t="inlineStr">
        <is>
          <t>Renault Mégane II RS R26</t>
        </is>
      </c>
      <c r="C22" s="12" t="n">
        <v>23485</v>
      </c>
      <c r="D22" s="14">
        <f>IF(AND($B22=$B21,ISNUMBER(C22),ISNUMBER(C21)),C22/C21-1,"")</f>
        <v/>
      </c>
      <c r="E22" s="12" t="n">
        <v>20050</v>
      </c>
      <c r="F22" s="12" t="n">
        <v>24990</v>
      </c>
      <c r="G22" s="12" t="n">
        <v>22980</v>
      </c>
      <c r="H22" s="14">
        <f>IF(AND($B22=$B21,ISNUMBER(G22),ISNUMBER(G21)),G22/G21-1,"")</f>
        <v/>
      </c>
      <c r="I22" s="16" t="n">
        <v>18</v>
      </c>
      <c r="J22" s="16" t="n">
        <v>18</v>
      </c>
      <c r="K22" s="16" t="n">
        <v>0</v>
      </c>
      <c r="L22" s="17" t="n"/>
      <c r="M22" s="16" t="n">
        <v>1</v>
      </c>
      <c r="N22" s="11" t="n">
        <v>59.6</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2990</v>
      </c>
      <c r="D24" s="14">
        <f>IF(AND($B24=$B23,ISNUMBER(C24),ISNUMBER(C23)),C24/C23-1,"")</f>
        <v/>
      </c>
      <c r="E24" s="12" t="n">
        <v>2095</v>
      </c>
      <c r="F24" s="12" t="n">
        <v>3550</v>
      </c>
      <c r="G24" s="12" t="n">
        <v>3380</v>
      </c>
      <c r="H24" s="14">
        <f>IF(AND($B24=$B23,ISNUMBER(G24),ISNUMBER(G23)),G24/G23-1,"")</f>
        <v/>
      </c>
      <c r="I24" s="16" t="n">
        <v>27</v>
      </c>
      <c r="J24" s="16" t="n">
        <v>27</v>
      </c>
      <c r="K24" s="16" t="n">
        <v>0</v>
      </c>
      <c r="L24" s="17" t="n"/>
      <c r="M24" s="16" t="n">
        <v>1</v>
      </c>
      <c r="N24" s="11" t="n">
        <v>58</v>
      </c>
      <c r="O24" s="20">
        <f>IF(AND($B24=$B23,ISNUMBER(N24),ISNUMBER(N23)),N24-N23,"")</f>
        <v/>
      </c>
      <c r="P24" s="10" t="inlineStr">
        <is>
          <t>À surveiller</t>
        </is>
      </c>
    </row>
  </sheetData>
  <autoFilter ref="A1:P24"/>
  <conditionalFormatting sqref="P2:P24">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mensuel'!$C$2:$C$24,'Historique mensuel'!$B$2:$B$24,$A2,'Historique mensuel'!$A$2:$A$24,B$1),"")</f>
        <v/>
      </c>
      <c r="C2" s="22">
        <f>IFERROR(AVERAGEIFS('Historique mensuel'!$C$2:$C$24,'Historique mensuel'!$B$2:$B$24,$A2,'Historique mensuel'!$A$2:$A$24,C$1),"")</f>
        <v/>
      </c>
    </row>
    <row r="3">
      <c r="A3" s="5" t="inlineStr">
        <is>
          <t>BMW Z3 1.9i / 2.0i</t>
        </is>
      </c>
      <c r="B3" s="22">
        <f>IFERROR(AVERAGEIFS('Historique mensuel'!$C$2:$C$24,'Historique mensuel'!$B$2:$B$24,$A3,'Historique mensuel'!$A$2:$A$24,B$1),"")</f>
        <v/>
      </c>
      <c r="C3" s="22">
        <f>IFERROR(AVERAGEIFS('Historique mensuel'!$C$2:$C$24,'Historique mensuel'!$B$2:$B$24,$A3,'Historique mensuel'!$A$2:$A$24,C$1),"")</f>
        <v/>
      </c>
    </row>
    <row r="4">
      <c r="A4" s="5" t="inlineStr">
        <is>
          <t>Citroën Saxo VTS 16V</t>
        </is>
      </c>
      <c r="B4" s="22">
        <f>IFERROR(AVERAGEIFS('Historique mensuel'!$C$2:$C$24,'Historique mensuel'!$B$2:$B$24,$A4,'Historique mensuel'!$A$2:$A$24,B$1),"")</f>
        <v/>
      </c>
      <c r="C4" s="22">
        <f>IFERROR(AVERAGEIFS('Historique mensuel'!$C$2:$C$24,'Historique mensuel'!$B$2:$B$24,$A4,'Historique mensuel'!$A$2:$A$24,C$1),"")</f>
        <v/>
      </c>
    </row>
    <row r="5">
      <c r="A5" s="5" t="inlineStr">
        <is>
          <t>Honda S2000</t>
        </is>
      </c>
      <c r="B5" s="22">
        <f>IFERROR(AVERAGEIFS('Historique mensuel'!$C$2:$C$24,'Historique mensuel'!$B$2:$B$24,$A5,'Historique mensuel'!$A$2:$A$24,B$1),"")</f>
        <v/>
      </c>
      <c r="C5" s="22">
        <f>IFERROR(AVERAGEIFS('Historique mensuel'!$C$2:$C$24,'Historique mensuel'!$B$2:$B$24,$A5,'Historique mensuel'!$A$2:$A$24,C$1),"")</f>
        <v/>
      </c>
    </row>
    <row r="6">
      <c r="A6" s="5" t="inlineStr">
        <is>
          <t>Mazda MX-5 NA</t>
        </is>
      </c>
      <c r="B6" s="22">
        <f>IFERROR(AVERAGEIFS('Historique mensuel'!$C$2:$C$24,'Historique mensuel'!$B$2:$B$24,$A6,'Historique mensuel'!$A$2:$A$24,B$1),"")</f>
        <v/>
      </c>
      <c r="C6" s="22">
        <f>IFERROR(AVERAGEIFS('Historique mensuel'!$C$2:$C$24,'Historique mensuel'!$B$2:$B$24,$A6,'Historique mensuel'!$A$2:$A$24,C$1),"")</f>
        <v/>
      </c>
    </row>
    <row r="7">
      <c r="A7" s="5" t="inlineStr">
        <is>
          <t>Peugeot 205 GTI</t>
        </is>
      </c>
      <c r="B7" s="22">
        <f>IFERROR(AVERAGEIFS('Historique mensuel'!$C$2:$C$24,'Historique mensuel'!$B$2:$B$24,$A7,'Historique mensuel'!$A$2:$A$24,B$1),"")</f>
        <v/>
      </c>
      <c r="C7" s="22">
        <f>IFERROR(AVERAGEIFS('Historique mensuel'!$C$2:$C$24,'Historique mensuel'!$B$2:$B$24,$A7,'Historique mensuel'!$A$2:$A$24,C$1),"")</f>
        <v/>
      </c>
    </row>
    <row r="8">
      <c r="A8" s="5" t="inlineStr">
        <is>
          <t>Peugeot 206 RC</t>
        </is>
      </c>
      <c r="B8" s="22">
        <f>IFERROR(AVERAGEIFS('Historique mensuel'!$C$2:$C$24,'Historique mensuel'!$B$2:$B$24,$A8,'Historique mensuel'!$A$2:$A$24,B$1),"")</f>
        <v/>
      </c>
      <c r="C8" s="22">
        <f>IFERROR(AVERAGEIFS('Historique mensuel'!$C$2:$C$24,'Historique mensuel'!$B$2:$B$24,$A8,'Historique mensuel'!$A$2:$A$24,C$1),"")</f>
        <v/>
      </c>
    </row>
    <row r="9">
      <c r="A9" s="5" t="inlineStr">
        <is>
          <t>Peugeot 208 GTi 30th</t>
        </is>
      </c>
      <c r="B9" s="22">
        <f>IFERROR(AVERAGEIFS('Historique mensuel'!$C$2:$C$24,'Historique mensuel'!$B$2:$B$24,$A9,'Historique mensuel'!$A$2:$A$24,B$1),"")</f>
        <v/>
      </c>
      <c r="C9" s="22">
        <f>IFERROR(AVERAGEIFS('Historique mensuel'!$C$2:$C$24,'Historique mensuel'!$B$2:$B$24,$A9,'Historique mensuel'!$A$2:$A$24,C$1),"")</f>
        <v/>
      </c>
    </row>
    <row r="10">
      <c r="A10" s="5" t="inlineStr">
        <is>
          <t>Peugeot 306 S16</t>
        </is>
      </c>
      <c r="B10" s="22">
        <f>IFERROR(AVERAGEIFS('Historique mensuel'!$C$2:$C$24,'Historique mensuel'!$B$2:$B$24,$A10,'Historique mensuel'!$A$2:$A$24,B$1),"")</f>
        <v/>
      </c>
      <c r="C10" s="22">
        <f>IFERROR(AVERAGEIFS('Historique mensuel'!$C$2:$C$24,'Historique mensuel'!$B$2:$B$24,$A10,'Historique mensuel'!$A$2:$A$24,C$1),"")</f>
        <v/>
      </c>
    </row>
    <row r="11">
      <c r="A11" s="5" t="inlineStr">
        <is>
          <t>Porsche 911 997 Carrera S</t>
        </is>
      </c>
      <c r="B11" s="22">
        <f>IFERROR(AVERAGEIFS('Historique mensuel'!$C$2:$C$24,'Historique mensuel'!$B$2:$B$24,$A11,'Historique mensuel'!$A$2:$A$24,B$1),"")</f>
        <v/>
      </c>
      <c r="C11" s="22">
        <f>IFERROR(AVERAGEIFS('Historique mensuel'!$C$2:$C$24,'Historique mensuel'!$B$2:$B$24,$A11,'Historique mensuel'!$A$2:$A$24,C$1),"")</f>
        <v/>
      </c>
    </row>
    <row r="12">
      <c r="A12" s="5" t="inlineStr">
        <is>
          <t>Porsche Boxster 986</t>
        </is>
      </c>
      <c r="B12" s="22">
        <f>IFERROR(AVERAGEIFS('Historique mensuel'!$C$2:$C$24,'Historique mensuel'!$B$2:$B$24,$A12,'Historique mensuel'!$A$2:$A$24,B$1),"")</f>
        <v/>
      </c>
      <c r="C12" s="22">
        <f>IFERROR(AVERAGEIFS('Historique mensuel'!$C$2:$C$24,'Historique mensuel'!$B$2:$B$24,$A12,'Historique mensuel'!$A$2:$A$24,C$1),"")</f>
        <v/>
      </c>
    </row>
    <row r="13">
      <c r="A13" s="5" t="inlineStr">
        <is>
          <t>Porsche Boxster 987</t>
        </is>
      </c>
      <c r="B13" s="22">
        <f>IFERROR(AVERAGEIFS('Historique mensuel'!$C$2:$C$24,'Historique mensuel'!$B$2:$B$24,$A13,'Historique mensuel'!$A$2:$A$24,B$1),"")</f>
        <v/>
      </c>
      <c r="C13" s="22">
        <f>IFERROR(AVERAGEIFS('Historique mensuel'!$C$2:$C$24,'Historique mensuel'!$B$2:$B$24,$A13,'Historique mensuel'!$A$2:$A$24,C$1),"")</f>
        <v/>
      </c>
    </row>
    <row r="14">
      <c r="A14" s="5" t="inlineStr">
        <is>
          <t>Renault Clio II RS (172/182 ch)</t>
        </is>
      </c>
      <c r="B14" s="22">
        <f>IFERROR(AVERAGEIFS('Historique mensuel'!$C$2:$C$24,'Historique mensuel'!$B$2:$B$24,$A14,'Historique mensuel'!$A$2:$A$24,B$1),"")</f>
        <v/>
      </c>
      <c r="C14" s="22">
        <f>IFERROR(AVERAGEIFS('Historique mensuel'!$C$2:$C$24,'Historique mensuel'!$B$2:$B$24,$A14,'Historique mensuel'!$A$2:$A$24,C$1),"")</f>
        <v/>
      </c>
    </row>
    <row r="15">
      <c r="A15" s="5" t="inlineStr">
        <is>
          <t>Renault Mégane II RS R26</t>
        </is>
      </c>
      <c r="B15" s="22">
        <f>IFERROR(AVERAGEIFS('Historique mensuel'!$C$2:$C$24,'Historique mensuel'!$B$2:$B$24,$A15,'Historique mensuel'!$A$2:$A$24,B$1),"")</f>
        <v/>
      </c>
      <c r="C15" s="22">
        <f>IFERROR(AVERAGEIFS('Historique mensuel'!$C$2:$C$24,'Historique mensuel'!$B$2:$B$24,$A15,'Historique mensuel'!$A$2:$A$24,C$1),"")</f>
        <v/>
      </c>
    </row>
    <row r="16">
      <c r="A16" s="5" t="inlineStr">
        <is>
          <t>Renault Twingo 1 découvrable</t>
        </is>
      </c>
      <c r="B16" s="22">
        <f>IFERROR(AVERAGEIFS('Historique mensuel'!$C$2:$C$24,'Historique mensuel'!$B$2:$B$24,$A16,'Historique mensuel'!$A$2:$A$24,B$1),"")</f>
        <v/>
      </c>
      <c r="C16" s="22">
        <f>IFERROR(AVERAGEIFS('Historique mensuel'!$C$2:$C$24,'Historique mensuel'!$B$2:$B$24,$A16,'Historique mensuel'!$A$2:$A$24,C$1),"")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96.2</v>
      </c>
      <c r="E6" s="24" t="n">
        <v>100</v>
      </c>
      <c r="F6" s="24" t="n">
        <v>100</v>
      </c>
      <c r="G6" s="24" t="n">
        <v>100</v>
      </c>
      <c r="H6" s="24" t="n">
        <v>147.1</v>
      </c>
      <c r="I6" s="24" t="n">
        <v>93.40000000000001</v>
      </c>
      <c r="J6" s="24" t="n">
        <v>100</v>
      </c>
      <c r="K6" s="24" t="n">
        <v>100.8</v>
      </c>
      <c r="L6" s="24" t="n">
        <v>78.7</v>
      </c>
      <c r="M6" s="24" t="n">
        <v>66.5</v>
      </c>
      <c r="N6" s="24" t="n">
        <v>118</v>
      </c>
      <c r="O6" s="24" t="n">
        <v>100</v>
      </c>
      <c r="P6" s="24" t="n">
        <v>54.5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46296</v>
      </c>
      <c r="B2" s="10" t="inlineStr">
        <is>
          <t>Alfa Romeo 156 2.5 V6 24V</t>
        </is>
      </c>
      <c r="C2" s="10" t="inlineStr">
        <is>
          <t>apify</t>
        </is>
      </c>
      <c r="D2" s="16" t="n">
        <v>8</v>
      </c>
      <c r="E2" s="12" t="n">
        <v>3200</v>
      </c>
      <c r="F2" s="12" t="n">
        <v>4293</v>
      </c>
      <c r="G2" s="12" t="n">
        <v>5695</v>
      </c>
      <c r="H2" s="12" t="n">
        <v>7125</v>
      </c>
      <c r="I2" s="12" t="n">
        <v>8800</v>
      </c>
      <c r="J2" s="15" t="n">
        <v>198000</v>
      </c>
      <c r="K2" s="12" t="n">
        <v>5700</v>
      </c>
      <c r="L2" s="15" t="n">
        <v>200000</v>
      </c>
      <c r="M2" s="16" t="n">
        <v>8</v>
      </c>
      <c r="N2" s="16" t="n">
        <v>0</v>
      </c>
      <c r="O2" s="17" t="n"/>
      <c r="P2" s="13" t="n">
        <v>0.25</v>
      </c>
      <c r="Q2" s="16" t="n">
        <v>6</v>
      </c>
    </row>
    <row r="3">
      <c r="A3" s="18" t="n">
        <v>46296</v>
      </c>
      <c r="B3" s="10" t="inlineStr">
        <is>
          <t>BMW Z3 1.9i / 2.0i</t>
        </is>
      </c>
      <c r="C3" s="10" t="inlineStr">
        <is>
          <t>apify</t>
        </is>
      </c>
      <c r="D3" s="16" t="n">
        <v>14</v>
      </c>
      <c r="E3" s="12" t="n">
        <v>7490</v>
      </c>
      <c r="F3" s="12" t="n">
        <v>9990</v>
      </c>
      <c r="G3" s="12" t="n">
        <v>11240</v>
      </c>
      <c r="H3" s="12" t="n">
        <v>12740</v>
      </c>
      <c r="I3" s="12" t="n">
        <v>17900</v>
      </c>
      <c r="J3" s="15" t="n">
        <v>125000</v>
      </c>
      <c r="K3" s="12" t="n">
        <v>12020</v>
      </c>
      <c r="L3" s="15" t="n">
        <v>130000</v>
      </c>
      <c r="M3" s="16" t="n">
        <v>14</v>
      </c>
      <c r="N3" s="16" t="n">
        <v>0</v>
      </c>
      <c r="O3" s="17" t="n"/>
      <c r="P3" s="13" t="n">
        <v>0.86</v>
      </c>
      <c r="Q3" s="16" t="n">
        <v>26</v>
      </c>
    </row>
    <row r="4">
      <c r="A4" s="18" t="n">
        <v>46296</v>
      </c>
      <c r="B4" s="10" t="inlineStr">
        <is>
          <t>Citroën Saxo VTS 16V</t>
        </is>
      </c>
      <c r="C4" s="10" t="inlineStr">
        <is>
          <t>apify</t>
        </is>
      </c>
      <c r="D4" s="16" t="n">
        <v>40</v>
      </c>
      <c r="E4" s="12" t="n">
        <v>1600</v>
      </c>
      <c r="F4" s="12" t="n">
        <v>4875</v>
      </c>
      <c r="G4" s="12" t="n">
        <v>6350</v>
      </c>
      <c r="H4" s="12" t="n">
        <v>8350</v>
      </c>
      <c r="I4" s="12" t="n">
        <v>12980</v>
      </c>
      <c r="J4" s="15" t="n">
        <v>189000</v>
      </c>
      <c r="K4" s="12" t="n">
        <v>7750</v>
      </c>
      <c r="L4" s="15" t="n">
        <v>150000</v>
      </c>
      <c r="M4" s="16" t="n">
        <v>40</v>
      </c>
      <c r="N4" s="16" t="n">
        <v>0</v>
      </c>
      <c r="O4" s="17" t="n"/>
      <c r="P4" s="13" t="n">
        <v>0.03</v>
      </c>
      <c r="Q4" s="16" t="n">
        <v>0</v>
      </c>
    </row>
    <row r="5">
      <c r="A5" s="18" t="n">
        <v>46296</v>
      </c>
      <c r="B5" s="10" t="inlineStr">
        <is>
          <t>Honda S2000</t>
        </is>
      </c>
      <c r="C5" s="10" t="inlineStr">
        <is>
          <t>apify</t>
        </is>
      </c>
      <c r="D5" s="16" t="n">
        <v>39</v>
      </c>
      <c r="E5" s="12" t="n">
        <v>4599</v>
      </c>
      <c r="F5" s="12" t="n">
        <v>14900</v>
      </c>
      <c r="G5" s="12" t="n">
        <v>21000</v>
      </c>
      <c r="H5" s="12" t="n">
        <v>27500</v>
      </c>
      <c r="I5" s="12" t="n">
        <v>49990</v>
      </c>
      <c r="J5" s="15" t="n">
        <v>139000</v>
      </c>
      <c r="K5" s="12" t="n">
        <v>22260</v>
      </c>
      <c r="L5" s="15" t="n">
        <v>140000</v>
      </c>
      <c r="M5" s="16" t="n">
        <v>39</v>
      </c>
      <c r="N5" s="16" t="n">
        <v>0</v>
      </c>
      <c r="O5" s="17" t="n"/>
      <c r="P5" s="13" t="n">
        <v>0.38</v>
      </c>
      <c r="Q5" s="16" t="n">
        <v>1</v>
      </c>
    </row>
    <row r="6">
      <c r="A6" s="18" t="n">
        <v>46296</v>
      </c>
      <c r="B6" s="10" t="inlineStr">
        <is>
          <t>Mazda MX-5 NA</t>
        </is>
      </c>
      <c r="C6" s="10" t="inlineStr">
        <is>
          <t>apify</t>
        </is>
      </c>
      <c r="D6" s="16" t="n">
        <v>37</v>
      </c>
      <c r="E6" s="12" t="n">
        <v>3990</v>
      </c>
      <c r="F6" s="12" t="n">
        <v>9500</v>
      </c>
      <c r="G6" s="12" t="n">
        <v>11980</v>
      </c>
      <c r="H6" s="12" t="n">
        <v>13500</v>
      </c>
      <c r="I6" s="12" t="n">
        <v>17990</v>
      </c>
      <c r="J6" s="15" t="n">
        <v>163000</v>
      </c>
      <c r="K6" s="12" t="n">
        <v>11580</v>
      </c>
      <c r="L6" s="15" t="n">
        <v>160000</v>
      </c>
      <c r="M6" s="16" t="n">
        <v>37</v>
      </c>
      <c r="N6" s="16" t="n">
        <v>0</v>
      </c>
      <c r="O6" s="17" t="n"/>
      <c r="P6" s="13" t="n">
        <v>0.14</v>
      </c>
      <c r="Q6" s="16" t="n">
        <v>3</v>
      </c>
    </row>
    <row r="7">
      <c r="A7" s="18" t="n">
        <v>46296</v>
      </c>
      <c r="B7" s="10" t="inlineStr">
        <is>
          <t>Peugeot 205 GTI</t>
        </is>
      </c>
      <c r="C7" s="10" t="inlineStr">
        <is>
          <t>apify</t>
        </is>
      </c>
      <c r="D7" s="16" t="n">
        <v>38</v>
      </c>
      <c r="E7" s="12" t="n">
        <v>5500</v>
      </c>
      <c r="F7" s="12" t="n">
        <v>14925</v>
      </c>
      <c r="G7" s="12" t="n">
        <v>18000</v>
      </c>
      <c r="H7" s="12" t="n">
        <v>20675</v>
      </c>
      <c r="I7" s="12" t="n">
        <v>31000</v>
      </c>
      <c r="J7" s="15" t="n">
        <v>185000</v>
      </c>
      <c r="K7" s="12" t="n">
        <v>17870</v>
      </c>
      <c r="L7" s="15" t="n">
        <v>190000</v>
      </c>
      <c r="M7" s="16" t="n">
        <v>38</v>
      </c>
      <c r="N7" s="16" t="n">
        <v>0</v>
      </c>
      <c r="O7" s="17" t="n"/>
      <c r="P7" s="13" t="n">
        <v>0.11</v>
      </c>
      <c r="Q7" s="16" t="n">
        <v>2</v>
      </c>
    </row>
    <row r="8">
      <c r="A8" s="18" t="n">
        <v>46296</v>
      </c>
      <c r="B8" s="10" t="inlineStr">
        <is>
          <t>Peugeot 206 RC</t>
        </is>
      </c>
      <c r="C8" s="10" t="inlineStr">
        <is>
          <t>apify</t>
        </is>
      </c>
      <c r="D8" s="16" t="n">
        <v>39</v>
      </c>
      <c r="E8" s="12" t="n">
        <v>5400</v>
      </c>
      <c r="F8" s="12" t="n">
        <v>7500</v>
      </c>
      <c r="G8" s="12" t="n">
        <v>9990</v>
      </c>
      <c r="H8" s="12" t="n">
        <v>12600</v>
      </c>
      <c r="I8" s="12" t="n">
        <v>18500</v>
      </c>
      <c r="J8" s="15" t="n">
        <v>159000</v>
      </c>
      <c r="K8" s="12" t="n">
        <v>11240</v>
      </c>
      <c r="L8" s="15" t="n">
        <v>150000</v>
      </c>
      <c r="M8" s="16" t="n">
        <v>2</v>
      </c>
      <c r="N8" s="16" t="n">
        <v>0</v>
      </c>
      <c r="O8" s="17" t="n"/>
      <c r="P8" s="13" t="n">
        <v>0.1</v>
      </c>
      <c r="Q8" s="16" t="n">
        <v>1</v>
      </c>
    </row>
    <row r="9">
      <c r="A9" s="18" t="n">
        <v>46296</v>
      </c>
      <c r="B9" s="10" t="inlineStr">
        <is>
          <t>Peugeot 208 GTi 30th</t>
        </is>
      </c>
      <c r="C9" s="10" t="inlineStr">
        <is>
          <t>apify</t>
        </is>
      </c>
      <c r="D9" s="16" t="n">
        <v>10</v>
      </c>
      <c r="E9" s="12" t="n">
        <v>10500</v>
      </c>
      <c r="F9" s="12" t="n">
        <v>13368</v>
      </c>
      <c r="G9" s="12" t="n">
        <v>14940</v>
      </c>
      <c r="H9" s="12" t="n">
        <v>17100</v>
      </c>
      <c r="I9" s="12" t="n">
        <v>23490</v>
      </c>
      <c r="J9" s="15" t="n">
        <v>110000</v>
      </c>
      <c r="K9" s="12" t="n">
        <v>16280</v>
      </c>
      <c r="L9" s="15" t="n">
        <v>100000</v>
      </c>
      <c r="M9" s="16" t="n">
        <v>10</v>
      </c>
      <c r="N9" s="16" t="n">
        <v>0</v>
      </c>
      <c r="O9" s="17" t="n"/>
      <c r="P9" s="13" t="n">
        <v>0.4</v>
      </c>
      <c r="Q9" s="16" t="n">
        <v>0</v>
      </c>
    </row>
    <row r="10">
      <c r="A10" s="18" t="n">
        <v>46296</v>
      </c>
      <c r="B10" s="10" t="inlineStr">
        <is>
          <t>Peugeot 306 S16</t>
        </is>
      </c>
      <c r="C10" s="10" t="inlineStr">
        <is>
          <t>apify</t>
        </is>
      </c>
      <c r="D10" s="16" t="n">
        <v>25</v>
      </c>
      <c r="E10" s="12" t="n">
        <v>1000</v>
      </c>
      <c r="F10" s="12" t="n">
        <v>6800</v>
      </c>
      <c r="G10" s="12" t="n">
        <v>8200</v>
      </c>
      <c r="H10" s="12" t="n">
        <v>12800</v>
      </c>
      <c r="I10" s="12" t="n">
        <v>26800</v>
      </c>
      <c r="J10" s="15" t="n">
        <v>185000</v>
      </c>
      <c r="K10" s="12" t="n">
        <v>9790</v>
      </c>
      <c r="L10" s="15" t="n">
        <v>180000</v>
      </c>
      <c r="M10" s="16" t="n">
        <v>25</v>
      </c>
      <c r="N10" s="16" t="n">
        <v>0</v>
      </c>
      <c r="O10" s="17" t="n"/>
      <c r="P10" s="13" t="n">
        <v>0</v>
      </c>
      <c r="Q10" s="16" t="n">
        <v>5</v>
      </c>
    </row>
    <row r="11">
      <c r="A11" s="18" t="n">
        <v>46296</v>
      </c>
      <c r="B11" s="10" t="inlineStr">
        <is>
          <t>Porsche 911 997 Carrera S</t>
        </is>
      </c>
      <c r="C11" s="10" t="inlineStr">
        <is>
          <t>apify</t>
        </is>
      </c>
      <c r="D11" s="16" t="n">
        <v>36</v>
      </c>
      <c r="E11" s="12" t="n">
        <v>39990</v>
      </c>
      <c r="F11" s="12" t="n">
        <v>49988</v>
      </c>
      <c r="G11" s="12" t="n">
        <v>51395</v>
      </c>
      <c r="H11" s="12" t="n">
        <v>56240</v>
      </c>
      <c r="I11" s="12" t="n">
        <v>69599</v>
      </c>
      <c r="J11" s="15" t="n">
        <v>110000</v>
      </c>
      <c r="K11" s="12" t="n">
        <v>55200</v>
      </c>
      <c r="L11" s="15" t="n">
        <v>100000</v>
      </c>
      <c r="M11" s="16" t="n">
        <v>36</v>
      </c>
      <c r="N11" s="16" t="n">
        <v>0</v>
      </c>
      <c r="O11" s="17" t="n"/>
      <c r="P11" s="13" t="n">
        <v>0.83</v>
      </c>
      <c r="Q11" s="16" t="n">
        <v>4</v>
      </c>
    </row>
    <row r="12">
      <c r="A12" s="18" t="n">
        <v>46296</v>
      </c>
      <c r="B12" s="10" t="inlineStr">
        <is>
          <t>Porsche Boxster 986</t>
        </is>
      </c>
      <c r="C12" s="10" t="inlineStr">
        <is>
          <t>apify</t>
        </is>
      </c>
      <c r="D12" s="16" t="n">
        <v>40</v>
      </c>
      <c r="E12" s="12" t="n">
        <v>5000</v>
      </c>
      <c r="F12" s="12" t="n">
        <v>13998</v>
      </c>
      <c r="G12" s="12" t="n">
        <v>17650</v>
      </c>
      <c r="H12" s="12" t="n">
        <v>19900</v>
      </c>
      <c r="I12" s="12" t="n">
        <v>26000</v>
      </c>
      <c r="J12" s="15" t="n">
        <v>136000</v>
      </c>
      <c r="K12" s="12" t="n">
        <v>19280</v>
      </c>
      <c r="L12" s="15" t="n">
        <v>110000</v>
      </c>
      <c r="M12" s="16" t="n">
        <v>40</v>
      </c>
      <c r="N12" s="16" t="n">
        <v>0</v>
      </c>
      <c r="O12" s="17" t="n"/>
      <c r="P12" s="13" t="n">
        <v>0.35</v>
      </c>
      <c r="Q12" s="16" t="n">
        <v>0</v>
      </c>
    </row>
    <row r="13">
      <c r="A13" s="18" t="n">
        <v>46296</v>
      </c>
      <c r="B13" s="10" t="inlineStr">
        <is>
          <t>Porsche Boxster 987</t>
        </is>
      </c>
      <c r="C13" s="10" t="inlineStr">
        <is>
          <t>apify</t>
        </is>
      </c>
      <c r="D13" s="16" t="n">
        <v>38</v>
      </c>
      <c r="E13" s="12" t="n">
        <v>18950</v>
      </c>
      <c r="F13" s="12" t="n">
        <v>27048</v>
      </c>
      <c r="G13" s="12" t="n">
        <v>29245</v>
      </c>
      <c r="H13" s="12" t="n">
        <v>35373</v>
      </c>
      <c r="I13" s="12" t="n">
        <v>46990</v>
      </c>
      <c r="J13" s="15" t="n">
        <v>96000</v>
      </c>
      <c r="K13" s="12" t="n">
        <v>33340</v>
      </c>
      <c r="L13" s="15" t="n">
        <v>80000</v>
      </c>
      <c r="M13" s="16" t="n">
        <v>38</v>
      </c>
      <c r="N13" s="16" t="n">
        <v>0</v>
      </c>
      <c r="O13" s="17" t="n"/>
      <c r="P13" s="13" t="n">
        <v>0.63</v>
      </c>
      <c r="Q13" s="16" t="n">
        <v>2</v>
      </c>
    </row>
    <row r="14">
      <c r="A14" s="18" t="n">
        <v>46296</v>
      </c>
      <c r="B14" s="10" t="inlineStr">
        <is>
          <t>Renault Clio II RS (172/182 ch)</t>
        </is>
      </c>
      <c r="C14" s="10" t="inlineStr">
        <is>
          <t>apify</t>
        </is>
      </c>
      <c r="D14" s="16" t="n">
        <v>38</v>
      </c>
      <c r="E14" s="12" t="n">
        <v>5500</v>
      </c>
      <c r="F14" s="12" t="n">
        <v>8600</v>
      </c>
      <c r="G14" s="12" t="n">
        <v>10500</v>
      </c>
      <c r="H14" s="12" t="n">
        <v>12865</v>
      </c>
      <c r="I14" s="12" t="n">
        <v>19500</v>
      </c>
      <c r="J14" s="15" t="n">
        <v>165000</v>
      </c>
      <c r="K14" s="12" t="n">
        <v>11000</v>
      </c>
      <c r="L14" s="15" t="n">
        <v>160000</v>
      </c>
      <c r="M14" s="16" t="n">
        <v>38</v>
      </c>
      <c r="N14" s="16" t="n">
        <v>0</v>
      </c>
      <c r="O14" s="17" t="n"/>
      <c r="P14" s="13" t="n">
        <v>0.13</v>
      </c>
      <c r="Q14" s="16" t="n">
        <v>2</v>
      </c>
    </row>
    <row r="15">
      <c r="A15" s="18" t="n">
        <v>46296</v>
      </c>
      <c r="B15" s="10" t="inlineStr">
        <is>
          <t>Renault Mégane II RS R26</t>
        </is>
      </c>
      <c r="C15" s="10" t="inlineStr">
        <is>
          <t>apify</t>
        </is>
      </c>
      <c r="D15" s="16" t="n">
        <v>18</v>
      </c>
      <c r="E15" s="12" t="n">
        <v>14900</v>
      </c>
      <c r="F15" s="12" t="n">
        <v>20050</v>
      </c>
      <c r="G15" s="12" t="n">
        <v>23485</v>
      </c>
      <c r="H15" s="12" t="n">
        <v>24990</v>
      </c>
      <c r="I15" s="12" t="n">
        <v>31490</v>
      </c>
      <c r="J15" s="15" t="n">
        <v>94000</v>
      </c>
      <c r="K15" s="12" t="n">
        <v>22980</v>
      </c>
      <c r="L15" s="15" t="n">
        <v>100000</v>
      </c>
      <c r="M15" s="16" t="n">
        <v>18</v>
      </c>
      <c r="N15" s="16" t="n">
        <v>0</v>
      </c>
      <c r="O15" s="17" t="n"/>
      <c r="P15" s="13" t="n">
        <v>0.61</v>
      </c>
      <c r="Q15" s="16" t="n">
        <v>7</v>
      </c>
    </row>
    <row r="16">
      <c r="A16" s="18" t="n">
        <v>46296</v>
      </c>
      <c r="B16" s="10" t="inlineStr">
        <is>
          <t>Renault Twingo 1 découvrable</t>
        </is>
      </c>
      <c r="C16" s="10" t="inlineStr">
        <is>
          <t>apify</t>
        </is>
      </c>
      <c r="D16" s="16" t="n">
        <v>27</v>
      </c>
      <c r="E16" s="12" t="n">
        <v>699</v>
      </c>
      <c r="F16" s="12" t="n">
        <v>2095</v>
      </c>
      <c r="G16" s="12" t="n">
        <v>2990</v>
      </c>
      <c r="H16" s="12" t="n">
        <v>3550</v>
      </c>
      <c r="I16" s="12" t="n">
        <v>5990</v>
      </c>
      <c r="J16" s="15" t="n">
        <v>165000</v>
      </c>
      <c r="K16" s="12" t="n">
        <v>3380</v>
      </c>
      <c r="L16" s="15" t="n">
        <v>150000</v>
      </c>
      <c r="M16" s="16" t="n">
        <v>27</v>
      </c>
      <c r="N16" s="16" t="n">
        <v>0</v>
      </c>
      <c r="O16" s="17" t="n"/>
      <c r="P16" s="13" t="n">
        <v>0.22</v>
      </c>
      <c r="Q16" s="16" t="n">
        <v>13</v>
      </c>
    </row>
    <row r="17">
      <c r="A17" s="18" t="n">
        <v>46273</v>
      </c>
      <c r="B17" s="10" t="inlineStr">
        <is>
          <t>Citroën Saxo VTS 16V</t>
        </is>
      </c>
      <c r="C17" s="10" t="inlineStr">
        <is>
          <t>manuel</t>
        </is>
      </c>
      <c r="D17" s="16" t="n">
        <v>2</v>
      </c>
      <c r="E17" s="12" t="n">
        <v>6500</v>
      </c>
      <c r="F17" s="12" t="n"/>
      <c r="G17" s="12" t="n">
        <v>6600</v>
      </c>
      <c r="H17" s="12" t="n"/>
      <c r="I17" s="12" t="n">
        <v>6700</v>
      </c>
      <c r="J17" s="15" t="n">
        <v>153683</v>
      </c>
      <c r="K17" s="12" t="n"/>
      <c r="L17" s="15" t="n"/>
      <c r="M17" s="16" t="n"/>
      <c r="N17" s="16" t="n"/>
      <c r="O17" s="17" t="n"/>
      <c r="P17" s="13" t="n"/>
      <c r="Q17" s="16" t="n"/>
    </row>
    <row r="18">
      <c r="A18" s="18" t="n">
        <v>46273</v>
      </c>
      <c r="B18" s="10" t="inlineStr">
        <is>
          <t>Peugeot 206 RC</t>
        </is>
      </c>
      <c r="C18" s="10" t="inlineStr">
        <is>
          <t>manuel</t>
        </is>
      </c>
      <c r="D18" s="16" t="n">
        <v>1</v>
      </c>
      <c r="E18" s="12" t="n">
        <v>6790</v>
      </c>
      <c r="F18" s="12" t="n"/>
      <c r="G18" s="12" t="n">
        <v>6790</v>
      </c>
      <c r="H18" s="12" t="n"/>
      <c r="I18" s="12" t="n">
        <v>6790</v>
      </c>
      <c r="J18" s="15" t="n">
        <v>244000</v>
      </c>
      <c r="K18" s="12" t="n"/>
      <c r="L18" s="15" t="n"/>
      <c r="M18" s="16" t="n"/>
      <c r="N18" s="16" t="n"/>
      <c r="O18" s="17" t="n"/>
      <c r="P18" s="13" t="n"/>
      <c r="Q18" s="16" t="n"/>
    </row>
    <row r="19">
      <c r="A19" s="18" t="n">
        <v>46273</v>
      </c>
      <c r="B19" s="10" t="inlineStr">
        <is>
          <t>Peugeot 208 GTi 30th</t>
        </is>
      </c>
      <c r="C19" s="10" t="inlineStr">
        <is>
          <t>manuel</t>
        </is>
      </c>
      <c r="D19" s="16" t="n">
        <v>7</v>
      </c>
      <c r="E19" s="12" t="n">
        <v>12990</v>
      </c>
      <c r="F19" s="12" t="n"/>
      <c r="G19" s="12" t="n">
        <v>15990</v>
      </c>
      <c r="H19" s="12" t="n"/>
      <c r="I19" s="12" t="n">
        <v>23490</v>
      </c>
      <c r="J19" s="15" t="n">
        <v>108000</v>
      </c>
      <c r="K19" s="12" t="n"/>
      <c r="L19" s="15" t="n"/>
      <c r="M19" s="16" t="n"/>
      <c r="N19" s="16" t="n"/>
      <c r="O19" s="17" t="n"/>
      <c r="P19" s="13" t="n"/>
      <c r="Q19" s="16" t="n"/>
    </row>
    <row r="20">
      <c r="A20" s="18" t="n">
        <v>46273</v>
      </c>
      <c r="B20" s="10" t="inlineStr">
        <is>
          <t>Porsche 911 997 Carrera S</t>
        </is>
      </c>
      <c r="C20" s="10" t="inlineStr">
        <is>
          <t>manuel</t>
        </is>
      </c>
      <c r="D20" s="16" t="n">
        <v>11</v>
      </c>
      <c r="E20" s="12" t="n">
        <v>46500</v>
      </c>
      <c r="F20" s="12" t="n"/>
      <c r="G20" s="12" t="n">
        <v>51000</v>
      </c>
      <c r="H20" s="12" t="n"/>
      <c r="I20" s="12" t="n">
        <v>74900</v>
      </c>
      <c r="J20" s="15" t="n">
        <v>100000</v>
      </c>
      <c r="K20" s="12" t="n"/>
      <c r="L20" s="15" t="n"/>
      <c r="M20" s="16" t="n"/>
      <c r="N20" s="16" t="n"/>
      <c r="O20" s="17" t="n"/>
      <c r="P20" s="13" t="n"/>
      <c r="Q20" s="16" t="n"/>
    </row>
    <row r="21">
      <c r="A21" s="18" t="n">
        <v>46273</v>
      </c>
      <c r="B21" s="10" t="inlineStr">
        <is>
          <t>Porsche Boxster 986</t>
        </is>
      </c>
      <c r="C21" s="10" t="inlineStr">
        <is>
          <t>manuel</t>
        </is>
      </c>
      <c r="D21" s="16" t="n">
        <v>4</v>
      </c>
      <c r="E21" s="12" t="n">
        <v>17986</v>
      </c>
      <c r="F21" s="12" t="n"/>
      <c r="G21" s="12" t="n">
        <v>22425</v>
      </c>
      <c r="H21" s="12" t="n"/>
      <c r="I21" s="12" t="n">
        <v>26900</v>
      </c>
      <c r="J21" s="15" t="n">
        <v>110000</v>
      </c>
      <c r="K21" s="12" t="n"/>
      <c r="L21" s="15" t="n"/>
      <c r="M21" s="16" t="n"/>
      <c r="N21" s="16" t="n"/>
      <c r="O21" s="17" t="n"/>
      <c r="P21" s="13" t="n"/>
      <c r="Q21" s="16" t="n"/>
    </row>
    <row r="22">
      <c r="A22" s="18" t="n">
        <v>46273</v>
      </c>
      <c r="B22" s="10" t="inlineStr">
        <is>
          <t>Porsche Boxster 987</t>
        </is>
      </c>
      <c r="C22" s="10" t="inlineStr">
        <is>
          <t>manuel</t>
        </is>
      </c>
      <c r="D22" s="16" t="n">
        <v>5</v>
      </c>
      <c r="E22" s="12" t="n">
        <v>33000</v>
      </c>
      <c r="F22" s="12" t="n"/>
      <c r="G22" s="12" t="n">
        <v>43990</v>
      </c>
      <c r="H22" s="12" t="n"/>
      <c r="I22" s="12" t="n">
        <v>72986</v>
      </c>
      <c r="J22" s="15" t="n">
        <v>65000</v>
      </c>
      <c r="K22" s="12" t="n"/>
      <c r="L22" s="15" t="n"/>
      <c r="M22" s="16" t="n"/>
      <c r="N22" s="16" t="n"/>
      <c r="O22" s="17" t="n"/>
      <c r="P22" s="13" t="n"/>
      <c r="Q22" s="16" t="n"/>
    </row>
    <row r="23">
      <c r="A23" s="18" t="n">
        <v>46273</v>
      </c>
      <c r="B23" s="10" t="inlineStr">
        <is>
          <t>Renault Clio II RS (172/182 ch)</t>
        </is>
      </c>
      <c r="C23" s="10" t="inlineStr">
        <is>
          <t>manuel</t>
        </is>
      </c>
      <c r="D23" s="16" t="n">
        <v>2</v>
      </c>
      <c r="E23" s="12" t="n">
        <v>6000</v>
      </c>
      <c r="F23" s="12" t="n"/>
      <c r="G23" s="12" t="n">
        <v>8899.5</v>
      </c>
      <c r="H23" s="12" t="n"/>
      <c r="I23" s="12" t="n">
        <v>11799</v>
      </c>
      <c r="J23" s="15" t="n">
        <v>168000</v>
      </c>
      <c r="K23" s="12" t="n"/>
      <c r="L23" s="15" t="n"/>
      <c r="M23" s="16" t="n"/>
      <c r="N23" s="16" t="n"/>
      <c r="O23" s="17" t="n"/>
      <c r="P23" s="13" t="n"/>
      <c r="Q23" s="16" t="n"/>
    </row>
    <row r="24">
      <c r="A24" s="18" t="n">
        <v>46273</v>
      </c>
      <c r="B24" s="10" t="inlineStr">
        <is>
          <t>Renault Twingo 1 découvrable</t>
        </is>
      </c>
      <c r="C24" s="10" t="inlineStr">
        <is>
          <t>manuel</t>
        </is>
      </c>
      <c r="D24" s="16" t="n">
        <v>6</v>
      </c>
      <c r="E24" s="12" t="n">
        <v>1500</v>
      </c>
      <c r="F24" s="12" t="n"/>
      <c r="G24" s="12" t="n">
        <v>5490</v>
      </c>
      <c r="H24" s="12" t="n"/>
      <c r="I24" s="12" t="n">
        <v>6290</v>
      </c>
      <c r="J24" s="15" t="n">
        <v>150000</v>
      </c>
      <c r="K24" s="12" t="n"/>
      <c r="L24" s="15" t="n"/>
      <c r="M24" s="16" t="n"/>
      <c r="N24" s="16" t="n"/>
      <c r="O24" s="17" t="n"/>
      <c r="P24" s="13" t="n"/>
      <c r="Q24" s="16" t="n"/>
    </row>
  </sheetData>
  <autoFilter ref="A1:Q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H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40" customWidth="1" min="2" max="2"/>
    <col width="10" customWidth="1" min="3" max="3"/>
    <col width="11" customWidth="1" min="4" max="4"/>
    <col width="11" customWidth="1" min="5" max="5"/>
    <col width="11" customWidth="1" min="6" max="6"/>
    <col width="11" customWidth="1" min="7" max="7"/>
    <col width="10" customWidth="1" min="8" max="8"/>
    <col width="11" customWidth="1" min="9" max="9"/>
    <col width="11" customWidth="1" min="10" max="10"/>
    <col width="10" customWidth="1" min="11" max="11"/>
    <col width="9" customWidth="1" min="12" max="12"/>
    <col width="12" customWidth="1" min="13" max="13"/>
    <col width="8" customWidth="1" min="14" max="14"/>
    <col width="11" customWidth="1" min="15" max="15"/>
    <col width="11" customWidth="1" min="16" max="16"/>
    <col width="10" customWidth="1" min="17" max="17"/>
    <col width="10" customWidth="1" min="18" max="18"/>
    <col width="11" customWidth="1" min="19" max="19"/>
    <col width="7" customWidth="1" min="20" max="20"/>
    <col width="10" customWidth="1" min="21" max="21"/>
    <col width="8" customWidth="1" min="22" max="22"/>
    <col width="11" customWidth="1" min="23" max="23"/>
    <col width="16" customWidth="1" min="24" max="24"/>
    <col width="10" customWidth="1" min="25" max="25"/>
    <col width="16" customWidth="1" min="26" max="26"/>
    <col width="18" customWidth="1" min="27" max="27"/>
    <col width="8" customWidth="1" min="28" max="28"/>
    <col width="8" customWidth="1" min="29" max="29"/>
    <col width="10" customWidth="1" min="30" max="30"/>
    <col width="60" customWidth="1" min="31" max="31"/>
    <col width="50" customWidth="1" min="32" max="32"/>
    <col width="9" customWidth="1" min="33" max="33"/>
    <col width="13" customWidth="1" min="34" max="34"/>
  </cols>
  <sheetData>
    <row r="1" ht="30" customHeight="1">
      <c r="A1" s="9" t="inlineStr">
        <is>
          <t>Véhicule</t>
        </is>
      </c>
      <c r="B1" s="9" t="inlineStr">
        <is>
          <t>Titre</t>
        </is>
      </c>
      <c r="C1" s="9" t="inlineStr">
        <is>
          <t>Statut</t>
        </is>
      </c>
      <c r="D1" s="9" t="inlineStr">
        <is>
          <t>Publiée le</t>
        </is>
      </c>
      <c r="E1" s="9" t="inlineStr">
        <is>
          <t>Première vue</t>
        </is>
      </c>
      <c r="F1" s="9" t="inlineStr">
        <is>
          <t>Dernière vue</t>
        </is>
      </c>
      <c r="G1" s="9" t="inlineStr">
        <is>
          <t>Partie le</t>
        </is>
      </c>
      <c r="H1" s="9" t="inlineStr">
        <is>
          <t>Jours en ligne</t>
        </is>
      </c>
      <c r="I1" s="9" t="inlineStr">
        <is>
          <t>Prix initial</t>
        </is>
      </c>
      <c r="J1" s="9" t="inlineStr">
        <is>
          <t>Prix actuel</t>
        </is>
      </c>
      <c r="K1" s="9" t="inlineStr">
        <is>
          <t>Baisse de prix</t>
        </is>
      </c>
      <c r="L1" s="9" t="inlineStr">
        <is>
          <t>Nb de baisses</t>
        </is>
      </c>
      <c r="M1" s="9" t="inlineStr">
        <is>
          <t>Km</t>
        </is>
      </c>
      <c r="N1" s="9" t="inlineStr">
        <is>
          <t>Année</t>
        </is>
      </c>
      <c r="O1" s="9" t="inlineStr">
        <is>
          <t>Carburant</t>
        </is>
      </c>
      <c r="P1" s="9" t="inlineStr">
        <is>
          <t>Boîte</t>
        </is>
      </c>
      <c r="Q1" s="9" t="inlineStr">
        <is>
          <t>Puissance DIN (ch)</t>
        </is>
      </c>
      <c r="R1" s="9" t="inlineStr">
        <is>
          <t>Puissance fiscale (CV)</t>
        </is>
      </c>
      <c r="S1" s="9" t="inlineStr">
        <is>
          <t>Couleur</t>
        </is>
      </c>
      <c r="T1" s="9" t="inlineStr">
        <is>
          <t>Portes</t>
        </is>
      </c>
      <c r="U1" s="9" t="inlineStr">
        <is>
          <t>Première main</t>
        </is>
      </c>
      <c r="V1" s="9" t="inlineStr">
        <is>
          <t>Crit'Air</t>
        </is>
      </c>
      <c r="W1" s="9" t="inlineStr">
        <is>
          <t>Vendeur</t>
        </is>
      </c>
      <c r="X1" s="9" t="inlineStr">
        <is>
          <t>Ville</t>
        </is>
      </c>
      <c r="Y1" s="9" t="inlineStr">
        <is>
          <t>Code postal</t>
        </is>
      </c>
      <c r="Z1" s="9" t="inlineStr">
        <is>
          <t>Département</t>
        </is>
      </c>
      <c r="AA1" s="9" t="inlineStr">
        <is>
          <t>Région</t>
        </is>
      </c>
      <c r="AB1" s="9" t="inlineStr">
        <is>
          <t>Photos</t>
        </is>
      </c>
      <c r="AC1" s="9" t="inlineStr">
        <is>
          <t>Favoris</t>
        </is>
      </c>
      <c r="AD1" s="9" t="inlineStr">
        <is>
          <t>Remontée payante</t>
        </is>
      </c>
      <c r="AE1" s="9" t="inlineStr">
        <is>
          <t>Description (extrait)</t>
        </is>
      </c>
      <c r="AF1" s="9" t="inlineStr">
        <is>
          <t>Autres caractéristiques</t>
        </is>
      </c>
      <c r="AG1" s="9" t="inlineStr">
        <is>
          <t>Annonce</t>
        </is>
      </c>
      <c r="AH1" s="9" t="inlineStr">
        <is>
          <t>Id</t>
        </is>
      </c>
    </row>
    <row r="2">
      <c r="A2" s="10" t="inlineStr">
        <is>
          <t>Alfa Romeo 156 2.5 V6 24V</t>
        </is>
      </c>
      <c r="B2" s="10" t="inlineStr">
        <is>
          <t>Alfa Roméo 156 SW V6 2,5l 24s</t>
        </is>
      </c>
      <c r="C2" s="10" t="inlineStr">
        <is>
          <t>En vente</t>
        </is>
      </c>
      <c r="D2" s="18" t="n">
        <v>46237</v>
      </c>
      <c r="E2" s="18" t="n">
        <v>46237</v>
      </c>
      <c r="F2" s="18" t="n">
        <v>46296</v>
      </c>
      <c r="G2" s="18" t="n"/>
      <c r="H2" s="17">
        <f>IF(OR(ISNUMBER(D2),ISNUMBER(E2)),IF(ISNUMBER(G2),G2,F2)-IF(ISNUMBER(D2),D2,E2),"")</f>
        <v/>
      </c>
      <c r="I2" s="12" t="n">
        <v>7500</v>
      </c>
      <c r="J2" s="12" t="n">
        <v>7500</v>
      </c>
      <c r="K2" s="13">
        <f>IF(AND(ISNUMBER(I2),ISNUMBER(J2),I2&gt;0),1-J2/I2,"")</f>
        <v/>
      </c>
      <c r="L2" s="16" t="n">
        <v>0</v>
      </c>
      <c r="M2" s="15" t="n">
        <v>316324</v>
      </c>
      <c r="N2" s="16" t="n">
        <v>2003</v>
      </c>
      <c r="O2" s="10" t="inlineStr">
        <is>
          <t>1</t>
        </is>
      </c>
      <c r="P2" s="10" t="inlineStr">
        <is>
          <t>1</t>
        </is>
      </c>
      <c r="Q2" s="16" t="n">
        <v>190</v>
      </c>
      <c r="R2" s="16" t="n">
        <v>14</v>
      </c>
      <c r="S2" s="10" t="inlineStr">
        <is>
          <t>noir</t>
        </is>
      </c>
      <c r="T2" s="16" t="n">
        <v>5</v>
      </c>
      <c r="U2" s="10" t="n"/>
      <c r="V2" s="10" t="inlineStr">
        <is>
          <t>3</t>
        </is>
      </c>
      <c r="W2" s="10" t="inlineStr">
        <is>
          <t>Particulier</t>
        </is>
      </c>
      <c r="X2" s="10" t="inlineStr">
        <is>
          <t>La Chaussée-Saint-Victor</t>
        </is>
      </c>
      <c r="Y2" s="10" t="inlineStr">
        <is>
          <t>41260</t>
        </is>
      </c>
      <c r="Z2" s="10" t="inlineStr">
        <is>
          <t>Loir-et-Cher</t>
        </is>
      </c>
      <c r="AA2" s="10" t="inlineStr">
        <is>
          <t>Centre</t>
        </is>
      </c>
      <c r="AB2" s="16" t="n"/>
      <c r="AC2" s="16" t="n"/>
      <c r="AD2" s="10" t="n"/>
      <c r="AE2" s="10" t="n"/>
      <c r="AF2" s="10" t="inlineStr">
        <is>
          <t>2 : 2 ; 3 : 3 ; 5 : 5 ; 33 : 33 ; 156 : 156 ; 2003 : 2003 ; 2026 : 2026 ; 0.95 : 0.95 ; https://img.leboncoin.fr/api/v1/tenants/9a6387a1-6259-4f2c-a887-7e67f23dd4cb/domains/20bda58f-d650-462e-a72a-a5a7ecf2bf88/buckets/21d2b0bc-e54c-4b64-a30b-89127b18b785/images/profile/pictures/default/309fc0c4-dac9-5de6-b7e0-edc64ebc2fdf?rule=pp-small : https://img.leboncoin.fr/api/v1/tenants/9a6387a1-6259-4f2c-a887-7e67f23dd4cb/domains/20bda58f-d650-462e-a72a-a5a7ecf2bf88/buckets/21d2b0bc-e54c-4b64-a30b-89127b18b785/images/profile/pictures/default/309fc0c4-dac9-5de6-b7e0-edc64ebc2fdf?rule=pp-small ; Alfa Romeo : Alfa Romeo ; ALFA ROMEO : ALFA ROMEO ; 316324 km : 316324 ; Essence : 1 ; Manuelle : 1 ; Oui : true ; 10/2003 : 10/2003 ; Non endommagé : undamaged ; Break : break ; Noir : noir ; Euro 3 : euro3 ; 14 Cv : 14 ; 190 Ch : 190 ; Avec permis : avecpermis ; credit_card : credit_card ; false : false ; rating_score : 0.95 ; rating_count : 33 ; u_car_brand : ALFA ROMEO ; u_car_model : 156 ; vehicle_technical_inspection_valid : Oui ; vehicle_technical_inspection_a : 2026 ; vehicle_damage : Non endommagé ; vehicle_upholstery : Tout cuir ; vehicle_maintenance : Carnet d'entretien disponible, Véhicule non fumeur ; vehicle_interior_specs : Jantes en alliage, Régulateur de vitesse ; vehicle_euro_emissions_standard : Euro 3 ; vehicle_vsp : Avec permis ; vehicle_available_payment_methods : credit_card ; is_import : false ; vehicle_is_eligible_p2p : 2</t>
        </is>
      </c>
      <c r="AG2" s="19" t="inlineStr">
        <is>
          <t>Voir</t>
        </is>
      </c>
      <c r="AH2" s="10" t="inlineStr">
        <is>
          <t>2903975057</t>
        </is>
      </c>
    </row>
    <row r="3">
      <c r="A3" s="10" t="inlineStr">
        <is>
          <t>Alfa Romeo 156 2.5 V6 24V</t>
        </is>
      </c>
      <c r="B3" s="10" t="inlineStr">
        <is>
          <t>ALFA ROMEO 156 2.5 V6 24V BOÎTE AUTOMATIQUE 195cv COMPLÈTEMENT RÉVISÉ</t>
        </is>
      </c>
      <c r="C3" s="10" t="inlineStr">
        <is>
          <t>En vente</t>
        </is>
      </c>
      <c r="D3" s="18" t="n">
        <v>46244</v>
      </c>
      <c r="E3" s="18" t="n">
        <v>46244</v>
      </c>
      <c r="F3" s="18" t="n">
        <v>46296</v>
      </c>
      <c r="G3" s="18" t="n"/>
      <c r="H3" s="17">
        <f>IF(OR(ISNUMBER(D3),ISNUMBER(E3)),IF(ISNUMBER(G3),G3,F3)-IF(ISNUMBER(D3),D3,E3),"")</f>
        <v/>
      </c>
      <c r="I3" s="12" t="n">
        <v>4900</v>
      </c>
      <c r="J3" s="12" t="n">
        <v>4900</v>
      </c>
      <c r="K3" s="13">
        <f>IF(AND(ISNUMBER(I3),ISNUMBER(J3),I3&gt;0),1-J3/I3,"")</f>
        <v/>
      </c>
      <c r="L3" s="16" t="n">
        <v>0</v>
      </c>
      <c r="M3" s="15" t="n">
        <v>147000</v>
      </c>
      <c r="N3" s="16" t="n">
        <v>2001</v>
      </c>
      <c r="O3" s="10" t="inlineStr">
        <is>
          <t>1</t>
        </is>
      </c>
      <c r="P3" s="10" t="inlineStr">
        <is>
          <t>2</t>
        </is>
      </c>
      <c r="Q3" s="16" t="n">
        <v>195</v>
      </c>
      <c r="R3" s="16" t="n">
        <v>10</v>
      </c>
      <c r="S3" s="10" t="inlineStr">
        <is>
          <t>ivoire</t>
        </is>
      </c>
      <c r="T3" s="16" t="n">
        <v>5</v>
      </c>
      <c r="U3" s="10" t="n"/>
      <c r="V3" s="10" t="n"/>
      <c r="W3" s="10" t="inlineStr">
        <is>
          <t>Pro</t>
        </is>
      </c>
      <c r="X3" s="10" t="inlineStr">
        <is>
          <t>Blotzheim</t>
        </is>
      </c>
      <c r="Y3" s="10" t="inlineStr">
        <is>
          <t>68730</t>
        </is>
      </c>
      <c r="Z3" s="10" t="inlineStr">
        <is>
          <t>Haut-Rhin</t>
        </is>
      </c>
      <c r="AA3" s="10" t="inlineStr">
        <is>
          <t>Alsace</t>
        </is>
      </c>
      <c r="AB3" s="16" t="n"/>
      <c r="AC3" s="16" t="n"/>
      <c r="AD3" s="10" t="n"/>
      <c r="AE3" s="10" t="n"/>
      <c r="AF3" s="10" t="inlineStr">
        <is>
          <t>1 : 1 ; 5 : 5 ; 156 : 156 ; 2001 : 2001 ; 2028 : 2028 ; 5990 : 5990 ; 7462254 : 7462254 ; Alfa Romeo : Alfa Romeo ; ALFA ROMEO : ALFA ROMEO ; 147000 km : 147000 ; Essence : 1 ; Automatique : 2 ; Oui : true ; 07/2001 : 07/2001 ; Non endommagé : undamaged ; Berline : berline ; Ivoire : ivoire ; 10 Cv : 10 ; 195 Ch : 195 ; Avec permis : avecpermis ; false : false ; https://img.leboncoin.fr/api/v1/lbcpb1/images/ed/29/e7/ed29e791-0249-4439-986e-1dabe764b5a8?rule=bo-thumb : https://img.leboncoin.fr/api/v1/lbcpb1/images/ed/29/e7/ed29e791-0249-4439-986e-1dabe764b5a8?rule=bo-thumb ; EN VOITURE SALOMON : EN VOITURE SALOMON ; Non renseignée : non_renseignee ; activity_sector : 1 ; u_car_brand : ALFA ROMEO ; u_car_model : 156 ; vehicle_technical_inspection_valid : Oui ; vehicle_technical_inspection_a : 2028 ; vehicle_damage : Non endommagé ; vehicle_upholstery : Tissu ; vehicle_maintenance : Carnet d'entretien disponible ; vehicle_interior_specs : Climatisation ; vehicle_vsp : Avec permis ; recent_used_vehicle : false ; has_visibility_option : false ; store_logo : https://img.leboncoin.fr/api/v1/lbcpb1/images/ed/29/e7/ed29e791-0249-4439-986e-1dabe764b5a8?rule=bo-thumb ; store_name : EN VOITURE SALOMON ; online_store_id : 7462254 ; is_import : false ; old_price : 5990 ; spare_parts_availability : Non renseignée</t>
        </is>
      </c>
      <c r="AG3" s="19" t="inlineStr">
        <is>
          <t>Voir</t>
        </is>
      </c>
      <c r="AH3" s="10" t="inlineStr">
        <is>
          <t>3212500586</t>
        </is>
      </c>
    </row>
    <row r="4">
      <c r="A4" s="10" t="inlineStr">
        <is>
          <t>Alfa Romeo 156 2.5 V6 24V</t>
        </is>
      </c>
      <c r="B4" s="10" t="inlineStr">
        <is>
          <t>Alfa Romeo 156 2.5 V6 Busso</t>
        </is>
      </c>
      <c r="C4" s="10" t="inlineStr">
        <is>
          <t>En vente</t>
        </is>
      </c>
      <c r="D4" s="18" t="n">
        <v>46259</v>
      </c>
      <c r="E4" s="18" t="n">
        <v>46259</v>
      </c>
      <c r="F4" s="18" t="n">
        <v>46296</v>
      </c>
      <c r="G4" s="18" t="n"/>
      <c r="H4" s="17">
        <f>IF(OR(ISNUMBER(D4),ISNUMBER(E4)),IF(ISNUMBER(G4),G4,F4)-IF(ISNUMBER(D4),D4,E4),"")</f>
        <v/>
      </c>
      <c r="I4" s="12" t="n">
        <v>8800</v>
      </c>
      <c r="J4" s="12" t="n">
        <v>8800</v>
      </c>
      <c r="K4" s="13">
        <f>IF(AND(ISNUMBER(I4),ISNUMBER(J4),I4&gt;0),1-J4/I4,"")</f>
        <v/>
      </c>
      <c r="L4" s="16" t="n">
        <v>0</v>
      </c>
      <c r="M4" s="15" t="n">
        <v>200000</v>
      </c>
      <c r="N4" s="16" t="n">
        <v>2001</v>
      </c>
      <c r="O4" s="10" t="inlineStr">
        <is>
          <t>1</t>
        </is>
      </c>
      <c r="P4" s="10" t="inlineStr">
        <is>
          <t>1</t>
        </is>
      </c>
      <c r="Q4" s="16" t="n">
        <v>192</v>
      </c>
      <c r="R4" s="16" t="n">
        <v>13</v>
      </c>
      <c r="S4" s="10" t="inlineStr">
        <is>
          <t>gris</t>
        </is>
      </c>
      <c r="T4" s="16" t="n">
        <v>4</v>
      </c>
      <c r="U4" s="10" t="n"/>
      <c r="V4" s="10" t="n"/>
      <c r="W4" s="10" t="inlineStr">
        <is>
          <t>Particulier</t>
        </is>
      </c>
      <c r="X4" s="10" t="inlineStr">
        <is>
          <t>Waldighofen</t>
        </is>
      </c>
      <c r="Y4" s="10" t="inlineStr">
        <is>
          <t>68640</t>
        </is>
      </c>
      <c r="Z4" s="10" t="inlineStr">
        <is>
          <t>Haut-Rhin</t>
        </is>
      </c>
      <c r="AA4" s="10" t="inlineStr">
        <is>
          <t>Alsace</t>
        </is>
      </c>
      <c r="AB4" s="16" t="n"/>
      <c r="AC4" s="16" t="n"/>
      <c r="AD4" s="10" t="n"/>
      <c r="AE4" s="10" t="n"/>
      <c r="AF4" s="10" t="inlineStr">
        <is>
          <t>1 : 1 ; 2 : 2 ; 4 : 4 ; 5 : 5 ; 156 : 156 ; 2001 : 2001 ; 2028 : 2028 ; https://img.leboncoin.fr/api/v1/tenants/9a6387a1-6259-4f2c-a887-7e67f23dd4cb/domains/20bda58f-d650-462e-a72a-a5a7ecf2bf88/buckets/21d2b0bc-e54c-4b64-a30b-89127b18b785/images/profile/pictures/default/143a242e-19a7-56e8-8b0a-7483cf422183?rule=pp-small : https://img.leboncoin.fr/api/v1/tenants/9a6387a1-6259-4f2c-a887-7e67f23dd4cb/domains/20bda58f-d650-462e-a72a-a5a7ecf2bf88/buckets/21d2b0bc-e54c-4b64-a30b-89127b18b785/images/profile/pictures/default/143a242e-19a7-56e8-8b0a-7483cf422183?rule=pp-small ; Alfa Romeo : Alfa Romeo ; ALFA ROMEO : ALFA ROMEO ; 200000 km : 200000 ; Essence : 1 ; Manuelle : 1 ; Oui : true ; 06/2001 : 06/2001 ; Berline : berline ; Gris : gris ; 13 Cv : 13 ; 192 Ch : 192 ; Avec permis : avecpermis ; credit_card : credit_card ; false : false ; https://autoviza.fr/report/report?uid=872f6da0-d1f2-41f2-85d4-3f4aee9296ee : https://autoviza.fr/report/report?uid=872f6da0-d1f2-41f2-85d4-3f4aee9296ee ; true : true ; rating_score : 1 ; rating_count : 5 ; u_car_brand : ALFA ROMEO ; u_car_model : 156 ; vehicle_technical_inspection_valid : Oui ; vehicle_technical_inspection_a : 2028 ; vehicle_upholstery : Tout cuir ; vehicle_maintenance : Véhicule non fumeur, Factures disponibles, Réparations utiles déjà faites ; vehicle_interior_specs : Climatisation ; vehicle_vsp : Avec permis ; vehicle_available_payment_methods : credit_card ; is_import : false ; vehicle_is_eligible_p2p : 2 ; vehicle_history_report_public_url : https://autoviza.fr/report/report?uid=872f6da0-d1f2-41f2-85d4-3f4aee9296ee ; licence_plate_available : true</t>
        </is>
      </c>
      <c r="AG4" s="19" t="inlineStr">
        <is>
          <t>Voir</t>
        </is>
      </c>
      <c r="AH4" s="10" t="inlineStr">
        <is>
          <t>3222893175</t>
        </is>
      </c>
    </row>
    <row r="5">
      <c r="A5" s="10" t="inlineStr">
        <is>
          <t>Alfa Romeo 156 2.5 V6 24V</t>
        </is>
      </c>
      <c r="B5" s="10" t="inlineStr">
        <is>
          <t>Alfa romeo 156 2.5 v6 24v</t>
        </is>
      </c>
      <c r="C5" s="10" t="inlineStr">
        <is>
          <t>En vente</t>
        </is>
      </c>
      <c r="D5" s="18" t="n">
        <v>46225</v>
      </c>
      <c r="E5" s="18" t="n">
        <v>46225</v>
      </c>
      <c r="F5" s="18" t="n">
        <v>46296</v>
      </c>
      <c r="G5" s="18" t="n"/>
      <c r="H5" s="17">
        <f>IF(OR(ISNUMBER(D5),ISNUMBER(E5)),IF(ISNUMBER(G5),G5,F5)-IF(ISNUMBER(D5),D5,E5),"")</f>
        <v/>
      </c>
      <c r="I5" s="12" t="n">
        <v>6490</v>
      </c>
      <c r="J5" s="12" t="n">
        <v>6490</v>
      </c>
      <c r="K5" s="13">
        <f>IF(AND(ISNUMBER(I5),ISNUMBER(J5),I5&gt;0),1-J5/I5,"")</f>
        <v/>
      </c>
      <c r="L5" s="16" t="n">
        <v>0</v>
      </c>
      <c r="M5" s="15" t="n">
        <v>196500</v>
      </c>
      <c r="N5" s="16" t="n">
        <v>1998</v>
      </c>
      <c r="O5" s="10" t="inlineStr">
        <is>
          <t>1</t>
        </is>
      </c>
      <c r="P5" s="10" t="inlineStr">
        <is>
          <t>1</t>
        </is>
      </c>
      <c r="Q5" s="16" t="n">
        <v>190</v>
      </c>
      <c r="R5" s="16" t="n">
        <v>14</v>
      </c>
      <c r="S5" s="10" t="inlineStr">
        <is>
          <t>bleu</t>
        </is>
      </c>
      <c r="T5" s="16" t="n">
        <v>4</v>
      </c>
      <c r="U5" s="10" t="n"/>
      <c r="V5" s="10" t="n"/>
      <c r="W5" s="10" t="inlineStr">
        <is>
          <t>Pro</t>
        </is>
      </c>
      <c r="X5" s="10" t="inlineStr">
        <is>
          <t>Abbeville</t>
        </is>
      </c>
      <c r="Y5" s="10" t="inlineStr">
        <is>
          <t>80100</t>
        </is>
      </c>
      <c r="Z5" s="10" t="inlineStr">
        <is>
          <t>Somme</t>
        </is>
      </c>
      <c r="AA5" s="10" t="inlineStr">
        <is>
          <t>Picardie</t>
        </is>
      </c>
      <c r="AB5" s="16" t="n"/>
      <c r="AC5" s="16" t="n"/>
      <c r="AD5" s="10" t="n"/>
      <c r="AE5" s="10" t="n"/>
      <c r="AF5" s="10" t="inlineStr">
        <is>
          <t>1 : 1 ; 4 : 4 ; 5 : 5 ; 156 : 156 ; 1998 : 1998 ; 6790 : 6790 ; 708077 : 708077 ; 7028672 : 7028672 ; Alfa Romeo : Alfa Romeo ; ALFA ROMEO : ALFA ROMEO ; 196500 km : 196500 ; Essence : 1 ; Manuelle : 1 ; Base : ALFA ROMEO_156_Base ; 156 2.5 V6 24v : 156 2.5 V6 24v ; 04/1998 : 04/1998 ; Bleu : bleu ; 14 Cv : 14 ; 190 Ch : 190 ; false : false ; true : true ; https://img.leboncoin.fr/api/v1/lbcpb1/images/ad/52/4f/ad524f1f-3a90-4082-a825-f11eef8157f0?rule=bo-thumb : https://img.leboncoin.fr/api/v1/lbcpb1/images/ad/52/4f/ad524f1f-3a90-4082-a825-f11eef8157f0?rule=bo-thumb ; TRANSAKAUTO ABBEVILLE : TRANSAKAUTO ABBEVILLE ; VO42668613 : VO42668613 ; https://autoviza.fr/report/report?uid=449a3475-04cb-491b-988c-0c473322217a : https://autoviza.fr/report/report?uid=449a3475-04cb-491b-988c-0c473322217a ; visible : visible ; Non renseignée : non_renseignee ; activity_sector : 1 ; u_car_brand : ALFA ROMEO ; u_car_model : 156 ; u_car_finition : Base ; u_car_version : 156 2.5 V6 24v ; vehicle_interior_specs : Climatisation, Jantes en alliage ; recent_used_vehicle : false ; has_visibility_option : true ; store_logo : https://img.leboncoin.fr/api/v1/lbcpb1/images/ad/52/4f/ad524f1f-3a90-4082-a825-f11eef8157f0?rule=bo-thumb ; store_name : TRANSAKAUTO ABBEVILLE ; online_store_id : 7028672 ; custom_ref : VO42668613 ; is_import : true ; old_price : 6790 ; vehicle_history_report_public_url : https://autoviza.fr/report/report?uid=449a3475-04cb-491b-988c-0c473322217a ; vehicle_history_report_status : visible ; argus_object_id : 708077 ; spare_parts_availability : Non renseignée ; licence_plate_available : true</t>
        </is>
      </c>
      <c r="AG5" s="19" t="inlineStr">
        <is>
          <t>Voir</t>
        </is>
      </c>
      <c r="AH5" s="10" t="inlineStr">
        <is>
          <t>3237198858</t>
        </is>
      </c>
    </row>
    <row r="6">
      <c r="A6" s="10" t="inlineStr">
        <is>
          <t>Alfa Romeo 156 2.5 V6 24V</t>
        </is>
      </c>
      <c r="B6" s="10" t="inlineStr">
        <is>
          <t>Alfa 156 2.5 v6 GPL</t>
        </is>
      </c>
      <c r="C6" s="10" t="inlineStr">
        <is>
          <t>En vente</t>
        </is>
      </c>
      <c r="D6" s="18" t="n">
        <v>46267</v>
      </c>
      <c r="E6" s="18" t="n">
        <v>46267</v>
      </c>
      <c r="F6" s="18" t="n">
        <v>46296</v>
      </c>
      <c r="G6" s="18" t="n"/>
      <c r="H6" s="17">
        <f>IF(OR(ISNUMBER(D6),ISNUMBER(E6)),IF(ISNUMBER(G6),G6,F6)-IF(ISNUMBER(D6),D6,E6),"")</f>
        <v/>
      </c>
      <c r="I6" s="12" t="n">
        <v>3200</v>
      </c>
      <c r="J6" s="12" t="n">
        <v>3200</v>
      </c>
      <c r="K6" s="13">
        <f>IF(AND(ISNUMBER(I6),ISNUMBER(J6),I6&gt;0),1-J6/I6,"")</f>
        <v/>
      </c>
      <c r="L6" s="16" t="n">
        <v>0</v>
      </c>
      <c r="M6" s="15" t="n">
        <v>202000</v>
      </c>
      <c r="N6" s="16" t="n">
        <v>1999</v>
      </c>
      <c r="O6" s="10" t="inlineStr">
        <is>
          <t>1</t>
        </is>
      </c>
      <c r="P6" s="10" t="inlineStr">
        <is>
          <t>1</t>
        </is>
      </c>
      <c r="Q6" s="16" t="n">
        <v>190</v>
      </c>
      <c r="R6" s="16" t="n">
        <v>13</v>
      </c>
      <c r="S6" s="10" t="inlineStr">
        <is>
          <t>noir</t>
        </is>
      </c>
      <c r="T6" s="16" t="n">
        <v>4</v>
      </c>
      <c r="U6" s="10" t="n"/>
      <c r="V6" s="10" t="n"/>
      <c r="W6" s="10" t="inlineStr">
        <is>
          <t>Particulier</t>
        </is>
      </c>
      <c r="X6" s="10" t="inlineStr">
        <is>
          <t>Romans</t>
        </is>
      </c>
      <c r="Y6" s="10" t="inlineStr">
        <is>
          <t>79260</t>
        </is>
      </c>
      <c r="Z6" s="10" t="inlineStr">
        <is>
          <t>Deux-Sèvres</t>
        </is>
      </c>
      <c r="AA6" s="10" t="inlineStr">
        <is>
          <t>Poitou-Charentes</t>
        </is>
      </c>
      <c r="AB6" s="16" t="n"/>
      <c r="AC6" s="16" t="n"/>
      <c r="AD6" s="10" t="n"/>
      <c r="AE6" s="10" t="n"/>
      <c r="AF6" s="10" t="inlineStr">
        <is>
          <t>1 : 1 ; 2 : 2 ; 4 : 4 ; 156 : 156 ; 1999 : 1999 ; https://img.leboncoin.fr/api/v1/tenants/9a6387a1-6259-4f2c-a887-7e67f23dd4cb/domains/20bda58f-d650-462e-a72a-a5a7ecf2bf88/buckets/21d2b0bc-e54c-4b64-a30b-89127b18b785/images/profile/pictures/default/c1f6006e-27ec-5c06-8197-53b581533f19?rule=pp-small : https://img.leboncoin.fr/api/v1/tenants/9a6387a1-6259-4f2c-a887-7e67f23dd4cb/domains/20bda58f-d650-462e-a72a-a5a7ecf2bf88/buckets/21d2b0bc-e54c-4b64-a30b-89127b18b785/images/profile/pictures/default/c1f6006e-27ec-5c06-8197-53b581533f19?rule=pp-small ; Alfa Romeo : Alfa Romeo ; ALFA ROMEO : ALFA ROMEO ; 202000 km : 202000 ; Essence : 1 ; Manuelle : 1 ; 07/1999 : 07/1999 ; Berline : berline ; Noir : noir ; 13 Cv : 13 ; 190 Ch : 190 ; Avec permis : avecpermis ; credit_card : credit_card ; false : false ; true : true ; rating_score : 1 ; rating_count : 4 ; u_car_brand : ALFA ROMEO ; u_car_model : 156 ; vehicle_vsp : Avec permis ; vehicle_available_payment_methods : credit_card ; is_import : false ; vehicle_is_eligible_p2p : 2 ; licence_plate_available : true</t>
        </is>
      </c>
      <c r="AG6" s="19" t="inlineStr">
        <is>
          <t>Voir</t>
        </is>
      </c>
      <c r="AH6" s="10" t="inlineStr">
        <is>
          <t>3261414202</t>
        </is>
      </c>
    </row>
    <row r="7">
      <c r="A7" s="10" t="inlineStr">
        <is>
          <t>Alfa Romeo 156 2.5 V6 24V</t>
        </is>
      </c>
      <c r="B7" s="10" t="inlineStr">
        <is>
          <t>Alfa romeo 166 v6 busso 2003</t>
        </is>
      </c>
      <c r="C7" s="10" t="inlineStr">
        <is>
          <t>En vente</t>
        </is>
      </c>
      <c r="D7" s="18" t="n">
        <v>46268</v>
      </c>
      <c r="E7" s="18" t="n">
        <v>46268</v>
      </c>
      <c r="F7" s="18" t="n">
        <v>46296</v>
      </c>
      <c r="G7" s="18" t="n"/>
      <c r="H7" s="17">
        <f>IF(OR(ISNUMBER(D7),ISNUMBER(E7)),IF(ISNUMBER(G7),G7,F7)-IF(ISNUMBER(D7),D7,E7),"")</f>
        <v/>
      </c>
      <c r="I7" s="12" t="n">
        <v>4390</v>
      </c>
      <c r="J7" s="12" t="n">
        <v>4390</v>
      </c>
      <c r="K7" s="13">
        <f>IF(AND(ISNUMBER(I7),ISNUMBER(J7),I7&gt;0),1-J7/I7,"")</f>
        <v/>
      </c>
      <c r="L7" s="16" t="n">
        <v>0</v>
      </c>
      <c r="M7" s="15" t="n">
        <v>207800</v>
      </c>
      <c r="N7" s="16" t="n">
        <v>2003</v>
      </c>
      <c r="O7" s="10" t="inlineStr">
        <is>
          <t>1</t>
        </is>
      </c>
      <c r="P7" s="10" t="inlineStr">
        <is>
          <t>1</t>
        </is>
      </c>
      <c r="Q7" s="16" t="n">
        <v>188</v>
      </c>
      <c r="R7" s="16" t="n">
        <v>14</v>
      </c>
      <c r="S7" s="10" t="inlineStr">
        <is>
          <t>gris</t>
        </is>
      </c>
      <c r="T7" s="16" t="n">
        <v>4</v>
      </c>
      <c r="U7" s="10" t="n"/>
      <c r="V7" s="10" t="n"/>
      <c r="W7" s="10" t="inlineStr">
        <is>
          <t>Particulier</t>
        </is>
      </c>
      <c r="X7" s="10" t="inlineStr">
        <is>
          <t>Lapalisse</t>
        </is>
      </c>
      <c r="Y7" s="10" t="inlineStr">
        <is>
          <t>03120</t>
        </is>
      </c>
      <c r="Z7" s="10" t="inlineStr">
        <is>
          <t>Allier</t>
        </is>
      </c>
      <c r="AA7" s="10" t="inlineStr">
        <is>
          <t>Auvergne</t>
        </is>
      </c>
      <c r="AB7" s="16" t="n"/>
      <c r="AC7" s="16" t="n"/>
      <c r="AD7" s="10" t="n"/>
      <c r="AE7" s="10" t="n"/>
      <c r="AF7" s="10" t="inlineStr">
        <is>
          <t>1 : 1 ; 2 : 2 ; 4 : 4 ; 5 : 5 ; 166 : 166 ; 2003 : 2003 ; https://img.leboncoin.fr/api/v1/tenants/9a6387a1-6259-4f2c-a887-7e67f23dd4cb/domains/20bda58f-d650-462e-a72a-a5a7ecf2bf88/buckets/21d2b0bc-e54c-4b64-a30b-89127b18b785/images/profile/pictures/80ed3c8e-e35a-50e2-a0b1-0195448af23b?rule=pp-small : https://img.leboncoin.fr/api/v1/tenants/9a6387a1-6259-4f2c-a887-7e67f23dd4cb/domains/20bda58f-d650-462e-a72a-a5a7ecf2bf88/buckets/21d2b0bc-e54c-4b64-a30b-89127b18b785/images/profile/pictures/80ed3c8e-e35a-50e2-a0b1-0195448af23b?rule=pp-small ; Alfa Romeo : Alfa Romeo ; ALFA ROMEO : ALFA ROMEO ; 207800 km : 207800 ; Essence : 1 ; Manuelle : 1 ; 01/2003 : 01/2003 ; Bon état général : good_overall_condition ; Berline : berline ; Gris : gris ; 14 Cv : 14 ; 188 Ch : 188 ; Avec permis : avecpermis ; credit_card : credit_card ; false : false ; https://autoviza.fr/report/report?uid=ab7b78e0-f45a-497b-ae26-f26ca09c375e : https://autoviza.fr/report/report?uid=ab7b78e0-f45a-497b-ae26-f26ca09c375e ; true : true ; rating_score : 1 ; rating_count : 1 ; u_car_brand : ALFA ROMEO ; u_car_model : 166 ; vehicle_damage : Bon état général ; vehicle_upholstery : Tout cuir ; vehicle_maintenance : Carnet d'entretien disponible, Véhicule non fumeur, Factures disponibles ; vehicle_interior_specs : Climatisation, Coffre à ouverture électrique, Jantes en alliage, Ordinateur de bord, Phares anti-brouillard, Roue de secours, Régulateur de vitesse, Sièges chauffants, Sièges en cuir, Sièges électriques, Système de navigation ; vehicle_vsp : Avec permis ; vehicle_available_payment_methods : credit_card ; is_import : false ; vehicle_is_eligible_p2p : 2 ; vehicle_history_report_public_url : https://autoviza.fr/report/report?uid=ab7b78e0-f45a-497b-ae26-f26ca09c375e ; licence_plate_available : true</t>
        </is>
      </c>
      <c r="AG7" s="19" t="inlineStr">
        <is>
          <t>Voir</t>
        </is>
      </c>
      <c r="AH7" s="10" t="inlineStr">
        <is>
          <t>3262191550</t>
        </is>
      </c>
    </row>
    <row r="8">
      <c r="A8" s="10" t="inlineStr">
        <is>
          <t>Alfa Romeo 156 2.5 V6 24V</t>
        </is>
      </c>
      <c r="B8" s="10" t="inlineStr">
        <is>
          <t>Alfa Romeo 156 2.5 V6 24V</t>
        </is>
      </c>
      <c r="C8" s="10" t="inlineStr">
        <is>
          <t>En vente</t>
        </is>
      </c>
      <c r="D8" s="18" t="n">
        <v>46281</v>
      </c>
      <c r="E8" s="18" t="n">
        <v>46281</v>
      </c>
      <c r="F8" s="18" t="n">
        <v>46296</v>
      </c>
      <c r="G8" s="18" t="n"/>
      <c r="H8" s="17">
        <f>IF(OR(ISNUMBER(D8),ISNUMBER(E8)),IF(ISNUMBER(G8),G8,F8)-IF(ISNUMBER(D8),D8,E8),"")</f>
        <v/>
      </c>
      <c r="I8" s="12" t="n">
        <v>7000</v>
      </c>
      <c r="J8" s="12" t="n">
        <v>7000</v>
      </c>
      <c r="K8" s="13">
        <f>IF(AND(ISNUMBER(I8),ISNUMBER(J8),I8&gt;0),1-J8/I8,"")</f>
        <v/>
      </c>
      <c r="L8" s="16" t="n">
        <v>0</v>
      </c>
      <c r="M8" s="15" t="n">
        <v>160000</v>
      </c>
      <c r="N8" s="16" t="n">
        <v>2002</v>
      </c>
      <c r="O8" s="10" t="inlineStr">
        <is>
          <t>1</t>
        </is>
      </c>
      <c r="P8" s="10" t="inlineStr">
        <is>
          <t>2</t>
        </is>
      </c>
      <c r="Q8" s="16" t="n">
        <v>192</v>
      </c>
      <c r="R8" s="16" t="n">
        <v>14</v>
      </c>
      <c r="S8" s="10" t="inlineStr">
        <is>
          <t>autre</t>
        </is>
      </c>
      <c r="T8" s="16" t="n">
        <v>4</v>
      </c>
      <c r="U8" s="10" t="n"/>
      <c r="V8" s="10" t="n"/>
      <c r="W8" s="10" t="inlineStr">
        <is>
          <t>Particulier</t>
        </is>
      </c>
      <c r="X8" s="10" t="inlineStr">
        <is>
          <t>Marne-la-Vallée</t>
        </is>
      </c>
      <c r="Y8" s="10" t="inlineStr">
        <is>
          <t>77186</t>
        </is>
      </c>
      <c r="Z8" s="10" t="inlineStr">
        <is>
          <t>Seine-et-Marne</t>
        </is>
      </c>
      <c r="AA8" s="10" t="inlineStr">
        <is>
          <t>Ile-de-France</t>
        </is>
      </c>
      <c r="AB8" s="16" t="n"/>
      <c r="AC8" s="16" t="n"/>
      <c r="AD8" s="10" t="n"/>
      <c r="AE8" s="10" t="n"/>
      <c r="AF8" s="10" t="inlineStr">
        <is>
          <t>1 : 1 ; 2 : 2 ; 4 : 4 ; 156 : 156 ; 2002 : 2002 ; https://img.leboncoin.fr/api/v1/tenants/9a6387a1-6259-4f2c-a887-7e67f23dd4cb/domains/20bda58f-d650-462e-a72a-a5a7ecf2bf88/buckets/21d2b0bc-e54c-4b64-a30b-89127b18b785/images/profile/pictures/default/64e11646-fcc1-5cf2-9058-ec6618930aca?rule=pp-small : https://img.leboncoin.fr/api/v1/tenants/9a6387a1-6259-4f2c-a887-7e67f23dd4cb/domains/20bda58f-d650-462e-a72a-a5a7ecf2bf88/buckets/21d2b0bc-e54c-4b64-a30b-89127b18b785/images/profile/pictures/default/64e11646-fcc1-5cf2-9058-ec6618930aca?rule=pp-small ; Alfa Romeo : Alfa Romeo ; ALFA ROMEO : ALFA ROMEO ; 160000 km : 160000 ; Essence : 1 ; Automatique : 2 ; 02/2002 : 02/2002 ; Berline : berline ; Autre : autre ; 14 Cv : 14 ; 192 Ch : 192 ; Avec permis : avecpermis ; credit_card : credit_card ; false : false ; https://autoviza.fr/report/report?uid=6bd557f8-c9ec-4cb6-bbf0-81669888ca05 : https://autoviza.fr/report/report?uid=6bd557f8-c9ec-4cb6-bbf0-81669888ca05 ; visible : visible ; true : true ; u_car_brand : ALFA ROMEO ; u_car_model : 156 ; vehicle_vsp : Avec permis ; vehicle_available_payment_methods : credit_card ; is_import : false ; vehicle_is_eligible_p2p : 2 ; vehicle_history_report_public_url : https://autoviza.fr/report/report?uid=6bd557f8-c9ec-4cb6-bbf0-81669888ca05 ; vehicle_history_report_status : visible ; licence_plate_available : true</t>
        </is>
      </c>
      <c r="AG8" s="19" t="inlineStr">
        <is>
          <t>Voir</t>
        </is>
      </c>
      <c r="AH8" s="10" t="inlineStr">
        <is>
          <t>3270896149</t>
        </is>
      </c>
    </row>
    <row r="9">
      <c r="A9" s="10" t="inlineStr">
        <is>
          <t>Alfa Romeo 156 2.5 V6 24V</t>
        </is>
      </c>
      <c r="B9" s="10" t="inlineStr">
        <is>
          <t>Alfa Romeo 156 v6 SW 2.5</t>
        </is>
      </c>
      <c r="C9" s="10" t="inlineStr">
        <is>
          <t>En vente</t>
        </is>
      </c>
      <c r="D9" s="18" t="n">
        <v>46289</v>
      </c>
      <c r="E9" s="18" t="n">
        <v>46289</v>
      </c>
      <c r="F9" s="18" t="n">
        <v>46296</v>
      </c>
      <c r="G9" s="18" t="n"/>
      <c r="H9" s="17">
        <f>IF(OR(ISNUMBER(D9),ISNUMBER(E9)),IF(ISNUMBER(G9),G9,F9)-IF(ISNUMBER(D9),D9,E9),"")</f>
        <v/>
      </c>
      <c r="I9" s="12" t="n">
        <v>4000</v>
      </c>
      <c r="J9" s="12" t="n">
        <v>4000</v>
      </c>
      <c r="K9" s="13">
        <f>IF(AND(ISNUMBER(I9),ISNUMBER(J9),I9&gt;0),1-J9/I9,"")</f>
        <v/>
      </c>
      <c r="L9" s="16" t="n">
        <v>0</v>
      </c>
      <c r="M9" s="15" t="n">
        <v>175000</v>
      </c>
      <c r="N9" s="16" t="n">
        <v>2004</v>
      </c>
      <c r="O9" s="10" t="inlineStr">
        <is>
          <t>1</t>
        </is>
      </c>
      <c r="P9" s="10" t="inlineStr">
        <is>
          <t>1</t>
        </is>
      </c>
      <c r="Q9" s="16" t="n">
        <v>192</v>
      </c>
      <c r="R9" s="16" t="n">
        <v>14</v>
      </c>
      <c r="S9" s="10" t="inlineStr">
        <is>
          <t>noir</t>
        </is>
      </c>
      <c r="T9" s="16" t="n">
        <v>5</v>
      </c>
      <c r="U9" s="10" t="n"/>
      <c r="V9" s="10" t="inlineStr">
        <is>
          <t>3</t>
        </is>
      </c>
      <c r="W9" s="10" t="inlineStr">
        <is>
          <t>Particulier</t>
        </is>
      </c>
      <c r="X9" s="10" t="inlineStr">
        <is>
          <t>Mortcerf</t>
        </is>
      </c>
      <c r="Y9" s="10" t="inlineStr">
        <is>
          <t>77163</t>
        </is>
      </c>
      <c r="Z9" s="10" t="inlineStr">
        <is>
          <t>Seine-et-Marne</t>
        </is>
      </c>
      <c r="AA9" s="10" t="inlineStr">
        <is>
          <t>Ile-de-France</t>
        </is>
      </c>
      <c r="AB9" s="16" t="n"/>
      <c r="AC9" s="16" t="n"/>
      <c r="AD9" s="10" t="n"/>
      <c r="AE9" s="10" t="n"/>
      <c r="AF9" s="10" t="inlineStr">
        <is>
          <t>2 : 2 ; 3 : 3 ; 5 : 5 ; 19 : 19 ; 156 : 156 ; 2004 : 2004 ; 0.98 : 0.98 ; https://img.leboncoin.fr/api/v1/tenants/9a6387a1-6259-4f2c-a887-7e67f23dd4cb/domains/20bda58f-d650-462e-a72a-a5a7ecf2bf88/buckets/21d2b0bc-e54c-4b64-a30b-89127b18b785/images/profile/pictures/f4cea2e1-1dd1-5b4c-ab1a-7169ea0d2274?rule=pp-small : https://img.leboncoin.fr/api/v1/tenants/9a6387a1-6259-4f2c-a887-7e67f23dd4cb/domains/20bda58f-d650-462e-a72a-a5a7ecf2bf88/buckets/21d2b0bc-e54c-4b64-a30b-89127b18b785/images/profile/pictures/f4cea2e1-1dd1-5b4c-ab1a-7169ea0d2274?rule=pp-small ; Alfa Romeo : Alfa Romeo ; ALFA ROMEO : ALFA ROMEO ; 175000 km : 175000 ; Essence : 1 ; Manuelle : 1 ; Non : false ; 01/2004 : 01/2004 ; Bon état général : good_overall_condition ; Berline : berline ; Noir : noir ; Euro 5 : euro5 ; 14 Cv : 14 ; 192 Ch : 192 ; Avec permis : avecpermis ; credit_card : credit_card ; false : false ; https://autoviza.fr/report/report?uid=986caf8b-a14f-4b97-bb1c-68edd12b470b : https://autoviza.fr/report/report?uid=986caf8b-a14f-4b97-bb1c-68edd12b470b ; true : true ; rating_score : 0.98 ; rating_count : 19 ; u_car_brand : ALFA ROMEO ; u_car_model : 156 ; vehicle_technical_inspection_valid : Non ; vehicle_damage : Bon état général ; vehicle_upholstery : Tout cuir ; vehicle_maintenance : Factures disponibles, Carnet d'entretien disponible ; vehicle_interior_specs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vehicle_vsp : Avec permis ; vehicle_available_payment_methods : credit_card ; is_import : false ; vehicle_is_eligible_p2p : 2 ; vehicle_history_report_public_url : https://autoviza.fr/report/report?uid=986caf8b-a14f-4b97-bb1c-68edd12b470b ; vehicle_history_teaser_critair : 3 ; vehicle_history_teaser_owners : 5 ; vehicle_history_teaser_expertises : false ; vehicle_history_teaser_special_uses : false ; vehicle_history_teaser_atypical_operations : false ; vehicle_history_teaser_importations : false ; licence_plate_available : true</t>
        </is>
      </c>
      <c r="AG9" s="19" t="inlineStr">
        <is>
          <t>Voir</t>
        </is>
      </c>
      <c r="AH9" s="10" t="inlineStr">
        <is>
          <t>3275564839</t>
        </is>
      </c>
    </row>
    <row r="10">
      <c r="A10" s="10" t="inlineStr">
        <is>
          <t>BMW Z3 1.9i / 2.0i</t>
        </is>
      </c>
      <c r="B10" s="10" t="inlineStr">
        <is>
          <t>BMW Z3 1.9i 140ch Pack M Sport tbé Cuir Clim</t>
        </is>
      </c>
      <c r="C10" s="10" t="inlineStr">
        <is>
          <t>En vente</t>
        </is>
      </c>
      <c r="D10" s="18" t="n">
        <v>46112</v>
      </c>
      <c r="E10" s="18" t="n">
        <v>46112</v>
      </c>
      <c r="F10" s="18" t="n">
        <v>46296</v>
      </c>
      <c r="G10" s="18" t="n"/>
      <c r="H10" s="17">
        <f>IF(OR(ISNUMBER(D10),ISNUMBER(E10)),IF(ISNUMBER(G10),G10,F10)-IF(ISNUMBER(D10),D10,E10),"")</f>
        <v/>
      </c>
      <c r="I10" s="12" t="n">
        <v>8990</v>
      </c>
      <c r="J10" s="12" t="n">
        <v>8990</v>
      </c>
      <c r="K10" s="13">
        <f>IF(AND(ISNUMBER(I10),ISNUMBER(J10),I10&gt;0),1-J10/I10,"")</f>
        <v/>
      </c>
      <c r="L10" s="16" t="n">
        <v>0</v>
      </c>
      <c r="M10" s="15" t="n">
        <v>186000</v>
      </c>
      <c r="N10" s="16" t="n">
        <v>1998</v>
      </c>
      <c r="O10" s="10" t="inlineStr">
        <is>
          <t>1</t>
        </is>
      </c>
      <c r="P10" s="10" t="inlineStr">
        <is>
          <t>1</t>
        </is>
      </c>
      <c r="Q10" s="16" t="n">
        <v>140</v>
      </c>
      <c r="R10" s="16" t="n"/>
      <c r="S10" s="10" t="inlineStr">
        <is>
          <t>noir</t>
        </is>
      </c>
      <c r="T10" s="16" t="n">
        <v>3</v>
      </c>
      <c r="U10" s="10" t="n"/>
      <c r="V10" s="10" t="n"/>
      <c r="W10" s="10" t="inlineStr">
        <is>
          <t>Pro</t>
        </is>
      </c>
      <c r="X10" s="10" t="inlineStr">
        <is>
          <t>Jury</t>
        </is>
      </c>
      <c r="Y10" s="10" t="inlineStr">
        <is>
          <t>57245</t>
        </is>
      </c>
      <c r="Z10" s="10" t="inlineStr">
        <is>
          <t>Moselle</t>
        </is>
      </c>
      <c r="AA10" s="10" t="inlineStr">
        <is>
          <t>Lorraine</t>
        </is>
      </c>
      <c r="AB10" s="16" t="n"/>
      <c r="AC10" s="16" t="n"/>
      <c r="AD10" s="10" t="inlineStr">
        <is>
          <t>Oui</t>
        </is>
      </c>
      <c r="AE10" s="10" t="n"/>
      <c r="AF10" s="10" t="inlineStr">
        <is>
          <t>1 : 1 ; 2 : 2 ; 3 : 3 ; 1998 : 1998 ; 710297 : 710297 ; 1423678 : 1423678 ; 7039234 : 7039234 ; Bmw : Bmw ; Autres : Autres ; BMW : BMW ; Z3 : BMW_Z3 ; 186000 km : 186000 ; Essence : 1 ; Manuelle : 1 ; Base : BMW_Z3_Base ; Z3 Roadster 1.9i 140ch : Z3 Roadster 1.9i 140ch ; 09/1998 : 09/1998 ; Excellent état (proche du neuf) : excellent_condition ; Cabriolet : cabriolet ; Noir : noir ; Euro 4 : euro4 ; 140 Ch : 140 ; false : false ; true : true ; https://img.leboncoin.fr/api/v1/lbcpb1/images/e2/17/48/e21748c9-03e4-46cc-8503-7a097409ff73?rule=bo-thumb : https://img.leboncoin.fr/api/v1/lbcpb1/images/e2/17/48/e21748c9-03e4-46cc-8503-7a097409ff73?rule=bo-thumb ; TOP VO : TOP VO ; broken : broken ; Non renseignée : non_renseignee ; activity_sector : 1 ; u_car_brand : BMW ; u_car_model : Z3 ; u_car_finition : Base ; u_car_version : Z3 Roadster 1.9i 140ch ; vehicle_damage : Excellent état (proche du neuf) ; vehicle_upholstery : Tout cuir ; vehicle_interior_specs : Climatisation, Jantes en alliage, Ordinateur de bord, Sièges chauffants, Sièges sport, Vitres électriques arrières ; vehicle_euro_emissions_standard : Euro 4 ; recent_used_vehicle : false ; has_visibility_option : true ; store_logo : https://img.leboncoin.fr/api/v1/lbcpb1/images/e2/17/48/e21748c9-03e4-46cc-8503-7a097409ff73?rule=bo-thumb ; store_name : TOP VO ; online_store_id : 7039234 ; custom_ref : 1423678 ; is_import : true ; vehicle_history_report_status : broken ; argus_object_id : 710297 ; spare_parts_availability : Non renseignée ; licence_plate_available : true</t>
        </is>
      </c>
      <c r="AG10" s="19" t="inlineStr">
        <is>
          <t>Voir</t>
        </is>
      </c>
      <c r="AH10" s="10" t="inlineStr">
        <is>
          <t>3171562700</t>
        </is>
      </c>
    </row>
    <row r="11">
      <c r="A11" s="10" t="inlineStr">
        <is>
          <t>BMW Z3 1.9i / 2.0i</t>
        </is>
      </c>
      <c r="B11" s="10" t="inlineStr">
        <is>
          <t>Bmw z3 1.8 roadster GARANTIE</t>
        </is>
      </c>
      <c r="C11" s="10" t="inlineStr">
        <is>
          <t>En vente</t>
        </is>
      </c>
      <c r="D11" s="18" t="n">
        <v>46281</v>
      </c>
      <c r="E11" s="18" t="n">
        <v>46281</v>
      </c>
      <c r="F11" s="18" t="n">
        <v>46296</v>
      </c>
      <c r="G11" s="18" t="n"/>
      <c r="H11" s="17">
        <f>IF(OR(ISNUMBER(D11),ISNUMBER(E11)),IF(ISNUMBER(G11),G11,F11)-IF(ISNUMBER(D11),D11,E11),"")</f>
        <v/>
      </c>
      <c r="I11" s="12" t="n">
        <v>11490</v>
      </c>
      <c r="J11" s="12" t="n">
        <v>11490</v>
      </c>
      <c r="K11" s="13">
        <f>IF(AND(ISNUMBER(I11),ISNUMBER(J11),I11&gt;0),1-J11/I11,"")</f>
        <v/>
      </c>
      <c r="L11" s="16" t="n">
        <v>0</v>
      </c>
      <c r="M11" s="15" t="n">
        <v>119627</v>
      </c>
      <c r="N11" s="16" t="n">
        <v>1997</v>
      </c>
      <c r="O11" s="10" t="inlineStr">
        <is>
          <t>1</t>
        </is>
      </c>
      <c r="P11" s="10" t="inlineStr">
        <is>
          <t>1</t>
        </is>
      </c>
      <c r="Q11" s="16" t="n">
        <v>115</v>
      </c>
      <c r="R11" s="16" t="n">
        <v>7</v>
      </c>
      <c r="S11" s="10" t="inlineStr">
        <is>
          <t>gris</t>
        </is>
      </c>
      <c r="T11" s="16" t="n">
        <v>2</v>
      </c>
      <c r="U11" s="10" t="n"/>
      <c r="V11" s="10" t="inlineStr">
        <is>
          <t>3</t>
        </is>
      </c>
      <c r="W11" s="10" t="inlineStr">
        <is>
          <t>Pro</t>
        </is>
      </c>
      <c r="X11" s="10" t="inlineStr">
        <is>
          <t>Montélimar</t>
        </is>
      </c>
      <c r="Y11" s="10" t="inlineStr">
        <is>
          <t>26200</t>
        </is>
      </c>
      <c r="Z11" s="10" t="inlineStr">
        <is>
          <t>Drôme</t>
        </is>
      </c>
      <c r="AA11" s="10" t="inlineStr">
        <is>
          <t>Rhône-Alpes</t>
        </is>
      </c>
      <c r="AB11" s="16" t="n"/>
      <c r="AC11" s="16" t="n"/>
      <c r="AD11" s="10" t="inlineStr">
        <is>
          <t>Oui</t>
        </is>
      </c>
      <c r="AE11" s="10" t="n"/>
      <c r="AF11" s="10" t="inlineStr">
        <is>
          <t>1 : 1 ; 2 : 2 ; 3 : 3 ; 1997 : 1997 ; 12990 : 12990 ; 710296 : 710296 ; 7451289 : 7451289 ; Bmw : Bmw ; Autres : Autres ; BMW : BMW ; Z3 : BMW_Z3 ; 119627 km : 119627 ; Essence : 1 ; Manuelle : 1 ; Base : BMW_Z3_Base ; Z3 Roadster 1.8i 115ch : Z3 Roadster 1.8i 115ch ; Non : false ; 04/1997 : 04/1997 ; Excellent état (proche du neuf) : excellent_condition ; Cabriolet : cabriolet ; Gris : gris ; Euro 2 : euro2 ; 7 Cv : 7 ; 115 Ch : 115 ; Avec permis : avecpermis ; false : false ; https://img.leboncoin.fr/api/v1/lbcpb1/images/2c/67/a2/2c67a284-c8da-4ae6-9b38-915f4295e9af?rule=bo-thumb : https://img.leboncoin.fr/api/v1/lbcpb1/images/2c/67/a2/2c67a284-c8da-4ae6-9b38-915f4295e9af?rule=bo-thumb ; CARS DEVOTION : CARS DEVOTION ; https://autoviza.fr/report/report?uid=41c8865c-b654-43c7-92ed-83967c007aa7 : https://autoviza.fr/report/report?uid=41c8865c-b654-43c7-92ed-83967c007aa7 ; visible : visible ; 30 ans : 30 ; true : true ; activity_sector : 1 ; rating_score : 1 ; rating_count : 1 ; u_car_brand : BMW ; u_car_model : Z3 ; u_car_finition : Base ; u_car_version : Z3 Roadster 1.8i 115ch ; vehicle_technical_inspection_valid : Non ; vehicle_damage : Excellent état (proche du neuf) ; vehicle_upholstery : Tout cuir ; vehicle_interior_specs : Alarme antivol, Jantes en alliage, Rétroviseurs dégivrants, Sièges chauffants, Sièges en cuir, Sièges électriques, Suspension sport / adaptative ; vehicle_euro_emissions_standard : Euro 2 ; vehicle_vsp : Avec permis ; car_contract : Non ; recent_used_vehicle : false ; has_visibility_option : false ; store_logo : https://img.leboncoin.fr/api/v1/lbcpb1/images/2c/67/a2/2c67a284-c8da-4ae6-9b38-915f4295e9af?rule=bo-thumb ; store_name : CARS DEVOTION ; online_store_id : 7451289 ; vehicle_commercial_warranty : Non ; vehicle_manufacturer_warranty : Non ; is_import : false ; old_price : 12990 ; vehicle_history_report_public_url : https://autoviza.fr/report/report?uid=41c8865c-b654-43c7-92ed-83967c007aa7 ; vehicle_history_report_status : visible ; argus_object_id : 710296 ; spare_parts_availability : 30 ans ; licence_plate_available : true</t>
        </is>
      </c>
      <c r="AG11" s="19" t="inlineStr">
        <is>
          <t>Voir</t>
        </is>
      </c>
      <c r="AH11" s="10" t="inlineStr">
        <is>
          <t>3197947364</t>
        </is>
      </c>
    </row>
    <row r="12">
      <c r="A12" s="10" t="inlineStr">
        <is>
          <t>BMW Z3 1.9i / 2.0i</t>
        </is>
      </c>
      <c r="B12" s="10" t="inlineStr">
        <is>
          <t>BMW Z3 1.9 140cv</t>
        </is>
      </c>
      <c r="C12" s="10" t="inlineStr">
        <is>
          <t>En vente</t>
        </is>
      </c>
      <c r="D12" s="18" t="n">
        <v>46244</v>
      </c>
      <c r="E12" s="18" t="n">
        <v>46244</v>
      </c>
      <c r="F12" s="18" t="n">
        <v>46296</v>
      </c>
      <c r="G12" s="18" t="n"/>
      <c r="H12" s="17">
        <f>IF(OR(ISNUMBER(D12),ISNUMBER(E12)),IF(ISNUMBER(G12),G12,F12)-IF(ISNUMBER(D12),D12,E12),"")</f>
        <v/>
      </c>
      <c r="I12" s="12" t="n">
        <v>9990</v>
      </c>
      <c r="J12" s="12" t="n">
        <v>9990</v>
      </c>
      <c r="K12" s="13">
        <f>IF(AND(ISNUMBER(I12),ISNUMBER(J12),I12&gt;0),1-J12/I12,"")</f>
        <v/>
      </c>
      <c r="L12" s="16" t="n">
        <v>0</v>
      </c>
      <c r="M12" s="15" t="n">
        <v>154000</v>
      </c>
      <c r="N12" s="16" t="n">
        <v>1997</v>
      </c>
      <c r="O12" s="10" t="inlineStr">
        <is>
          <t>1</t>
        </is>
      </c>
      <c r="P12" s="10" t="inlineStr">
        <is>
          <t>1</t>
        </is>
      </c>
      <c r="Q12" s="16" t="n">
        <v>140</v>
      </c>
      <c r="R12" s="16" t="n">
        <v>10</v>
      </c>
      <c r="S12" s="10" t="inlineStr">
        <is>
          <t>gris</t>
        </is>
      </c>
      <c r="T12" s="16" t="n">
        <v>2</v>
      </c>
      <c r="U12" s="10" t="n"/>
      <c r="V12" s="10" t="inlineStr">
        <is>
          <t>3</t>
        </is>
      </c>
      <c r="W12" s="10" t="inlineStr">
        <is>
          <t>Pro</t>
        </is>
      </c>
      <c r="X12" s="10" t="inlineStr">
        <is>
          <t>La Roche-sur-Yon</t>
        </is>
      </c>
      <c r="Y12" s="10" t="inlineStr">
        <is>
          <t>85000</t>
        </is>
      </c>
      <c r="Z12" s="10" t="inlineStr">
        <is>
          <t>Vendée</t>
        </is>
      </c>
      <c r="AA12" s="10" t="inlineStr">
        <is>
          <t>Pays de la Loire</t>
        </is>
      </c>
      <c r="AB12" s="16" t="n"/>
      <c r="AC12" s="16" t="n"/>
      <c r="AD12" s="10" t="inlineStr">
        <is>
          <t>Oui</t>
        </is>
      </c>
      <c r="AE12" s="10" t="n"/>
      <c r="AF12" s="10" t="inlineStr">
        <is>
          <t>1 : 1 ; 2 : 2 ; 3 : 3 ; 672 : 672 ; 1997 : 1997 ; 108273 : 108273 ; 710297 : 710297 ; Bmw : Bmw ; Autres : Autres ; BMW : BMW ; Z3 : BMW_Z3 ; 154000 km : 154000 ; Essence : 1 ; Manuelle : 1 ; Base : BMW_Z3_Base ; Z3 Roadster 1.9i 140ch : Z3 Roadster 1.9i 140ch ; 01/1997 : 01/1997 ; Autre : autre ; Gris : gris ; 10 Cv : 10 ; 140 Ch : 140 ; Avec permis : avecpermis ; false : false ; https://img.leboncoin.fr/api/v1/lbcpb1/images/8e/15/03/8e150375-cccd-4f42-af35-a68b892fb9eb?rule=bo-thumb : https://img.leboncoin.fr/api/v1/lbcpb1/images/8e/15/03/8e150375-cccd-4f42-af35-a68b892fb9eb?rule=bo-thumb ; LA CENTRALE AUTOMOBILE : LA CENTRALE AUTOMOBILE ; true : true ; Non renseignée : non_renseignee ; activity_sector : 1 ; u_car_brand : BMW ; u_car_model : Z3 ; u_car_finition : Base ; u_car_version : Z3 Roadster 1.9i 140ch ; vehicle_upholstery : Tout cuir ; vehicle_interior_specs : Jantes en alliage, Sièges chauffants ; vehicle_vsp : Avec permis ; recent_used_vehicle : false ; has_visibility_option : false ; store_logo : https://img.leboncoin.fr/api/v1/lbcpb1/images/8e/15/03/8e150375-cccd-4f42-af35-a68b892fb9eb?rule=bo-thumb ; store_name : LA CENTRALE AUTOMOBILE ; online_store_id : 672 ; custom_ref : 108273 ; is_import : true ; argus_object_id : 710297 ; spare_parts_availability : Non renseignée</t>
        </is>
      </c>
      <c r="AG12" s="19" t="inlineStr">
        <is>
          <t>Voir</t>
        </is>
      </c>
      <c r="AH12" s="10" t="inlineStr">
        <is>
          <t>3217262918</t>
        </is>
      </c>
    </row>
    <row r="13">
      <c r="A13" s="10" t="inlineStr">
        <is>
          <t>BMW Z3 1.9i / 2.0i</t>
        </is>
      </c>
      <c r="B13" s="10" t="inlineStr">
        <is>
          <t>BMW Z3 cabriolet 2.2 170 ch 6 cylindres 84700 km</t>
        </is>
      </c>
      <c r="C13" s="10" t="inlineStr">
        <is>
          <t>En vente</t>
        </is>
      </c>
      <c r="D13" s="18" t="n">
        <v>46254</v>
      </c>
      <c r="E13" s="18" t="n">
        <v>46254</v>
      </c>
      <c r="F13" s="18" t="n">
        <v>46296</v>
      </c>
      <c r="G13" s="18" t="n"/>
      <c r="H13" s="17">
        <f>IF(OR(ISNUMBER(D13),ISNUMBER(E13)),IF(ISNUMBER(G13),G13,F13)-IF(ISNUMBER(D13),D13,E13),"")</f>
        <v/>
      </c>
      <c r="I13" s="12" t="n">
        <v>17900</v>
      </c>
      <c r="J13" s="12" t="n">
        <v>17900</v>
      </c>
      <c r="K13" s="13">
        <f>IF(AND(ISNUMBER(I13),ISNUMBER(J13),I13&gt;0),1-J13/I13,"")</f>
        <v/>
      </c>
      <c r="L13" s="16" t="n">
        <v>0</v>
      </c>
      <c r="M13" s="15" t="n">
        <v>84700</v>
      </c>
      <c r="N13" s="16" t="n">
        <v>2002</v>
      </c>
      <c r="O13" s="10" t="inlineStr">
        <is>
          <t>1</t>
        </is>
      </c>
      <c r="P13" s="10" t="inlineStr">
        <is>
          <t>1</t>
        </is>
      </c>
      <c r="Q13" s="16" t="n">
        <v>170</v>
      </c>
      <c r="R13" s="16" t="n">
        <v>11</v>
      </c>
      <c r="S13" s="10" t="inlineStr">
        <is>
          <t>argent</t>
        </is>
      </c>
      <c r="T13" s="16" t="n">
        <v>2</v>
      </c>
      <c r="U13" s="10" t="n"/>
      <c r="V13" s="10" t="inlineStr">
        <is>
          <t>6</t>
        </is>
      </c>
      <c r="W13" s="10" t="inlineStr">
        <is>
          <t>Particulier</t>
        </is>
      </c>
      <c r="X13" s="10" t="inlineStr">
        <is>
          <t>Yerres</t>
        </is>
      </c>
      <c r="Y13" s="10" t="inlineStr">
        <is>
          <t>91330</t>
        </is>
      </c>
      <c r="Z13" s="10" t="inlineStr">
        <is>
          <t>Essonne</t>
        </is>
      </c>
      <c r="AA13" s="10" t="inlineStr">
        <is>
          <t>Ile-de-France</t>
        </is>
      </c>
      <c r="AB13" s="16" t="n"/>
      <c r="AC13" s="16" t="n"/>
      <c r="AD13" s="10" t="inlineStr">
        <is>
          <t>Oui</t>
        </is>
      </c>
      <c r="AE13" s="10" t="n"/>
      <c r="AF13" s="10" t="inlineStr">
        <is>
          <t>1 : 1 ; 2 : 2 ; 27 : 27 ; 2002 : 2002 ; 19500 : 19500 ; Bmw : Bmw ; Autres : Autres ; BMW : BMW ; Z3 : BMW_Z3 ; 84700 km : 84700 ; Essence : 1 ; Manuelle : 1 ; 06/2002 : 06/2002 ; Excellent état (proche du neuf) : excellent_condition ; Cabriolet : cabriolet ; Argent : argent ; Euro 2 : euro2 ; Non classé : 6 ; 11 Cv : 11 ; 170 Ch : 170 ; Avec permis : avecpermis ; credit_card : credit_card ; false : false ; https://autoviza.fr/report/report?uid=157faafe-f298-42d2-88da-4939094aac73 : https://autoviza.fr/report/report?uid=157faafe-f298-42d2-88da-4939094aac73 ; true : true ; rating_score : 1 ; rating_count : 27 ; u_car_brand : BMW ; u_car_model : Z3 ; vehicle_damage : Excellent état (proche du neuf) ; vehicle_upholstery : Tout cuir ; vehicle_interior_specs : Chargeurs USB, Climatisation, Phares anti-brouillard, Roue de secours, Sièges chauffants, Sièges en cuir, Sièges électriques ; vehicle_euro_emissions_standard : Euro 2 ; vehicle_vsp : Avec permis ; vehicle_available_payment_methods : credit_card ; is_import : false ; old_price : 19500 ; vehicle_is_eligible_p2p : 2 ; vehicle_history_report_public_url : https://autoviza.fr/report/report?uid=157faafe-f298-42d2-88da-4939094aac73 ; licence_plate_available : true</t>
        </is>
      </c>
      <c r="AG13" s="19" t="inlineStr">
        <is>
          <t>Voir</t>
        </is>
      </c>
      <c r="AH13" s="10" t="inlineStr">
        <is>
          <t>3220328214</t>
        </is>
      </c>
    </row>
    <row r="14">
      <c r="A14" s="10" t="inlineStr">
        <is>
          <t>BMW Z3 1.9i / 2.0i</t>
        </is>
      </c>
      <c r="B14" s="10" t="inlineStr">
        <is>
          <t>Bmw Z3 ROADSTER (E36) 2.0 150CH</t>
        </is>
      </c>
      <c r="C14" s="10" t="inlineStr">
        <is>
          <t>En vente</t>
        </is>
      </c>
      <c r="D14" s="18" t="n">
        <v>46270</v>
      </c>
      <c r="E14" s="18" t="n">
        <v>46270</v>
      </c>
      <c r="F14" s="18" t="n">
        <v>46296</v>
      </c>
      <c r="G14" s="18" t="n"/>
      <c r="H14" s="17">
        <f>IF(OR(ISNUMBER(D14),ISNUMBER(E14)),IF(ISNUMBER(G14),G14,F14)-IF(ISNUMBER(D14),D14,E14),"")</f>
        <v/>
      </c>
      <c r="I14" s="12" t="n">
        <v>15990</v>
      </c>
      <c r="J14" s="12" t="n">
        <v>15990</v>
      </c>
      <c r="K14" s="13">
        <f>IF(AND(ISNUMBER(I14),ISNUMBER(J14),I14&gt;0),1-J14/I14,"")</f>
        <v/>
      </c>
      <c r="L14" s="16" t="n">
        <v>0</v>
      </c>
      <c r="M14" s="15" t="n">
        <v>122000</v>
      </c>
      <c r="N14" s="16" t="n">
        <v>2002</v>
      </c>
      <c r="O14" s="10" t="inlineStr">
        <is>
          <t>1</t>
        </is>
      </c>
      <c r="P14" s="10" t="inlineStr">
        <is>
          <t>1</t>
        </is>
      </c>
      <c r="Q14" s="16" t="n">
        <v>150</v>
      </c>
      <c r="R14" s="16" t="n">
        <v>10</v>
      </c>
      <c r="S14" s="10" t="inlineStr">
        <is>
          <t>bleu</t>
        </is>
      </c>
      <c r="T14" s="16" t="n">
        <v>3</v>
      </c>
      <c r="U14" s="10" t="n"/>
      <c r="V14" s="10" t="n"/>
      <c r="W14" s="10" t="inlineStr">
        <is>
          <t>Pro</t>
        </is>
      </c>
      <c r="X14" s="10" t="inlineStr">
        <is>
          <t>Melesse</t>
        </is>
      </c>
      <c r="Y14" s="10" t="inlineStr">
        <is>
          <t>35520</t>
        </is>
      </c>
      <c r="Z14" s="10" t="inlineStr">
        <is>
          <t>Ille-et-Vilaine</t>
        </is>
      </c>
      <c r="AA14" s="10" t="inlineStr">
        <is>
          <t>Bretagne</t>
        </is>
      </c>
      <c r="AB14" s="16" t="n"/>
      <c r="AC14" s="16" t="n"/>
      <c r="AD14" s="10" t="inlineStr">
        <is>
          <t>Oui</t>
        </is>
      </c>
      <c r="AE14" s="10" t="n"/>
      <c r="AF14" s="10" t="inlineStr">
        <is>
          <t>1 : 1 ; 2 : 2 ; 3 : 3 ; 577 : 577 ; 2002 : 2002 ; 16990 : 16990 ; 710303 : 710303 ; 6191053 : 6191053 ; Bmw : Bmw ; Autres : Autres ; BMW : BMW ; Z3 : BMW_Z3 ; 122000 km : 122000 ; Essence : 1 ; Manuelle : 1 ; Base : BMW_Z3_Base ; Z3 Roadster 1.9i 150ch : Z3 Roadster 1.9i 150ch ; 04/2002 : 04/2002 ; Cabriolet : cabriolet ; Bleu : bleu ; 10 Cv : 10 ; 150 Ch : 150 ; Avec permis : avecpermis ; false : false ; true : true ; https://img.leboncoin.fr/api/v1/lbcpb1/images/f6/89/4e/f6894e02-11f2-4573-9d6f-4ad356691134?rule=bo-thumb : https://img.leboncoin.fr/api/v1/lbcpb1/images/f6/89/4e/f6894e02-11f2-4573-9d6f-4ad356691134?rule=bo-thumb ; Carwell : Carwell ; 3 ans : 3 ; activity_sector : 1 ; u_car_brand : BMW ; u_car_model : Z3 ; u_car_finition : Base ; u_car_version : Z3 Roadster 1.9i 150ch ; vehicle_vsp : Avec permis ; recent_used_vehicle : false ; has_visibility_option : true ; store_logo : https://img.leboncoin.fr/api/v1/lbcpb1/images/f6/89/4e/f6894e02-11f2-4573-9d6f-4ad356691134?rule=bo-thumb ; store_name : Carwell ; online_store_id : 6191053 ; custom_ref : 577 ; is_import : true ; old_price : 16990 ; argus_object_id : 710303 ; spare_parts_availability : 3 ans</t>
        </is>
      </c>
      <c r="AG14" s="19" t="inlineStr">
        <is>
          <t>Voir</t>
        </is>
      </c>
      <c r="AH14" s="10" t="inlineStr">
        <is>
          <t>3230964764</t>
        </is>
      </c>
    </row>
    <row r="15">
      <c r="A15" s="10" t="inlineStr">
        <is>
          <t>BMW Z3 1.9i / 2.0i</t>
        </is>
      </c>
      <c r="B15" s="10" t="inlineStr">
        <is>
          <t>BMW Z3 Roadster 1.9i ROADSTER E36 Roadster BVM - GARANTIE 12 MOIS</t>
        </is>
      </c>
      <c r="C15" s="10" t="inlineStr">
        <is>
          <t>En vente</t>
        </is>
      </c>
      <c r="D15" s="18" t="n">
        <v>46240</v>
      </c>
      <c r="E15" s="18" t="n">
        <v>46240</v>
      </c>
      <c r="F15" s="18" t="n">
        <v>46296</v>
      </c>
      <c r="G15" s="18" t="n"/>
      <c r="H15" s="17">
        <f>IF(OR(ISNUMBER(D15),ISNUMBER(E15)),IF(ISNUMBER(G15),G15,F15)-IF(ISNUMBER(D15),D15,E15),"")</f>
        <v/>
      </c>
      <c r="I15" s="12" t="n">
        <v>10990</v>
      </c>
      <c r="J15" s="12" t="n">
        <v>10990</v>
      </c>
      <c r="K15" s="13">
        <f>IF(AND(ISNUMBER(I15),ISNUMBER(J15),I15&gt;0),1-J15/I15,"")</f>
        <v/>
      </c>
      <c r="L15" s="16" t="n">
        <v>0</v>
      </c>
      <c r="M15" s="15" t="n">
        <v>171000</v>
      </c>
      <c r="N15" s="16" t="n">
        <v>2001</v>
      </c>
      <c r="O15" s="10" t="inlineStr">
        <is>
          <t>1</t>
        </is>
      </c>
      <c r="P15" s="10" t="inlineStr">
        <is>
          <t>1</t>
        </is>
      </c>
      <c r="Q15" s="16" t="n">
        <v>116</v>
      </c>
      <c r="R15" s="16" t="n"/>
      <c r="S15" s="10" t="inlineStr">
        <is>
          <t>argent</t>
        </is>
      </c>
      <c r="T15" s="16" t="n">
        <v>3</v>
      </c>
      <c r="U15" s="10" t="n"/>
      <c r="V15" s="10" t="n"/>
      <c r="W15" s="10" t="inlineStr">
        <is>
          <t>Pro</t>
        </is>
      </c>
      <c r="X15" s="10" t="inlineStr">
        <is>
          <t>Montussan</t>
        </is>
      </c>
      <c r="Y15" s="10" t="inlineStr">
        <is>
          <t>33450</t>
        </is>
      </c>
      <c r="Z15" s="10" t="inlineStr">
        <is>
          <t>Gironde</t>
        </is>
      </c>
      <c r="AA15" s="10" t="inlineStr">
        <is>
          <t>Aquitaine</t>
        </is>
      </c>
      <c r="AB15" s="16" t="n"/>
      <c r="AC15" s="16" t="n"/>
      <c r="AD15" s="10" t="inlineStr">
        <is>
          <t>Oui</t>
        </is>
      </c>
      <c r="AE15" s="10" t="n"/>
      <c r="AF15" s="10" t="inlineStr">
        <is>
          <t>1 : 1 ; 2 : 2 ; 3 : 3 ; 2001 : 2001 ; 710302 : 710302 ; 1516766 : 1516766 ; 7029225 : 7029225 ; Bmw : Bmw ; Autres : Autres ; BMW : BMW ; Z3 : BMW_Z3 ; 171000 km : 171000 ; Essence : 1 ; Manuelle : 1 ; Base : BMW_Z3_Base ; Z3 Roadster 1.9i 118ch : Z3 Roadster 1.9i 118ch ; 05/2001 : 05/2001 ; Excellent état (proche du neuf) : excellent_condition ; Cabriolet : cabriolet ; Argent : argent ; Euro 1 : euro1 ; 116 Ch : 116 ; false : false ; https://img.leboncoin.fr/api/v1/lbcpb1/images/99/01/30/99013056-5e22-469e-b07f-722dae1b0930?rule=bo-thumb : https://img.leboncoin.fr/api/v1/lbcpb1/images/99/01/30/99013056-5e22-469e-b07f-722dae1b0930?rule=bo-thumb ; EJ CARS : EJ CARS ; true : true ; https://autoviza.fr/report/report?uid=31184e24-d40e-48d1-a28a-8e13f75ad965 : https://autoviza.fr/report/report?uid=31184e24-d40e-48d1-a28a-8e13f75ad965 ; visible : visible ; Non renseignée : non_renseignee ; activity_sector : 1 ; u_car_brand : BMW ; u_car_model : Z3 ; u_car_finition : Base ; u_car_version : Z3 Roadster 1.9i 118ch ; vehicle_damage : Excellent état (proche du neuf) ; vehicle_interior_specs : Alarme antivol, Climatisation, Jantes en alliage, Ordinateur de bord, Sièges sport, Vitres électriques arrières, Volant réglable en hauteur ; vehicle_euro_emissions_standard : Euro 1 ; recent_used_vehicle : false ; has_visibility_option : false ; store_logo : https://img.leboncoin.fr/api/v1/lbcpb1/images/99/01/30/99013056-5e22-469e-b07f-722dae1b0930?rule=bo-thumb ; store_name : EJ CARS ; online_store_id : 7029225 ; custom_ref : 1516766 ; is_import : true ; vehicle_history_report_public_url : https://autoviza.fr/report/report?uid=31184e24-d40e-48d1-a28a-8e13f75ad965 ; vehicle_history_report_status : visible ; argus_object_id : 710302 ; spare_parts_availability : Non renseignée ; licence_plate_available : true</t>
        </is>
      </c>
      <c r="AG15" s="19" t="inlineStr">
        <is>
          <t>Voir</t>
        </is>
      </c>
      <c r="AH15" s="10" t="inlineStr">
        <is>
          <t>3245635449</t>
        </is>
      </c>
    </row>
    <row r="16">
      <c r="A16" s="10" t="inlineStr">
        <is>
          <t>BMW Z3 1.9i / 2.0i</t>
        </is>
      </c>
      <c r="B16" s="10" t="inlineStr">
        <is>
          <t>BMW Z3 Roadster 1.9i 118ch Garantie 6 Mois</t>
        </is>
      </c>
      <c r="C16" s="10" t="inlineStr">
        <is>
          <t>En vente</t>
        </is>
      </c>
      <c r="D16" s="18" t="n">
        <v>46246</v>
      </c>
      <c r="E16" s="18" t="n">
        <v>46246</v>
      </c>
      <c r="F16" s="18" t="n">
        <v>46296</v>
      </c>
      <c r="G16" s="18" t="n"/>
      <c r="H16" s="17">
        <f>IF(OR(ISNUMBER(D16),ISNUMBER(E16)),IF(ISNUMBER(G16),G16,F16)-IF(ISNUMBER(D16),D16,E16),"")</f>
        <v/>
      </c>
      <c r="I16" s="12" t="n">
        <v>9990</v>
      </c>
      <c r="J16" s="12" t="n">
        <v>9990</v>
      </c>
      <c r="K16" s="13">
        <f>IF(AND(ISNUMBER(I16),ISNUMBER(J16),I16&gt;0),1-J16/I16,"")</f>
        <v/>
      </c>
      <c r="L16" s="16" t="n">
        <v>0</v>
      </c>
      <c r="M16" s="15" t="n">
        <v>195944</v>
      </c>
      <c r="N16" s="16" t="n">
        <v>2000</v>
      </c>
      <c r="O16" s="10" t="inlineStr">
        <is>
          <t>1</t>
        </is>
      </c>
      <c r="P16" s="10" t="inlineStr">
        <is>
          <t>1</t>
        </is>
      </c>
      <c r="Q16" s="16" t="n">
        <v>118</v>
      </c>
      <c r="R16" s="16" t="n">
        <v>8</v>
      </c>
      <c r="S16" s="10" t="inlineStr">
        <is>
          <t>gris</t>
        </is>
      </c>
      <c r="T16" s="16" t="n">
        <v>2</v>
      </c>
      <c r="U16" s="10" t="n"/>
      <c r="V16" s="10" t="n"/>
      <c r="W16" s="10" t="inlineStr">
        <is>
          <t>Pro</t>
        </is>
      </c>
      <c r="X16" s="10" t="inlineStr">
        <is>
          <t>Herrlisheim-près-Colmar</t>
        </is>
      </c>
      <c r="Y16" s="10" t="inlineStr">
        <is>
          <t>68420</t>
        </is>
      </c>
      <c r="Z16" s="10" t="inlineStr">
        <is>
          <t>Haut-Rhin</t>
        </is>
      </c>
      <c r="AA16" s="10" t="inlineStr">
        <is>
          <t>Alsace</t>
        </is>
      </c>
      <c r="AB16" s="16" t="n"/>
      <c r="AC16" s="16" t="n"/>
      <c r="AD16" s="10" t="inlineStr">
        <is>
          <t>Oui</t>
        </is>
      </c>
      <c r="AE16" s="10" t="n"/>
      <c r="AF16" s="10" t="inlineStr">
        <is>
          <t>1 : 1 ; 2 : 2 ; 2000 : 2000 ; 710301 : 710301 ; 1520272 : 1520272 ; 6876289 : 6876289 ; Bmw : Bmw ; Autres : Autres ; BMW : BMW ; Z3 : BMW_Z3 ; 195944 km : 195944 ; Essence : 1 ; Manuelle : 1 ; Base : BMW_Z3_Base ; Z3 Roadster 1.8i 115ch : Z3 Roadster 1.8i 115ch ; 05/2000 : 05/2000 ; Excellent état (proche du neuf) : excellent_condition ; Cabriolet : cabriolet ; Gris : gris ; Euro 1 : euro1 ; 8 Cv : 8 ; 118 Ch : 118 ; false : false ; true : true ; https://img.leboncoin.fr/api/v1/lbcpb1/images/5b/c9/bc/5bc9bc7e-a0d8-48e1-846a-6dec44db3645?rule=bo-thumb : https://img.leboncoin.fr/api/v1/lbcpb1/images/5b/c9/bc/5bc9bc7e-a0d8-48e1-846a-6dec44db3645?rule=bo-thumb ; V AUTO SERVICE : V AUTO SERVICE ; broken : broken ; Non renseignée : non_renseignee ; activity_sector : 1 ; u_car_brand : BMW ; u_car_model : Z3 ; u_car_finition : Base ; u_car_version : Z3 Roadster 1.8i 115ch ; vehicle_damage : Excellent état (proche du neuf) ; vehicle_upholstery : Tout cuir ; vehicle_interior_specs : Climatisation, Jantes en alliage, Ordinateur de bord, Sièges sport, Vitres électriques arrières, Volant réglable en hauteur ; vehicle_euro_emissions_standard : Euro 1 ; recent_used_vehicle : false ; has_visibility_option : true ; store_logo : https://img.leboncoin.fr/api/v1/lbcpb1/images/5b/c9/bc/5bc9bc7e-a0d8-48e1-846a-6dec44db3645?rule=bo-thumb ; store_name : V AUTO SERVICE ; online_store_id : 6876289 ; custom_ref : 1520272 ; is_import : true ; vehicle_history_report_status : broken ; argus_object_id : 710301 ; spare_parts_availability : Non renseignée ; licence_plate_available : true</t>
        </is>
      </c>
      <c r="AG16" s="19" t="inlineStr">
        <is>
          <t>Voir</t>
        </is>
      </c>
      <c r="AH16" s="10" t="inlineStr">
        <is>
          <t>3249081293</t>
        </is>
      </c>
    </row>
    <row r="17">
      <c r="A17" s="10" t="inlineStr">
        <is>
          <t>BMW Z3 1.9i / 2.0i</t>
        </is>
      </c>
      <c r="B17" s="10" t="inlineStr">
        <is>
          <t>Bmw z3 1.9 i</t>
        </is>
      </c>
      <c r="C17" s="10" t="inlineStr">
        <is>
          <t>En vente</t>
        </is>
      </c>
      <c r="D17" s="18" t="n">
        <v>46247</v>
      </c>
      <c r="E17" s="18" t="n">
        <v>46247</v>
      </c>
      <c r="F17" s="18" t="n">
        <v>46296</v>
      </c>
      <c r="G17" s="18" t="n"/>
      <c r="H17" s="17">
        <f>IF(OR(ISNUMBER(D17),ISNUMBER(E17)),IF(ISNUMBER(G17),G17,F17)-IF(ISNUMBER(D17),D17,E17),"")</f>
        <v/>
      </c>
      <c r="I17" s="12" t="n">
        <v>9500</v>
      </c>
      <c r="J17" s="12" t="n">
        <v>9500</v>
      </c>
      <c r="K17" s="13">
        <f>IF(AND(ISNUMBER(I17),ISNUMBER(J17),I17&gt;0),1-J17/I17,"")</f>
        <v/>
      </c>
      <c r="L17" s="16" t="n">
        <v>0</v>
      </c>
      <c r="M17" s="15" t="n">
        <v>128482</v>
      </c>
      <c r="N17" s="16" t="n">
        <v>1999</v>
      </c>
      <c r="O17" s="10" t="inlineStr">
        <is>
          <t>1</t>
        </is>
      </c>
      <c r="P17" s="10" t="inlineStr">
        <is>
          <t>1</t>
        </is>
      </c>
      <c r="Q17" s="16" t="n"/>
      <c r="R17" s="16" t="n"/>
      <c r="S17" s="10" t="n"/>
      <c r="T17" s="16" t="n"/>
      <c r="U17" s="10" t="n"/>
      <c r="V17" s="10" t="n"/>
      <c r="W17" s="10" t="inlineStr">
        <is>
          <t>Pro</t>
        </is>
      </c>
      <c r="X17" s="10" t="inlineStr">
        <is>
          <t>Andilly</t>
        </is>
      </c>
      <c r="Y17" s="10" t="inlineStr">
        <is>
          <t>17230</t>
        </is>
      </c>
      <c r="Z17" s="10" t="inlineStr">
        <is>
          <t>Charente-Maritime</t>
        </is>
      </c>
      <c r="AA17" s="10" t="inlineStr">
        <is>
          <t>Poitou-Charentes</t>
        </is>
      </c>
      <c r="AB17" s="16" t="n"/>
      <c r="AC17" s="16" t="n"/>
      <c r="AD17" s="10" t="inlineStr">
        <is>
          <t>Oui</t>
        </is>
      </c>
      <c r="AE17" s="10" t="n"/>
      <c r="AF17" s="10" t="inlineStr">
        <is>
          <t>1 : 1 ; 1999 : 1999 ; 11000 : 11000 ; Bmw : Bmw ; Autres : Autres ; BMW : BMW ; Z3 : BMW_Z3 ; 128482 km : 128482 ; Essence : 1 ; Manuelle : 1 ; Avec permis : avecpermis ; false : false ; Non : false ; Non renseignée : non_renseignee ; activity_sector : 1 ; u_car_brand : BMW ; u_car_model : Z3 ; vehicle_vsp : Avec permis ; recent_used_vehicle : false ; vehicle_commercial_warranty : Non ; vehicle_manufacturer_warranty : Non ; is_import : false ; old_price : 11000 ; spare_parts_availability : Non renseignée</t>
        </is>
      </c>
      <c r="AG17" s="19" t="inlineStr">
        <is>
          <t>Voir</t>
        </is>
      </c>
      <c r="AH17" s="10" t="inlineStr">
        <is>
          <t>3249519594</t>
        </is>
      </c>
    </row>
    <row r="18">
      <c r="A18" s="10" t="inlineStr">
        <is>
          <t>BMW Z3 1.9i / 2.0i</t>
        </is>
      </c>
      <c r="B18" s="10" t="inlineStr">
        <is>
          <t>Bmw z3 roadster 1.9 118 cv - 85 500 km - 13 900.00</t>
        </is>
      </c>
      <c r="C18" s="10" t="inlineStr">
        <is>
          <t>En vente</t>
        </is>
      </c>
      <c r="D18" s="18" t="n">
        <v>46259</v>
      </c>
      <c r="E18" s="18" t="n">
        <v>46259</v>
      </c>
      <c r="F18" s="18" t="n">
        <v>46296</v>
      </c>
      <c r="G18" s="18" t="n"/>
      <c r="H18" s="17">
        <f>IF(OR(ISNUMBER(D18),ISNUMBER(E18)),IF(ISNUMBER(G18),G18,F18)-IF(ISNUMBER(D18),D18,E18),"")</f>
        <v/>
      </c>
      <c r="I18" s="12" t="n">
        <v>13900</v>
      </c>
      <c r="J18" s="12" t="n">
        <v>13900</v>
      </c>
      <c r="K18" s="13">
        <f>IF(AND(ISNUMBER(I18),ISNUMBER(J18),I18&gt;0),1-J18/I18,"")</f>
        <v/>
      </c>
      <c r="L18" s="16" t="n">
        <v>0</v>
      </c>
      <c r="M18" s="15" t="n">
        <v>85500</v>
      </c>
      <c r="N18" s="16" t="n">
        <v>2002</v>
      </c>
      <c r="O18" s="10" t="inlineStr">
        <is>
          <t>1</t>
        </is>
      </c>
      <c r="P18" s="10" t="inlineStr">
        <is>
          <t>1</t>
        </is>
      </c>
      <c r="Q18" s="16" t="n">
        <v>118</v>
      </c>
      <c r="R18" s="16" t="n">
        <v>8</v>
      </c>
      <c r="S18" s="10" t="inlineStr">
        <is>
          <t>bleu</t>
        </is>
      </c>
      <c r="T18" s="16" t="n">
        <v>2</v>
      </c>
      <c r="U18" s="10" t="n"/>
      <c r="V18" s="10" t="n"/>
      <c r="W18" s="10" t="inlineStr">
        <is>
          <t>Pro</t>
        </is>
      </c>
      <c r="X18" s="10" t="inlineStr">
        <is>
          <t>Chambray-lès-Tours</t>
        </is>
      </c>
      <c r="Y18" s="10" t="inlineStr">
        <is>
          <t>37170</t>
        </is>
      </c>
      <c r="Z18" s="10" t="inlineStr">
        <is>
          <t>Indre-et-Loire</t>
        </is>
      </c>
      <c r="AA18" s="10" t="inlineStr">
        <is>
          <t>Centre</t>
        </is>
      </c>
      <c r="AB18" s="16" t="n"/>
      <c r="AC18" s="16" t="n"/>
      <c r="AD18" s="10" t="inlineStr">
        <is>
          <t>Oui</t>
        </is>
      </c>
      <c r="AE18" s="10" t="n"/>
      <c r="AF18" s="10" t="inlineStr">
        <is>
          <t>1 : 1 ; 2 : 2 ; 2002 : 2002 ; 6239 : 6239 ; 14900 : 14900 ; Bmw : Bmw ; Autres : Autres ; BMW : BMW ; Z3 : BMW_Z3 ; 85500 km : 85500 ; Essence : 1 ; Manuelle : 1 ; Cabriolet : cabriolet ; Bleu : bleu ; 8 Cv : 8 ; 118 Ch : 118 ; Avec permis : avecpermis ; Non : 1 ; false : false ; true : true ; https://img.leboncoin.fr/api/v1/lbcpb1/images/51/00/06/5100063f-2c8f-4e43-a1d7-abcba96d3c8a?rule=bo-thumb : https://img.leboncoin.fr/api/v1/lbcpb1/images/51/00/06/5100063f-2c8f-4e43-a1d7-abcba96d3c8a?rule=bo-thumb ; Villard Automobiles : Villard Automobiles ; Non renseignée : non_renseignee ; activity_sector : 1 ; u_car_brand : BMW ; u_car_model : Z3 ; vehicle_upholstery : Cuir partiel ; vehicle_maintenance : Factures disponibles, Carnet d'entretien disponible ; vehicle_interior_specs : Jantes en alliage, Ordinateur de bord, Sièges électriques ; vehicle_vsp : Avec permis ; car_contract : Non ; recent_used_vehicle : false ; has_visibility_option : true ; store_logo : https://img.leboncoin.fr/api/v1/lbcpb1/images/51/00/06/5100063f-2c8f-4e43-a1d7-abcba96d3c8a?rule=bo-thumb ; store_name : Villard Automobiles ; online_store_id : 6239 ; vehicle_commercial_warranty : Non ; vehicle_manufacturer_warranty : Non ; is_import : false ; old_price : 14900 ; spare_parts_availability : Non renseignée</t>
        </is>
      </c>
      <c r="AG18" s="19" t="inlineStr">
        <is>
          <t>Voir</t>
        </is>
      </c>
      <c r="AH18" s="10" t="inlineStr">
        <is>
          <t>3256683007</t>
        </is>
      </c>
    </row>
    <row r="19">
      <c r="A19" s="10" t="inlineStr">
        <is>
          <t>BMW Z3 1.9i / 2.0i</t>
        </is>
      </c>
      <c r="B19" s="10" t="inlineStr">
        <is>
          <t>BMW Z3 Z3 1.9i ORIGINE FRANCE</t>
        </is>
      </c>
      <c r="C19" s="10" t="inlineStr">
        <is>
          <t>En vente</t>
        </is>
      </c>
      <c r="D19" s="18" t="n">
        <v>46262</v>
      </c>
      <c r="E19" s="18" t="n">
        <v>46262</v>
      </c>
      <c r="F19" s="18" t="n">
        <v>46296</v>
      </c>
      <c r="G19" s="18" t="n"/>
      <c r="H19" s="17">
        <f>IF(OR(ISNUMBER(D19),ISNUMBER(E19)),IF(ISNUMBER(G19),G19,F19)-IF(ISNUMBER(D19),D19,E19),"")</f>
        <v/>
      </c>
      <c r="I19" s="12" t="n">
        <v>10990</v>
      </c>
      <c r="J19" s="12" t="n">
        <v>10990</v>
      </c>
      <c r="K19" s="13">
        <f>IF(AND(ISNUMBER(I19),ISNUMBER(J19),I19&gt;0),1-J19/I19,"")</f>
        <v/>
      </c>
      <c r="L19" s="16" t="n">
        <v>0</v>
      </c>
      <c r="M19" s="15" t="n">
        <v>114150</v>
      </c>
      <c r="N19" s="16" t="n">
        <v>2001</v>
      </c>
      <c r="O19" s="10" t="inlineStr">
        <is>
          <t>1</t>
        </is>
      </c>
      <c r="P19" s="10" t="inlineStr">
        <is>
          <t>1</t>
        </is>
      </c>
      <c r="Q19" s="16" t="n">
        <v>116</v>
      </c>
      <c r="R19" s="16" t="n">
        <v>8</v>
      </c>
      <c r="S19" s="10" t="inlineStr">
        <is>
          <t>gris</t>
        </is>
      </c>
      <c r="T19" s="16" t="n">
        <v>2</v>
      </c>
      <c r="U19" s="10" t="n"/>
      <c r="V19" s="10" t="n"/>
      <c r="W19" s="10" t="inlineStr">
        <is>
          <t>Pro</t>
        </is>
      </c>
      <c r="X19" s="10" t="inlineStr">
        <is>
          <t>Distré</t>
        </is>
      </c>
      <c r="Y19" s="10" t="inlineStr">
        <is>
          <t>49400</t>
        </is>
      </c>
      <c r="Z19" s="10" t="inlineStr">
        <is>
          <t>Maine-et-Loire</t>
        </is>
      </c>
      <c r="AA19" s="10" t="inlineStr">
        <is>
          <t>Pays de la Loire</t>
        </is>
      </c>
      <c r="AB19" s="16" t="n"/>
      <c r="AC19" s="16" t="n"/>
      <c r="AD19" s="10" t="inlineStr">
        <is>
          <t>Oui</t>
        </is>
      </c>
      <c r="AE19" s="10" t="n"/>
      <c r="AF19" s="10" t="inlineStr">
        <is>
          <t>1 : 1 ; 2 : 2 ; 2001 : 2001 ; 710302 : 710302 ; 6807144 : 6807144 ; Bmw : Bmw ; Autres : Autres ; BMW : BMW ; Z3 : BMW_Z3 ; 114150 km : 114150 ; Essence : 1 ; Manuelle : 1 ; Base : BMW_Z3_Base ; Z3 Roadster 1.9i 118ch : Z3 Roadster 1.9i 118ch ; 03/2001 : 03/2001 ; Gris : gris ; 8 Cv : 8 ; 116 Ch : 116 ; false : false ; true : true ; https://img.leboncoin.fr/api/v1/lbcpb1/images/47/83/ef/4783ef98-164d-42b1-b9f5-1000b0b2f56a?rule=bo-thumb : https://img.leboncoin.fr/api/v1/lbcpb1/images/47/83/ef/4783ef98-164d-42b1-b9f5-1000b0b2f56a?rule=bo-thumb ; TRANSAKAUTO SAUMUR : TRANSAKAUTO SAUMUR ; VO81550414 : VO81550414 ; https://autoviza.fr/report/report?uid=727e44da-0bd5-4519-8f55-38f15c1368e7 : https://autoviza.fr/report/report?uid=727e44da-0bd5-4519-8f55-38f15c1368e7 ; visible : visible ; Non renseignée : non_renseignee ; activity_sector : 1 ; u_car_brand : BMW ; u_car_model : Z3 ; u_car_finition : Base ; u_car_version : Z3 Roadster 1.9i 118ch ; recent_used_vehicle : false ; has_visibility_option : true ; store_logo : https://img.leboncoin.fr/api/v1/lbcpb1/images/47/83/ef/4783ef98-164d-42b1-b9f5-1000b0b2f56a?rule=bo-thumb ; store_name : TRANSAKAUTO SAUMUR ; online_store_id : 6807144 ; custom_ref : VO81550414 ; is_import : true ; vehicle_history_report_public_url : https://autoviza.fr/report/report?uid=727e44da-0bd5-4519-8f55-38f15c1368e7 ; vehicle_history_report_status : visible ; argus_object_id : 710302 ; spare_parts_availability : Non renseignée ; licence_plate_available : true</t>
        </is>
      </c>
      <c r="AG19" s="19" t="inlineStr">
        <is>
          <t>Voir</t>
        </is>
      </c>
      <c r="AH19" s="10" t="inlineStr">
        <is>
          <t>3258200097</t>
        </is>
      </c>
    </row>
    <row r="20">
      <c r="A20" s="10" t="inlineStr">
        <is>
          <t>BMW Z3 1.9i / 2.0i</t>
        </is>
      </c>
      <c r="B20" s="10" t="inlineStr">
        <is>
          <t>Bmw Z3 1,8 L 115 CV PACK M + 2 EME MAIN</t>
        </is>
      </c>
      <c r="C20" s="10" t="inlineStr">
        <is>
          <t>En vente</t>
        </is>
      </c>
      <c r="D20" s="18" t="n">
        <v>46262</v>
      </c>
      <c r="E20" s="18" t="n">
        <v>46262</v>
      </c>
      <c r="F20" s="18" t="n">
        <v>46296</v>
      </c>
      <c r="G20" s="18" t="n"/>
      <c r="H20" s="17">
        <f>IF(OR(ISNUMBER(D20),ISNUMBER(E20)),IF(ISNUMBER(G20),G20,F20)-IF(ISNUMBER(D20),D20,E20),"")</f>
        <v/>
      </c>
      <c r="I20" s="12" t="n">
        <v>11990</v>
      </c>
      <c r="J20" s="12" t="n">
        <v>11990</v>
      </c>
      <c r="K20" s="13">
        <f>IF(AND(ISNUMBER(I20),ISNUMBER(J20),I20&gt;0),1-J20/I20,"")</f>
        <v/>
      </c>
      <c r="L20" s="16" t="n">
        <v>0</v>
      </c>
      <c r="M20" s="15" t="n">
        <v>47300</v>
      </c>
      <c r="N20" s="16" t="n">
        <v>1999</v>
      </c>
      <c r="O20" s="10" t="inlineStr">
        <is>
          <t>1</t>
        </is>
      </c>
      <c r="P20" s="10" t="inlineStr">
        <is>
          <t>1</t>
        </is>
      </c>
      <c r="Q20" s="16" t="n">
        <v>116</v>
      </c>
      <c r="R20" s="16" t="n">
        <v>7</v>
      </c>
      <c r="S20" s="10" t="inlineStr">
        <is>
          <t>bleu</t>
        </is>
      </c>
      <c r="T20" s="16" t="n">
        <v>3</v>
      </c>
      <c r="U20" s="10" t="n"/>
      <c r="V20" s="10" t="n"/>
      <c r="W20" s="10" t="inlineStr">
        <is>
          <t>Pro</t>
        </is>
      </c>
      <c r="X20" s="10" t="inlineStr">
        <is>
          <t>Pibrac</t>
        </is>
      </c>
      <c r="Y20" s="10" t="inlineStr">
        <is>
          <t>31820</t>
        </is>
      </c>
      <c r="Z20" s="10" t="inlineStr">
        <is>
          <t>Haute-Garonne</t>
        </is>
      </c>
      <c r="AA20" s="10" t="inlineStr">
        <is>
          <t>Midi-Pyrénées</t>
        </is>
      </c>
      <c r="AB20" s="16" t="n"/>
      <c r="AC20" s="16" t="n"/>
      <c r="AD20" s="10" t="inlineStr">
        <is>
          <t>Oui</t>
        </is>
      </c>
      <c r="AE20" s="10" t="n"/>
      <c r="AF20" s="10" t="inlineStr">
        <is>
          <t>1 : 1 ; 2 : 2 ; 3 : 3 ; 1999 : 1999 ; 12990 : 12990 ; 710301 : 710301 ; 3116199 : 3116199 ; Bmw : Bmw ; Autres : Autres ; BMW : BMW ; Z3 : BMW_Z3 ; 47300 km : 47300 ; Essence : 1 ; Manuelle : 1 ; Base : BMW_Z3_Base ; Z3 Roadster 1.8i 115ch : Z3 Roadster 1.8i 115ch ; 08/1999 : 08/1999 ; Cabriolet : cabriolet ; Bleu : bleu ; 7 Cv : 7 ; 116 Ch : 116 ; false : false ; true : true ; https://img.leboncoin.fr/api/v1/lbcpb1/images/f9/12/1a/f9121a95-efbf-4278-ab76-0019e3d6c747?rule=bo-thumb : https://img.leboncoin.fr/api/v1/lbcpb1/images/f9/12/1a/f9121a95-efbf-4278-ab76-0019e3d6c747?rule=bo-thumb ; TransakAuto Toulouse : TransakAuto Toulouse ; VO66438093 : VO66438093 ; https://autoviza.fr/report/report?uid=fa3a9736-1a7a-465d-bab8-315a4e243245 : https://autoviza.fr/report/report?uid=fa3a9736-1a7a-465d-bab8-315a4e243245 ; visible : visible ; Non renseignée : non_renseignee ; activity_sector : 1 ; u_car_brand : BMW ; u_car_model : Z3 ; u_car_finition : Base ; u_car_version : Z3 Roadster 1.8i 115ch ; vehicle_interior_specs : Jantes en alliage ; recent_used_vehicle : false ; has_visibility_option : true ; store_logo : https://img.leboncoin.fr/api/v1/lbcpb1/images/f9/12/1a/f9121a95-efbf-4278-ab76-0019e3d6c747?rule=bo-thumb ; store_name : TransakAuto Toulouse ; online_store_id : 3116199 ; custom_ref : VO66438093 ; is_import : true ; old_price : 12990 ; vehicle_history_report_public_url : https://autoviza.fr/report/report?uid=fa3a9736-1a7a-465d-bab8-315a4e243245 ; vehicle_history_report_status : visible ; argus_object_id : 710301 ; spare_parts_availability : Non renseignée ; licence_plate_available : true</t>
        </is>
      </c>
      <c r="AG20" s="19" t="inlineStr">
        <is>
          <t>Voir</t>
        </is>
      </c>
      <c r="AH20" s="10" t="inlineStr">
        <is>
          <t>3258446503</t>
        </is>
      </c>
    </row>
    <row r="21">
      <c r="A21" s="10" t="inlineStr">
        <is>
          <t>BMW Z3 1.9i / 2.0i</t>
        </is>
      </c>
      <c r="B21" s="10" t="inlineStr">
        <is>
          <t>Bmw Z3 2.0 150 ch 6 cylindres cabriolet</t>
        </is>
      </c>
      <c r="C21" s="10" t="inlineStr">
        <is>
          <t>En vente</t>
        </is>
      </c>
      <c r="D21" s="18" t="n">
        <v>46265</v>
      </c>
      <c r="E21" s="18" t="n">
        <v>46265</v>
      </c>
      <c r="F21" s="18" t="n">
        <v>46296</v>
      </c>
      <c r="G21" s="18" t="n"/>
      <c r="H21" s="17">
        <f>IF(OR(ISNUMBER(D21),ISNUMBER(E21)),IF(ISNUMBER(G21),G21,F21)-IF(ISNUMBER(D21),D21,E21),"")</f>
        <v/>
      </c>
      <c r="I21" s="12" t="n">
        <v>7490</v>
      </c>
      <c r="J21" s="12" t="n">
        <v>7490</v>
      </c>
      <c r="K21" s="13">
        <f>IF(AND(ISNUMBER(I21),ISNUMBER(J21),I21&gt;0),1-J21/I21,"")</f>
        <v/>
      </c>
      <c r="L21" s="16" t="n">
        <v>0</v>
      </c>
      <c r="M21" s="15" t="n">
        <v>231500</v>
      </c>
      <c r="N21" s="16" t="n">
        <v>2000</v>
      </c>
      <c r="O21" s="10" t="inlineStr">
        <is>
          <t>1</t>
        </is>
      </c>
      <c r="P21" s="10" t="inlineStr">
        <is>
          <t>1</t>
        </is>
      </c>
      <c r="Q21" s="16" t="n">
        <v>150</v>
      </c>
      <c r="R21" s="16" t="n">
        <v>10</v>
      </c>
      <c r="S21" s="10" t="inlineStr">
        <is>
          <t>noir</t>
        </is>
      </c>
      <c r="T21" s="16" t="n">
        <v>2</v>
      </c>
      <c r="U21" s="10" t="n"/>
      <c r="V21" s="10" t="n"/>
      <c r="W21" s="10" t="inlineStr">
        <is>
          <t>Particulier</t>
        </is>
      </c>
      <c r="X21" s="10" t="inlineStr">
        <is>
          <t>Saint-Étienne</t>
        </is>
      </c>
      <c r="Y21" s="10" t="inlineStr">
        <is>
          <t>42100</t>
        </is>
      </c>
      <c r="Z21" s="10" t="inlineStr">
        <is>
          <t>Loire</t>
        </is>
      </c>
      <c r="AA21" s="10" t="inlineStr">
        <is>
          <t>Rhône-Alpes</t>
        </is>
      </c>
      <c r="AB21" s="16" t="n"/>
      <c r="AC21" s="16" t="n"/>
      <c r="AD21" s="10" t="inlineStr">
        <is>
          <t>Oui</t>
        </is>
      </c>
      <c r="AE21" s="10" t="n"/>
      <c r="AF21" s="10" t="inlineStr">
        <is>
          <t>1 : 1 ; 2 : 2 ; 2000 : 2000 ; 8900 : 8900 ; https://img.leboncoin.fr/api/v1/tenants/9a6387a1-6259-4f2c-a887-7e67f23dd4cb/domains/20bda58f-d650-462e-a72a-a5a7ecf2bf88/buckets/21d2b0bc-e54c-4b64-a30b-89127b18b785/images/profile/pictures/default/a921e46f-f060-5585-b19a-18ac5b5ea874?rule=pp-small : https://img.leboncoin.fr/api/v1/tenants/9a6387a1-6259-4f2c-a887-7e67f23dd4cb/domains/20bda58f-d650-462e-a72a-a5a7ecf2bf88/buckets/21d2b0bc-e54c-4b64-a30b-89127b18b785/images/profile/pictures/default/a921e46f-f060-5585-b19a-18ac5b5ea874?rule=pp-small ; Bmw : Bmw ; Autres : Autres ; BMW : BMW ; Z3 : BMW_Z3 ; 231500 km : 231500 ; Essence : 1 ; Manuelle : 1 ; 04/2000 : 04/2000 ; Bon état général : good_overall_condition ; Cabriolet : cabriolet ; Noir : noir ; 10 Cv : 10 ; 150 Ch : 150 ; Avec permis : avecpermis ; credit_card : credit_card ; false : false ; https://autoviza.fr/report/report?uid=e64c0b86-0113-40c0-acf1-e0e30f7c298e : https://autoviza.fr/report/report?uid=e64c0b86-0113-40c0-acf1-e0e30f7c298e ; true : true ; u_car_brand : BMW ; u_car_model : Z3 ; vehicle_damage : Bon état général ; vehicle_upholstery : Tout cuir ; vehicle_interior_specs : Bluetooth, Climatisation, Jantes en alliage, Sièges chauffants, Sièges en cuir, Sièges sport, Sièges électriques ; vehicle_vsp : Avec permis ; vehicle_available_payment_methods : credit_card ; is_import : false ; old_price : 8900 ; vehicle_is_eligible_p2p : 2 ; vehicle_history_report_public_url : https://autoviza.fr/report/report?uid=e64c0b86-0113-40c0-acf1-e0e30f7c298e ; licence_plate_available : true</t>
        </is>
      </c>
      <c r="AG21" s="19" t="inlineStr">
        <is>
          <t>Voir</t>
        </is>
      </c>
      <c r="AH21" s="10" t="inlineStr">
        <is>
          <t>3258548235</t>
        </is>
      </c>
    </row>
    <row r="22">
      <c r="A22" s="10" t="inlineStr">
        <is>
          <t>BMW Z3 1.9i / 2.0i</t>
        </is>
      </c>
      <c r="B22" s="10" t="inlineStr">
        <is>
          <t>Bmw z3 roadster 1.9 i 140</t>
        </is>
      </c>
      <c r="C22" s="10" t="inlineStr">
        <is>
          <t>En vente</t>
        </is>
      </c>
      <c r="D22" s="18" t="n">
        <v>46281</v>
      </c>
      <c r="E22" s="18" t="n">
        <v>46281</v>
      </c>
      <c r="F22" s="18" t="n">
        <v>46296</v>
      </c>
      <c r="G22" s="18" t="n"/>
      <c r="H22" s="17">
        <f>IF(OR(ISNUMBER(D22),ISNUMBER(E22)),IF(ISNUMBER(G22),G22,F22)-IF(ISNUMBER(D22),D22,E22),"")</f>
        <v/>
      </c>
      <c r="I22" s="12" t="n">
        <v>12990</v>
      </c>
      <c r="J22" s="12" t="n">
        <v>12990</v>
      </c>
      <c r="K22" s="13">
        <f>IF(AND(ISNUMBER(I22),ISNUMBER(J22),I22&gt;0),1-J22/I22,"")</f>
        <v/>
      </c>
      <c r="L22" s="16" t="n">
        <v>0</v>
      </c>
      <c r="M22" s="15" t="n">
        <v>90000</v>
      </c>
      <c r="N22" s="16" t="n">
        <v>1998</v>
      </c>
      <c r="O22" s="10" t="inlineStr">
        <is>
          <t>1</t>
        </is>
      </c>
      <c r="P22" s="10" t="inlineStr">
        <is>
          <t>1</t>
        </is>
      </c>
      <c r="Q22" s="16" t="n">
        <v>140</v>
      </c>
      <c r="R22" s="16" t="n">
        <v>10</v>
      </c>
      <c r="S22" s="10" t="inlineStr">
        <is>
          <t>gris</t>
        </is>
      </c>
      <c r="T22" s="16" t="n">
        <v>2</v>
      </c>
      <c r="U22" s="10" t="n"/>
      <c r="V22" s="10" t="inlineStr">
        <is>
          <t>3</t>
        </is>
      </c>
      <c r="W22" s="10" t="inlineStr">
        <is>
          <t>Pro</t>
        </is>
      </c>
      <c r="X22" s="10" t="inlineStr">
        <is>
          <t>Compiègne</t>
        </is>
      </c>
      <c r="Y22" s="10" t="inlineStr">
        <is>
          <t>60200</t>
        </is>
      </c>
      <c r="Z22" s="10" t="inlineStr">
        <is>
          <t>Oise</t>
        </is>
      </c>
      <c r="AA22" s="10" t="inlineStr">
        <is>
          <t>Picardie</t>
        </is>
      </c>
      <c r="AB22" s="16" t="n"/>
      <c r="AC22" s="16" t="n"/>
      <c r="AD22" s="10" t="inlineStr">
        <is>
          <t>Oui</t>
        </is>
      </c>
      <c r="AE22" s="10" t="n"/>
      <c r="AF22" s="10" t="inlineStr">
        <is>
          <t>1 : 1 ; 2 : 2 ; 3 : 3 ; 1998 : 1998 ; 710297 : 710297 ; 7419104 : 7419104 ; Bmw : Bmw ; Autres : Autres ; BMW : BMW ; Z3 : BMW_Z3 ; 90000 km : 90000 ; Essence : 1 ; Manuelle : 1 ; Base : BMW_Z3_Base ; Z3 Roadster 1.9i 140ch : Z3 Roadster 1.9i 140ch ; Oui : true ; 02/1998 : 02/1998 ; Cabriolet : cabriolet ; Gris : gris ; 10 Cv : 10 ; 140 Ch : 140 ; Avec permis : avecpermis ; false : false ; true : true ; https://img.leboncoin.fr/api/v1/lbcpb1/images/2c/72/50/2c7250da-6f70-437f-9fb3-8c60e7c1244f?rule=bo-thumb : https://img.leboncoin.fr/api/v1/lbcpb1/images/2c/72/50/2c7250da-6f70-437f-9fb3-8c60e7c1244f?rule=bo-thumb ; Via Automobile Compiègne : Via Automobile Compiègne ; VIA_E56864 : VIA_E56864 ; broken : broken ; Non renseignée : non_renseignee ; activity_sector : 1 ; u_car_brand : BMW ; u_car_model : Z3 ; u_car_finition : Base ; u_car_version : Z3 Roadster 1.9i 140ch ; vehicle_technical_inspection_valid : Oui ; vehicle_vsp : Avec permis ; recent_used_vehicle : false ; has_visibility_option : true ; store_logo : https://img.leboncoin.fr/api/v1/lbcpb1/images/2c/72/50/2c7250da-6f70-437f-9fb3-8c60e7c1244f?rule=bo-thumb ; store_name : Via Automobile Compiègne ; online_store_id : 7419104 ; custom_ref : VIA_E56864 ; is_import : true ; vehicle_history_report_status : broken ; argus_object_id : 710297 ; spare_parts_availability : Non renseignée ; licence_plate_available : true</t>
        </is>
      </c>
      <c r="AG22" s="19" t="inlineStr">
        <is>
          <t>Voir</t>
        </is>
      </c>
      <c r="AH22" s="10" t="inlineStr">
        <is>
          <t>3271074708</t>
        </is>
      </c>
    </row>
    <row r="23">
      <c r="A23" s="10" t="inlineStr">
        <is>
          <t>BMW Z3 1.9i / 2.0i</t>
        </is>
      </c>
      <c r="B23" s="10" t="inlineStr">
        <is>
          <t>Bmw Z3 1.8 116cv *Moteur 175000Km + factures BMW</t>
        </is>
      </c>
      <c r="C23" s="10" t="inlineStr">
        <is>
          <t>En vente</t>
        </is>
      </c>
      <c r="D23" s="18" t="n">
        <v>46284</v>
      </c>
      <c r="E23" s="18" t="n">
        <v>46284</v>
      </c>
      <c r="F23" s="18" t="n">
        <v>46296</v>
      </c>
      <c r="G23" s="18" t="n"/>
      <c r="H23" s="17">
        <f>IF(OR(ISNUMBER(D23),ISNUMBER(E23)),IF(ISNUMBER(G23),G23,F23)-IF(ISNUMBER(D23),D23,E23),"")</f>
        <v/>
      </c>
      <c r="I23" s="12" t="n">
        <v>11490</v>
      </c>
      <c r="J23" s="12" t="n">
        <v>11490</v>
      </c>
      <c r="K23" s="13">
        <f>IF(AND(ISNUMBER(I23),ISNUMBER(J23),I23&gt;0),1-J23/I23,"")</f>
        <v/>
      </c>
      <c r="L23" s="16" t="n">
        <v>0</v>
      </c>
      <c r="M23" s="15" t="n">
        <v>295000</v>
      </c>
      <c r="N23" s="16" t="n">
        <v>1996</v>
      </c>
      <c r="O23" s="10" t="inlineStr">
        <is>
          <t>1</t>
        </is>
      </c>
      <c r="P23" s="10" t="inlineStr">
        <is>
          <t>1</t>
        </is>
      </c>
      <c r="Q23" s="16" t="n">
        <v>116</v>
      </c>
      <c r="R23" s="16" t="n">
        <v>9</v>
      </c>
      <c r="S23" s="10" t="inlineStr">
        <is>
          <t>rouge</t>
        </is>
      </c>
      <c r="T23" s="16" t="n">
        <v>2</v>
      </c>
      <c r="U23" s="10" t="n"/>
      <c r="V23" s="10" t="n"/>
      <c r="W23" s="10" t="inlineStr">
        <is>
          <t>Pro</t>
        </is>
      </c>
      <c r="X23" s="10" t="inlineStr">
        <is>
          <t>Loupiac-de-la-Réole</t>
        </is>
      </c>
      <c r="Y23" s="10" t="inlineStr">
        <is>
          <t>33190</t>
        </is>
      </c>
      <c r="Z23" s="10" t="inlineStr">
        <is>
          <t>Gironde</t>
        </is>
      </c>
      <c r="AA23" s="10" t="inlineStr">
        <is>
          <t>Aquitaine</t>
        </is>
      </c>
      <c r="AB23" s="16" t="n"/>
      <c r="AC23" s="16" t="n"/>
      <c r="AD23" s="10" t="inlineStr">
        <is>
          <t>Oui</t>
        </is>
      </c>
      <c r="AE23" s="10" t="n"/>
      <c r="AF23" s="10" t="inlineStr">
        <is>
          <t>1 : 1 ; 2 : 2 ; 1996 : 1996 ; 12990 : 12990 ; 710296 : 710296 ; 6803935 : 6803935 ; Bmw : Bmw ; Autres : Autres ; BMW : BMW ; Z3 : BMW_Z3 ; 295000 km : 295000 ; Essence : 1 ; Manuelle : 1 ; Base : BMW_Z3_Base ; Z3 Roadster 1.8i 115ch : Z3 Roadster 1.8i 115ch ; 11/1996 : 11/1996 ; Rouge : rouge ; 9 Cv : 9 ; 116 Ch : 116 ; false : false ; true : true ; https://img.leboncoin.fr/api/v1/lbcpb1/images/63/0d/1e/630d1eb3-f906-4373-85b8-ea803b74697e?rule=bo-thumb : https://img.leboncoin.fr/api/v1/lbcpb1/images/63/0d/1e/630d1eb3-f906-4373-85b8-ea803b74697e?rule=bo-thumb ; TRANSAKAUTO - LANGON &amp; SUD GIRONDE : TRANSAKAUTO - LANGON &amp; SUD GIRONDE ; VO31912722 : VO31912722 ; https://autoviza.fr/report/report?uid=ca658f49-31aa-4eca-b5cb-a5eedf0cebe8 : https://autoviza.fr/report/report?uid=ca658f49-31aa-4eca-b5cb-a5eedf0cebe8 ; visible : visible ; Non renseignée : non_renseignee ; activity_sector : 1 ; u_car_brand : BMW ; u_car_model : Z3 ; u_car_finition : Base ; u_car_version : Z3 Roadster 1.8i 115ch ; recent_used_vehicle : false ; has_visibility_option : true ; store_logo : https://img.leboncoin.fr/api/v1/lbcpb1/images/63/0d/1e/630d1eb3-f906-4373-85b8-ea803b74697e?rule=bo-thumb ; store_name : TRANSAKAUTO - LANGON &amp; SUD GIRONDE ; online_store_id : 6803935 ; custom_ref : VO31912722 ; is_import : true ; old_price : 12990 ; vehicle_history_report_public_url : https://autoviza.fr/report/report?uid=ca658f49-31aa-4eca-b5cb-a5eedf0cebe8 ; vehicle_history_report_status : visible ; argus_object_id : 710296 ; spare_parts_availability : Non renseignée ; licence_plate_available : true</t>
        </is>
      </c>
      <c r="AG23" s="19" t="inlineStr">
        <is>
          <t>Voir</t>
        </is>
      </c>
      <c r="AH23" s="10" t="inlineStr">
        <is>
          <t>3272577206</t>
        </is>
      </c>
    </row>
    <row r="24">
      <c r="A24" s="10" t="inlineStr">
        <is>
          <t>Citroën Saxo VTS 16V</t>
        </is>
      </c>
      <c r="B24" s="10" t="inlineStr">
        <is>
          <t>Citroen saxo vts</t>
        </is>
      </c>
      <c r="C24" s="10" t="inlineStr">
        <is>
          <t>En vente</t>
        </is>
      </c>
      <c r="D24" s="18" t="n">
        <v>46284</v>
      </c>
      <c r="E24" s="18" t="n">
        <v>46284</v>
      </c>
      <c r="F24" s="18" t="n">
        <v>46296</v>
      </c>
      <c r="G24" s="18" t="n"/>
      <c r="H24" s="17">
        <f>IF(OR(ISNUMBER(D24),ISNUMBER(E24)),IF(ISNUMBER(G24),G24,F24)-IF(ISNUMBER(D24),D24,E24),"")</f>
        <v/>
      </c>
      <c r="I24" s="12" t="n">
        <v>5500</v>
      </c>
      <c r="J24" s="12" t="n">
        <v>5500</v>
      </c>
      <c r="K24" s="13">
        <f>IF(AND(ISNUMBER(I24),ISNUMBER(J24),I24&gt;0),1-J24/I24,"")</f>
        <v/>
      </c>
      <c r="L24" s="16" t="n">
        <v>0</v>
      </c>
      <c r="M24" s="15" t="n">
        <v>261273</v>
      </c>
      <c r="N24" s="16" t="n">
        <v>1998</v>
      </c>
      <c r="O24" s="10" t="inlineStr">
        <is>
          <t>1</t>
        </is>
      </c>
      <c r="P24" s="10" t="inlineStr">
        <is>
          <t>1</t>
        </is>
      </c>
      <c r="Q24" s="16" t="n">
        <v>90</v>
      </c>
      <c r="R24" s="16" t="n">
        <v>6</v>
      </c>
      <c r="S24" s="10" t="inlineStr">
        <is>
          <t>noir</t>
        </is>
      </c>
      <c r="T24" s="16" t="n">
        <v>3</v>
      </c>
      <c r="U24" s="10" t="n"/>
      <c r="V24" s="10" t="inlineStr">
        <is>
          <t>6</t>
        </is>
      </c>
      <c r="W24" s="10" t="inlineStr">
        <is>
          <t>Particulier</t>
        </is>
      </c>
      <c r="X24" s="10" t="inlineStr">
        <is>
          <t>Sully-sur-Loire</t>
        </is>
      </c>
      <c r="Y24" s="10" t="inlineStr">
        <is>
          <t>45600</t>
        </is>
      </c>
      <c r="Z24" s="10" t="inlineStr">
        <is>
          <t>Loiret</t>
        </is>
      </c>
      <c r="AA24" s="10" t="inlineStr">
        <is>
          <t>Centre</t>
        </is>
      </c>
      <c r="AB24" s="16" t="n"/>
      <c r="AC24" s="16" t="n"/>
      <c r="AD24" s="10" t="n"/>
      <c r="AE24" s="10" t="n"/>
      <c r="AF24" s="10" t="inlineStr">
        <is>
          <t>1 : 1 ; 2 : 2 ; 3 : 3 ; 5 : 5 ; 44 : 44 ; 1998 : 1998 ; https://img.leboncoin.fr/api/v1/tenants/9a6387a1-6259-4f2c-a887-7e67f23dd4cb/domains/20bda58f-d650-462e-a72a-a5a7ecf2bf88/buckets/21d2b0bc-e54c-4b64-a30b-89127b18b785/images/profile/pictures/default/198956c7-014d-587d-813e-8b76ec16b7fa?rule=pp-small : https://img.leboncoin.fr/api/v1/tenants/9a6387a1-6259-4f2c-a887-7e67f23dd4cb/domains/20bda58f-d650-462e-a72a-a5a7ecf2bf88/buckets/21d2b0bc-e54c-4b64-a30b-89127b18b785/images/profile/pictures/default/198956c7-014d-587d-813e-8b76ec16b7fa?rule=pp-small ; Citroen : Citroen ; Saxo : Saxo ; CITROEN : CITROEN ; 261273 km : 261273 ; Essence : 1 ; Manuelle : 1 ; 08/1998 : 08/1998 ; Bon état général : good_overall_condition ; Citadine : citadine ; Noir : noir ; Euro 2 : euro2 ; Non classé : 6 ; 6 Cv : 6 ; 90 Ch : 90 ; Avec permis : avecpermis ; credit_card : credit_card ; false : false ; true : true ; rating_score : 1 ; rating_count : 44 ; u_car_brand : CITROEN ; u_car_model : Saxo ; vehicle_damage : Bon état général ; vehicle_upholstery : Tissu ; vehicle_euro_emissions_standard : Euro 2 ; vehicle_vsp : Avec permis ; vehicle_available_payment_methods : credit_card ; is_import : false ; vehicle_is_eligible_p2p : 2 ; licence_plate_available : true</t>
        </is>
      </c>
      <c r="AG24" s="19" t="inlineStr">
        <is>
          <t>Voir</t>
        </is>
      </c>
      <c r="AH24" s="10" t="inlineStr">
        <is>
          <t>3122468671</t>
        </is>
      </c>
    </row>
    <row r="25">
      <c r="A25" s="10" t="inlineStr">
        <is>
          <t>Citroën Saxo VTS 16V</t>
        </is>
      </c>
      <c r="B25" s="10" t="inlineStr">
        <is>
          <t>Citroen Saxo VTS 16v</t>
        </is>
      </c>
      <c r="C25" s="10" t="inlineStr">
        <is>
          <t>En vente</t>
        </is>
      </c>
      <c r="D25" s="18" t="n">
        <v>46245</v>
      </c>
      <c r="E25" s="18" t="n">
        <v>46245</v>
      </c>
      <c r="F25" s="18" t="n">
        <v>46296</v>
      </c>
      <c r="G25" s="18" t="n"/>
      <c r="H25" s="17">
        <f>IF(OR(ISNUMBER(D25),ISNUMBER(E25)),IF(ISNUMBER(G25),G25,F25)-IF(ISNUMBER(D25),D25,E25),"")</f>
        <v/>
      </c>
      <c r="I25" s="12" t="n">
        <v>7500</v>
      </c>
      <c r="J25" s="12" t="n">
        <v>7500</v>
      </c>
      <c r="K25" s="13">
        <f>IF(AND(ISNUMBER(I25),ISNUMBER(J25),I25&gt;0),1-J25/I25,"")</f>
        <v/>
      </c>
      <c r="L25" s="16" t="n">
        <v>0</v>
      </c>
      <c r="M25" s="15" t="n">
        <v>200000</v>
      </c>
      <c r="N25" s="16" t="n">
        <v>2000</v>
      </c>
      <c r="O25" s="10" t="inlineStr">
        <is>
          <t>1</t>
        </is>
      </c>
      <c r="P25" s="10" t="inlineStr">
        <is>
          <t>1</t>
        </is>
      </c>
      <c r="Q25" s="16" t="n">
        <v>118</v>
      </c>
      <c r="R25" s="16" t="n">
        <v>8</v>
      </c>
      <c r="S25" s="10" t="inlineStr">
        <is>
          <t>gris</t>
        </is>
      </c>
      <c r="T25" s="16" t="n">
        <v>3</v>
      </c>
      <c r="U25" s="10" t="n"/>
      <c r="V25" s="10" t="n"/>
      <c r="W25" s="10" t="inlineStr">
        <is>
          <t>Particulier</t>
        </is>
      </c>
      <c r="X25" s="10" t="inlineStr">
        <is>
          <t>Sisteron</t>
        </is>
      </c>
      <c r="Y25" s="10" t="inlineStr">
        <is>
          <t>04200</t>
        </is>
      </c>
      <c r="Z25" s="10" t="inlineStr">
        <is>
          <t>Alpes-de-Haute-Provence</t>
        </is>
      </c>
      <c r="AA25" s="10" t="inlineStr">
        <is>
          <t>Provence-Alpes-Côte d'Azur</t>
        </is>
      </c>
      <c r="AB25" s="16" t="n"/>
      <c r="AC25" s="16" t="n"/>
      <c r="AD25" s="10" t="n"/>
      <c r="AE25" s="10" t="n"/>
      <c r="AF25" s="10" t="inlineStr">
        <is>
          <t>1 : 1 ; 2 : 2 ; 3 : 3 ; 2000 : 2000 ; 9500 : 9500 ; 711134 : 711134 ; https://img.leboncoin.fr/api/v1/tenants/9a6387a1-6259-4f2c-a887-7e67f23dd4cb/domains/20bda58f-d650-462e-a72a-a5a7ecf2bf88/buckets/21d2b0bc-e54c-4b64-a30b-89127b18b785/images/profile/pictures/default/5d1ec6a7-a9ce-5280-8535-5df6eb3406e6?rule=pp-small : https://img.leboncoin.fr/api/v1/tenants/9a6387a1-6259-4f2c-a887-7e67f23dd4cb/domains/20bda58f-d650-462e-a72a-a5a7ecf2bf88/buckets/21d2b0bc-e54c-4b64-a30b-89127b18b785/images/profile/pictures/default/5d1ec6a7-a9ce-5280-8535-5df6eb3406e6?rule=pp-small ; Citroen : Citroen ; Saxo : Saxo ; CITROEN : CITROEN ; 200000 km : 200000 ; Essence : 1 ; Manuelle : 1 ; VTS : CITROEN_Saxo_VTS ; Saxo 1.6 16V 120ch VTS 3p : Saxo 1.6 16V 120ch VTS 3p ; 04/2000 : 04/2000 ; Bon état général : good_overall_condition ; Berline : berline ; Gris : gris ; 8 Cv : 8 ; 118 Ch : 118 ; Avec permis : avecpermis ; credit_card : credit_card ; false : false ; https://autoviza.fr/report/report?uid=140c2d10-0462-4e7b-88c2-bc5901d3be96 : https://autoviza.fr/report/report?uid=140c2d10-0462-4e7b-88c2-bc5901d3be96 ; visible : visible ; true : true ; rating_score : 1 ; rating_count : 2 ; u_car_brand : CITROEN ; u_car_model : Saxo ; u_car_finition : VTS ; u_car_version : Saxo 1.6 16V 120ch VTS 3p ; vehicle_damage : Bon état général ; vehicle_upholstery : Tout cuir ; vehicle_vsp : Avec permis ; vehicle_available_payment_methods : credit_card ; is_import : false ; old_price : 9500 ; vehicle_is_eligible_p2p : 2 ; vehicle_history_report_public_url : https://autoviza.fr/report/report?uid=140c2d10-0462-4e7b-88c2-bc5901d3be96 ; vehicle_history_report_status : visible ; argus_object_id : 711134 ; licence_plate_available : true</t>
        </is>
      </c>
      <c r="AG25" s="19" t="inlineStr">
        <is>
          <t>Voir</t>
        </is>
      </c>
      <c r="AH25" s="10" t="inlineStr">
        <is>
          <t>3179205726</t>
        </is>
      </c>
    </row>
    <row r="26">
      <c r="A26" s="10" t="inlineStr">
        <is>
          <t>Citroën Saxo VTS 16V</t>
        </is>
      </c>
      <c r="B26" s="10" t="inlineStr">
        <is>
          <t>Saxo vts 1.6 90cv</t>
        </is>
      </c>
      <c r="C26" s="10" t="inlineStr">
        <is>
          <t>En vente</t>
        </is>
      </c>
      <c r="D26" s="18" t="n">
        <v>46274</v>
      </c>
      <c r="E26" s="18" t="n">
        <v>46274</v>
      </c>
      <c r="F26" s="18" t="n">
        <v>46296</v>
      </c>
      <c r="G26" s="18" t="n"/>
      <c r="H26" s="17">
        <f>IF(OR(ISNUMBER(D26),ISNUMBER(E26)),IF(ISNUMBER(G26),G26,F26)-IF(ISNUMBER(D26),D26,E26),"")</f>
        <v/>
      </c>
      <c r="I26" s="12" t="n">
        <v>5500</v>
      </c>
      <c r="J26" s="12" t="n">
        <v>5500</v>
      </c>
      <c r="K26" s="13">
        <f>IF(AND(ISNUMBER(I26),ISNUMBER(J26),I26&gt;0),1-J26/I26,"")</f>
        <v/>
      </c>
      <c r="L26" s="16" t="n">
        <v>0</v>
      </c>
      <c r="M26" s="15" t="n">
        <v>190000</v>
      </c>
      <c r="N26" s="16" t="n">
        <v>2000</v>
      </c>
      <c r="O26" s="10" t="inlineStr">
        <is>
          <t>1</t>
        </is>
      </c>
      <c r="P26" s="10" t="inlineStr">
        <is>
          <t>1</t>
        </is>
      </c>
      <c r="Q26" s="16" t="n">
        <v>88</v>
      </c>
      <c r="R26" s="16" t="n">
        <v>6</v>
      </c>
      <c r="S26" s="10" t="inlineStr">
        <is>
          <t>rouge</t>
        </is>
      </c>
      <c r="T26" s="16" t="n">
        <v>3</v>
      </c>
      <c r="U26" s="10" t="n"/>
      <c r="V26" s="10" t="n"/>
      <c r="W26" s="10" t="inlineStr">
        <is>
          <t>Particulier</t>
        </is>
      </c>
      <c r="X26" s="10" t="inlineStr">
        <is>
          <t>Creutzwald</t>
        </is>
      </c>
      <c r="Y26" s="10" t="inlineStr">
        <is>
          <t>57150</t>
        </is>
      </c>
      <c r="Z26" s="10" t="inlineStr">
        <is>
          <t>Moselle</t>
        </is>
      </c>
      <c r="AA26" s="10" t="inlineStr">
        <is>
          <t>Lorraine</t>
        </is>
      </c>
      <c r="AB26" s="16" t="n"/>
      <c r="AC26" s="16" t="n"/>
      <c r="AD26" s="10" t="n"/>
      <c r="AE26" s="10" t="n"/>
      <c r="AF26" s="10" t="inlineStr">
        <is>
          <t>1 : 1 ; 2 : 2 ; 3 : 3 ; 80 : 80 ; 2000 : 2000 ; 6500 : 6500 ; 711135 : 711135 ; https://img.leboncoin.fr/api/v1/tenants/9a6387a1-6259-4f2c-a887-7e67f23dd4cb/domains/20bda58f-d650-462e-a72a-a5a7ecf2bf88/buckets/21d2b0bc-e54c-4b64-a30b-89127b18b785/images/profile/pictures/default/f7de6762-2238-5446-9678-da6948c9e666?rule=pp-small : https://img.leboncoin.fr/api/v1/tenants/9a6387a1-6259-4f2c-a887-7e67f23dd4cb/domains/20bda58f-d650-462e-a72a-a5a7ecf2bf88/buckets/21d2b0bc-e54c-4b64-a30b-89127b18b785/images/profile/pictures/default/f7de6762-2238-5446-9678-da6948c9e666?rule=pp-small ; Citroen : Citroen ; Saxo : Saxo ; CITROEN : CITROEN ; 190000 km : 190000 ; Essence : 1 ; Manuelle : 1 ; 07/2000 : 07/2000 ; Bon état général : good_overall_condition ; Berline : berline ; Rouge : rouge ; 6 Cv : 6 ; 88 Ch : 88 ; Avec permis : avecpermis ; credit_card : credit_card ; false : false ; true : true ; rating_score : 1 ; rating_count : 80 ; u_car_brand : CITROEN ; u_car_model : Saxo ; vehicle_damage : Bon état général ; vehicle_upholstery : Velours ; vehicle_vsp : Avec permis ; vehicle_available_payment_methods : credit_card ; is_import : false ; old_price : 6500 ; vehicle_is_eligible_p2p : 2 ; argus_object_id : 711135 ; licence_plate_available : true</t>
        </is>
      </c>
      <c r="AG26" s="19" t="inlineStr">
        <is>
          <t>Voir</t>
        </is>
      </c>
      <c r="AH26" s="10" t="inlineStr">
        <is>
          <t>3179893341</t>
        </is>
      </c>
    </row>
    <row r="27">
      <c r="A27" s="10" t="inlineStr">
        <is>
          <t>Citroën Saxo VTS 16V</t>
        </is>
      </c>
      <c r="B27" s="10" t="inlineStr">
        <is>
          <t>Saxo VTS 1.6l 16s</t>
        </is>
      </c>
      <c r="C27" s="10" t="inlineStr">
        <is>
          <t>En vente</t>
        </is>
      </c>
      <c r="D27" s="18" t="n">
        <v>46281</v>
      </c>
      <c r="E27" s="18" t="n">
        <v>46281</v>
      </c>
      <c r="F27" s="18" t="n">
        <v>46296</v>
      </c>
      <c r="G27" s="18" t="n"/>
      <c r="H27" s="17">
        <f>IF(OR(ISNUMBER(D27),ISNUMBER(E27)),IF(ISNUMBER(G27),G27,F27)-IF(ISNUMBER(D27),D27,E27),"")</f>
        <v/>
      </c>
      <c r="I27" s="12" t="n">
        <v>10500</v>
      </c>
      <c r="J27" s="12" t="n">
        <v>10500</v>
      </c>
      <c r="K27" s="13">
        <f>IF(AND(ISNUMBER(I27),ISNUMBER(J27),I27&gt;0),1-J27/I27,"")</f>
        <v/>
      </c>
      <c r="L27" s="16" t="n">
        <v>0</v>
      </c>
      <c r="M27" s="15" t="n">
        <v>150500</v>
      </c>
      <c r="N27" s="16" t="n">
        <v>2000</v>
      </c>
      <c r="O27" s="10" t="inlineStr">
        <is>
          <t>1</t>
        </is>
      </c>
      <c r="P27" s="10" t="inlineStr">
        <is>
          <t>1</t>
        </is>
      </c>
      <c r="Q27" s="16" t="n">
        <v>118</v>
      </c>
      <c r="R27" s="16" t="n">
        <v>8</v>
      </c>
      <c r="S27" s="10" t="inlineStr">
        <is>
          <t>autre</t>
        </is>
      </c>
      <c r="T27" s="16" t="n">
        <v>3</v>
      </c>
      <c r="U27" s="10" t="n"/>
      <c r="V27" s="10" t="n"/>
      <c r="W27" s="10" t="inlineStr">
        <is>
          <t>Particulier</t>
        </is>
      </c>
      <c r="X27" s="10" t="inlineStr">
        <is>
          <t>Chassiers</t>
        </is>
      </c>
      <c r="Y27" s="10" t="inlineStr">
        <is>
          <t>07110</t>
        </is>
      </c>
      <c r="Z27" s="10" t="inlineStr">
        <is>
          <t>Ardèche</t>
        </is>
      </c>
      <c r="AA27" s="10" t="inlineStr">
        <is>
          <t>Rhône-Alpes</t>
        </is>
      </c>
      <c r="AB27" s="16" t="n"/>
      <c r="AC27" s="16" t="n"/>
      <c r="AD27" s="10" t="n"/>
      <c r="AE27" s="10" t="n"/>
      <c r="AF27" s="10" t="inlineStr">
        <is>
          <t>1 : 1 ; 2 : 2 ; 3 : 3 ; 37 : 37 ; 2000 : 2000 ; 711134 : 711134 ; 0.98 : 0.98 ; https://img.leboncoin.fr/api/v1/tenants/9a6387a1-6259-4f2c-a887-7e67f23dd4cb/domains/20bda58f-d650-462e-a72a-a5a7ecf2bf88/buckets/21d2b0bc-e54c-4b64-a30b-89127b18b785/images/profile/pictures/8cf8d33a-8bcd-5d0d-a1c4-a6c99125f637?rule=pp-small : https://img.leboncoin.fr/api/v1/tenants/9a6387a1-6259-4f2c-a887-7e67f23dd4cb/domains/20bda58f-d650-462e-a72a-a5a7ecf2bf88/buckets/21d2b0bc-e54c-4b64-a30b-89127b18b785/images/profile/pictures/8cf8d33a-8bcd-5d0d-a1c4-a6c99125f637?rule=pp-small ; Citroen : Citroen ; Saxo : Saxo ; CITROEN : CITROEN ; 150500 km : 150500 ; Essence : 1 ; Manuelle : 1 ; VTS : CITROEN_Saxo_VTS ; Saxo 1.6 16V 120ch VTS 3p : Saxo 1.6 16V 120ch VTS 3p ; Non : false ; 04/2000 : 04/2000 ; Bon état général : good_overall_condition ; Berline : berline ; Autre : autre ; 8 Cv : 8 ; 118 Ch : 118 ; Avec permis : avecpermis ; credit_card : credit_card ; false : false ; true : true ; rating_score : 0.98 ; rating_count : 37 ; u_car_brand : CITROEN ; u_car_model : Saxo ; u_car_finition : VTS ; u_car_version : Saxo 1.6 16V 120ch VTS 3p ; vehicle_technical_inspection_valid : Non ; vehicle_damage : Bon état général ; vehicle_vsp : Avec permis ; vehicle_available_payment_methods : credit_card ; is_import : false ; vehicle_is_eligible_p2p : 2 ; argus_object_id : 711134 ; licence_plate_available : true</t>
        </is>
      </c>
      <c r="AG27" s="19" t="inlineStr">
        <is>
          <t>Voir</t>
        </is>
      </c>
      <c r="AH27" s="10" t="inlineStr">
        <is>
          <t>3198012563</t>
        </is>
      </c>
    </row>
    <row r="28">
      <c r="A28" s="10" t="inlineStr">
        <is>
          <t>Citroën Saxo VTS 16V</t>
        </is>
      </c>
      <c r="B28" s="10" t="inlineStr">
        <is>
          <t>Citroen saxo vts 16v</t>
        </is>
      </c>
      <c r="C28" s="10" t="inlineStr">
        <is>
          <t>En vente</t>
        </is>
      </c>
      <c r="D28" s="18" t="n">
        <v>46249</v>
      </c>
      <c r="E28" s="18" t="n">
        <v>46249</v>
      </c>
      <c r="F28" s="18" t="n">
        <v>46296</v>
      </c>
      <c r="G28" s="18" t="n"/>
      <c r="H28" s="17">
        <f>IF(OR(ISNUMBER(D28),ISNUMBER(E28)),IF(ISNUMBER(G28),G28,F28)-IF(ISNUMBER(D28),D28,E28),"")</f>
        <v/>
      </c>
      <c r="I28" s="12" t="n">
        <v>6700</v>
      </c>
      <c r="J28" s="12" t="n">
        <v>6700</v>
      </c>
      <c r="K28" s="13">
        <f>IF(AND(ISNUMBER(I28),ISNUMBER(J28),I28&gt;0),1-J28/I28,"")</f>
        <v/>
      </c>
      <c r="L28" s="16" t="n">
        <v>0</v>
      </c>
      <c r="M28" s="15" t="n">
        <v>232000</v>
      </c>
      <c r="N28" s="16" t="n">
        <v>2001</v>
      </c>
      <c r="O28" s="10" t="inlineStr">
        <is>
          <t>1</t>
        </is>
      </c>
      <c r="P28" s="10" t="inlineStr">
        <is>
          <t>1</t>
        </is>
      </c>
      <c r="Q28" s="16" t="n">
        <v>120</v>
      </c>
      <c r="R28" s="16" t="n">
        <v>8</v>
      </c>
      <c r="S28" s="10" t="inlineStr">
        <is>
          <t>noir</t>
        </is>
      </c>
      <c r="T28" s="16" t="n">
        <v>3</v>
      </c>
      <c r="U28" s="10" t="n"/>
      <c r="V28" s="10" t="n"/>
      <c r="W28" s="10" t="inlineStr">
        <is>
          <t>Particulier</t>
        </is>
      </c>
      <c r="X28" s="10" t="inlineStr">
        <is>
          <t>Méry-ès-Bois</t>
        </is>
      </c>
      <c r="Y28" s="10" t="inlineStr">
        <is>
          <t>18380</t>
        </is>
      </c>
      <c r="Z28" s="10" t="inlineStr">
        <is>
          <t>Cher</t>
        </is>
      </c>
      <c r="AA28" s="10" t="inlineStr">
        <is>
          <t>Centre</t>
        </is>
      </c>
      <c r="AB28" s="16" t="n"/>
      <c r="AC28" s="16" t="n"/>
      <c r="AD28" s="10" t="n"/>
      <c r="AE28" s="10" t="n"/>
      <c r="AF28" s="10" t="inlineStr">
        <is>
          <t>1 : 1 ; 2 : 2 ; 3 : 3 ; 2001 : 2001 ; 2028 : 2028 ; 711225 : 711225 ; https://img.leboncoin.fr/api/v1/tenants/9a6387a1-6259-4f2c-a887-7e67f23dd4cb/domains/20bda58f-d650-462e-a72a-a5a7ecf2bf88/buckets/21d2b0bc-e54c-4b64-a30b-89127b18b785/images/profile/pictures/60a30e22-aa69-5397-875c-ee6271282891?rule=pp-small : https://img.leboncoin.fr/api/v1/tenants/9a6387a1-6259-4f2c-a887-7e67f23dd4cb/domains/20bda58f-d650-462e-a72a-a5a7ecf2bf88/buckets/21d2b0bc-e54c-4b64-a30b-89127b18b785/images/profile/pictures/60a30e22-aa69-5397-875c-ee6271282891?rule=pp-small ; Citroen : Citroen ; Saxo : Saxo ; CITROEN : CITROEN ; 232000 km : 232000 ; Essence : 1 ; Manuelle : 1 ; VTS : CITROEN_Saxo_VTS ; VTS_Saxo 1.6 16v VTS 3p : VTS_Saxo 1.6 16v VTS 3p ; Oui : true ; 11/2001 : 11/2001 ; Berline : berline ; Noir : noir ; 8 Cv : 8 ; 120 Ch : 120 ; Avec permis : avecpermis ; credit_card : credit_card ; false : false ; true : true ; rating_score : 1 ; rating_count : 3 ; u_car_brand : CITROEN ; u_car_model : Saxo ; u_car_finition : VTS ; u_car_version : VTS_Saxo 1.6 16v VTS 3p ; vehicle_technical_inspection_valid : Oui ; vehicle_technical_inspection_a : 2028 ; vehicle_upholstery : Tissu ; vehicle_vsp : Avec permis ; vehicle_available_payment_methods : credit_card ; is_import : false ; vehicle_is_eligible_p2p : 2 ; argus_object_id : 711225 ; licence_plate_available : true</t>
        </is>
      </c>
      <c r="AG28" s="19" t="inlineStr">
        <is>
          <t>Voir</t>
        </is>
      </c>
      <c r="AH28" s="10" t="inlineStr">
        <is>
          <t>3217942758</t>
        </is>
      </c>
    </row>
    <row r="29">
      <c r="A29" s="10" t="inlineStr">
        <is>
          <t>Citroën Saxo VTS 16V</t>
        </is>
      </c>
      <c r="B29" s="10" t="inlineStr">
        <is>
          <t>Saxo vts 1.6l 16s</t>
        </is>
      </c>
      <c r="C29" s="10" t="inlineStr">
        <is>
          <t>En vente</t>
        </is>
      </c>
      <c r="D29" s="18" t="n">
        <v>46271</v>
      </c>
      <c r="E29" s="18" t="n">
        <v>46271</v>
      </c>
      <c r="F29" s="18" t="n">
        <v>46296</v>
      </c>
      <c r="G29" s="18" t="n"/>
      <c r="H29" s="17">
        <f>IF(OR(ISNUMBER(D29),ISNUMBER(E29)),IF(ISNUMBER(G29),G29,F29)-IF(ISNUMBER(D29),D29,E29),"")</f>
        <v/>
      </c>
      <c r="I29" s="12" t="n">
        <v>5000</v>
      </c>
      <c r="J29" s="12" t="n">
        <v>5000</v>
      </c>
      <c r="K29" s="13">
        <f>IF(AND(ISNUMBER(I29),ISNUMBER(J29),I29&gt;0),1-J29/I29,"")</f>
        <v/>
      </c>
      <c r="L29" s="16" t="n">
        <v>0</v>
      </c>
      <c r="M29" s="15" t="n">
        <v>95000</v>
      </c>
      <c r="N29" s="16" t="n">
        <v>2003</v>
      </c>
      <c r="O29" s="10" t="inlineStr">
        <is>
          <t>1</t>
        </is>
      </c>
      <c r="P29" s="10" t="inlineStr">
        <is>
          <t>1</t>
        </is>
      </c>
      <c r="Q29" s="16" t="n">
        <v>120</v>
      </c>
      <c r="R29" s="16" t="n">
        <v>8</v>
      </c>
      <c r="S29" s="10" t="inlineStr">
        <is>
          <t>autre</t>
        </is>
      </c>
      <c r="T29" s="16" t="n">
        <v>3</v>
      </c>
      <c r="U29" s="10" t="n"/>
      <c r="V29" s="10" t="n"/>
      <c r="W29" s="10" t="inlineStr">
        <is>
          <t>Particulier</t>
        </is>
      </c>
      <c r="X29" s="10" t="inlineStr">
        <is>
          <t>Longwy</t>
        </is>
      </c>
      <c r="Y29" s="10" t="inlineStr">
        <is>
          <t>54400</t>
        </is>
      </c>
      <c r="Z29" s="10" t="inlineStr">
        <is>
          <t>Meurthe-et-Moselle</t>
        </is>
      </c>
      <c r="AA29" s="10" t="inlineStr">
        <is>
          <t>Lorraine</t>
        </is>
      </c>
      <c r="AB29" s="16" t="n"/>
      <c r="AC29" s="16" t="n"/>
      <c r="AD29" s="10" t="n"/>
      <c r="AE29" s="10" t="n"/>
      <c r="AF29" s="10" t="inlineStr">
        <is>
          <t>1 : 1 ; 2 : 2 ; 3 : 3 ; 9 : 9 ; 2003 : 2003 ; 711225 : 711225 ; https://img.leboncoin.fr/api/v1/tenants/9a6387a1-6259-4f2c-a887-7e67f23dd4cb/domains/20bda58f-d650-462e-a72a-a5a7ecf2bf88/buckets/21d2b0bc-e54c-4b64-a30b-89127b18b785/images/profile/pictures/default/fafe7b7c-81ee-5b2b-9a62-4f0e47f2df9b?rule=pp-small : https://img.leboncoin.fr/api/v1/tenants/9a6387a1-6259-4f2c-a887-7e67f23dd4cb/domains/20bda58f-d650-462e-a72a-a5a7ecf2bf88/buckets/21d2b0bc-e54c-4b64-a30b-89127b18b785/images/profile/pictures/default/fafe7b7c-81ee-5b2b-9a62-4f0e47f2df9b?rule=pp-small ; Citroen : Citroen ; Saxo : Saxo ; CITROEN : CITROEN ; 95000 km : 95000 ; Essence : 1 ; Manuelle : 1 ; VTS : CITROEN_Saxo_VTS ; VTS_Saxo 1.6 16v VTS 3p : VTS_Saxo 1.6 16v VTS 3p ; 02/2003 : 02/2003 ; Berline : berline ; Autre : autre ; 8 Cv : 8 ; 120 Ch : 120 ; Avec permis : avecpermis ; credit_card : credit_card ; false : false ; true : true ; rating_score : 1 ; rating_count : 9 ; u_car_brand : CITROEN ; u_car_model : Saxo ; u_car_finition : VTS ; u_car_version : VTS_Saxo 1.6 16v VTS 3p ; vehicle_vsp : Avec permis ; vehicle_available_payment_methods : credit_card ; is_import : false ; vehicle_is_eligible_p2p : 2 ; argus_object_id : 711225 ; licence_plate_available : true</t>
        </is>
      </c>
      <c r="AG29" s="19" t="inlineStr">
        <is>
          <t>Voir</t>
        </is>
      </c>
      <c r="AH29" s="10" t="inlineStr">
        <is>
          <t>3229777091</t>
        </is>
      </c>
    </row>
    <row r="30">
      <c r="A30" s="10" t="inlineStr">
        <is>
          <t>Citroën Saxo VTS 16V</t>
        </is>
      </c>
      <c r="B30" s="10" t="inlineStr">
        <is>
          <t>Saxo vts 1l4 echange possible</t>
        </is>
      </c>
      <c r="C30" s="10" t="inlineStr">
        <is>
          <t>En vente</t>
        </is>
      </c>
      <c r="D30" s="18" t="n">
        <v>46278</v>
      </c>
      <c r="E30" s="18" t="n">
        <v>46278</v>
      </c>
      <c r="F30" s="18" t="n">
        <v>46296</v>
      </c>
      <c r="G30" s="18" t="n"/>
      <c r="H30" s="17">
        <f>IF(OR(ISNUMBER(D30),ISNUMBER(E30)),IF(ISNUMBER(G30),G30,F30)-IF(ISNUMBER(D30),D30,E30),"")</f>
        <v/>
      </c>
      <c r="I30" s="12" t="n">
        <v>4500</v>
      </c>
      <c r="J30" s="12" t="n">
        <v>4500</v>
      </c>
      <c r="K30" s="13">
        <f>IF(AND(ISNUMBER(I30),ISNUMBER(J30),I30&gt;0),1-J30/I30,"")</f>
        <v/>
      </c>
      <c r="L30" s="16" t="n">
        <v>0</v>
      </c>
      <c r="M30" s="15" t="n">
        <v>181000</v>
      </c>
      <c r="N30" s="16" t="n">
        <v>2000</v>
      </c>
      <c r="O30" s="10" t="inlineStr">
        <is>
          <t>1</t>
        </is>
      </c>
      <c r="P30" s="10" t="inlineStr">
        <is>
          <t>1</t>
        </is>
      </c>
      <c r="Q30" s="16" t="n">
        <v>75</v>
      </c>
      <c r="R30" s="16" t="n">
        <v>5</v>
      </c>
      <c r="S30" s="10" t="inlineStr">
        <is>
          <t>autre</t>
        </is>
      </c>
      <c r="T30" s="16" t="n">
        <v>3</v>
      </c>
      <c r="U30" s="10" t="n"/>
      <c r="V30" s="10" t="n"/>
      <c r="W30" s="10" t="inlineStr">
        <is>
          <t>Particulier</t>
        </is>
      </c>
      <c r="X30" s="10" t="inlineStr">
        <is>
          <t>La Bastide</t>
        </is>
      </c>
      <c r="Y30" s="10" t="inlineStr">
        <is>
          <t>83840</t>
        </is>
      </c>
      <c r="Z30" s="10" t="inlineStr">
        <is>
          <t>Var</t>
        </is>
      </c>
      <c r="AA30" s="10" t="inlineStr">
        <is>
          <t>Provence-Alpes-Côte d'Azur</t>
        </is>
      </c>
      <c r="AB30" s="16" t="n"/>
      <c r="AC30" s="16" t="n"/>
      <c r="AD30" s="10" t="n"/>
      <c r="AE30" s="10" t="n"/>
      <c r="AF30" s="10" t="inlineStr">
        <is>
          <t>1 : 1 ; 2 : 2 ; 3 : 3 ; 2000 : 2000 ; 5000 : 5000 ; 711133 : 711133 ; https://img.leboncoin.fr/api/v1/tenants/9a6387a1-6259-4f2c-a887-7e67f23dd4cb/domains/20bda58f-d650-462e-a72a-a5a7ecf2bf88/buckets/21d2b0bc-e54c-4b64-a30b-89127b18b785/images/profile/pictures/default/5d3a5773-8d9e-5cd5-9f49-c558eeeca4f7?rule=pp-small : https://img.leboncoin.fr/api/v1/tenants/9a6387a1-6259-4f2c-a887-7e67f23dd4cb/domains/20bda58f-d650-462e-a72a-a5a7ecf2bf88/buckets/21d2b0bc-e54c-4b64-a30b-89127b18b785/images/profile/pictures/default/5d3a5773-8d9e-5cd5-9f49-c558eeeca4f7?rule=pp-small ; Citroen : Citroen ; Saxo : Saxo ; CITROEN : CITROEN ; 181000 km : 181000 ; Essence : 1 ; Manuelle : 1 ; VTS : CITROEN_Saxo_VTS ; VTS_Saxo 1.4 VTS 3p : VTS_Saxo 1.4 VTS 3p ; 05/2000 : 05/2000 ; Berline : berline ; Autre : autre ; 5 Cv : 5 ; 75 Ch : 75 ; Avec permis : avecpermis ; credit_card : credit_card ; false : false ; true : true ; u_car_brand : CITROEN ; u_car_model : Saxo ; u_car_finition : VTS ; u_car_version : VTS_Saxo 1.4 VTS 3p ; vehicle_vsp : Avec permis ; vehicle_available_payment_methods : credit_card ; is_import : false ; old_price : 5000 ; vehicle_is_eligible_p2p : 2 ; argus_object_id : 711133 ; licence_plate_available : true</t>
        </is>
      </c>
      <c r="AG30" s="19" t="inlineStr">
        <is>
          <t>Voir</t>
        </is>
      </c>
      <c r="AH30" s="10" t="inlineStr">
        <is>
          <t>3233589487</t>
        </is>
      </c>
    </row>
    <row r="31">
      <c r="A31" s="10" t="inlineStr">
        <is>
          <t>Citroën Saxo VTS 16V</t>
        </is>
      </c>
      <c r="B31" s="10" t="inlineStr">
        <is>
          <t>Saxo vts 1l6</t>
        </is>
      </c>
      <c r="C31" s="10" t="inlineStr">
        <is>
          <t>En vente</t>
        </is>
      </c>
      <c r="D31" s="18" t="n">
        <v>46248</v>
      </c>
      <c r="E31" s="18" t="n">
        <v>46248</v>
      </c>
      <c r="F31" s="18" t="n">
        <v>46296</v>
      </c>
      <c r="G31" s="18" t="n"/>
      <c r="H31" s="17">
        <f>IF(OR(ISNUMBER(D31),ISNUMBER(E31)),IF(ISNUMBER(G31),G31,F31)-IF(ISNUMBER(D31),D31,E31),"")</f>
        <v/>
      </c>
      <c r="I31" s="12" t="n">
        <v>3000</v>
      </c>
      <c r="J31" s="12" t="n">
        <v>3000</v>
      </c>
      <c r="K31" s="13">
        <f>IF(AND(ISNUMBER(I31),ISNUMBER(J31),I31&gt;0),1-J31/I31,"")</f>
        <v/>
      </c>
      <c r="L31" s="16" t="n">
        <v>0</v>
      </c>
      <c r="M31" s="15" t="n">
        <v>213500</v>
      </c>
      <c r="N31" s="16" t="n">
        <v>1999</v>
      </c>
      <c r="O31" s="10" t="inlineStr">
        <is>
          <t>1</t>
        </is>
      </c>
      <c r="P31" s="10" t="inlineStr">
        <is>
          <t>1</t>
        </is>
      </c>
      <c r="Q31" s="16" t="n">
        <v>90</v>
      </c>
      <c r="R31" s="16" t="n">
        <v>6</v>
      </c>
      <c r="S31" s="10" t="inlineStr">
        <is>
          <t>noir</t>
        </is>
      </c>
      <c r="T31" s="16" t="n">
        <v>3</v>
      </c>
      <c r="U31" s="10" t="n"/>
      <c r="V31" s="10" t="n"/>
      <c r="W31" s="10" t="inlineStr">
        <is>
          <t>Particulier</t>
        </is>
      </c>
      <c r="X31" s="10" t="inlineStr">
        <is>
          <t>Forges-les-Eaux</t>
        </is>
      </c>
      <c r="Y31" s="10" t="inlineStr">
        <is>
          <t>76440</t>
        </is>
      </c>
      <c r="Z31" s="10" t="inlineStr">
        <is>
          <t>Seine-Maritime</t>
        </is>
      </c>
      <c r="AA31" s="10" t="inlineStr">
        <is>
          <t>Haute-Normandie</t>
        </is>
      </c>
      <c r="AB31" s="16" t="n"/>
      <c r="AC31" s="16" t="n"/>
      <c r="AD31" s="10" t="n"/>
      <c r="AE31" s="10" t="n"/>
      <c r="AF31" s="10" t="inlineStr">
        <is>
          <t>1 : 1 ; 2 : 2 ; 3 : 3 ; 5 : 5 ; 1999 : 1999 ; 2027 : 2027 ; https://img.leboncoin.fr/api/v1/tenants/9a6387a1-6259-4f2c-a887-7e67f23dd4cb/domains/20bda58f-d650-462e-a72a-a5a7ecf2bf88/buckets/21d2b0bc-e54c-4b64-a30b-89127b18b785/images/profile/pictures/b45a7363-5f17-5d45-b14b-d29aef1dd6cb?rule=pp-small : https://img.leboncoin.fr/api/v1/tenants/9a6387a1-6259-4f2c-a887-7e67f23dd4cb/domains/20bda58f-d650-462e-a72a-a5a7ecf2bf88/buckets/21d2b0bc-e54c-4b64-a30b-89127b18b785/images/profile/pictures/b45a7363-5f17-5d45-b14b-d29aef1dd6cb?rule=pp-small ; Citroen : Citroen ; Saxo : Saxo ; CITROEN : CITROEN ; 213500 km : 213500 ; Essence : 1 ; Manuelle : 1 ; Oui : true ; 11/1999 : 11/1999 ; Non endommagé : undamaged ; Coupé : coupe ; Noir : noir ; 6 Cv : 6 ; 90 Ch : 90 ; Avec permis : avecpermis ; credit_card : credit_card ; false : false ; true : true ; rating_score : 1 ; rating_count : 3 ; u_car_brand : CITROEN ; u_car_model : Saxo ; vehicle_technical_inspection_valid : Oui ; vehicle_technical_inspection_a : 2027 ; vehicle_damage : Non endommagé ; vehicle_vsp : Avec permis ; vehicle_available_payment_methods : credit_card ; is_import : false ; vehicle_is_eligible_p2p : 2 ; licence_plate_available : true</t>
        </is>
      </c>
      <c r="AG31" s="19" t="inlineStr">
        <is>
          <t>Voir</t>
        </is>
      </c>
      <c r="AH31" s="10" t="inlineStr">
        <is>
          <t>3249782225</t>
        </is>
      </c>
    </row>
    <row r="32">
      <c r="A32" s="10" t="inlineStr">
        <is>
          <t>Citroën Saxo VTS 16V</t>
        </is>
      </c>
      <c r="B32" s="10" t="inlineStr">
        <is>
          <t>Saxo VTS</t>
        </is>
      </c>
      <c r="C32" s="10" t="inlineStr">
        <is>
          <t>En vente</t>
        </is>
      </c>
      <c r="D32" s="18" t="n">
        <v>46250</v>
      </c>
      <c r="E32" s="18" t="n">
        <v>46250</v>
      </c>
      <c r="F32" s="18" t="n">
        <v>46296</v>
      </c>
      <c r="G32" s="18" t="n"/>
      <c r="H32" s="17">
        <f>IF(OR(ISNUMBER(D32),ISNUMBER(E32)),IF(ISNUMBER(G32),G32,F32)-IF(ISNUMBER(D32),D32,E32),"")</f>
        <v/>
      </c>
      <c r="I32" s="12" t="n">
        <v>8000</v>
      </c>
      <c r="J32" s="12" t="n">
        <v>8000</v>
      </c>
      <c r="K32" s="13">
        <f>IF(AND(ISNUMBER(I32),ISNUMBER(J32),I32&gt;0),1-J32/I32,"")</f>
        <v/>
      </c>
      <c r="L32" s="16" t="n">
        <v>0</v>
      </c>
      <c r="M32" s="15" t="n">
        <v>200000</v>
      </c>
      <c r="N32" s="16" t="n">
        <v>1999</v>
      </c>
      <c r="O32" s="10" t="inlineStr">
        <is>
          <t>1</t>
        </is>
      </c>
      <c r="P32" s="10" t="inlineStr">
        <is>
          <t>1</t>
        </is>
      </c>
      <c r="Q32" s="16" t="n">
        <v>75</v>
      </c>
      <c r="R32" s="16" t="n">
        <v>5</v>
      </c>
      <c r="S32" s="10" t="inlineStr">
        <is>
          <t>jaune</t>
        </is>
      </c>
      <c r="T32" s="16" t="n">
        <v>3</v>
      </c>
      <c r="U32" s="10" t="n"/>
      <c r="V32" s="10" t="n"/>
      <c r="W32" s="10" t="inlineStr">
        <is>
          <t>Particulier</t>
        </is>
      </c>
      <c r="X32" s="10" t="inlineStr">
        <is>
          <t>Cholet</t>
        </is>
      </c>
      <c r="Y32" s="10" t="inlineStr">
        <is>
          <t>49300</t>
        </is>
      </c>
      <c r="Z32" s="10" t="inlineStr">
        <is>
          <t>Maine-et-Loire</t>
        </is>
      </c>
      <c r="AA32" s="10" t="inlineStr">
        <is>
          <t>Pays de la Loire</t>
        </is>
      </c>
      <c r="AB32" s="16" t="n"/>
      <c r="AC32" s="16" t="n"/>
      <c r="AD32" s="10" t="n"/>
      <c r="AE32" s="10" t="n"/>
      <c r="AF32" s="10" t="inlineStr">
        <is>
          <t>1 : 1 ; 2 : 2 ; 3 : 3 ; 1999 : 1999 ; https://img.leboncoin.fr/api/v1/tenants/9a6387a1-6259-4f2c-a887-7e67f23dd4cb/domains/20bda58f-d650-462e-a72a-a5a7ecf2bf88/buckets/21d2b0bc-e54c-4b64-a30b-89127b18b785/images/profile/pictures/default/5ef7f7a6-69e7-595b-8433-ce36828aa88b?rule=pp-small : https://img.leboncoin.fr/api/v1/tenants/9a6387a1-6259-4f2c-a887-7e67f23dd4cb/domains/20bda58f-d650-462e-a72a-a5a7ecf2bf88/buckets/21d2b0bc-e54c-4b64-a30b-89127b18b785/images/profile/pictures/default/5ef7f7a6-69e7-595b-8433-ce36828aa88b?rule=pp-small ; Citroen : Citroen ; Saxo : Saxo ; CITROEN : CITROEN ; 200000 km : 200000 ; Essence : 1 ; Manuelle : 1 ; 12/1999 : 12/1999 ; Berline : berline ; Jaune : jaune ; 5 Cv : 5 ; 75 Ch : 75 ; Avec permis : avecpermis ; credit_card : credit_card ; false : false ; true : true ; u_car_brand : CITROEN ; u_car_model : Saxo ; vehicle_vsp : Avec permis ; vehicle_available_payment_methods : credit_card ; is_import : false ; vehicle_is_eligible_p2p : 2 ; licence_plate_available : true</t>
        </is>
      </c>
      <c r="AG32" s="19" t="inlineStr">
        <is>
          <t>Voir</t>
        </is>
      </c>
      <c r="AH32" s="10" t="inlineStr">
        <is>
          <t>3250813636</t>
        </is>
      </c>
    </row>
    <row r="33">
      <c r="A33" s="10" t="inlineStr">
        <is>
          <t>Citroën Saxo VTS 16V</t>
        </is>
      </c>
      <c r="B33" s="10" t="inlineStr">
        <is>
          <t>Saxo VTS 1.4 75cv</t>
        </is>
      </c>
      <c r="C33" s="10" t="inlineStr">
        <is>
          <t>En vente</t>
        </is>
      </c>
      <c r="D33" s="18" t="n">
        <v>46252</v>
      </c>
      <c r="E33" s="18" t="n">
        <v>46252</v>
      </c>
      <c r="F33" s="18" t="n">
        <v>46296</v>
      </c>
      <c r="G33" s="18" t="n"/>
      <c r="H33" s="17">
        <f>IF(OR(ISNUMBER(D33),ISNUMBER(E33)),IF(ISNUMBER(G33),G33,F33)-IF(ISNUMBER(D33),D33,E33),"")</f>
        <v/>
      </c>
      <c r="I33" s="12" t="n">
        <v>3000</v>
      </c>
      <c r="J33" s="12" t="n">
        <v>3000</v>
      </c>
      <c r="K33" s="13">
        <f>IF(AND(ISNUMBER(I33),ISNUMBER(J33),I33&gt;0),1-J33/I33,"")</f>
        <v/>
      </c>
      <c r="L33" s="16" t="n">
        <v>0</v>
      </c>
      <c r="M33" s="15" t="n">
        <v>263848</v>
      </c>
      <c r="N33" s="16" t="n">
        <v>1998</v>
      </c>
      <c r="O33" s="10" t="inlineStr">
        <is>
          <t>1</t>
        </is>
      </c>
      <c r="P33" s="10" t="inlineStr">
        <is>
          <t>1</t>
        </is>
      </c>
      <c r="Q33" s="16" t="n">
        <v>75</v>
      </c>
      <c r="R33" s="16" t="n">
        <v>5</v>
      </c>
      <c r="S33" s="10" t="inlineStr">
        <is>
          <t>rouge</t>
        </is>
      </c>
      <c r="T33" s="16" t="n">
        <v>3</v>
      </c>
      <c r="U33" s="10" t="n"/>
      <c r="V33" s="10" t="n"/>
      <c r="W33" s="10" t="inlineStr">
        <is>
          <t>Particulier</t>
        </is>
      </c>
      <c r="X33" s="10" t="inlineStr">
        <is>
          <t>Condé-sur-l'Escaut</t>
        </is>
      </c>
      <c r="Y33" s="10" t="inlineStr">
        <is>
          <t>59163</t>
        </is>
      </c>
      <c r="Z33" s="10" t="inlineStr">
        <is>
          <t>Nord</t>
        </is>
      </c>
      <c r="AA33" s="10" t="inlineStr">
        <is>
          <t>Nord-Pas-de-Calais</t>
        </is>
      </c>
      <c r="AB33" s="16" t="n"/>
      <c r="AC33" s="16" t="n"/>
      <c r="AD33" s="10" t="n"/>
      <c r="AE33" s="10" t="n"/>
      <c r="AF33" s="10" t="inlineStr">
        <is>
          <t>1 : 1 ; 2 : 2 ; 3 : 3 ; 95 : 95 ; 1998 : 1998 ; 711133 : 711133 ; 0.99 : 0.99 ; https://img.leboncoin.fr/api/v1/tenants/9a6387a1-6259-4f2c-a887-7e67f23dd4cb/domains/20bda58f-d650-462e-a72a-a5a7ecf2bf88/buckets/21d2b0bc-e54c-4b64-a30b-89127b18b785/images/profile/pictures/980c8b2e-fdc2-5156-acb0-55183c900536?rule=pp-small : https://img.leboncoin.fr/api/v1/tenants/9a6387a1-6259-4f2c-a887-7e67f23dd4cb/domains/20bda58f-d650-462e-a72a-a5a7ecf2bf88/buckets/21d2b0bc-e54c-4b64-a30b-89127b18b785/images/profile/pictures/980c8b2e-fdc2-5156-acb0-55183c900536?rule=pp-small ; Citroen : Citroen ; Saxo : Saxo ; CITROEN : CITROEN ; 263848 km : 263848 ; Essence : 1 ; Manuelle : 1 ; VTS : CITROEN_Saxo_VTS ; VTS_Saxo 1.4 VTS 3p : VTS_Saxo 1.4 VTS 3p ; 08/1998 : 08/1998 ; Berline : berline ; Rouge : rouge ; 5 Cv : 5 ; 75 Ch : 75 ; Avec permis : avecpermis ; credit_card : credit_card ; false : false ; https://autoviza.fr/report/report?uid=92fd9c3b-62ec-43fa-9eab-dfa2936db129 : https://autoviza.fr/report/report?uid=92fd9c3b-62ec-43fa-9eab-dfa2936db129 ; visible : visible ; true : true ; rating_score : 0.99 ; rating_count : 95 ; u_car_brand : CITROEN ; u_car_model : Saxo ; u_car_finition : VTS ; u_car_version : VTS_Saxo 1.4 VTS 3p ; vehicle_vsp : Avec permis ; vehicle_available_payment_methods : credit_card ; is_import : false ; vehicle_is_eligible_p2p : 2 ; vehicle_history_report_public_url : https://autoviza.fr/report/report?uid=92fd9c3b-62ec-43fa-9eab-dfa2936db129 ; vehicle_history_report_status : visible ; argus_object_id : 711133 ; licence_plate_available : true</t>
        </is>
      </c>
      <c r="AG33" s="19" t="inlineStr">
        <is>
          <t>Voir</t>
        </is>
      </c>
      <c r="AH33" s="10" t="inlineStr">
        <is>
          <t>3252260409</t>
        </is>
      </c>
    </row>
    <row r="34">
      <c r="A34" s="10" t="inlineStr">
        <is>
          <t>Citroën Saxo VTS 16V</t>
        </is>
      </c>
      <c r="B34" s="10" t="inlineStr">
        <is>
          <t>Citröen Saxo VTS 16v</t>
        </is>
      </c>
      <c r="C34" s="10" t="inlineStr">
        <is>
          <t>En vente</t>
        </is>
      </c>
      <c r="D34" s="18" t="n">
        <v>46254</v>
      </c>
      <c r="E34" s="18" t="n">
        <v>46254</v>
      </c>
      <c r="F34" s="18" t="n">
        <v>46296</v>
      </c>
      <c r="G34" s="18" t="n"/>
      <c r="H34" s="17">
        <f>IF(OR(ISNUMBER(D34),ISNUMBER(E34)),IF(ISNUMBER(G34),G34,F34)-IF(ISNUMBER(D34),D34,E34),"")</f>
        <v/>
      </c>
      <c r="I34" s="12" t="n">
        <v>12900</v>
      </c>
      <c r="J34" s="12" t="n">
        <v>12900</v>
      </c>
      <c r="K34" s="13">
        <f>IF(AND(ISNUMBER(I34),ISNUMBER(J34),I34&gt;0),1-J34/I34,"")</f>
        <v/>
      </c>
      <c r="L34" s="16" t="n">
        <v>0</v>
      </c>
      <c r="M34" s="15" t="n">
        <v>166000</v>
      </c>
      <c r="N34" s="16" t="n">
        <v>1999</v>
      </c>
      <c r="O34" s="10" t="inlineStr">
        <is>
          <t>1</t>
        </is>
      </c>
      <c r="P34" s="10" t="inlineStr">
        <is>
          <t>1</t>
        </is>
      </c>
      <c r="Q34" s="16" t="n">
        <v>118</v>
      </c>
      <c r="R34" s="16" t="n">
        <v>8</v>
      </c>
      <c r="S34" s="10" t="inlineStr">
        <is>
          <t>autre</t>
        </is>
      </c>
      <c r="T34" s="16" t="n">
        <v>3</v>
      </c>
      <c r="U34" s="10" t="n"/>
      <c r="V34" s="10" t="n"/>
      <c r="W34" s="10" t="inlineStr">
        <is>
          <t>Particulier</t>
        </is>
      </c>
      <c r="X34" s="10" t="inlineStr">
        <is>
          <t>Sallanches</t>
        </is>
      </c>
      <c r="Y34" s="10" t="inlineStr">
        <is>
          <t>74700</t>
        </is>
      </c>
      <c r="Z34" s="10" t="inlineStr">
        <is>
          <t>Haute-Savoie</t>
        </is>
      </c>
      <c r="AA34" s="10" t="inlineStr">
        <is>
          <t>Rhône-Alpes</t>
        </is>
      </c>
      <c r="AB34" s="16" t="n"/>
      <c r="AC34" s="16" t="n"/>
      <c r="AD34" s="10" t="n"/>
      <c r="AE34" s="10" t="n"/>
      <c r="AF34" s="10" t="inlineStr">
        <is>
          <t>1 : 1 ; 2 : 2 ; 3 : 3 ; 4 : 4 ; 1999 : 1999 ; 2027 : 2027 ; https://img.leboncoin.fr/api/v1/tenants/9a6387a1-6259-4f2c-a887-7e67f23dd4cb/domains/20bda58f-d650-462e-a72a-a5a7ecf2bf88/buckets/21d2b0bc-e54c-4b64-a30b-89127b18b785/images/profile/pictures/default/b93473ed-2cac-5846-92b2-360cbc65cff4?rule=pp-small : https://img.leboncoin.fr/api/v1/tenants/9a6387a1-6259-4f2c-a887-7e67f23dd4cb/domains/20bda58f-d650-462e-a72a-a5a7ecf2bf88/buckets/21d2b0bc-e54c-4b64-a30b-89127b18b785/images/profile/pictures/default/b93473ed-2cac-5846-92b2-360cbc65cff4?rule=pp-small ; Citroen : Citroen ; Saxo : Saxo ; CITROEN : CITROEN ; 166000 km : 166000 ; Essence : 1 ; Manuelle : 1 ; Oui : true ; 11/1999 : 11/1999 ; Berline : berline ; Autre : autre ; 8 Cv : 8 ; 118 Ch : 118 ; Avec permis : avecpermis ; credit_card : credit_card ; false : false ; https://autoviza.fr/report/report?uid=66d5b926-51c4-4940-ad0a-72277f23e2e5 : https://autoviza.fr/report/report?uid=66d5b926-51c4-4940-ad0a-72277f23e2e5 ; true : true ; rating_score : 1 ; rating_count : 4 ; u_car_brand : CITROEN ; u_car_model : Saxo ; vehicle_technical_inspection_valid : Oui ; vehicle_technical_inspection_a : 2027 ; vehicle_vsp : Avec permis ; vehicle_available_payment_methods : credit_card ; is_import : false ; vehicle_is_eligible_p2p : 2 ; vehicle_history_report_public_url : https://autoviza.fr/report/report?uid=66d5b926-51c4-4940-ad0a-72277f23e2e5 ; licence_plate_available : true</t>
        </is>
      </c>
      <c r="AG34" s="19" t="inlineStr">
        <is>
          <t>Voir</t>
        </is>
      </c>
      <c r="AH34" s="10" t="inlineStr">
        <is>
          <t>3253410252</t>
        </is>
      </c>
    </row>
    <row r="35">
      <c r="A35" s="10" t="inlineStr">
        <is>
          <t>Citroën Saxo VTS 16V</t>
        </is>
      </c>
      <c r="B35" s="10" t="inlineStr">
        <is>
          <t>Saxo vts</t>
        </is>
      </c>
      <c r="C35" s="10" t="inlineStr">
        <is>
          <t>En vente</t>
        </is>
      </c>
      <c r="D35" s="18" t="n">
        <v>46255</v>
      </c>
      <c r="E35" s="18" t="n">
        <v>46255</v>
      </c>
      <c r="F35" s="18" t="n">
        <v>46296</v>
      </c>
      <c r="G35" s="18" t="n"/>
      <c r="H35" s="17">
        <f>IF(OR(ISNUMBER(D35),ISNUMBER(E35)),IF(ISNUMBER(G35),G35,F35)-IF(ISNUMBER(D35),D35,E35),"")</f>
        <v/>
      </c>
      <c r="I35" s="12" t="n">
        <v>3000</v>
      </c>
      <c r="J35" s="12" t="n">
        <v>3000</v>
      </c>
      <c r="K35" s="13">
        <f>IF(AND(ISNUMBER(I35),ISNUMBER(J35),I35&gt;0),1-J35/I35,"")</f>
        <v/>
      </c>
      <c r="L35" s="16" t="n">
        <v>0</v>
      </c>
      <c r="M35" s="15" t="n">
        <v>170000</v>
      </c>
      <c r="N35" s="16" t="n">
        <v>1999</v>
      </c>
      <c r="O35" s="10" t="inlineStr">
        <is>
          <t>1</t>
        </is>
      </c>
      <c r="P35" s="10" t="inlineStr">
        <is>
          <t>1</t>
        </is>
      </c>
      <c r="Q35" s="16" t="n">
        <v>75</v>
      </c>
      <c r="R35" s="16" t="n">
        <v>5</v>
      </c>
      <c r="S35" s="10" t="inlineStr">
        <is>
          <t>blanc</t>
        </is>
      </c>
      <c r="T35" s="16" t="n">
        <v>3</v>
      </c>
      <c r="U35" s="10" t="n"/>
      <c r="V35" s="10" t="n"/>
      <c r="W35" s="10" t="inlineStr">
        <is>
          <t>Particulier</t>
        </is>
      </c>
      <c r="X35" s="10" t="inlineStr">
        <is>
          <t>Delme</t>
        </is>
      </c>
      <c r="Y35" s="10" t="inlineStr">
        <is>
          <t>57590</t>
        </is>
      </c>
      <c r="Z35" s="10" t="inlineStr">
        <is>
          <t>Moselle</t>
        </is>
      </c>
      <c r="AA35" s="10" t="inlineStr">
        <is>
          <t>Lorraine</t>
        </is>
      </c>
      <c r="AB35" s="16" t="n"/>
      <c r="AC35" s="16" t="n"/>
      <c r="AD35" s="10" t="n"/>
      <c r="AE35" s="10" t="n"/>
      <c r="AF35" s="10" t="inlineStr">
        <is>
          <t>1 : 1 ; 2 : 2 ; 3 : 3 ; 1999 : 1999 ; 2028 : 2028 ; https://img.leboncoin.fr/api/v1/tenants/9a6387a1-6259-4f2c-a887-7e67f23dd4cb/domains/20bda58f-d650-462e-a72a-a5a7ecf2bf88/buckets/21d2b0bc-e54c-4b64-a30b-89127b18b785/images/profile/pictures/default/be8c2c53-240c-5b6f-961c-529babc66be4?rule=pp-small : https://img.leboncoin.fr/api/v1/tenants/9a6387a1-6259-4f2c-a887-7e67f23dd4cb/domains/20bda58f-d650-462e-a72a-a5a7ecf2bf88/buckets/21d2b0bc-e54c-4b64-a30b-89127b18b785/images/profile/pictures/default/be8c2c53-240c-5b6f-961c-529babc66be4?rule=pp-small ; Citroen : Citroen ; Saxo : Saxo ; CITROEN : CITROEN ; 170000 km : 170000 ; Essence : 1 ; Manuelle : 1 ; Oui : true ; 11/1999 : 11/1999 ; Berline : berline ; Blanc : blanc ; 5 Cv : 5 ; 75 Ch : 75 ; Avec permis : avecpermis ; credit_card : credit_card ; false : false ; true : true ; rating_score : 1 ; rating_count : 2 ; u_car_brand : CITROEN ; u_car_model : Saxo ; vehicle_technical_inspection_valid : Oui ; vehicle_technical_inspection_a : 2028 ; vehicle_vsp : Avec permis ; vehicle_available_payment_methods : credit_card ; is_import : false ; vehicle_is_eligible_p2p : 2 ; licence_plate_available : true</t>
        </is>
      </c>
      <c r="AG35" s="19" t="inlineStr">
        <is>
          <t>Voir</t>
        </is>
      </c>
      <c r="AH35" s="10" t="inlineStr">
        <is>
          <t>3253798936</t>
        </is>
      </c>
    </row>
    <row r="36">
      <c r="A36" s="10" t="inlineStr">
        <is>
          <t>Citroën Saxo VTS 16V</t>
        </is>
      </c>
      <c r="B36" s="10" t="inlineStr">
        <is>
          <t>Saxo VTS 16S</t>
        </is>
      </c>
      <c r="C36" s="10" t="inlineStr">
        <is>
          <t>En vente</t>
        </is>
      </c>
      <c r="D36" s="18" t="n">
        <v>46263</v>
      </c>
      <c r="E36" s="18" t="n">
        <v>46263</v>
      </c>
      <c r="F36" s="18" t="n">
        <v>46296</v>
      </c>
      <c r="G36" s="18" t="n"/>
      <c r="H36" s="17">
        <f>IF(OR(ISNUMBER(D36),ISNUMBER(E36)),IF(ISNUMBER(G36),G36,F36)-IF(ISNUMBER(D36),D36,E36),"")</f>
        <v/>
      </c>
      <c r="I36" s="12" t="n">
        <v>5000</v>
      </c>
      <c r="J36" s="12" t="n">
        <v>5000</v>
      </c>
      <c r="K36" s="13">
        <f>IF(AND(ISNUMBER(I36),ISNUMBER(J36),I36&gt;0),1-J36/I36,"")</f>
        <v/>
      </c>
      <c r="L36" s="16" t="n">
        <v>0</v>
      </c>
      <c r="M36" s="15" t="n">
        <v>159000</v>
      </c>
      <c r="N36" s="16" t="n">
        <v>1999</v>
      </c>
      <c r="O36" s="10" t="inlineStr">
        <is>
          <t>1</t>
        </is>
      </c>
      <c r="P36" s="10" t="inlineStr">
        <is>
          <t>1</t>
        </is>
      </c>
      <c r="Q36" s="16" t="n">
        <v>118</v>
      </c>
      <c r="R36" s="16" t="n">
        <v>8</v>
      </c>
      <c r="S36" s="10" t="inlineStr">
        <is>
          <t>rouge</t>
        </is>
      </c>
      <c r="T36" s="16" t="n">
        <v>3</v>
      </c>
      <c r="U36" s="10" t="n"/>
      <c r="V36" s="10" t="n"/>
      <c r="W36" s="10" t="inlineStr">
        <is>
          <t>Particulier</t>
        </is>
      </c>
      <c r="X36" s="10" t="inlineStr">
        <is>
          <t>Château-Thierry</t>
        </is>
      </c>
      <c r="Y36" s="10" t="inlineStr">
        <is>
          <t>02400</t>
        </is>
      </c>
      <c r="Z36" s="10" t="inlineStr">
        <is>
          <t>Aisne</t>
        </is>
      </c>
      <c r="AA36" s="10" t="inlineStr">
        <is>
          <t>Picardie</t>
        </is>
      </c>
      <c r="AB36" s="16" t="n"/>
      <c r="AC36" s="16" t="n"/>
      <c r="AD36" s="10" t="n"/>
      <c r="AE36" s="10" t="n"/>
      <c r="AF36" s="10" t="inlineStr">
        <is>
          <t>1 : 1 ; 2 : 2 ; 3 : 3 ; 1999 : 1999 ; 2027 : 2027 ; 711134 : 711134 ; https://img.leboncoin.fr/api/v1/tenants/9a6387a1-6259-4f2c-a887-7e67f23dd4cb/domains/20bda58f-d650-462e-a72a-a5a7ecf2bf88/buckets/21d2b0bc-e54c-4b64-a30b-89127b18b785/images/profile/pictures/default/10d2ee44-a4b0-5e6b-b8ad-1838be266fa7?rule=pp-small : https://img.leboncoin.fr/api/v1/tenants/9a6387a1-6259-4f2c-a887-7e67f23dd4cb/domains/20bda58f-d650-462e-a72a-a5a7ecf2bf88/buckets/21d2b0bc-e54c-4b64-a30b-89127b18b785/images/profile/pictures/default/10d2ee44-a4b0-5e6b-b8ad-1838be266fa7?rule=pp-small ; Citroen : Citroen ; Saxo : Saxo ; CITROEN : CITROEN ; 159000 km : 159000 ; Essence : 1 ; Manuelle : 1 ; VTS : CITROEN_Saxo_VTS ; VTS_Saxo 1.6 16V 120ch VTS 3p : VTS_Saxo 1.6 16V 120ch VTS 3p ; Oui : true ; 12/1999 : 12/1999 ; Berline : berline ; Rouge : rouge ; 8 Cv : 8 ; 118 Ch : 118 ; Avec permis : avecpermis ; credit_card : credit_card ; false : false ; true : true ; rating_score : 1 ; rating_count : 1 ; u_car_brand : CITROEN ; u_car_model : Saxo ; u_car_finition : VTS ; u_car_version : VTS_Saxo 1.6 16V 120ch VTS 3p ; vehicle_technical_inspection_valid : Oui ; vehicle_technical_inspection_a : 2027 ; vehicle_vsp : Avec permis ; vehicle_available_payment_methods : credit_card ; is_import : false ; vehicle_is_eligible_p2p : 2 ; argus_object_id : 711134 ; licence_plate_available : true</t>
        </is>
      </c>
      <c r="AG36" s="19" t="inlineStr">
        <is>
          <t>Voir</t>
        </is>
      </c>
      <c r="AH36" s="10" t="inlineStr">
        <is>
          <t>3259234628</t>
        </is>
      </c>
    </row>
    <row r="37">
      <c r="A37" s="10" t="inlineStr">
        <is>
          <t>Citroën Saxo VTS 16V</t>
        </is>
      </c>
      <c r="B37" s="10" t="inlineStr">
        <is>
          <t>Citroën Saxo Vts 1.6 8s</t>
        </is>
      </c>
      <c r="C37" s="10" t="inlineStr">
        <is>
          <t>En vente</t>
        </is>
      </c>
      <c r="D37" s="18" t="n">
        <v>46264</v>
      </c>
      <c r="E37" s="18" t="n">
        <v>46264</v>
      </c>
      <c r="F37" s="18" t="n">
        <v>46296</v>
      </c>
      <c r="G37" s="18" t="n"/>
      <c r="H37" s="17">
        <f>IF(OR(ISNUMBER(D37),ISNUMBER(E37)),IF(ISNUMBER(G37),G37,F37)-IF(ISNUMBER(D37),D37,E37),"")</f>
        <v/>
      </c>
      <c r="I37" s="12" t="n">
        <v>5990</v>
      </c>
      <c r="J37" s="12" t="n">
        <v>5990</v>
      </c>
      <c r="K37" s="13">
        <f>IF(AND(ISNUMBER(I37),ISNUMBER(J37),I37&gt;0),1-J37/I37,"")</f>
        <v/>
      </c>
      <c r="L37" s="16" t="n">
        <v>0</v>
      </c>
      <c r="M37" s="15" t="n">
        <v>183500</v>
      </c>
      <c r="N37" s="16" t="n">
        <v>1997</v>
      </c>
      <c r="O37" s="10" t="inlineStr">
        <is>
          <t>1</t>
        </is>
      </c>
      <c r="P37" s="10" t="inlineStr">
        <is>
          <t>1</t>
        </is>
      </c>
      <c r="Q37" s="16" t="n">
        <v>88</v>
      </c>
      <c r="R37" s="16" t="n">
        <v>7</v>
      </c>
      <c r="S37" s="10" t="inlineStr">
        <is>
          <t>bleu</t>
        </is>
      </c>
      <c r="T37" s="16" t="n">
        <v>3</v>
      </c>
      <c r="U37" s="10" t="n"/>
      <c r="V37" s="10" t="inlineStr">
        <is>
          <t>3</t>
        </is>
      </c>
      <c r="W37" s="10" t="inlineStr">
        <is>
          <t>Particulier</t>
        </is>
      </c>
      <c r="X37" s="10" t="inlineStr">
        <is>
          <t>Toulouse</t>
        </is>
      </c>
      <c r="Y37" s="10" t="inlineStr">
        <is>
          <t>31000</t>
        </is>
      </c>
      <c r="Z37" s="10" t="inlineStr">
        <is>
          <t>Haute-Garonne</t>
        </is>
      </c>
      <c r="AA37" s="10" t="inlineStr">
        <is>
          <t>Midi-Pyrénées</t>
        </is>
      </c>
      <c r="AB37" s="16" t="n"/>
      <c r="AC37" s="16" t="n"/>
      <c r="AD37" s="10" t="n"/>
      <c r="AE37" s="10" t="n"/>
      <c r="AF37" s="10" t="inlineStr">
        <is>
          <t>1 : 1 ; 2 : 2 ; 3 : 3 ; 1997 : 1997 ; 2028 : 2028 ; https://img.leboncoin.fr/api/v1/tenants/9a6387a1-6259-4f2c-a887-7e67f23dd4cb/domains/20bda58f-d650-462e-a72a-a5a7ecf2bf88/buckets/21d2b0bc-e54c-4b64-a30b-89127b18b785/images/profile/pictures/default/3820deb0-fb2b-5ae0-a4a7-495ceac47a67?rule=pp-small : https://img.leboncoin.fr/api/v1/tenants/9a6387a1-6259-4f2c-a887-7e67f23dd4cb/domains/20bda58f-d650-462e-a72a-a5a7ecf2bf88/buckets/21d2b0bc-e54c-4b64-a30b-89127b18b785/images/profile/pictures/default/3820deb0-fb2b-5ae0-a4a7-495ceac47a67?rule=pp-small ; Citroen : Citroen ; Saxo : Saxo ; CITROEN : CITROEN ; 183500 km : 183500 ; Essence : 1 ; Manuelle : 1 ; Oui : true ; 03/1997 : 03/1997 ; Bon état général : good_overall_condition ; Berline : berline ; Bleu : bleu ; Euro 3 : euro3 ; 7 Cv : 7 ; 88 Ch : 88 ; Avec permis : avecpermis ; credit_card : credit_card ; false : false ; https://autoviza.fr/report/report?uid=8c961682-8ab0-4037-8b32-eb9675605882 : https://autoviza.fr/report/report?uid=8c961682-8ab0-4037-8b32-eb9675605882 ; visible : visible ; true : true ; rating_score : 1 ; rating_count : 1 ; u_car_brand : CITROEN ; u_car_model : Saxo ; vehicle_technical_inspection_valid : Oui ; vehicle_technical_inspection_a : 2028 ; vehicle_damage : Bon état général ; vehicle_upholstery : Tissu, Velours ; vehicle_maintenance : Carnet d'entretien disponible, Factures disponibles, Réparations utiles déjà faites, Véhicule non fumeur ; vehicle_interior_specs : Bluetooth, Roue de secours ; vehicle_euro_emissions_standard : Euro 3 ; vehicle_vsp : Avec permis ; vehicle_available_payment_methods : credit_card ; is_import : false ; vehicle_is_eligible_p2p : 2 ; vehicle_history_report_public_url : https://autoviza.fr/report/report?uid=8c961682-8ab0-4037-8b32-eb9675605882 ; vehicle_history_report_status : visible ; licence_plate_available : true</t>
        </is>
      </c>
      <c r="AG37" s="19" t="inlineStr">
        <is>
          <t>Voir</t>
        </is>
      </c>
      <c r="AH37" s="10" t="inlineStr">
        <is>
          <t>3259437359</t>
        </is>
      </c>
    </row>
    <row r="38">
      <c r="A38" s="10" t="inlineStr">
        <is>
          <t>Citroën Saxo VTS 16V</t>
        </is>
      </c>
      <c r="B38" s="10" t="inlineStr">
        <is>
          <t>Saxo Vts 1.6 8s</t>
        </is>
      </c>
      <c r="C38" s="10" t="inlineStr">
        <is>
          <t>En vente</t>
        </is>
      </c>
      <c r="D38" s="18" t="n">
        <v>46265</v>
      </c>
      <c r="E38" s="18" t="n">
        <v>46265</v>
      </c>
      <c r="F38" s="18" t="n">
        <v>46296</v>
      </c>
      <c r="G38" s="18" t="n"/>
      <c r="H38" s="17">
        <f>IF(OR(ISNUMBER(D38),ISNUMBER(E38)),IF(ISNUMBER(G38),G38,F38)-IF(ISNUMBER(D38),D38,E38),"")</f>
        <v/>
      </c>
      <c r="I38" s="12" t="n">
        <v>6000</v>
      </c>
      <c r="J38" s="12" t="n">
        <v>6000</v>
      </c>
      <c r="K38" s="13">
        <f>IF(AND(ISNUMBER(I38),ISNUMBER(J38),I38&gt;0),1-J38/I38,"")</f>
        <v/>
      </c>
      <c r="L38" s="16" t="n">
        <v>0</v>
      </c>
      <c r="M38" s="15" t="n">
        <v>229523</v>
      </c>
      <c r="N38" s="16" t="n">
        <v>2002</v>
      </c>
      <c r="O38" s="10" t="inlineStr">
        <is>
          <t>1</t>
        </is>
      </c>
      <c r="P38" s="10" t="inlineStr">
        <is>
          <t>1</t>
        </is>
      </c>
      <c r="Q38" s="16" t="n">
        <v>100</v>
      </c>
      <c r="R38" s="16" t="n">
        <v>6</v>
      </c>
      <c r="S38" s="10" t="inlineStr">
        <is>
          <t>autre</t>
        </is>
      </c>
      <c r="T38" s="16" t="n">
        <v>3</v>
      </c>
      <c r="U38" s="10" t="n"/>
      <c r="V38" s="10" t="n"/>
      <c r="W38" s="10" t="inlineStr">
        <is>
          <t>Particulier</t>
        </is>
      </c>
      <c r="X38" s="10" t="inlineStr">
        <is>
          <t>Privas</t>
        </is>
      </c>
      <c r="Y38" s="10" t="inlineStr">
        <is>
          <t>07000</t>
        </is>
      </c>
      <c r="Z38" s="10" t="inlineStr">
        <is>
          <t>Ardèche</t>
        </is>
      </c>
      <c r="AA38" s="10" t="inlineStr">
        <is>
          <t>Rhône-Alpes</t>
        </is>
      </c>
      <c r="AB38" s="16" t="n"/>
      <c r="AC38" s="16" t="n"/>
      <c r="AD38" s="10" t="n"/>
      <c r="AE38" s="10" t="n"/>
      <c r="AF38" s="10" t="inlineStr">
        <is>
          <t>1 : 1 ; 2 : 2 ; 3 : 3 ; 43 : 43 ; 2002 : 2002 ; https://img.leboncoin.fr/api/v1/tenants/9a6387a1-6259-4f2c-a887-7e67f23dd4cb/domains/20bda58f-d650-462e-a72a-a5a7ecf2bf88/buckets/21d2b0bc-e54c-4b64-a30b-89127b18b785/images/profile/pictures/default/7e4eac86-3489-556d-a0db-a0c369572f73?rule=pp-small : https://img.leboncoin.fr/api/v1/tenants/9a6387a1-6259-4f2c-a887-7e67f23dd4cb/domains/20bda58f-d650-462e-a72a-a5a7ecf2bf88/buckets/21d2b0bc-e54c-4b64-a30b-89127b18b785/images/profile/pictures/default/7e4eac86-3489-556d-a0db-a0c369572f73?rule=pp-small ; Citroen : Citroen ; Saxo : Saxo ; CITROEN : CITROEN ; 229523 km : 229523 ; Essence : 1 ; Manuelle : 1 ; 06/2002 : 06/2002 ; Berline : berline ; Autre : autre ; 6 Cv : 6 ; 100 Ch : 100 ; Avec permis : avecpermis ; credit_card : credit_card ; false : false ; true : true ; rating_score : 1 ; rating_count : 43 ; u_car_brand : CITROEN ; u_car_model : Saxo ; vehicle_vsp : Avec permis ; vehicle_available_payment_methods : credit_card ; is_import : false ; vehicle_is_eligible_p2p : 2 ; licence_plate_available : true</t>
        </is>
      </c>
      <c r="AG38" s="19" t="inlineStr">
        <is>
          <t>Voir</t>
        </is>
      </c>
      <c r="AH38" s="10" t="inlineStr">
        <is>
          <t>3260316059</t>
        </is>
      </c>
    </row>
    <row r="39">
      <c r="A39" s="10" t="inlineStr">
        <is>
          <t>Citroën Saxo VTS 16V</t>
        </is>
      </c>
      <c r="B39" s="10" t="inlineStr">
        <is>
          <t>Saxo vts 120ch</t>
        </is>
      </c>
      <c r="C39" s="10" t="inlineStr">
        <is>
          <t>En vente</t>
        </is>
      </c>
      <c r="D39" s="18" t="n">
        <v>46265</v>
      </c>
      <c r="E39" s="18" t="n">
        <v>46265</v>
      </c>
      <c r="F39" s="18" t="n">
        <v>46296</v>
      </c>
      <c r="G39" s="18" t="n"/>
      <c r="H39" s="17">
        <f>IF(OR(ISNUMBER(D39),ISNUMBER(E39)),IF(ISNUMBER(G39),G39,F39)-IF(ISNUMBER(D39),D39,E39),"")</f>
        <v/>
      </c>
      <c r="I39" s="12" t="n">
        <v>9990</v>
      </c>
      <c r="J39" s="12" t="n">
        <v>9990</v>
      </c>
      <c r="K39" s="13">
        <f>IF(AND(ISNUMBER(I39),ISNUMBER(J39),I39&gt;0),1-J39/I39,"")</f>
        <v/>
      </c>
      <c r="L39" s="16" t="n">
        <v>0</v>
      </c>
      <c r="M39" s="15" t="n">
        <v>79000</v>
      </c>
      <c r="N39" s="16" t="n">
        <v>2003</v>
      </c>
      <c r="O39" s="10" t="inlineStr">
        <is>
          <t>1</t>
        </is>
      </c>
      <c r="P39" s="10" t="inlineStr">
        <is>
          <t>1</t>
        </is>
      </c>
      <c r="Q39" s="16" t="n">
        <v>120</v>
      </c>
      <c r="R39" s="16" t="n">
        <v>8</v>
      </c>
      <c r="S39" s="10" t="inlineStr">
        <is>
          <t>autre</t>
        </is>
      </c>
      <c r="T39" s="16" t="n">
        <v>3</v>
      </c>
      <c r="U39" s="10" t="n"/>
      <c r="V39" s="10" t="n"/>
      <c r="W39" s="10" t="inlineStr">
        <is>
          <t>Particulier</t>
        </is>
      </c>
      <c r="X39" s="10" t="inlineStr">
        <is>
          <t>Richwiller</t>
        </is>
      </c>
      <c r="Y39" s="10" t="inlineStr">
        <is>
          <t>68120</t>
        </is>
      </c>
      <c r="Z39" s="10" t="inlineStr">
        <is>
          <t>Haut-Rhin</t>
        </is>
      </c>
      <c r="AA39" s="10" t="inlineStr">
        <is>
          <t>Alsace</t>
        </is>
      </c>
      <c r="AB39" s="16" t="n"/>
      <c r="AC39" s="16" t="n"/>
      <c r="AD39" s="10" t="n"/>
      <c r="AE39" s="10" t="n"/>
      <c r="AF39" s="10" t="inlineStr">
        <is>
          <t>1 : 1 ; 2 : 2 ; 3 : 3 ; 33 : 33 ; 2003 : 2003 ; 0.99 : 0.99 ; https://img.leboncoin.fr/api/v1/tenants/9a6387a1-6259-4f2c-a887-7e67f23dd4cb/domains/20bda58f-d650-462e-a72a-a5a7ecf2bf88/buckets/21d2b0bc-e54c-4b64-a30b-89127b18b785/images/profile/pictures/default/be88137b-394b-56dd-998f-527c7c10a3b9?rule=pp-small : https://img.leboncoin.fr/api/v1/tenants/9a6387a1-6259-4f2c-a887-7e67f23dd4cb/domains/20bda58f-d650-462e-a72a-a5a7ecf2bf88/buckets/21d2b0bc-e54c-4b64-a30b-89127b18b785/images/profile/pictures/default/be88137b-394b-56dd-998f-527c7c10a3b9?rule=pp-small ; Citroen : Citroen ; Saxo : Saxo ; CITROEN : CITROEN ; 79000 km : 79000 ; Essence : 1 ; Manuelle : 1 ; 02/2003 : 02/2003 ; Berline : berline ; Autre : autre ; 8 Cv : 8 ; 120 Ch : 120 ; Avec permis : avecpermis ; credit_card : credit_card ; false : false ; true : true ; rating_score : 0.99 ; rating_count : 33 ; u_car_brand : CITROEN ; u_car_model : Saxo ; vehicle_vsp : Avec permis ; vehicle_available_payment_methods : credit_card ; is_import : false ; vehicle_is_eligible_p2p : 2 ; licence_plate_available : true</t>
        </is>
      </c>
      <c r="AG39" s="19" t="inlineStr">
        <is>
          <t>Voir</t>
        </is>
      </c>
      <c r="AH39" s="10" t="inlineStr">
        <is>
          <t>3260650856</t>
        </is>
      </c>
    </row>
    <row r="40">
      <c r="A40" s="10" t="inlineStr">
        <is>
          <t>Citroën Saxo VTS 16V</t>
        </is>
      </c>
      <c r="B40" s="10" t="inlineStr">
        <is>
          <t>Saxo Vts 1.6 8s 100ch</t>
        </is>
      </c>
      <c r="C40" s="10" t="inlineStr">
        <is>
          <t>En vente</t>
        </is>
      </c>
      <c r="D40" s="18" t="n">
        <v>46266</v>
      </c>
      <c r="E40" s="18" t="n">
        <v>46266</v>
      </c>
      <c r="F40" s="18" t="n">
        <v>46296</v>
      </c>
      <c r="G40" s="18" t="n"/>
      <c r="H40" s="17">
        <f>IF(OR(ISNUMBER(D40),ISNUMBER(E40)),IF(ISNUMBER(G40),G40,F40)-IF(ISNUMBER(D40),D40,E40),"")</f>
        <v/>
      </c>
      <c r="I40" s="12" t="n">
        <v>6700</v>
      </c>
      <c r="J40" s="12" t="n">
        <v>6700</v>
      </c>
      <c r="K40" s="13">
        <f>IF(AND(ISNUMBER(I40),ISNUMBER(J40),I40&gt;0),1-J40/I40,"")</f>
        <v/>
      </c>
      <c r="L40" s="16" t="n">
        <v>0</v>
      </c>
      <c r="M40" s="15" t="n">
        <v>242000</v>
      </c>
      <c r="N40" s="16" t="n">
        <v>2002</v>
      </c>
      <c r="O40" s="10" t="inlineStr">
        <is>
          <t>1</t>
        </is>
      </c>
      <c r="P40" s="10" t="inlineStr">
        <is>
          <t>1</t>
        </is>
      </c>
      <c r="Q40" s="16" t="n">
        <v>100</v>
      </c>
      <c r="R40" s="16" t="n">
        <v>6</v>
      </c>
      <c r="S40" s="10" t="inlineStr">
        <is>
          <t>rouge</t>
        </is>
      </c>
      <c r="T40" s="16" t="n">
        <v>3</v>
      </c>
      <c r="U40" s="10" t="n"/>
      <c r="V40" s="10" t="n"/>
      <c r="W40" s="10" t="inlineStr">
        <is>
          <t>Particulier</t>
        </is>
      </c>
      <c r="X40" s="10" t="inlineStr">
        <is>
          <t>Gétigné</t>
        </is>
      </c>
      <c r="Y40" s="10" t="inlineStr">
        <is>
          <t>44190</t>
        </is>
      </c>
      <c r="Z40" s="10" t="inlineStr">
        <is>
          <t>Loire-Atlantique</t>
        </is>
      </c>
      <c r="AA40" s="10" t="inlineStr">
        <is>
          <t>Pays de la Loire</t>
        </is>
      </c>
      <c r="AB40" s="16" t="n"/>
      <c r="AC40" s="16" t="n"/>
      <c r="AD40" s="10" t="n"/>
      <c r="AE40" s="10" t="n"/>
      <c r="AF40" s="10" t="inlineStr">
        <is>
          <t>2 : 2 ; 3 : 3 ; 5 : 5 ; 2002 : 2002 ; 0.95 : 0.95 ; https://img.leboncoin.fr/api/v1/tenants/9a6387a1-6259-4f2c-a887-7e67f23dd4cb/domains/20bda58f-d650-462e-a72a-a5a7ecf2bf88/buckets/21d2b0bc-e54c-4b64-a30b-89127b18b785/images/profile/pictures/default/f0c3b476-30d7-5dd4-8d5d-fc3c1bcbd89c?rule=pp-small : https://img.leboncoin.fr/api/v1/tenants/9a6387a1-6259-4f2c-a887-7e67f23dd4cb/domains/20bda58f-d650-462e-a72a-a5a7ecf2bf88/buckets/21d2b0bc-e54c-4b64-a30b-89127b18b785/images/profile/pictures/default/f0c3b476-30d7-5dd4-8d5d-fc3c1bcbd89c?rule=pp-small ; Citroen : Citroen ; Saxo : Saxo ; CITROEN : CITROEN ; 242000 km : 242000 ; Essence : 1 ; Manuelle : 1 ; 04/2002 : 04/2002 ; Bon état général : good_overall_condition ; Berline : berline ; Rouge : rouge ; 6 Cv : 6 ; 100 Ch : 100 ; Avec permis : avecpermis ; credit_card : credit_card ; false : false ; true : true ; rating_score : 0.95 ; rating_count : 2 ; u_car_brand : CITROEN ; u_car_model : Saxo ; vehicle_damage : Bon état général ; vehicle_upholstery : Tissu ; vehicle_vsp : Avec permis ; vehicle_available_payment_methods : credit_card ; is_import : false ; vehicle_is_eligible_p2p : 2 ; licence_plate_available : true</t>
        </is>
      </c>
      <c r="AG40" s="19" t="inlineStr">
        <is>
          <t>Voir</t>
        </is>
      </c>
      <c r="AH40" s="10" t="inlineStr">
        <is>
          <t>3260831234</t>
        </is>
      </c>
    </row>
    <row r="41">
      <c r="A41" s="10" t="inlineStr">
        <is>
          <t>Citroën Saxo VTS 16V</t>
        </is>
      </c>
      <c r="B41" s="10" t="inlineStr">
        <is>
          <t>Saxo vts 16v/16s route/piste</t>
        </is>
      </c>
      <c r="C41" s="10" t="inlineStr">
        <is>
          <t>En vente</t>
        </is>
      </c>
      <c r="D41" s="18" t="n">
        <v>46267</v>
      </c>
      <c r="E41" s="18" t="n">
        <v>46267</v>
      </c>
      <c r="F41" s="18" t="n">
        <v>46296</v>
      </c>
      <c r="G41" s="18" t="n"/>
      <c r="H41" s="17">
        <f>IF(OR(ISNUMBER(D41),ISNUMBER(E41)),IF(ISNUMBER(G41),G41,F41)-IF(ISNUMBER(D41),D41,E41),"")</f>
        <v/>
      </c>
      <c r="I41" s="12" t="n">
        <v>6800</v>
      </c>
      <c r="J41" s="12" t="n">
        <v>6800</v>
      </c>
      <c r="K41" s="13">
        <f>IF(AND(ISNUMBER(I41),ISNUMBER(J41),I41&gt;0),1-J41/I41,"")</f>
        <v/>
      </c>
      <c r="L41" s="16" t="n">
        <v>0</v>
      </c>
      <c r="M41" s="15" t="n">
        <v>135000</v>
      </c>
      <c r="N41" s="16" t="n">
        <v>2000</v>
      </c>
      <c r="O41" s="10" t="inlineStr">
        <is>
          <t>1</t>
        </is>
      </c>
      <c r="P41" s="10" t="inlineStr">
        <is>
          <t>1</t>
        </is>
      </c>
      <c r="Q41" s="16" t="n">
        <v>118</v>
      </c>
      <c r="R41" s="16" t="n">
        <v>8</v>
      </c>
      <c r="S41" s="10" t="inlineStr">
        <is>
          <t>blanc</t>
        </is>
      </c>
      <c r="T41" s="16" t="n">
        <v>3</v>
      </c>
      <c r="U41" s="10" t="n"/>
      <c r="V41" s="10" t="n"/>
      <c r="W41" s="10" t="inlineStr">
        <is>
          <t>Particulier</t>
        </is>
      </c>
      <c r="X41" s="10" t="inlineStr">
        <is>
          <t>Messein</t>
        </is>
      </c>
      <c r="Y41" s="10" t="inlineStr">
        <is>
          <t>54850</t>
        </is>
      </c>
      <c r="Z41" s="10" t="inlineStr">
        <is>
          <t>Meurthe-et-Moselle</t>
        </is>
      </c>
      <c r="AA41" s="10" t="inlineStr">
        <is>
          <t>Lorraine</t>
        </is>
      </c>
      <c r="AB41" s="16" t="n"/>
      <c r="AC41" s="16" t="n"/>
      <c r="AD41" s="10" t="n"/>
      <c r="AE41" s="10" t="n"/>
      <c r="AF41" s="10" t="inlineStr">
        <is>
          <t>1 : 1 ; 2 : 2 ; 3 : 3 ; 12 : 12 ; 2000 : 2000 ; 2027 : 2027 ; https://img.leboncoin.fr/api/v1/tenants/9a6387a1-6259-4f2c-a887-7e67f23dd4cb/domains/20bda58f-d650-462e-a72a-a5a7ecf2bf88/buckets/21d2b0bc-e54c-4b64-a30b-89127b18b785/images/profile/pictures/default/6de8eee0-4496-5b7e-a1a1-feb99408ab12?rule=pp-small : https://img.leboncoin.fr/api/v1/tenants/9a6387a1-6259-4f2c-a887-7e67f23dd4cb/domains/20bda58f-d650-462e-a72a-a5a7ecf2bf88/buckets/21d2b0bc-e54c-4b64-a30b-89127b18b785/images/profile/pictures/default/6de8eee0-4496-5b7e-a1a1-feb99408ab12?rule=pp-small ; Citroen : Citroen ; Saxo : Saxo ; CITROEN : CITROEN ; 135000 km : 135000 ; Essence : 1 ; Manuelle : 1 ; Oui : true ; 09/2000 : 09/2000 ; Berline : berline ; Blanc : blanc ; 8 Cv : 8 ; 118 Ch : 118 ; Avec permis : avecpermis ; credit_card : credit_card ; false : false ; true : true ; rating_score : 1 ; rating_count : 12 ; u_car_brand : CITROEN ; u_car_model : Saxo ; vehicle_technical_inspection_valid : Oui ; vehicle_technical_inspection_a : 2027 ; vehicle_vsp : Avec permis ; vehicle_available_payment_methods : credit_card ; is_import : false ; vehicle_is_eligible_p2p : 2 ; licence_plate_available : true</t>
        </is>
      </c>
      <c r="AG41" s="19" t="inlineStr">
        <is>
          <t>Voir</t>
        </is>
      </c>
      <c r="AH41" s="10" t="inlineStr">
        <is>
          <t>3261627755</t>
        </is>
      </c>
    </row>
    <row r="42">
      <c r="A42" s="10" t="inlineStr">
        <is>
          <t>Citroën Saxo VTS 16V</t>
        </is>
      </c>
      <c r="B42" s="10" t="inlineStr">
        <is>
          <t>Saxo vts 16s 120ch</t>
        </is>
      </c>
      <c r="C42" s="10" t="inlineStr">
        <is>
          <t>En vente</t>
        </is>
      </c>
      <c r="D42" s="18" t="n">
        <v>46269</v>
      </c>
      <c r="E42" s="18" t="n">
        <v>46269</v>
      </c>
      <c r="F42" s="18" t="n">
        <v>46296</v>
      </c>
      <c r="G42" s="18" t="n"/>
      <c r="H42" s="17">
        <f>IF(OR(ISNUMBER(D42),ISNUMBER(E42)),IF(ISNUMBER(G42),G42,F42)-IF(ISNUMBER(D42),D42,E42),"")</f>
        <v/>
      </c>
      <c r="I42" s="12" t="n">
        <v>7600</v>
      </c>
      <c r="J42" s="12" t="n">
        <v>7600</v>
      </c>
      <c r="K42" s="13">
        <f>IF(AND(ISNUMBER(I42),ISNUMBER(J42),I42&gt;0),1-J42/I42,"")</f>
        <v/>
      </c>
      <c r="L42" s="16" t="n">
        <v>0</v>
      </c>
      <c r="M42" s="15" t="n">
        <v>209000</v>
      </c>
      <c r="N42" s="16" t="n">
        <v>2002</v>
      </c>
      <c r="O42" s="10" t="inlineStr">
        <is>
          <t>1</t>
        </is>
      </c>
      <c r="P42" s="10" t="inlineStr">
        <is>
          <t>1</t>
        </is>
      </c>
      <c r="Q42" s="16" t="n">
        <v>120</v>
      </c>
      <c r="R42" s="16" t="n">
        <v>8</v>
      </c>
      <c r="S42" s="10" t="inlineStr">
        <is>
          <t>gris</t>
        </is>
      </c>
      <c r="T42" s="16" t="n">
        <v>3</v>
      </c>
      <c r="U42" s="10" t="n"/>
      <c r="V42" s="10" t="n"/>
      <c r="W42" s="10" t="inlineStr">
        <is>
          <t>Particulier</t>
        </is>
      </c>
      <c r="X42" s="10" t="inlineStr">
        <is>
          <t>Bennwihr</t>
        </is>
      </c>
      <c r="Y42" s="10" t="inlineStr">
        <is>
          <t>68630</t>
        </is>
      </c>
      <c r="Z42" s="10" t="inlineStr">
        <is>
          <t>Haut-Rhin</t>
        </is>
      </c>
      <c r="AA42" s="10" t="inlineStr">
        <is>
          <t>Alsace</t>
        </is>
      </c>
      <c r="AB42" s="16" t="n"/>
      <c r="AC42" s="16" t="n"/>
      <c r="AD42" s="10" t="n"/>
      <c r="AE42" s="10" t="n"/>
      <c r="AF42" s="10" t="inlineStr">
        <is>
          <t>2 : 2 ; 3 : 3 ; 2002 : 2002 ; 711225 : 711225 ; https://img.leboncoin.fr/api/v1/tenants/9a6387a1-6259-4f2c-a887-7e67f23dd4cb/domains/20bda58f-d650-462e-a72a-a5a7ecf2bf88/buckets/21d2b0bc-e54c-4b64-a30b-89127b18b785/images/profile/pictures/default/0e88c935-0555-5b96-8a2b-47ce21c81498?rule=pp-small : https://img.leboncoin.fr/api/v1/tenants/9a6387a1-6259-4f2c-a887-7e67f23dd4cb/domains/20bda58f-d650-462e-a72a-a5a7ecf2bf88/buckets/21d2b0bc-e54c-4b64-a30b-89127b18b785/images/profile/pictures/default/0e88c935-0555-5b96-8a2b-47ce21c81498?rule=pp-small ; Citroen : Citroen ; Saxo : Saxo ; CITROEN : CITROEN ; 209000 km : 209000 ; Essence : 1 ; Manuelle : 1 ; VTS : CITROEN_Saxo_VTS ; Saxo 1.6 16v VTS 3p : Saxo 1.6 16v VTS 3p ; 11/2002 : 11/2002 ; Berline : berline ; Gris : gris ; 8 Cv : 8 ; 120 Ch : 120 ; Avec permis : avecpermis ; credit_card : credit_card ; false : false ; true : true ; u_car_brand : CITROEN ; u_car_model : Saxo ; u_car_finition : VTS ; u_car_version : Saxo 1.6 16v VTS 3p ; vehicle_vsp : Avec permis ; vehicle_available_payment_methods : credit_card ; is_import : false ; vehicle_is_eligible_p2p : 2 ; argus_object_id : 711225 ; licence_plate_available : true</t>
        </is>
      </c>
      <c r="AG42" s="19" t="inlineStr">
        <is>
          <t>Voir</t>
        </is>
      </c>
      <c r="AH42" s="10" t="inlineStr">
        <is>
          <t>3262635276</t>
        </is>
      </c>
    </row>
    <row r="43">
      <c r="A43" s="10" t="inlineStr">
        <is>
          <t>Citroën Saxo VTS 16V</t>
        </is>
      </c>
      <c r="B43" s="10" t="inlineStr">
        <is>
          <t>Saxo vts 16v</t>
        </is>
      </c>
      <c r="C43" s="10" t="inlineStr">
        <is>
          <t>En vente</t>
        </is>
      </c>
      <c r="D43" s="18" t="n">
        <v>46271</v>
      </c>
      <c r="E43" s="18" t="n">
        <v>46271</v>
      </c>
      <c r="F43" s="18" t="n">
        <v>46296</v>
      </c>
      <c r="G43" s="18" t="n"/>
      <c r="H43" s="17">
        <f>IF(OR(ISNUMBER(D43),ISNUMBER(E43)),IF(ISNUMBER(G43),G43,F43)-IF(ISNUMBER(D43),D43,E43),"")</f>
        <v/>
      </c>
      <c r="I43" s="12" t="n">
        <v>10900</v>
      </c>
      <c r="J43" s="12" t="n">
        <v>10900</v>
      </c>
      <c r="K43" s="13">
        <f>IF(AND(ISNUMBER(I43),ISNUMBER(J43),I43&gt;0),1-J43/I43,"")</f>
        <v/>
      </c>
      <c r="L43" s="16" t="n">
        <v>0</v>
      </c>
      <c r="M43" s="15" t="n">
        <v>144000</v>
      </c>
      <c r="N43" s="16" t="n">
        <v>1997</v>
      </c>
      <c r="O43" s="10" t="inlineStr">
        <is>
          <t>1</t>
        </is>
      </c>
      <c r="P43" s="10" t="inlineStr">
        <is>
          <t>1</t>
        </is>
      </c>
      <c r="Q43" s="16" t="n">
        <v>120</v>
      </c>
      <c r="R43" s="16" t="n">
        <v>8</v>
      </c>
      <c r="S43" s="10" t="inlineStr">
        <is>
          <t>bleu</t>
        </is>
      </c>
      <c r="T43" s="16" t="n">
        <v>3</v>
      </c>
      <c r="U43" s="10" t="n"/>
      <c r="V43" s="10" t="n"/>
      <c r="W43" s="10" t="inlineStr">
        <is>
          <t>Particulier</t>
        </is>
      </c>
      <c r="X43" s="10" t="inlineStr">
        <is>
          <t>Festubert</t>
        </is>
      </c>
      <c r="Y43" s="10" t="inlineStr">
        <is>
          <t>62149</t>
        </is>
      </c>
      <c r="Z43" s="10" t="inlineStr">
        <is>
          <t>Pas-de-Calais</t>
        </is>
      </c>
      <c r="AA43" s="10" t="inlineStr">
        <is>
          <t>Nord-Pas-de-Calais</t>
        </is>
      </c>
      <c r="AB43" s="16" t="n"/>
      <c r="AC43" s="16" t="n"/>
      <c r="AD43" s="10" t="n"/>
      <c r="AE43" s="10" t="n"/>
      <c r="AF43" s="10" t="inlineStr">
        <is>
          <t>1 : 1 ; 2 : 2 ; 3 : 3 ; 124 : 124 ; 1997 : 1997 ; 2028 : 2028 ; 711067 : 711067 ; 0.98 : 0.98 ; https://img.leboncoin.fr/api/v1/tenants/9a6387a1-6259-4f2c-a887-7e67f23dd4cb/domains/20bda58f-d650-462e-a72a-a5a7ecf2bf88/buckets/21d2b0bc-e54c-4b64-a30b-89127b18b785/images/profile/pictures/541ea520-8c63-5dc6-9758-a9eeb32c6579?rule=pp-small : https://img.leboncoin.fr/api/v1/tenants/9a6387a1-6259-4f2c-a887-7e67f23dd4cb/domains/20bda58f-d650-462e-a72a-a5a7ecf2bf88/buckets/21d2b0bc-e54c-4b64-a30b-89127b18b785/images/profile/pictures/541ea520-8c63-5dc6-9758-a9eeb32c6579?rule=pp-small ; Citroen : Citroen ; Saxo : Saxo ; CITROEN : CITROEN ; 144000 km : 144000 ; Essence : 1 ; Manuelle : 1 ; VTS : CITROEN_Saxo_VTS ; VTS_Saxo 1.6 16V 120ch VTS 3p : VTS_Saxo 1.6 16V 120ch VTS 3p ; Oui : true ; 02/1997 : 02/1997 ; Bon état général : good_overall_condition ; Berline : berline ; Bleu : bleu ; 8 Cv : 8 ; 120 Ch : 120 ; Avec permis : avecpermis ; credit_card : credit_card ; false : false ; https://autoviza.fr/report/report?uid=ac94a856-1aa2-444a-8228-4402e9e49a6b : https://autoviza.fr/report/report?uid=ac94a856-1aa2-444a-8228-4402e9e49a6b ; true : true ; rating_score : 0.98 ; rating_count : 124 ; u_car_brand : CITROEN ; u_car_model : Saxo ; u_car_finition : VTS ; u_car_version : VTS_Saxo 1.6 16V 120ch VTS 3p ; vehicle_technical_inspection_valid : Oui ; vehicle_technical_inspection_a : 2028 ; vehicle_damage : Bon état général ; vehicle_upholstery : Velours ; vehicle_maintenance : Factures disponibles, Véhicule non fumeur, Réparations utiles déjà faites ; vehicle_interior_specs : Jantes en alliage, Sièges sport ; vehicle_vsp : Avec permis ; vehicle_available_payment_methods : credit_card ; is_import : false ; vehicle_is_eligible_p2p : 2 ; vehicle_history_report_public_url : https://autoviza.fr/report/report?uid=ac94a856-1aa2-444a-8228-4402e9e49a6b ; argus_object_id : 711067 ; licence_plate_available : true</t>
        </is>
      </c>
      <c r="AG43" s="19" t="inlineStr">
        <is>
          <t>Voir</t>
        </is>
      </c>
      <c r="AH43" s="10" t="inlineStr">
        <is>
          <t>3264107945</t>
        </is>
      </c>
    </row>
    <row r="44">
      <c r="A44" s="10" t="inlineStr">
        <is>
          <t>Citroën Saxo VTS 16V</t>
        </is>
      </c>
      <c r="B44" s="10" t="inlineStr">
        <is>
          <t>Saxo vts 16v 2000</t>
        </is>
      </c>
      <c r="C44" s="10" t="inlineStr">
        <is>
          <t>En vente</t>
        </is>
      </c>
      <c r="D44" s="18" t="n">
        <v>46273</v>
      </c>
      <c r="E44" s="18" t="n">
        <v>46273</v>
      </c>
      <c r="F44" s="18" t="n">
        <v>46296</v>
      </c>
      <c r="G44" s="18" t="n"/>
      <c r="H44" s="17">
        <f>IF(OR(ISNUMBER(D44),ISNUMBER(E44)),IF(ISNUMBER(G44),G44,F44)-IF(ISNUMBER(D44),D44,E44),"")</f>
        <v/>
      </c>
      <c r="I44" s="12" t="n">
        <v>7500</v>
      </c>
      <c r="J44" s="12" t="n">
        <v>7500</v>
      </c>
      <c r="K44" s="13">
        <f>IF(AND(ISNUMBER(I44),ISNUMBER(J44),I44&gt;0),1-J44/I44,"")</f>
        <v/>
      </c>
      <c r="L44" s="16" t="n">
        <v>0</v>
      </c>
      <c r="M44" s="15" t="n">
        <v>216500</v>
      </c>
      <c r="N44" s="16" t="n">
        <v>2000</v>
      </c>
      <c r="O44" s="10" t="inlineStr">
        <is>
          <t>1</t>
        </is>
      </c>
      <c r="P44" s="10" t="inlineStr">
        <is>
          <t>1</t>
        </is>
      </c>
      <c r="Q44" s="16" t="n">
        <v>118</v>
      </c>
      <c r="R44" s="16" t="n">
        <v>8</v>
      </c>
      <c r="S44" s="10" t="inlineStr">
        <is>
          <t>autre</t>
        </is>
      </c>
      <c r="T44" s="16" t="n">
        <v>3</v>
      </c>
      <c r="U44" s="10" t="n"/>
      <c r="V44" s="10" t="n"/>
      <c r="W44" s="10" t="inlineStr">
        <is>
          <t>Particulier</t>
        </is>
      </c>
      <c r="X44" s="10" t="inlineStr">
        <is>
          <t>Ménétreux-le-Pitois</t>
        </is>
      </c>
      <c r="Y44" s="10" t="inlineStr">
        <is>
          <t>21150</t>
        </is>
      </c>
      <c r="Z44" s="10" t="inlineStr">
        <is>
          <t>Côte-d'Or</t>
        </is>
      </c>
      <c r="AA44" s="10" t="inlineStr">
        <is>
          <t>Bourgogne</t>
        </is>
      </c>
      <c r="AB44" s="16" t="n"/>
      <c r="AC44" s="16" t="n"/>
      <c r="AD44" s="10" t="n"/>
      <c r="AE44" s="10" t="n"/>
      <c r="AF44" s="10" t="inlineStr">
        <is>
          <t>1 : 1 ; 2 : 2 ; 3 : 3 ; 2000 : 2000 ; 2028 : 2028 ; https://img.leboncoin.fr/api/v1/tenants/9a6387a1-6259-4f2c-a887-7e67f23dd4cb/domains/20bda58f-d650-462e-a72a-a5a7ecf2bf88/buckets/21d2b0bc-e54c-4b64-a30b-89127b18b785/images/profile/pictures/default/46c6b609-1ce0-57f0-acf8-be60ddcbe529?rule=pp-small : https://img.leboncoin.fr/api/v1/tenants/9a6387a1-6259-4f2c-a887-7e67f23dd4cb/domains/20bda58f-d650-462e-a72a-a5a7ecf2bf88/buckets/21d2b0bc-e54c-4b64-a30b-89127b18b785/images/profile/pictures/default/46c6b609-1ce0-57f0-acf8-be60ddcbe529?rule=pp-small ; Citroen : Citroen ; Saxo : Saxo ; CITROEN : CITROEN ; 216500 km : 216500 ; Essence : 1 ; Manuelle : 1 ; Oui : true ; 07/2000 : 07/2000 ; Berline : berline ; Autre : autre ; 8 Cv : 8 ; 118 Ch : 118 ; Avec permis : avecpermis ; credit_card : credit_card ; false : false ; https://autoviza.fr/report/report?uid=4e6297b6-8f2f-45b6-8d3f-b954541ca0d2 : https://autoviza.fr/report/report?uid=4e6297b6-8f2f-45b6-8d3f-b954541ca0d2 ; true : true ; u_car_brand : CITROEN ; u_car_model : Saxo ; vehicle_technical_inspection_valid : Oui ; vehicle_technical_inspection_a : 2028 ; vehicle_vsp : Avec permis ; vehicle_available_payment_methods : credit_card ; is_import : false ; vehicle_is_eligible_p2p : 2 ; vehicle_history_report_public_url : https://autoviza.fr/report/report?uid=4e6297b6-8f2f-45b6-8d3f-b954541ca0d2 ; licence_plate_available : true</t>
        </is>
      </c>
      <c r="AG44" s="19" t="inlineStr">
        <is>
          <t>Voir</t>
        </is>
      </c>
      <c r="AH44" s="10" t="inlineStr">
        <is>
          <t>3266045304</t>
        </is>
      </c>
    </row>
    <row r="45">
      <c r="A45" s="10" t="inlineStr">
        <is>
          <t>Citroën Saxo VTS 16V</t>
        </is>
      </c>
      <c r="B45" s="10" t="inlineStr">
        <is>
          <t>Citroën saxo vts</t>
        </is>
      </c>
      <c r="C45" s="10" t="inlineStr">
        <is>
          <t>En vente</t>
        </is>
      </c>
      <c r="D45" s="18" t="n">
        <v>46279</v>
      </c>
      <c r="E45" s="18" t="n">
        <v>46279</v>
      </c>
      <c r="F45" s="18" t="n">
        <v>46296</v>
      </c>
      <c r="G45" s="18" t="n"/>
      <c r="H45" s="17">
        <f>IF(OR(ISNUMBER(D45),ISNUMBER(E45)),IF(ISNUMBER(G45),G45,F45)-IF(ISNUMBER(D45),D45,E45),"")</f>
        <v/>
      </c>
      <c r="I45" s="12" t="n">
        <v>2500</v>
      </c>
      <c r="J45" s="12" t="n">
        <v>2500</v>
      </c>
      <c r="K45" s="13">
        <f>IF(AND(ISNUMBER(I45),ISNUMBER(J45),I45&gt;0),1-J45/I45,"")</f>
        <v/>
      </c>
      <c r="L45" s="16" t="n">
        <v>0</v>
      </c>
      <c r="M45" s="15" t="n">
        <v>150000</v>
      </c>
      <c r="N45" s="16" t="n">
        <v>2000</v>
      </c>
      <c r="O45" s="10" t="inlineStr">
        <is>
          <t>1</t>
        </is>
      </c>
      <c r="P45" s="10" t="inlineStr">
        <is>
          <t>1</t>
        </is>
      </c>
      <c r="Q45" s="16" t="n">
        <v>75</v>
      </c>
      <c r="R45" s="16" t="n">
        <v>5</v>
      </c>
      <c r="S45" s="10" t="inlineStr">
        <is>
          <t>autre</t>
        </is>
      </c>
      <c r="T45" s="16" t="n">
        <v>3</v>
      </c>
      <c r="U45" s="10" t="n"/>
      <c r="V45" s="10" t="n"/>
      <c r="W45" s="10" t="inlineStr">
        <is>
          <t>Particulier</t>
        </is>
      </c>
      <c r="X45" s="10" t="inlineStr">
        <is>
          <t>Naintré</t>
        </is>
      </c>
      <c r="Y45" s="10" t="inlineStr">
        <is>
          <t>86530</t>
        </is>
      </c>
      <c r="Z45" s="10" t="inlineStr">
        <is>
          <t>Vienne</t>
        </is>
      </c>
      <c r="AA45" s="10" t="inlineStr">
        <is>
          <t>Poitou-Charentes</t>
        </is>
      </c>
      <c r="AB45" s="16" t="n"/>
      <c r="AC45" s="16" t="n"/>
      <c r="AD45" s="10" t="n"/>
      <c r="AE45" s="10" t="n"/>
      <c r="AF45" s="10" t="inlineStr">
        <is>
          <t>1 : 1 ; 2 : 2 ; 3 : 3 ; 4 : 4 ; 2000 : 2000 ; https://img.leboncoin.fr/api/v1/tenants/9a6387a1-6259-4f2c-a887-7e67f23dd4cb/domains/20bda58f-d650-462e-a72a-a5a7ecf2bf88/buckets/21d2b0bc-e54c-4b64-a30b-89127b18b785/images/profile/pictures/default/3487ed45-7e41-5fbf-bda1-a23033dce085?rule=pp-small : https://img.leboncoin.fr/api/v1/tenants/9a6387a1-6259-4f2c-a887-7e67f23dd4cb/domains/20bda58f-d650-462e-a72a-a5a7ecf2bf88/buckets/21d2b0bc-e54c-4b64-a30b-89127b18b785/images/profile/pictures/default/3487ed45-7e41-5fbf-bda1-a23033dce085?rule=pp-small ; Citroen : Citroen ; Saxo : Saxo ; CITROEN : CITROEN ; 150000 km : 150000 ; Essence : 1 ; Manuelle : 1 ; 04/2000 : 04/2000 ; Berline : berline ; Autre : autre ; 5 Cv : 5 ; 75 Ch : 75 ; Avec permis : avecpermis ; credit_card : credit_card ; false : false ; true : true ; rating_score : 1 ; rating_count : 4 ; u_car_brand : CITROEN ; u_car_model : Saxo ; vehicle_vsp : Avec permis ; vehicle_available_payment_methods : credit_card ; is_import : false ; vehicle_is_eligible_p2p : 2 ; licence_plate_available : true</t>
        </is>
      </c>
      <c r="AG45" s="19" t="inlineStr">
        <is>
          <t>Voir</t>
        </is>
      </c>
      <c r="AH45" s="10" t="inlineStr">
        <is>
          <t>3269890983</t>
        </is>
      </c>
    </row>
    <row r="46">
      <c r="A46" s="10" t="inlineStr">
        <is>
          <t>Citroën Saxo VTS 16V</t>
        </is>
      </c>
      <c r="B46" s="10" t="inlineStr">
        <is>
          <t>Saxo Vts 1.6 8s</t>
        </is>
      </c>
      <c r="C46" s="10" t="inlineStr">
        <is>
          <t>En vente</t>
        </is>
      </c>
      <c r="D46" s="18" t="n">
        <v>46280</v>
      </c>
      <c r="E46" s="18" t="n">
        <v>46280</v>
      </c>
      <c r="F46" s="18" t="n">
        <v>46296</v>
      </c>
      <c r="G46" s="18" t="n"/>
      <c r="H46" s="17">
        <f>IF(OR(ISNUMBER(D46),ISNUMBER(E46)),IF(ISNUMBER(G46),G46,F46)-IF(ISNUMBER(D46),D46,E46),"")</f>
        <v/>
      </c>
      <c r="I46" s="12" t="n">
        <v>4500</v>
      </c>
      <c r="J46" s="12" t="n">
        <v>4500</v>
      </c>
      <c r="K46" s="13">
        <f>IF(AND(ISNUMBER(I46),ISNUMBER(J46),I46&gt;0),1-J46/I46,"")</f>
        <v/>
      </c>
      <c r="L46" s="16" t="n">
        <v>0</v>
      </c>
      <c r="M46" s="15" t="n">
        <v>250000</v>
      </c>
      <c r="N46" s="16" t="n">
        <v>2001</v>
      </c>
      <c r="O46" s="10" t="inlineStr">
        <is>
          <t>1</t>
        </is>
      </c>
      <c r="P46" s="10" t="inlineStr">
        <is>
          <t>1</t>
        </is>
      </c>
      <c r="Q46" s="16" t="n">
        <v>90</v>
      </c>
      <c r="R46" s="16" t="n">
        <v>5</v>
      </c>
      <c r="S46" s="10" t="inlineStr">
        <is>
          <t>argent</t>
        </is>
      </c>
      <c r="T46" s="16" t="n">
        <v>3</v>
      </c>
      <c r="U46" s="10" t="n"/>
      <c r="V46" s="10" t="inlineStr">
        <is>
          <t>6</t>
        </is>
      </c>
      <c r="W46" s="10" t="inlineStr">
        <is>
          <t>Particulier</t>
        </is>
      </c>
      <c r="X46" s="10" t="inlineStr">
        <is>
          <t>Saint-Pierre</t>
        </is>
      </c>
      <c r="Y46" s="10" t="inlineStr">
        <is>
          <t>97410</t>
        </is>
      </c>
      <c r="Z46" s="10" t="n"/>
      <c r="AA46" s="10" t="inlineStr">
        <is>
          <t>Réunion</t>
        </is>
      </c>
      <c r="AB46" s="16" t="n"/>
      <c r="AC46" s="16" t="n"/>
      <c r="AD46" s="10" t="n"/>
      <c r="AE46" s="10" t="n"/>
      <c r="AF46" s="10" t="inlineStr">
        <is>
          <t>1 : 1 ; 2 : 2 ; 3 : 3 ; 2001 : 2001 ; https://img.leboncoin.fr/api/v1/tenants/9a6387a1-6259-4f2c-a887-7e67f23dd4cb/domains/20bda58f-d650-462e-a72a-a5a7ecf2bf88/buckets/21d2b0bc-e54c-4b64-a30b-89127b18b785/images/profile/pictures/36071b7d-d543-5315-81a5-99e0f0b1811f?rule=pp-small : https://img.leboncoin.fr/api/v1/tenants/9a6387a1-6259-4f2c-a887-7e67f23dd4cb/domains/20bda58f-d650-462e-a72a-a5a7ecf2bf88/buckets/21d2b0bc-e54c-4b64-a30b-89127b18b785/images/profile/pictures/36071b7d-d543-5315-81a5-99e0f0b1811f?rule=pp-small ; Citroen : Citroen ; Saxo : Saxo ; CITROEN : CITROEN ; 250000 km : 250000 ; Essence : 1 ; Manuelle : 1 ; 11/2001 : 11/2001 ; Bon état général : good_overall_condition ; Berline : berline ; Argent : argent ; Non classé : 6 ; 5 Cv : 5 ; 90 Ch : 90 ; Avec permis : avecpermis ; credit_card : credit_card ; false : false ; true : true ; u_car_brand : CITROEN ; u_car_model : Saxo ; vehicle_damage : Bon état général ; vehicle_upholstery : Tissu ; vehicle_maintenance : Factures disponibles, Réparations utiles déjà faites, Véhicule non fumeur ; vehicle_vsp : Avec permis ; vehicle_available_payment_methods : credit_card ; is_import : false ; vehicle_is_eligible_p2p : 2 ; licence_plate_available : true</t>
        </is>
      </c>
      <c r="AG46" s="19" t="inlineStr">
        <is>
          <t>Voir</t>
        </is>
      </c>
      <c r="AH46" s="10" t="inlineStr">
        <is>
          <t>3270100305</t>
        </is>
      </c>
    </row>
    <row r="47">
      <c r="A47" s="10" t="inlineStr">
        <is>
          <t>Citroën Saxo VTS 16V</t>
        </is>
      </c>
      <c r="B47" s="10" t="inlineStr">
        <is>
          <t>Saxo vts 1.6 8s</t>
        </is>
      </c>
      <c r="C47" s="10" t="inlineStr">
        <is>
          <t>En vente</t>
        </is>
      </c>
      <c r="D47" s="18" t="n">
        <v>46281</v>
      </c>
      <c r="E47" s="18" t="n">
        <v>46281</v>
      </c>
      <c r="F47" s="18" t="n">
        <v>46296</v>
      </c>
      <c r="G47" s="18" t="n"/>
      <c r="H47" s="17">
        <f>IF(OR(ISNUMBER(D47),ISNUMBER(E47)),IF(ISNUMBER(G47),G47,F47)-IF(ISNUMBER(D47),D47,E47),"")</f>
        <v/>
      </c>
      <c r="I47" s="12" t="n">
        <v>1600</v>
      </c>
      <c r="J47" s="12" t="n">
        <v>1600</v>
      </c>
      <c r="K47" s="13">
        <f>IF(AND(ISNUMBER(I47),ISNUMBER(J47),I47&gt;0),1-J47/I47,"")</f>
        <v/>
      </c>
      <c r="L47" s="16" t="n">
        <v>0</v>
      </c>
      <c r="M47" s="15" t="n">
        <v>281740</v>
      </c>
      <c r="N47" s="16" t="n">
        <v>2003</v>
      </c>
      <c r="O47" s="10" t="inlineStr">
        <is>
          <t>1</t>
        </is>
      </c>
      <c r="P47" s="10" t="inlineStr">
        <is>
          <t>1</t>
        </is>
      </c>
      <c r="Q47" s="16" t="n">
        <v>100</v>
      </c>
      <c r="R47" s="16" t="n">
        <v>6</v>
      </c>
      <c r="S47" s="10" t="inlineStr">
        <is>
          <t>autre</t>
        </is>
      </c>
      <c r="T47" s="16" t="n">
        <v>3</v>
      </c>
      <c r="U47" s="10" t="n"/>
      <c r="V47" s="10" t="n"/>
      <c r="W47" s="10" t="inlineStr">
        <is>
          <t>Particulier</t>
        </is>
      </c>
      <c r="X47" s="10" t="inlineStr">
        <is>
          <t>Le Robert</t>
        </is>
      </c>
      <c r="Y47" s="10" t="inlineStr">
        <is>
          <t>97231</t>
        </is>
      </c>
      <c r="Z47" s="10" t="n"/>
      <c r="AA47" s="10" t="inlineStr">
        <is>
          <t>Martinique</t>
        </is>
      </c>
      <c r="AB47" s="16" t="n"/>
      <c r="AC47" s="16" t="n"/>
      <c r="AD47" s="10" t="n"/>
      <c r="AE47" s="10" t="n"/>
      <c r="AF47" s="10" t="inlineStr">
        <is>
          <t>1 : 1 ; 2 : 2 ; 3 : 3 ; 5 : 5 ; 2003 : 2003 ; https://img.leboncoin.fr/api/v1/tenants/9a6387a1-6259-4f2c-a887-7e67f23dd4cb/domains/20bda58f-d650-462e-a72a-a5a7ecf2bf88/buckets/21d2b0bc-e54c-4b64-a30b-89127b18b785/images/profile/pictures/default/27783cdc-8387-5315-91f7-d77c97eaf442?rule=pp-small : https://img.leboncoin.fr/api/v1/tenants/9a6387a1-6259-4f2c-a887-7e67f23dd4cb/domains/20bda58f-d650-462e-a72a-a5a7ecf2bf88/buckets/21d2b0bc-e54c-4b64-a30b-89127b18b785/images/profile/pictures/default/27783cdc-8387-5315-91f7-d77c97eaf442?rule=pp-small ; Citroen : Citroen ; Saxo : Saxo ; CITROEN : CITROEN ; 281740 km : 281740 ; Essence : 1 ; Manuelle : 1 ; Non : false ; 01/2003 : 01/2003 ; Berline : berline ; Autre : autre ; 6 Cv : 6 ; 100 Ch : 100 ; Avec permis : avecpermis ; credit_card : credit_card ; false : false ; true : true ; rating_score : 1 ; rating_count : 5 ; u_car_brand : CITROEN ; u_car_model : Saxo ; vehicle_technical_inspection_valid : Non ; vehicle_vsp : Avec permis ; vehicle_available_payment_methods : credit_card ; is_import : false ; vehicle_is_eligible_p2p : 2 ; licence_plate_available : true</t>
        </is>
      </c>
      <c r="AG47" s="19" t="inlineStr">
        <is>
          <t>Voir</t>
        </is>
      </c>
      <c r="AH47" s="10" t="inlineStr">
        <is>
          <t>3271080732</t>
        </is>
      </c>
    </row>
    <row r="48">
      <c r="A48" s="10" t="inlineStr">
        <is>
          <t>Citroën Saxo VTS 16V</t>
        </is>
      </c>
      <c r="B48" s="10" t="inlineStr">
        <is>
          <t>Saxo vts</t>
        </is>
      </c>
      <c r="C48" s="10" t="inlineStr">
        <is>
          <t>En vente</t>
        </is>
      </c>
      <c r="D48" s="18" t="n">
        <v>46287</v>
      </c>
      <c r="E48" s="18" t="n">
        <v>46287</v>
      </c>
      <c r="F48" s="18" t="n">
        <v>46296</v>
      </c>
      <c r="G48" s="18" t="n"/>
      <c r="H48" s="17">
        <f>IF(OR(ISNUMBER(D48),ISNUMBER(E48)),IF(ISNUMBER(G48),G48,F48)-IF(ISNUMBER(D48),D48,E48),"")</f>
        <v/>
      </c>
      <c r="I48" s="12" t="n">
        <v>9000</v>
      </c>
      <c r="J48" s="12" t="n">
        <v>9000</v>
      </c>
      <c r="K48" s="13">
        <f>IF(AND(ISNUMBER(I48),ISNUMBER(J48),I48&gt;0),1-J48/I48,"")</f>
        <v/>
      </c>
      <c r="L48" s="16" t="n">
        <v>0</v>
      </c>
      <c r="M48" s="15" t="n">
        <v>230000</v>
      </c>
      <c r="N48" s="16" t="n">
        <v>1999</v>
      </c>
      <c r="O48" s="10" t="inlineStr">
        <is>
          <t>1</t>
        </is>
      </c>
      <c r="P48" s="10" t="inlineStr">
        <is>
          <t>1</t>
        </is>
      </c>
      <c r="Q48" s="16" t="n">
        <v>118</v>
      </c>
      <c r="R48" s="16" t="n">
        <v>8</v>
      </c>
      <c r="S48" s="10" t="inlineStr">
        <is>
          <t>autre</t>
        </is>
      </c>
      <c r="T48" s="16" t="n">
        <v>3</v>
      </c>
      <c r="U48" s="10" t="n"/>
      <c r="V48" s="10" t="n"/>
      <c r="W48" s="10" t="inlineStr">
        <is>
          <t>Particulier</t>
        </is>
      </c>
      <c r="X48" s="10" t="inlineStr">
        <is>
          <t>Morteau</t>
        </is>
      </c>
      <c r="Y48" s="10" t="inlineStr">
        <is>
          <t>25500</t>
        </is>
      </c>
      <c r="Z48" s="10" t="inlineStr">
        <is>
          <t>Doubs</t>
        </is>
      </c>
      <c r="AA48" s="10" t="inlineStr">
        <is>
          <t>Franche-Comté</t>
        </is>
      </c>
      <c r="AB48" s="16" t="n"/>
      <c r="AC48" s="16" t="n"/>
      <c r="AD48" s="10" t="n"/>
      <c r="AE48" s="10" t="n"/>
      <c r="AF48" s="10" t="inlineStr">
        <is>
          <t>1 : 1 ; 2 : 2 ; 3 : 3 ; 1999 : 1999 ; https://img.leboncoin.fr/api/v1/tenants/9a6387a1-6259-4f2c-a887-7e67f23dd4cb/domains/20bda58f-d650-462e-a72a-a5a7ecf2bf88/buckets/21d2b0bc-e54c-4b64-a30b-89127b18b785/images/profile/pictures/default/700e9dbd-ef79-5cf4-ad56-4620d7a77d96?rule=pp-small : https://img.leboncoin.fr/api/v1/tenants/9a6387a1-6259-4f2c-a887-7e67f23dd4cb/domains/20bda58f-d650-462e-a72a-a5a7ecf2bf88/buckets/21d2b0bc-e54c-4b64-a30b-89127b18b785/images/profile/pictures/default/700e9dbd-ef79-5cf4-ad56-4620d7a77d96?rule=pp-small ; Citroen : Citroen ; Saxo : Saxo ; CITROEN : CITROEN ; 230000 km : 230000 ; Essence : 1 ; Manuelle : 1 ; 10/1999 : 10/1999 ; Berline : berline ; Autre : autre ; 8 Cv : 8 ; 118 Ch : 118 ; Avec permis : avecpermis ; credit_card : credit_card ; false : false ; true : true ; rating_score : 1 ; rating_count : 3 ; u_car_brand : CITROEN ; u_car_model : Saxo ; vehicle_vsp : Avec permis ; vehicle_available_payment_methods : credit_card ; is_import : false ; vehicle_is_eligible_p2p : 2 ; licence_plate_available : true</t>
        </is>
      </c>
      <c r="AG48" s="19" t="inlineStr">
        <is>
          <t>Voir</t>
        </is>
      </c>
      <c r="AH48" s="10" t="inlineStr">
        <is>
          <t>3274386766</t>
        </is>
      </c>
    </row>
    <row r="49">
      <c r="A49" s="10" t="inlineStr">
        <is>
          <t>Citroën Saxo VTS 16V</t>
        </is>
      </c>
      <c r="B49" s="10" t="inlineStr">
        <is>
          <t>Saxo vts</t>
        </is>
      </c>
      <c r="C49" s="10" t="inlineStr">
        <is>
          <t>En vente</t>
        </is>
      </c>
      <c r="D49" s="18" t="n">
        <v>46287</v>
      </c>
      <c r="E49" s="18" t="n">
        <v>46287</v>
      </c>
      <c r="F49" s="18" t="n">
        <v>46296</v>
      </c>
      <c r="G49" s="18" t="n"/>
      <c r="H49" s="17">
        <f>IF(OR(ISNUMBER(D49),ISNUMBER(E49)),IF(ISNUMBER(G49),G49,F49)-IF(ISNUMBER(D49),D49,E49),"")</f>
        <v/>
      </c>
      <c r="I49" s="12" t="n">
        <v>8000</v>
      </c>
      <c r="J49" s="12" t="n">
        <v>8000</v>
      </c>
      <c r="K49" s="13">
        <f>IF(AND(ISNUMBER(I49),ISNUMBER(J49),I49&gt;0),1-J49/I49,"")</f>
        <v/>
      </c>
      <c r="L49" s="16" t="n">
        <v>0</v>
      </c>
      <c r="M49" s="15" t="n">
        <v>188000</v>
      </c>
      <c r="N49" s="16" t="n">
        <v>1997</v>
      </c>
      <c r="O49" s="10" t="inlineStr">
        <is>
          <t>1</t>
        </is>
      </c>
      <c r="P49" s="10" t="inlineStr">
        <is>
          <t>1</t>
        </is>
      </c>
      <c r="Q49" s="16" t="n">
        <v>120</v>
      </c>
      <c r="R49" s="16" t="n">
        <v>8</v>
      </c>
      <c r="S49" s="10" t="inlineStr">
        <is>
          <t>noir</t>
        </is>
      </c>
      <c r="T49" s="16" t="n">
        <v>3</v>
      </c>
      <c r="U49" s="10" t="n"/>
      <c r="V49" s="10" t="n"/>
      <c r="W49" s="10" t="inlineStr">
        <is>
          <t>Particulier</t>
        </is>
      </c>
      <c r="X49" s="10" t="inlineStr">
        <is>
          <t>Pouilly-sur-Serre</t>
        </is>
      </c>
      <c r="Y49" s="10" t="inlineStr">
        <is>
          <t>02270</t>
        </is>
      </c>
      <c r="Z49" s="10" t="inlineStr">
        <is>
          <t>Aisne</t>
        </is>
      </c>
      <c r="AA49" s="10" t="inlineStr">
        <is>
          <t>Picardie</t>
        </is>
      </c>
      <c r="AB49" s="16" t="n"/>
      <c r="AC49" s="16" t="n"/>
      <c r="AD49" s="10" t="n"/>
      <c r="AE49" s="10" t="n"/>
      <c r="AF49" s="10" t="inlineStr">
        <is>
          <t>1 : 1 ; 2 : 2 ; 3 : 3 ; 112 : 112 ; 1997 : 1997 ; 0.99 : 0.99 ; https://img.leboncoin.fr/api/v1/tenants/9a6387a1-6259-4f2c-a887-7e67f23dd4cb/domains/20bda58f-d650-462e-a72a-a5a7ecf2bf88/buckets/21d2b0bc-e54c-4b64-a30b-89127b18b785/images/profile/pictures/default/b31bd638-5ebb-5bad-924a-e6d03004396c?rule=pp-small : https://img.leboncoin.fr/api/v1/tenants/9a6387a1-6259-4f2c-a887-7e67f23dd4cb/domains/20bda58f-d650-462e-a72a-a5a7ecf2bf88/buckets/21d2b0bc-e54c-4b64-a30b-89127b18b785/images/profile/pictures/default/b31bd638-5ebb-5bad-924a-e6d03004396c?rule=pp-small ; Citroen : Citroen ; Saxo : Saxo ; CITROEN : CITROEN ; 188000 km : 188000 ; Essence : 1 ; Manuelle : 1 ; 02/1997 : 02/1997 ; Bon état général : good_overall_condition ; Berline : berline ; Noir : noir ; 8 Cv : 8 ; 120 Ch : 120 ; Avec permis : avecpermis ; credit_card : credit_card ; false : false ; https://autoviza.fr/report/report?uid=46ff1d61-2393-4a40-982e-3e4b809f3b82 : https://autoviza.fr/report/report?uid=46ff1d61-2393-4a40-982e-3e4b809f3b82 ; true : true ; rating_score : 0.99 ; rating_count : 112 ; u_car_brand : CITROEN ; u_car_model : Saxo ; vehicle_damage : Bon état général ; vehicle_vsp : Avec permis ; vehicle_available_payment_methods : credit_card ; is_import : false ; vehicle_is_eligible_p2p : 2 ; vehicle_history_report_public_url : https://autoviza.fr/report/report?uid=46ff1d61-2393-4a40-982e-3e4b809f3b82 ; licence_plate_available : true</t>
        </is>
      </c>
      <c r="AG49" s="19" t="inlineStr">
        <is>
          <t>Voir</t>
        </is>
      </c>
      <c r="AH49" s="10" t="inlineStr">
        <is>
          <t>3274786995</t>
        </is>
      </c>
    </row>
    <row r="50">
      <c r="A50" s="10" t="inlineStr">
        <is>
          <t>Citroën Saxo VTS 16V</t>
        </is>
      </c>
      <c r="B50" s="10" t="inlineStr">
        <is>
          <t>Saxo vts</t>
        </is>
      </c>
      <c r="C50" s="10" t="inlineStr">
        <is>
          <t>En vente</t>
        </is>
      </c>
      <c r="D50" s="18" t="n">
        <v>46289</v>
      </c>
      <c r="E50" s="18" t="n">
        <v>46289</v>
      </c>
      <c r="F50" s="18" t="n">
        <v>46296</v>
      </c>
      <c r="G50" s="18" t="n"/>
      <c r="H50" s="17">
        <f>IF(OR(ISNUMBER(D50),ISNUMBER(E50)),IF(ISNUMBER(G50),G50,F50)-IF(ISNUMBER(D50),D50,E50),"")</f>
        <v/>
      </c>
      <c r="I50" s="12" t="n">
        <v>5250</v>
      </c>
      <c r="J50" s="12" t="n">
        <v>5250</v>
      </c>
      <c r="K50" s="13">
        <f>IF(AND(ISNUMBER(I50),ISNUMBER(J50),I50&gt;0),1-J50/I50,"")</f>
        <v/>
      </c>
      <c r="L50" s="16" t="n">
        <v>0</v>
      </c>
      <c r="M50" s="15" t="n">
        <v>224000</v>
      </c>
      <c r="N50" s="16" t="n">
        <v>2001</v>
      </c>
      <c r="O50" s="10" t="inlineStr">
        <is>
          <t>1</t>
        </is>
      </c>
      <c r="P50" s="10" t="inlineStr">
        <is>
          <t>1</t>
        </is>
      </c>
      <c r="Q50" s="16" t="n">
        <v>100</v>
      </c>
      <c r="R50" s="16" t="n">
        <v>6</v>
      </c>
      <c r="S50" s="10" t="inlineStr">
        <is>
          <t>autre</t>
        </is>
      </c>
      <c r="T50" s="16" t="n">
        <v>3</v>
      </c>
      <c r="U50" s="10" t="n"/>
      <c r="V50" s="10" t="n"/>
      <c r="W50" s="10" t="inlineStr">
        <is>
          <t>Particulier</t>
        </is>
      </c>
      <c r="X50" s="10" t="inlineStr">
        <is>
          <t>Renage</t>
        </is>
      </c>
      <c r="Y50" s="10" t="inlineStr">
        <is>
          <t>38140</t>
        </is>
      </c>
      <c r="Z50" s="10" t="inlineStr">
        <is>
          <t>Isère</t>
        </is>
      </c>
      <c r="AA50" s="10" t="inlineStr">
        <is>
          <t>Rhône-Alpes</t>
        </is>
      </c>
      <c r="AB50" s="16" t="n"/>
      <c r="AC50" s="16" t="n"/>
      <c r="AD50" s="10" t="n"/>
      <c r="AE50" s="10" t="n"/>
      <c r="AF50" s="10" t="inlineStr">
        <is>
          <t>1 : 1 ; 2 : 2 ; 3 : 3 ; 2001 : 2001 ; Citroen : Citroen ; Saxo : Saxo ; CITROEN : CITROEN ; 224000 km : 224000 ; Essence : 1 ; Manuelle : 1 ; 04/2001 : 04/2001 ; Berline : berline ; Autre : autre ; 6 Cv : 6 ; 100 Ch : 100 ; Avec permis : avecpermis ; credit_card : credit_card ; false : false ; true : true ; u_car_brand : CITROEN ; u_car_model : Saxo ; vehicle_vsp : Avec permis ; vehicle_available_payment_methods : credit_card ; is_import : false ; vehicle_is_eligible_p2p : 2 ; licence_plate_available : true</t>
        </is>
      </c>
      <c r="AG50" s="19" t="inlineStr">
        <is>
          <t>Voir</t>
        </is>
      </c>
      <c r="AH50" s="10" t="inlineStr">
        <is>
          <t>3275584509</t>
        </is>
      </c>
    </row>
    <row r="51">
      <c r="A51" s="10" t="inlineStr">
        <is>
          <t>Citroën Saxo VTS 16V</t>
        </is>
      </c>
      <c r="B51" s="10" t="inlineStr">
        <is>
          <t>Saxo VTS 16V restaurée</t>
        </is>
      </c>
      <c r="C51" s="10" t="inlineStr">
        <is>
          <t>En vente</t>
        </is>
      </c>
      <c r="D51" s="18" t="n">
        <v>46289</v>
      </c>
      <c r="E51" s="18" t="n">
        <v>46289</v>
      </c>
      <c r="F51" s="18" t="n">
        <v>46296</v>
      </c>
      <c r="G51" s="18" t="n"/>
      <c r="H51" s="17">
        <f>IF(OR(ISNUMBER(D51),ISNUMBER(E51)),IF(ISNUMBER(G51),G51,F51)-IF(ISNUMBER(D51),D51,E51),"")</f>
        <v/>
      </c>
      <c r="I51" s="12" t="n">
        <v>10000</v>
      </c>
      <c r="J51" s="12" t="n">
        <v>10000</v>
      </c>
      <c r="K51" s="13">
        <f>IF(AND(ISNUMBER(I51),ISNUMBER(J51),I51&gt;0),1-J51/I51,"")</f>
        <v/>
      </c>
      <c r="L51" s="16" t="n">
        <v>0</v>
      </c>
      <c r="M51" s="15" t="n">
        <v>195184</v>
      </c>
      <c r="N51" s="16" t="n">
        <v>2000</v>
      </c>
      <c r="O51" s="10" t="inlineStr">
        <is>
          <t>1</t>
        </is>
      </c>
      <c r="P51" s="10" t="inlineStr">
        <is>
          <t>1</t>
        </is>
      </c>
      <c r="Q51" s="16" t="n">
        <v>118</v>
      </c>
      <c r="R51" s="16" t="n">
        <v>8</v>
      </c>
      <c r="S51" s="10" t="inlineStr">
        <is>
          <t>jaune</t>
        </is>
      </c>
      <c r="T51" s="16" t="n">
        <v>3</v>
      </c>
      <c r="U51" s="10" t="n"/>
      <c r="V51" s="10" t="n"/>
      <c r="W51" s="10" t="inlineStr">
        <is>
          <t>Particulier</t>
        </is>
      </c>
      <c r="X51" s="10" t="inlineStr">
        <is>
          <t>Soissons</t>
        </is>
      </c>
      <c r="Y51" s="10" t="inlineStr">
        <is>
          <t>02200</t>
        </is>
      </c>
      <c r="Z51" s="10" t="inlineStr">
        <is>
          <t>Aisne</t>
        </is>
      </c>
      <c r="AA51" s="10" t="inlineStr">
        <is>
          <t>Picardie</t>
        </is>
      </c>
      <c r="AB51" s="16" t="n"/>
      <c r="AC51" s="16" t="n"/>
      <c r="AD51" s="10" t="n"/>
      <c r="AE51" s="10" t="n"/>
      <c r="AF51" s="10" t="inlineStr">
        <is>
          <t>1 : 1 ; 2 : 2 ; 3 : 3 ; 4 : 4 ; 5 : 5 ; 2000 : 2000 ; https://img.leboncoin.fr/api/v1/tenants/9a6387a1-6259-4f2c-a887-7e67f23dd4cb/domains/20bda58f-d650-462e-a72a-a5a7ecf2bf88/buckets/21d2b0bc-e54c-4b64-a30b-89127b18b785/images/profile/pictures/default/7d2d4765-186b-5da9-b4ac-09fc0dbc5de8?rule=pp-small : https://img.leboncoin.fr/api/v1/tenants/9a6387a1-6259-4f2c-a887-7e67f23dd4cb/domains/20bda58f-d650-462e-a72a-a5a7ecf2bf88/buckets/21d2b0bc-e54c-4b64-a30b-89127b18b785/images/profile/pictures/default/7d2d4765-186b-5da9-b4ac-09fc0dbc5de8?rule=pp-small ; Citroen : Citroen ; Saxo : Saxo ; CITROEN : CITROEN ; 195184 km : 195184 ; Essence : 1 ; Manuelle : 1 ; Non : false ; 08/2000 : 08/2000 ; Excellent état (proche du neuf) : excellent_condition ; Berline : berline ; Jaune : jaune ; 8 Cv : 8 ; 118 Ch : 118 ; Avec permis : avecpermis ; credit_card : credit_card ; false : false ; https://autoviza.fr/report/report?uid=f4d7e32e-2235-45d6-ab44-d6d9878df3f2 : https://autoviza.fr/report/report?uid=f4d7e32e-2235-45d6-ab44-d6d9878df3f2 ; true : true ; rating_score : 1 ; rating_count : 4 ; u_car_brand : CITROEN ; u_car_model : Saxo ; vehicle_technical_inspection_valid : Non ; vehicle_damage : Excellent état (proche du neuf) ; vehicle_upholstery : Tissu ; vehicle_maintenance : Factures disponibles, Réparations utiles déjà faites ; vehicle_interior_specs : Bluetooth, Jantes en alliage, Phares anti-brouillard, Radio numérique DAB, Roue de secours, Siège arrière rabattable, Suspension sport / adaptative ; vehicle_vsp : Avec permis ; vehicle_available_payment_methods : credit_card ; is_import : false ; vehicle_is_eligible_p2p : 2 ; vehicle_history_report_public_url : https://autoviza.fr/report/report?uid=f4d7e32e-2235-45d6-ab44-d6d9878df3f2 ; vehicle_history_teaser_critair : 3 ; vehicle_history_teaser_owners : 3 ; vehicle_history_teaser_expertises : true ; vehicle_history_teaser_special_uses : false ; vehicle_history_teaser_atypical_operations : true ; vehicle_history_teaser_importations : false ; licence_plate_available : true</t>
        </is>
      </c>
      <c r="AG51" s="19" t="inlineStr">
        <is>
          <t>Voir</t>
        </is>
      </c>
      <c r="AH51" s="10" t="inlineStr">
        <is>
          <t>3275636332</t>
        </is>
      </c>
    </row>
    <row r="52">
      <c r="A52" s="10" t="inlineStr">
        <is>
          <t>Citroën Saxo VTS 16V</t>
        </is>
      </c>
      <c r="B52" s="10" t="inlineStr">
        <is>
          <t>Citroën saxo vts</t>
        </is>
      </c>
      <c r="C52" s="10" t="inlineStr">
        <is>
          <t>En vente</t>
        </is>
      </c>
      <c r="D52" s="18" t="n">
        <v>46289</v>
      </c>
      <c r="E52" s="18" t="n">
        <v>46289</v>
      </c>
      <c r="F52" s="18" t="n">
        <v>46296</v>
      </c>
      <c r="G52" s="18" t="n"/>
      <c r="H52" s="17">
        <f>IF(OR(ISNUMBER(D52),ISNUMBER(E52)),IF(ISNUMBER(G52),G52,F52)-IF(ISNUMBER(D52),D52,E52),"")</f>
        <v/>
      </c>
      <c r="I52" s="12" t="n">
        <v>6000</v>
      </c>
      <c r="J52" s="12" t="n">
        <v>6000</v>
      </c>
      <c r="K52" s="13">
        <f>IF(AND(ISNUMBER(I52),ISNUMBER(J52),I52&gt;0),1-J52/I52,"")</f>
        <v/>
      </c>
      <c r="L52" s="16" t="n">
        <v>0</v>
      </c>
      <c r="M52" s="15" t="n">
        <v>111111</v>
      </c>
      <c r="N52" s="16" t="n">
        <v>1998</v>
      </c>
      <c r="O52" s="10" t="inlineStr">
        <is>
          <t>1</t>
        </is>
      </c>
      <c r="P52" s="10" t="inlineStr">
        <is>
          <t>1</t>
        </is>
      </c>
      <c r="Q52" s="16" t="n">
        <v>75</v>
      </c>
      <c r="R52" s="16" t="n">
        <v>6</v>
      </c>
      <c r="S52" s="10" t="inlineStr">
        <is>
          <t>gris</t>
        </is>
      </c>
      <c r="T52" s="16" t="n">
        <v>3</v>
      </c>
      <c r="U52" s="10" t="n"/>
      <c r="V52" s="10" t="n"/>
      <c r="W52" s="10" t="inlineStr">
        <is>
          <t>Particulier</t>
        </is>
      </c>
      <c r="X52" s="10" t="inlineStr">
        <is>
          <t>Saint-Agnan</t>
        </is>
      </c>
      <c r="Y52" s="10" t="inlineStr">
        <is>
          <t>89340</t>
        </is>
      </c>
      <c r="Z52" s="10" t="inlineStr">
        <is>
          <t>Yonne</t>
        </is>
      </c>
      <c r="AA52" s="10" t="inlineStr">
        <is>
          <t>Bourgogne</t>
        </is>
      </c>
      <c r="AB52" s="16" t="n"/>
      <c r="AC52" s="16" t="n"/>
      <c r="AD52" s="10" t="n"/>
      <c r="AE52" s="10" t="n"/>
      <c r="AF52" s="10" t="inlineStr">
        <is>
          <t>1 : 1 ; 2 : 2 ; 3 : 3 ; 7 : 7 ; 1998 : 1998 ; https://img.leboncoin.fr/api/v1/tenants/9a6387a1-6259-4f2c-a887-7e67f23dd4cb/domains/20bda58f-d650-462e-a72a-a5a7ecf2bf88/buckets/21d2b0bc-e54c-4b64-a30b-89127b18b785/images/profile/pictures/1885cf14-8eae-5cce-9cd2-bb0da4151e15?rule=pp-small : https://img.leboncoin.fr/api/v1/tenants/9a6387a1-6259-4f2c-a887-7e67f23dd4cb/domains/20bda58f-d650-462e-a72a-a5a7ecf2bf88/buckets/21d2b0bc-e54c-4b64-a30b-89127b18b785/images/profile/pictures/1885cf14-8eae-5cce-9cd2-bb0da4151e15?rule=pp-small ; Citroen : Citroen ; Saxo : Saxo ; CITROEN : CITROEN ; 111111 km : 111111 ; Essence : 1 ; Manuelle : 1 ; 02/1998 : 02/1998 ; Berline : berline ; Gris : gris ; 6 Cv : 6 ; 75 Ch : 75 ; Avec permis : avecpermis ; credit_card : credit_card ; false : false ; true : true ; rating_score : 1 ; rating_count : 7 ; u_car_brand : CITROEN ; u_car_model : Saxo ; vehicle_vsp : Avec permis ; vehicle_available_payment_methods : credit_card ; is_import : false ; vehicle_is_eligible_p2p : 2 ; licence_plate_available : true</t>
        </is>
      </c>
      <c r="AG52" s="19" t="inlineStr">
        <is>
          <t>Voir</t>
        </is>
      </c>
      <c r="AH52" s="10" t="inlineStr">
        <is>
          <t>3275939150</t>
        </is>
      </c>
    </row>
    <row r="53">
      <c r="A53" s="10" t="inlineStr">
        <is>
          <t>Citroën Saxo VTS 16V</t>
        </is>
      </c>
      <c r="B53" s="10" t="inlineStr">
        <is>
          <t>Vend saxo vts 100ch</t>
        </is>
      </c>
      <c r="C53" s="10" t="inlineStr">
        <is>
          <t>En vente</t>
        </is>
      </c>
      <c r="D53" s="18" t="n">
        <v>46289</v>
      </c>
      <c r="E53" s="18" t="n">
        <v>46289</v>
      </c>
      <c r="F53" s="18" t="n">
        <v>46296</v>
      </c>
      <c r="G53" s="18" t="n"/>
      <c r="H53" s="17">
        <f>IF(OR(ISNUMBER(D53),ISNUMBER(E53)),IF(ISNUMBER(G53),G53,F53)-IF(ISNUMBER(D53),D53,E53),"")</f>
        <v/>
      </c>
      <c r="I53" s="12" t="n">
        <v>5500</v>
      </c>
      <c r="J53" s="12" t="n">
        <v>5500</v>
      </c>
      <c r="K53" s="13">
        <f>IF(AND(ISNUMBER(I53),ISNUMBER(J53),I53&gt;0),1-J53/I53,"")</f>
        <v/>
      </c>
      <c r="L53" s="16" t="n">
        <v>0</v>
      </c>
      <c r="M53" s="15" t="n">
        <v>207000</v>
      </c>
      <c r="N53" s="16" t="n">
        <v>2002</v>
      </c>
      <c r="O53" s="10" t="inlineStr">
        <is>
          <t>1</t>
        </is>
      </c>
      <c r="P53" s="10" t="inlineStr">
        <is>
          <t>1</t>
        </is>
      </c>
      <c r="Q53" s="16" t="n">
        <v>100</v>
      </c>
      <c r="R53" s="16" t="n">
        <v>6</v>
      </c>
      <c r="S53" s="10" t="inlineStr">
        <is>
          <t>jaune</t>
        </is>
      </c>
      <c r="T53" s="16" t="n">
        <v>3</v>
      </c>
      <c r="U53" s="10" t="n"/>
      <c r="V53" s="10" t="n"/>
      <c r="W53" s="10" t="inlineStr">
        <is>
          <t>Particulier</t>
        </is>
      </c>
      <c r="X53" s="10" t="inlineStr">
        <is>
          <t>Villemolaque</t>
        </is>
      </c>
      <c r="Y53" s="10" t="inlineStr">
        <is>
          <t>66300</t>
        </is>
      </c>
      <c r="Z53" s="10" t="inlineStr">
        <is>
          <t>Pyrénées-Orientales</t>
        </is>
      </c>
      <c r="AA53" s="10" t="inlineStr">
        <is>
          <t>Languedoc-Roussillon</t>
        </is>
      </c>
      <c r="AB53" s="16" t="n"/>
      <c r="AC53" s="16" t="n"/>
      <c r="AD53" s="10" t="n"/>
      <c r="AE53" s="10" t="n"/>
      <c r="AF53" s="10" t="inlineStr">
        <is>
          <t>1 : 1 ; 2 : 2 ; 3 : 3 ; 2002 : 2002 ; https://img.leboncoin.fr/api/v1/tenants/9a6387a1-6259-4f2c-a887-7e67f23dd4cb/domains/20bda58f-d650-462e-a72a-a5a7ecf2bf88/buckets/21d2b0bc-e54c-4b64-a30b-89127b18b785/images/profile/pictures/default/35290bc9-d376-5cba-825f-96b94d8c5e3e?rule=pp-small : https://img.leboncoin.fr/api/v1/tenants/9a6387a1-6259-4f2c-a887-7e67f23dd4cb/domains/20bda58f-d650-462e-a72a-a5a7ecf2bf88/buckets/21d2b0bc-e54c-4b64-a30b-89127b18b785/images/profile/pictures/default/35290bc9-d376-5cba-825f-96b94d8c5e3e?rule=pp-small ; Citroen : Citroen ; Saxo : Saxo ; CITROEN : CITROEN ; 207000 km : 207000 ; Essence : 1 ; Manuelle : 1 ; 01/2002 : 01/2002 ; Citadine : citadine ; Jaune : jaune ; 6 Cv : 6 ; 100 Ch : 100 ; Avec permis : avecpermis ; credit_card : credit_card ; false : false ; true : true ; u_car_brand : CITROEN ; u_car_model : Saxo ; vehicle_vsp : Avec permis ; vehicle_available_payment_methods : credit_card ; is_import : false ; vehicle_is_eligible_p2p : 2 ; licence_plate_available : true</t>
        </is>
      </c>
      <c r="AG53" s="19" t="inlineStr">
        <is>
          <t>Voir</t>
        </is>
      </c>
      <c r="AH53" s="10" t="inlineStr">
        <is>
          <t>3276019569</t>
        </is>
      </c>
    </row>
    <row r="54">
      <c r="A54" s="10" t="inlineStr">
        <is>
          <t>Citroën Saxo VTS 16V</t>
        </is>
      </c>
      <c r="B54" s="10" t="inlineStr">
        <is>
          <t>Saxo VTS 16v</t>
        </is>
      </c>
      <c r="C54" s="10" t="inlineStr">
        <is>
          <t>En vente</t>
        </is>
      </c>
      <c r="D54" s="18" t="n">
        <v>46289</v>
      </c>
      <c r="E54" s="18" t="n">
        <v>46289</v>
      </c>
      <c r="F54" s="18" t="n">
        <v>46296</v>
      </c>
      <c r="G54" s="18" t="n"/>
      <c r="H54" s="17">
        <f>IF(OR(ISNUMBER(D54),ISNUMBER(E54)),IF(ISNUMBER(G54),G54,F54)-IF(ISNUMBER(D54),D54,E54),"")</f>
        <v/>
      </c>
      <c r="I54" s="12" t="n">
        <v>8800</v>
      </c>
      <c r="J54" s="12" t="n">
        <v>8800</v>
      </c>
      <c r="K54" s="13">
        <f>IF(AND(ISNUMBER(I54),ISNUMBER(J54),I54&gt;0),1-J54/I54,"")</f>
        <v/>
      </c>
      <c r="L54" s="16" t="n">
        <v>0</v>
      </c>
      <c r="M54" s="15" t="n">
        <v>181200</v>
      </c>
      <c r="N54" s="16" t="n">
        <v>2000</v>
      </c>
      <c r="O54" s="10" t="inlineStr">
        <is>
          <t>1</t>
        </is>
      </c>
      <c r="P54" s="10" t="inlineStr">
        <is>
          <t>1</t>
        </is>
      </c>
      <c r="Q54" s="16" t="n">
        <v>118</v>
      </c>
      <c r="R54" s="16" t="n">
        <v>8</v>
      </c>
      <c r="S54" s="10" t="inlineStr">
        <is>
          <t>noir</t>
        </is>
      </c>
      <c r="T54" s="16" t="n">
        <v>3</v>
      </c>
      <c r="U54" s="10" t="n"/>
      <c r="V54" s="10" t="n"/>
      <c r="W54" s="10" t="inlineStr">
        <is>
          <t>Particulier</t>
        </is>
      </c>
      <c r="X54" s="10" t="inlineStr">
        <is>
          <t>Bar-le-Duc</t>
        </is>
      </c>
      <c r="Y54" s="10" t="inlineStr">
        <is>
          <t>55000</t>
        </is>
      </c>
      <c r="Z54" s="10" t="inlineStr">
        <is>
          <t>Meuse</t>
        </is>
      </c>
      <c r="AA54" s="10" t="inlineStr">
        <is>
          <t>Lorraine</t>
        </is>
      </c>
      <c r="AB54" s="16" t="n"/>
      <c r="AC54" s="16" t="n"/>
      <c r="AD54" s="10" t="n"/>
      <c r="AE54" s="10" t="n"/>
      <c r="AF54" s="10" t="inlineStr">
        <is>
          <t>2 : 2 ; 3 : 3 ; 5 : 5 ; 12 : 12 ; 2000 : 2000 ; 2028 : 2028 ; 0.99 : 0.99 ; https://img.leboncoin.fr/api/v1/tenants/9a6387a1-6259-4f2c-a887-7e67f23dd4cb/domains/20bda58f-d650-462e-a72a-a5a7ecf2bf88/buckets/21d2b0bc-e54c-4b64-a30b-89127b18b785/images/profile/pictures/default/84b316ce-f532-5451-85b1-a835ce0f97a6?rule=pp-small : https://img.leboncoin.fr/api/v1/tenants/9a6387a1-6259-4f2c-a887-7e67f23dd4cb/domains/20bda58f-d650-462e-a72a-a5a7ecf2bf88/buckets/21d2b0bc-e54c-4b64-a30b-89127b18b785/images/profile/pictures/default/84b316ce-f532-5451-85b1-a835ce0f97a6?rule=pp-small ; Citroen : Citroen ; Saxo : Saxo ; CITROEN : CITROEN ; 181200 km : 181200 ; Essence : 1 ; Manuelle : 1 ; Oui : true ; 08/2000 : 08/2000 ; Berline : berline ; Noir : noir ; 8 Cv : 8 ; 118 Ch : 118 ; Avec permis : avecpermis ; credit_card : credit_card ; false : false ; https://autoviza.fr/report/report?uid=7582e432-37f1-4714-bbbe-ee56f1ac6deb : https://autoviza.fr/report/report?uid=7582e432-37f1-4714-bbbe-ee56f1ac6deb ; true : true ; rating_score : 0.99 ; rating_count : 12 ; u_car_brand : CITROEN ; u_car_model : Saxo ; vehicle_technical_inspection_valid : Oui ; vehicle_technical_inspection_a : 2028 ; vehicle_vsp : Avec permis ; vehicle_available_payment_methods : credit_card ; is_import : false ; vehicle_is_eligible_p2p : 2 ; vehicle_history_report_public_url : https://autoviza.fr/report/report?uid=7582e432-37f1-4714-bbbe-ee56f1ac6deb ; licence_plate_available : true</t>
        </is>
      </c>
      <c r="AG54" s="19" t="inlineStr">
        <is>
          <t>Voir</t>
        </is>
      </c>
      <c r="AH54" s="10" t="inlineStr">
        <is>
          <t>3276045076</t>
        </is>
      </c>
    </row>
    <row r="55">
      <c r="A55" s="10" t="inlineStr">
        <is>
          <t>Citroën Saxo VTS 16V</t>
        </is>
      </c>
      <c r="B55" s="10" t="inlineStr">
        <is>
          <t>Saxo Vts 16v</t>
        </is>
      </c>
      <c r="C55" s="10" t="inlineStr">
        <is>
          <t>En vente</t>
        </is>
      </c>
      <c r="D55" s="18" t="n">
        <v>46291</v>
      </c>
      <c r="E55" s="18" t="n">
        <v>46291</v>
      </c>
      <c r="F55" s="18" t="n">
        <v>46296</v>
      </c>
      <c r="G55" s="18" t="n"/>
      <c r="H55" s="17">
        <f>IF(OR(ISNUMBER(D55),ISNUMBER(E55)),IF(ISNUMBER(G55),G55,F55)-IF(ISNUMBER(D55),D55,E55),"")</f>
        <v/>
      </c>
      <c r="I55" s="12" t="n">
        <v>7500</v>
      </c>
      <c r="J55" s="12" t="n">
        <v>7500</v>
      </c>
      <c r="K55" s="13">
        <f>IF(AND(ISNUMBER(I55),ISNUMBER(J55),I55&gt;0),1-J55/I55,"")</f>
        <v/>
      </c>
      <c r="L55" s="16" t="n">
        <v>0</v>
      </c>
      <c r="M55" s="15" t="n">
        <v>185000</v>
      </c>
      <c r="N55" s="16" t="n">
        <v>2000</v>
      </c>
      <c r="O55" s="10" t="inlineStr">
        <is>
          <t>1</t>
        </is>
      </c>
      <c r="P55" s="10" t="inlineStr">
        <is>
          <t>1</t>
        </is>
      </c>
      <c r="Q55" s="16" t="n">
        <v>120</v>
      </c>
      <c r="R55" s="16" t="n">
        <v>8</v>
      </c>
      <c r="S55" s="10" t="inlineStr">
        <is>
          <t>autre</t>
        </is>
      </c>
      <c r="T55" s="16" t="n">
        <v>3</v>
      </c>
      <c r="U55" s="10" t="n"/>
      <c r="V55" s="10" t="n"/>
      <c r="W55" s="10" t="inlineStr">
        <is>
          <t>Particulier</t>
        </is>
      </c>
      <c r="X55" s="10" t="inlineStr">
        <is>
          <t>Solliès-Pont</t>
        </is>
      </c>
      <c r="Y55" s="10" t="inlineStr">
        <is>
          <t>83210</t>
        </is>
      </c>
      <c r="Z55" s="10" t="inlineStr">
        <is>
          <t>Var</t>
        </is>
      </c>
      <c r="AA55" s="10" t="inlineStr">
        <is>
          <t>Provence-Alpes-Côte d'Azur</t>
        </is>
      </c>
      <c r="AB55" s="16" t="n"/>
      <c r="AC55" s="16" t="n"/>
      <c r="AD55" s="10" t="n"/>
      <c r="AE55" s="10" t="n"/>
      <c r="AF55" s="10" t="inlineStr">
        <is>
          <t>1 : 1 ; 2 : 2 ; 3 : 3 ; 2000 : 2000 ; 711134 : 711134 ; https://img.leboncoin.fr/api/v1/tenants/9a6387a1-6259-4f2c-a887-7e67f23dd4cb/domains/20bda58f-d650-462e-a72a-a5a7ecf2bf88/buckets/21d2b0bc-e54c-4b64-a30b-89127b18b785/images/profile/pictures/default/28d78ef3-041e-56d1-afca-dcf9de314ad4?rule=pp-small : https://img.leboncoin.fr/api/v1/tenants/9a6387a1-6259-4f2c-a887-7e67f23dd4cb/domains/20bda58f-d650-462e-a72a-a5a7ecf2bf88/buckets/21d2b0bc-e54c-4b64-a30b-89127b18b785/images/profile/pictures/default/28d78ef3-041e-56d1-afca-dcf9de314ad4?rule=pp-small ; Citroen : Citroen ; Saxo : Saxo ; CITROEN : CITROEN ; 185000 km : 185000 ; Essence : 1 ; Manuelle : 1 ; VTS : CITROEN_Saxo_VTS ; Saxo 1.6 16V 120ch VTS 3p : Saxo 1.6 16V 120ch VTS 3p ; 09/2000 : 09/2000 ; Berline : berline ; Autre : autre ; 8 Cv : 8 ; 120 Ch : 120 ; Avec permis : avecpermis ; credit_card : credit_card ; false : false ; true : true ; u_car_brand : CITROEN ; u_car_model : Saxo ; u_car_finition : VTS ; u_car_version : Saxo 1.6 16V 120ch VTS 3p ; vehicle_vsp : Avec permis ; vehicle_available_payment_methods : credit_card ; is_import : false ; vehicle_is_eligible_p2p : 2 ; argus_object_id : 711134 ; licence_plate_available : true</t>
        </is>
      </c>
      <c r="AG55" s="19" t="inlineStr">
        <is>
          <t>Voir</t>
        </is>
      </c>
      <c r="AH55" s="10" t="inlineStr">
        <is>
          <t>3276707355</t>
        </is>
      </c>
    </row>
    <row r="56">
      <c r="A56" s="10" t="inlineStr">
        <is>
          <t>Citroën Saxo VTS 16V</t>
        </is>
      </c>
      <c r="B56" s="10" t="inlineStr">
        <is>
          <t>Saxo vts</t>
        </is>
      </c>
      <c r="C56" s="10" t="inlineStr">
        <is>
          <t>En vente</t>
        </is>
      </c>
      <c r="D56" s="18" t="n">
        <v>46292</v>
      </c>
      <c r="E56" s="18" t="n">
        <v>46292</v>
      </c>
      <c r="F56" s="18" t="n">
        <v>46296</v>
      </c>
      <c r="G56" s="18" t="n"/>
      <c r="H56" s="17">
        <f>IF(OR(ISNUMBER(D56),ISNUMBER(E56)),IF(ISNUMBER(G56),G56,F56)-IF(ISNUMBER(D56),D56,E56),"")</f>
        <v/>
      </c>
      <c r="I56" s="12" t="n">
        <v>4000</v>
      </c>
      <c r="J56" s="12" t="n">
        <v>4000</v>
      </c>
      <c r="K56" s="13">
        <f>IF(AND(ISNUMBER(I56),ISNUMBER(J56),I56&gt;0),1-J56/I56,"")</f>
        <v/>
      </c>
      <c r="L56" s="16" t="n">
        <v>0</v>
      </c>
      <c r="M56" s="15" t="n">
        <v>266000</v>
      </c>
      <c r="N56" s="16" t="n">
        <v>2001</v>
      </c>
      <c r="O56" s="10" t="inlineStr">
        <is>
          <t>1</t>
        </is>
      </c>
      <c r="P56" s="10" t="inlineStr">
        <is>
          <t>1</t>
        </is>
      </c>
      <c r="Q56" s="16" t="n">
        <v>75</v>
      </c>
      <c r="R56" s="16" t="n">
        <v>5</v>
      </c>
      <c r="S56" s="10" t="inlineStr">
        <is>
          <t>gris</t>
        </is>
      </c>
      <c r="T56" s="16" t="n">
        <v>3</v>
      </c>
      <c r="U56" s="10" t="n"/>
      <c r="V56" s="10" t="n"/>
      <c r="W56" s="10" t="inlineStr">
        <is>
          <t>Particulier</t>
        </is>
      </c>
      <c r="X56" s="10" t="inlineStr">
        <is>
          <t>Le Cellier</t>
        </is>
      </c>
      <c r="Y56" s="10" t="inlineStr">
        <is>
          <t>44850</t>
        </is>
      </c>
      <c r="Z56" s="10" t="inlineStr">
        <is>
          <t>Loire-Atlantique</t>
        </is>
      </c>
      <c r="AA56" s="10" t="inlineStr">
        <is>
          <t>Pays de la Loire</t>
        </is>
      </c>
      <c r="AB56" s="16" t="n"/>
      <c r="AC56" s="16" t="n"/>
      <c r="AD56" s="10" t="n"/>
      <c r="AE56" s="10" t="n"/>
      <c r="AF56" s="10" t="inlineStr">
        <is>
          <t>2 : 2 ; 3 : 3 ; 5 : 5 ; 2001 : 2001 ; https://img.leboncoin.fr/api/v1/tenants/9a6387a1-6259-4f2c-a887-7e67f23dd4cb/domains/20bda58f-d650-462e-a72a-a5a7ecf2bf88/buckets/21d2b0bc-e54c-4b64-a30b-89127b18b785/images/profile/pictures/default/c300714e-72c6-5e75-847f-fbab3210995e?rule=pp-small : https://img.leboncoin.fr/api/v1/tenants/9a6387a1-6259-4f2c-a887-7e67f23dd4cb/domains/20bda58f-d650-462e-a72a-a5a7ecf2bf88/buckets/21d2b0bc-e54c-4b64-a30b-89127b18b785/images/profile/pictures/default/c300714e-72c6-5e75-847f-fbab3210995e?rule=pp-small ; Citroen : Citroen ; Saxo : Saxo ; CITROEN : CITROEN ; 266000 km : 266000 ; Essence : 1 ; Manuelle : 1 ; 04/2001 : 04/2001 ; Bon état général : good_overall_condition ; Berline : berline ; Gris : gris ; 5 Cv : 5 ; 75 Ch : 75 ; Avec permis : avecpermis ; credit_card : credit_card ; false : false ; https://autoviza.fr/report/report?uid=c652ba99-3e4f-42d7-b128-bb62b88bf7f1 : https://autoviza.fr/report/report?uid=c652ba99-3e4f-42d7-b128-bb62b88bf7f1 ; true : true ; u_car_brand : CITROEN ; u_car_model : Saxo ; vehicle_damage : Bon état général ; vehicle_upholstery : Tissu ; vehicle_maintenance : Factures disponibles ; vehicle_vsp : Avec permis ; vehicle_available_payment_methods : credit_card ; is_import : false ; vehicle_is_eligible_p2p : 2 ; vehicle_history_report_public_url : https://autoviza.fr/report/report?uid=c652ba99-3e4f-42d7-b128-bb62b88bf7f1 ; licence_plate_available : true</t>
        </is>
      </c>
      <c r="AG56" s="19" t="inlineStr">
        <is>
          <t>Voir</t>
        </is>
      </c>
      <c r="AH56" s="10" t="inlineStr">
        <is>
          <t>3277544949</t>
        </is>
      </c>
    </row>
    <row r="57">
      <c r="A57" s="10" t="inlineStr">
        <is>
          <t>Citroën Saxo VTS 16V</t>
        </is>
      </c>
      <c r="B57" s="10" t="inlineStr">
        <is>
          <t>CITROEN SAXO VTS Phase 2 - 1.6 8s 100ch - Noir Onyx - 19.200 kms</t>
        </is>
      </c>
      <c r="C57" s="10" t="inlineStr">
        <is>
          <t>En vente</t>
        </is>
      </c>
      <c r="D57" s="18" t="n">
        <v>46288</v>
      </c>
      <c r="E57" s="18" t="n">
        <v>46288</v>
      </c>
      <c r="F57" s="18" t="n">
        <v>46296</v>
      </c>
      <c r="G57" s="18" t="n"/>
      <c r="H57" s="17">
        <f>IF(OR(ISNUMBER(D57),ISNUMBER(E57)),IF(ISNUMBER(G57),G57,F57)-IF(ISNUMBER(D57),D57,E57),"")</f>
        <v/>
      </c>
      <c r="I57" s="12" t="n">
        <v>12980</v>
      </c>
      <c r="J57" s="12" t="n">
        <v>12980</v>
      </c>
      <c r="K57" s="13">
        <f>IF(AND(ISNUMBER(I57),ISNUMBER(J57),I57&gt;0),1-J57/I57,"")</f>
        <v/>
      </c>
      <c r="L57" s="16" t="n">
        <v>0</v>
      </c>
      <c r="M57" s="15" t="n">
        <v>19200</v>
      </c>
      <c r="N57" s="16" t="n">
        <v>2001</v>
      </c>
      <c r="O57" s="10" t="inlineStr">
        <is>
          <t>1</t>
        </is>
      </c>
      <c r="P57" s="10" t="inlineStr">
        <is>
          <t>1</t>
        </is>
      </c>
      <c r="Q57" s="16" t="n">
        <v>100</v>
      </c>
      <c r="R57" s="16" t="n">
        <v>6</v>
      </c>
      <c r="S57" s="10" t="inlineStr">
        <is>
          <t>noir</t>
        </is>
      </c>
      <c r="T57" s="16" t="n">
        <v>3</v>
      </c>
      <c r="U57" s="10" t="n"/>
      <c r="V57" s="10" t="inlineStr">
        <is>
          <t>3</t>
        </is>
      </c>
      <c r="W57" s="10" t="inlineStr">
        <is>
          <t>Pro</t>
        </is>
      </c>
      <c r="X57" s="10" t="inlineStr">
        <is>
          <t>Grandvilliers</t>
        </is>
      </c>
      <c r="Y57" s="10" t="inlineStr">
        <is>
          <t>60210</t>
        </is>
      </c>
      <c r="Z57" s="10" t="inlineStr">
        <is>
          <t>Oise</t>
        </is>
      </c>
      <c r="AA57" s="10" t="inlineStr">
        <is>
          <t>Picardie</t>
        </is>
      </c>
      <c r="AB57" s="16" t="n"/>
      <c r="AC57" s="16" t="n"/>
      <c r="AD57" s="10" t="n"/>
      <c r="AE57" s="10" t="n"/>
      <c r="AF57" s="10" t="inlineStr">
        <is>
          <t>1 : 1 ; 3 : 3 ; 5 : 5 ; 2001 : 2001 ; 711224 : 711224 ; 7041669 : 7041669 ; Citroen : Citroen ; Saxo : Saxo ; CITROEN : CITROEN ; 19200 km : 19200 ; Essence : 1 ; Manuelle : 1 ; VTS : CITROEN_Saxo_VTS ; Saxo 1.6 100ch VTS 3p : Saxo 1.6 100ch VTS 3p ; 12/2001 : 12/2001 ; Bon état général : good_overall_condition ; Berline : berline ; Noir : noir ; 6 Cv : 6 ; 100 Ch : 100 ; Sans permis : sanspermis ; false : false ; https://img.leboncoin.fr/api/v1/lbcpb1/images/e9/6e/12/e96e122f-f782-4293-b865-4da456a7deb7?rule=bo-thumb : https://img.leboncoin.fr/api/v1/lbcpb1/images/e9/6e/12/e96e122f-f782-4293-b865-4da456a7deb7?rule=bo-thumb ; VERITAGE : VERITAGE ; 2063-0000001 : 2063-0000001 ; true : true ; https://autoviza.fr/report/report?uid=6c24c5e6-7704-45cf-b6cf-79bf64beb9c8 : https://autoviza.fr/report/report?uid=6c24c5e6-7704-45cf-b6cf-79bf64beb9c8 ; visible : visible ; Non renseignée : non_renseignee ; activity_sector : 1 ; u_car_brand : CITROEN ; u_car_model : Saxo ; u_car_finition : VTS ; u_car_version : Saxo 1.6 100ch VTS 3p ; vehicle_damage : Bon état général ; vehicle_interior_specs : Jantes en alliage ; vehicle_vsp : Sans permis ; recent_used_vehicle : false ; has_visibility_option : false ; store_logo : https://img.leboncoin.fr/api/v1/lbcpb1/images/e9/6e/12/e96e122f-f782-4293-b865-4da456a7deb7?rule=bo-thumb ; store_name : VERITAGE ; online_store_id : 7041669 ; custom_ref : 2063-0000001 ; is_import : true ; vehicle_history_report_public_url : https://autoviza.fr/report/report?uid=6c24c5e6-7704-45cf-b6cf-79bf64beb9c8 ; vehicle_history_report_status : visible ; argus_object_id : 711224 ; spare_parts_availability : Non renseignée ; licence_plate_available : true</t>
        </is>
      </c>
      <c r="AG57" s="19" t="inlineStr">
        <is>
          <t>Voir</t>
        </is>
      </c>
      <c r="AH57" s="10" t="inlineStr">
        <is>
          <t>3278294886</t>
        </is>
      </c>
    </row>
    <row r="58">
      <c r="A58" s="10" t="inlineStr">
        <is>
          <t>Citroën Saxo VTS 16V</t>
        </is>
      </c>
      <c r="B58" s="10" t="inlineStr">
        <is>
          <t>Vend saxo vts 1l4 essence</t>
        </is>
      </c>
      <c r="C58" s="10" t="inlineStr">
        <is>
          <t>En vente</t>
        </is>
      </c>
      <c r="D58" s="18" t="n">
        <v>46293</v>
      </c>
      <c r="E58" s="18" t="n">
        <v>46293</v>
      </c>
      <c r="F58" s="18" t="n">
        <v>46296</v>
      </c>
      <c r="G58" s="18" t="n"/>
      <c r="H58" s="17">
        <f>IF(OR(ISNUMBER(D58),ISNUMBER(E58)),IF(ISNUMBER(G58),G58,F58)-IF(ISNUMBER(D58),D58,E58),"")</f>
        <v/>
      </c>
      <c r="I58" s="12" t="n">
        <v>2000</v>
      </c>
      <c r="J58" s="12" t="n">
        <v>2000</v>
      </c>
      <c r="K58" s="13">
        <f>IF(AND(ISNUMBER(I58),ISNUMBER(J58),I58&gt;0),1-J58/I58,"")</f>
        <v/>
      </c>
      <c r="L58" s="16" t="n">
        <v>0</v>
      </c>
      <c r="M58" s="15" t="n">
        <v>254000</v>
      </c>
      <c r="N58" s="16" t="n">
        <v>2002</v>
      </c>
      <c r="O58" s="10" t="inlineStr">
        <is>
          <t>1</t>
        </is>
      </c>
      <c r="P58" s="10" t="inlineStr">
        <is>
          <t>1</t>
        </is>
      </c>
      <c r="Q58" s="16" t="n">
        <v>75</v>
      </c>
      <c r="R58" s="16" t="n">
        <v>5</v>
      </c>
      <c r="S58" s="10" t="inlineStr">
        <is>
          <t>noir</t>
        </is>
      </c>
      <c r="T58" s="16" t="n">
        <v>3</v>
      </c>
      <c r="U58" s="10" t="n"/>
      <c r="V58" s="10" t="n"/>
      <c r="W58" s="10" t="inlineStr">
        <is>
          <t>Particulier</t>
        </is>
      </c>
      <c r="X58" s="10" t="inlineStr">
        <is>
          <t>La Plaine-des-Palmistes</t>
        </is>
      </c>
      <c r="Y58" s="10" t="inlineStr">
        <is>
          <t>97431</t>
        </is>
      </c>
      <c r="Z58" s="10" t="n"/>
      <c r="AA58" s="10" t="inlineStr">
        <is>
          <t>Réunion</t>
        </is>
      </c>
      <c r="AB58" s="16" t="n"/>
      <c r="AC58" s="16" t="n"/>
      <c r="AD58" s="10" t="n"/>
      <c r="AE58" s="10" t="n"/>
      <c r="AF58" s="10" t="inlineStr">
        <is>
          <t>1 : 1 ; 2 : 2 ; 3 : 3 ; 2002 : 2002 ; https://img.leboncoin.fr/api/v1/tenants/9a6387a1-6259-4f2c-a887-7e67f23dd4cb/domains/20bda58f-d650-462e-a72a-a5a7ecf2bf88/buckets/21d2b0bc-e54c-4b64-a30b-89127b18b785/images/profile/pictures/default/0d77cf0b-ec18-56c4-857c-41de74617915?rule=pp-small : https://img.leboncoin.fr/api/v1/tenants/9a6387a1-6259-4f2c-a887-7e67f23dd4cb/domains/20bda58f-d650-462e-a72a-a5a7ecf2bf88/buckets/21d2b0bc-e54c-4b64-a30b-89127b18b785/images/profile/pictures/default/0d77cf0b-ec18-56c4-857c-41de74617915?rule=pp-small ; Citroen : Citroen ; Saxo : Saxo ; CITROEN : CITROEN ; 254000 km : 254000 ; Essence : 1 ; Manuelle : 1 ; Non : false ; 05/2002 : 05/2002 ; Réparations mineures à prévoir : minor_repairs_needed ; Berline : berline ; Noir : noir ; 5 Cv : 5 ; 75 Ch : 75 ; Avec permis : avecpermis ; credit_card : credit_card ; false : false ; true : true ; u_car_brand : CITROEN ; u_car_model : Saxo ; vehicle_technical_inspection_valid : Non ; vehicle_damage : Réparations mineures à prévoir ; vehicle_vsp : Avec permis ; vehicle_available_payment_methods : credit_card ; is_import : false ; vehicle_is_eligible_p2p : 2 ; licence_plate_available : true</t>
        </is>
      </c>
      <c r="AG58" s="19" t="inlineStr">
        <is>
          <t>Voir</t>
        </is>
      </c>
      <c r="AH58" s="10" t="inlineStr">
        <is>
          <t>3278304303</t>
        </is>
      </c>
    </row>
    <row r="59">
      <c r="A59" s="10" t="inlineStr">
        <is>
          <t>Citroën Saxo VTS 16V</t>
        </is>
      </c>
      <c r="B59" s="10" t="inlineStr">
        <is>
          <t>Saxo vts 16s</t>
        </is>
      </c>
      <c r="C59" s="10" t="inlineStr">
        <is>
          <t>En vente</t>
        </is>
      </c>
      <c r="D59" s="18" t="n">
        <v>46293</v>
      </c>
      <c r="E59" s="18" t="n">
        <v>46293</v>
      </c>
      <c r="F59" s="18" t="n">
        <v>46296</v>
      </c>
      <c r="G59" s="18" t="n"/>
      <c r="H59" s="17">
        <f>IF(OR(ISNUMBER(D59),ISNUMBER(E59)),IF(ISNUMBER(G59),G59,F59)-IF(ISNUMBER(D59),D59,E59),"")</f>
        <v/>
      </c>
      <c r="I59" s="12" t="n">
        <v>12500</v>
      </c>
      <c r="J59" s="12" t="n">
        <v>12500</v>
      </c>
      <c r="K59" s="13">
        <f>IF(AND(ISNUMBER(I59),ISNUMBER(J59),I59&gt;0),1-J59/I59,"")</f>
        <v/>
      </c>
      <c r="L59" s="16" t="n">
        <v>0</v>
      </c>
      <c r="M59" s="15" t="n">
        <v>126890</v>
      </c>
      <c r="N59" s="16" t="n">
        <v>1999</v>
      </c>
      <c r="O59" s="10" t="inlineStr">
        <is>
          <t>1</t>
        </is>
      </c>
      <c r="P59" s="10" t="inlineStr">
        <is>
          <t>1</t>
        </is>
      </c>
      <c r="Q59" s="16" t="n">
        <v>118</v>
      </c>
      <c r="R59" s="16" t="n">
        <v>8</v>
      </c>
      <c r="S59" s="10" t="inlineStr">
        <is>
          <t>bleu</t>
        </is>
      </c>
      <c r="T59" s="16" t="n">
        <v>3</v>
      </c>
      <c r="U59" s="10" t="n"/>
      <c r="V59" s="10" t="n"/>
      <c r="W59" s="10" t="inlineStr">
        <is>
          <t>Particulier</t>
        </is>
      </c>
      <c r="X59" s="10" t="inlineStr">
        <is>
          <t>Badonviller</t>
        </is>
      </c>
      <c r="Y59" s="10" t="inlineStr">
        <is>
          <t>54540</t>
        </is>
      </c>
      <c r="Z59" s="10" t="inlineStr">
        <is>
          <t>Meurthe-et-Moselle</t>
        </is>
      </c>
      <c r="AA59" s="10" t="inlineStr">
        <is>
          <t>Lorraine</t>
        </is>
      </c>
      <c r="AB59" s="16" t="n"/>
      <c r="AC59" s="16" t="n"/>
      <c r="AD59" s="10" t="n"/>
      <c r="AE59" s="10" t="n"/>
      <c r="AF59" s="10" t="inlineStr">
        <is>
          <t>1 : 1 ; 2 : 2 ; 3 : 3 ; 4 : 4 ; 9 : 9 ; 1999 : 1999 ; https://img.leboncoin.fr/api/v1/tenants/9a6387a1-6259-4f2c-a887-7e67f23dd4cb/domains/20bda58f-d650-462e-a72a-a5a7ecf2bf88/buckets/21d2b0bc-e54c-4b64-a30b-89127b18b785/images/profile/pictures/default/5fc6f3ee-ef9c-591c-a0d9-04dc5b7a5421?rule=pp-small : https://img.leboncoin.fr/api/v1/tenants/9a6387a1-6259-4f2c-a887-7e67f23dd4cb/domains/20bda58f-d650-462e-a72a-a5a7ecf2bf88/buckets/21d2b0bc-e54c-4b64-a30b-89127b18b785/images/profile/pictures/default/5fc6f3ee-ef9c-591c-a0d9-04dc5b7a5421?rule=pp-small ; Citroen : Citroen ; Saxo : Saxo ; CITROEN : CITROEN ; 126890 km : 126890 ; Essence : 1 ; Manuelle : 1 ; 04/1999 : 04/1999 ; Bon état général : good_overall_condition ; Berline : berline ; Bleu : bleu ; 8 Cv : 8 ; 118 Ch : 118 ; Avec permis : avecpermis ; credit_card : credit_card ; false : false ; true : true ; rating_score : 1 ; rating_count : 9 ; u_car_brand : CITROEN ; u_car_model : Saxo ; vehicle_damage : Bon état général ; vehicle_upholstery : Tissu ; vehicle_maintenance : Carnet d'entretien disponible, Factures disponibles, Véhicule non fumeur, Réparations utiles déjà faites ; vehicle_vsp : Avec permis ; vehicle_available_payment_methods : credit_card ; is_import : false ; vehicle_is_eligible_p2p : 2 ; licence_plate_available : true</t>
        </is>
      </c>
      <c r="AG59" s="19" t="inlineStr">
        <is>
          <t>Voir</t>
        </is>
      </c>
      <c r="AH59" s="10" t="inlineStr">
        <is>
          <t>3278388859</t>
        </is>
      </c>
    </row>
    <row r="60">
      <c r="A60" s="10" t="inlineStr">
        <is>
          <t>Citroën Saxo VTS 16V</t>
        </is>
      </c>
      <c r="B60" s="10" t="inlineStr">
        <is>
          <t>Saxo VTS</t>
        </is>
      </c>
      <c r="C60" s="10" t="inlineStr">
        <is>
          <t>En vente</t>
        </is>
      </c>
      <c r="D60" s="18" t="n">
        <v>46294</v>
      </c>
      <c r="E60" s="18" t="n">
        <v>46294</v>
      </c>
      <c r="F60" s="18" t="n">
        <v>46296</v>
      </c>
      <c r="G60" s="18" t="n"/>
      <c r="H60" s="17">
        <f>IF(OR(ISNUMBER(D60),ISNUMBER(E60)),IF(ISNUMBER(G60),G60,F60)-IF(ISNUMBER(D60),D60,E60),"")</f>
        <v/>
      </c>
      <c r="I60" s="12" t="n">
        <v>6000</v>
      </c>
      <c r="J60" s="12" t="n">
        <v>6000</v>
      </c>
      <c r="K60" s="13">
        <f>IF(AND(ISNUMBER(I60),ISNUMBER(J60),I60&gt;0),1-J60/I60,"")</f>
        <v/>
      </c>
      <c r="L60" s="16" t="n">
        <v>0</v>
      </c>
      <c r="M60" s="15" t="n">
        <v>170600</v>
      </c>
      <c r="N60" s="16" t="n">
        <v>2002</v>
      </c>
      <c r="O60" s="10" t="inlineStr">
        <is>
          <t>1</t>
        </is>
      </c>
      <c r="P60" s="10" t="inlineStr">
        <is>
          <t>1</t>
        </is>
      </c>
      <c r="Q60" s="16" t="n">
        <v>75</v>
      </c>
      <c r="R60" s="16" t="n">
        <v>5</v>
      </c>
      <c r="S60" s="10" t="inlineStr">
        <is>
          <t>bleu</t>
        </is>
      </c>
      <c r="T60" s="16" t="n">
        <v>3</v>
      </c>
      <c r="U60" s="10" t="n"/>
      <c r="V60" s="10" t="n"/>
      <c r="W60" s="10" t="inlineStr">
        <is>
          <t>Particulier</t>
        </is>
      </c>
      <c r="X60" s="10" t="inlineStr">
        <is>
          <t>Faulquemont</t>
        </is>
      </c>
      <c r="Y60" s="10" t="inlineStr">
        <is>
          <t>57380</t>
        </is>
      </c>
      <c r="Z60" s="10" t="inlineStr">
        <is>
          <t>Moselle</t>
        </is>
      </c>
      <c r="AA60" s="10" t="inlineStr">
        <is>
          <t>Lorraine</t>
        </is>
      </c>
      <c r="AB60" s="16" t="n"/>
      <c r="AC60" s="16" t="n"/>
      <c r="AD60" s="10" t="n"/>
      <c r="AE60" s="10" t="n"/>
      <c r="AF60" s="10" t="inlineStr">
        <is>
          <t>1 : 1 ; 2 : 2 ; 3 : 3 ; 5 : 5 ; 7 : 7 ; 2002 : 2002 ; https://img.leboncoin.fr/api/v1/tenants/9a6387a1-6259-4f2c-a887-7e67f23dd4cb/domains/20bda58f-d650-462e-a72a-a5a7ecf2bf88/buckets/21d2b0bc-e54c-4b64-a30b-89127b18b785/images/profile/pictures/9a2817e7-a499-5462-b831-592d9ab5f844?rule=pp-small : https://img.leboncoin.fr/api/v1/tenants/9a6387a1-6259-4f2c-a887-7e67f23dd4cb/domains/20bda58f-d650-462e-a72a-a5a7ecf2bf88/buckets/21d2b0bc-e54c-4b64-a30b-89127b18b785/images/profile/pictures/9a2817e7-a499-5462-b831-592d9ab5f844?rule=pp-small ; Citroen : Citroen ; Saxo : Saxo ; CITROEN : CITROEN ; 170600 km : 170600 ; Essence : 1 ; Manuelle : 1 ; 04/2002 : 04/2002 ; Excellent état (proche du neuf) : excellent_condition ; Berline : berline ; Bleu : bleu ; 5 Cv : 5 ; 75 Ch : 75 ; Avec permis : avecpermis ; credit_card : credit_card ; false : false ; true : true ; rating_score : 1 ; rating_count : 7 ; u_car_brand : CITROEN ; u_car_model : Saxo ; vehicle_damage : Excellent état (proche du neuf) ; vehicle_upholstery : Tissu ; vehicle_maintenance : Véhicule non fumeur, Réparations utiles déjà faites ; vehicle_interior_specs : Bluetooth, Climatisation, Jantes en alliage, Roue de secours, Siège arrière rabattable, Sièges sport ; vehicle_vsp : Avec permis ; vehicle_available_payment_methods : credit_card ; is_import : false ; vehicle_is_eligible_p2p : 2 ; licence_plate_available : true</t>
        </is>
      </c>
      <c r="AG60" s="19" t="inlineStr">
        <is>
          <t>Voir</t>
        </is>
      </c>
      <c r="AH60" s="10" t="inlineStr">
        <is>
          <t>3278923547</t>
        </is>
      </c>
    </row>
    <row r="61">
      <c r="A61" s="10" t="inlineStr">
        <is>
          <t>Citroën Saxo VTS 16V</t>
        </is>
      </c>
      <c r="B61" s="10" t="inlineStr">
        <is>
          <t>Saxo vts</t>
        </is>
      </c>
      <c r="C61" s="10" t="inlineStr">
        <is>
          <t>En vente</t>
        </is>
      </c>
      <c r="D61" s="18" t="n">
        <v>46295</v>
      </c>
      <c r="E61" s="18" t="n">
        <v>46295</v>
      </c>
      <c r="F61" s="18" t="n">
        <v>46296</v>
      </c>
      <c r="G61" s="18" t="n"/>
      <c r="H61" s="17">
        <f>IF(OR(ISNUMBER(D61),ISNUMBER(E61)),IF(ISNUMBER(G61),G61,F61)-IF(ISNUMBER(D61),D61,E61),"")</f>
        <v/>
      </c>
      <c r="I61" s="12" t="n">
        <v>8200</v>
      </c>
      <c r="J61" s="12" t="n">
        <v>8200</v>
      </c>
      <c r="K61" s="13">
        <f>IF(AND(ISNUMBER(I61),ISNUMBER(J61),I61&gt;0),1-J61/I61,"")</f>
        <v/>
      </c>
      <c r="L61" s="16" t="n">
        <v>0</v>
      </c>
      <c r="M61" s="15" t="n">
        <v>179999</v>
      </c>
      <c r="N61" s="16" t="n">
        <v>2001</v>
      </c>
      <c r="O61" s="10" t="inlineStr">
        <is>
          <t>1</t>
        </is>
      </c>
      <c r="P61" s="10" t="inlineStr">
        <is>
          <t>1</t>
        </is>
      </c>
      <c r="Q61" s="16" t="n">
        <v>120</v>
      </c>
      <c r="R61" s="16" t="n">
        <v>8</v>
      </c>
      <c r="S61" s="10" t="inlineStr">
        <is>
          <t>autre</t>
        </is>
      </c>
      <c r="T61" s="16" t="n">
        <v>3</v>
      </c>
      <c r="U61" s="10" t="n"/>
      <c r="V61" s="10" t="n"/>
      <c r="W61" s="10" t="inlineStr">
        <is>
          <t>Particulier</t>
        </is>
      </c>
      <c r="X61" s="10" t="inlineStr">
        <is>
          <t>Angers</t>
        </is>
      </c>
      <c r="Y61" s="10" t="inlineStr">
        <is>
          <t>49100</t>
        </is>
      </c>
      <c r="Z61" s="10" t="inlineStr">
        <is>
          <t>Maine-et-Loire</t>
        </is>
      </c>
      <c r="AA61" s="10" t="inlineStr">
        <is>
          <t>Pays de la Loire</t>
        </is>
      </c>
      <c r="AB61" s="16" t="n"/>
      <c r="AC61" s="16" t="n"/>
      <c r="AD61" s="10" t="n"/>
      <c r="AE61" s="10" t="n"/>
      <c r="AF61" s="10" t="inlineStr">
        <is>
          <t>1 : 1 ; 2 : 2 ; 3 : 3 ; 2001 : 2001 ; https://img.leboncoin.fr/api/v1/tenants/9a6387a1-6259-4f2c-a887-7e67f23dd4cb/domains/20bda58f-d650-462e-a72a-a5a7ecf2bf88/buckets/21d2b0bc-e54c-4b64-a30b-89127b18b785/images/profile/pictures/default/050c63a3-8a54-5f5e-8c71-292e4251c72f?rule=pp-small : https://img.leboncoin.fr/api/v1/tenants/9a6387a1-6259-4f2c-a887-7e67f23dd4cb/domains/20bda58f-d650-462e-a72a-a5a7ecf2bf88/buckets/21d2b0bc-e54c-4b64-a30b-89127b18b785/images/profile/pictures/default/050c63a3-8a54-5f5e-8c71-292e4251c72f?rule=pp-small ; Citroen : Citroen ; Saxo : Saxo ; CITROEN : CITROEN ; 179999 km : 179999 ; Essence : 1 ; Manuelle : 1 ; 08/2001 : 08/2001 ; Berline : berline ; Autre : autre ; 8 Cv : 8 ; 120 Ch : 120 ; Avec permis : avecpermis ; credit_card : credit_card ; false : false ; true : true ; u_car_brand : CITROEN ; u_car_model : Saxo ; vehicle_vsp : Avec permis ; vehicle_available_payment_methods : credit_card ; is_import : false ; vehicle_is_eligible_p2p : 2 ; licence_plate_available : true</t>
        </is>
      </c>
      <c r="AG61" s="19" t="inlineStr">
        <is>
          <t>Voir</t>
        </is>
      </c>
      <c r="AH61" s="10" t="inlineStr">
        <is>
          <t>3279836593</t>
        </is>
      </c>
    </row>
    <row r="62">
      <c r="A62" s="10" t="inlineStr">
        <is>
          <t>Citroën Saxo VTS 16V</t>
        </is>
      </c>
      <c r="B62" s="10" t="inlineStr">
        <is>
          <t>Saxo vts 1,6 l 16v</t>
        </is>
      </c>
      <c r="C62" s="10" t="inlineStr">
        <is>
          <t>En vente</t>
        </is>
      </c>
      <c r="D62" s="18" t="n">
        <v>46295</v>
      </c>
      <c r="E62" s="18" t="n">
        <v>46295</v>
      </c>
      <c r="F62" s="18" t="n">
        <v>46296</v>
      </c>
      <c r="G62" s="18" t="n"/>
      <c r="H62" s="17">
        <f>IF(OR(ISNUMBER(D62),ISNUMBER(E62)),IF(ISNUMBER(G62),G62,F62)-IF(ISNUMBER(D62),D62,E62),"")</f>
        <v/>
      </c>
      <c r="I62" s="12" t="n">
        <v>8800</v>
      </c>
      <c r="J62" s="12" t="n">
        <v>8800</v>
      </c>
      <c r="K62" s="13">
        <f>IF(AND(ISNUMBER(I62),ISNUMBER(J62),I62&gt;0),1-J62/I62,"")</f>
        <v/>
      </c>
      <c r="L62" s="16" t="n">
        <v>0</v>
      </c>
      <c r="M62" s="15" t="n">
        <v>194500</v>
      </c>
      <c r="N62" s="16" t="n">
        <v>2001</v>
      </c>
      <c r="O62" s="10" t="inlineStr">
        <is>
          <t>1</t>
        </is>
      </c>
      <c r="P62" s="10" t="inlineStr">
        <is>
          <t>1</t>
        </is>
      </c>
      <c r="Q62" s="16" t="n">
        <v>120</v>
      </c>
      <c r="R62" s="16" t="n">
        <v>8</v>
      </c>
      <c r="S62" s="10" t="inlineStr">
        <is>
          <t>bleu</t>
        </is>
      </c>
      <c r="T62" s="16" t="n">
        <v>3</v>
      </c>
      <c r="U62" s="10" t="n"/>
      <c r="V62" s="10" t="n"/>
      <c r="W62" s="10" t="inlineStr">
        <is>
          <t>Particulier</t>
        </is>
      </c>
      <c r="X62" s="10" t="inlineStr">
        <is>
          <t>Saint-Laurent-les-Tours</t>
        </is>
      </c>
      <c r="Y62" s="10" t="inlineStr">
        <is>
          <t>46400</t>
        </is>
      </c>
      <c r="Z62" s="10" t="inlineStr">
        <is>
          <t>Lot</t>
        </is>
      </c>
      <c r="AA62" s="10" t="inlineStr">
        <is>
          <t>Midi-Pyrénées</t>
        </is>
      </c>
      <c r="AB62" s="16" t="n"/>
      <c r="AC62" s="16" t="n"/>
      <c r="AD62" s="10" t="n"/>
      <c r="AE62" s="10" t="n"/>
      <c r="AF62" s="10" t="inlineStr">
        <is>
          <t>2 : 2 ; 3 : 3 ; 5 : 5 ; 2001 : 2001 ; https://img.leboncoin.fr/api/v1/tenants/9a6387a1-6259-4f2c-a887-7e67f23dd4cb/domains/20bda58f-d650-462e-a72a-a5a7ecf2bf88/buckets/21d2b0bc-e54c-4b64-a30b-89127b18b785/images/profile/pictures/default/093d8c6f-932c-5276-ad64-e30c2ab5384e?rule=pp-small : https://img.leboncoin.fr/api/v1/tenants/9a6387a1-6259-4f2c-a887-7e67f23dd4cb/domains/20bda58f-d650-462e-a72a-a5a7ecf2bf88/buckets/21d2b0bc-e54c-4b64-a30b-89127b18b785/images/profile/pictures/default/093d8c6f-932c-5276-ad64-e30c2ab5384e?rule=pp-small ; Citroen : Citroen ; Saxo : Saxo ; CITROEN : CITROEN ; 194500 km : 194500 ; Essence : 1 ; Manuelle : 1 ; 06/2001 : 06/2001 ; Bon état général : good_overall_condition ; Berline : berline ; Bleu : bleu ; 8 Cv : 8 ; 120 Ch : 120 ; Avec permis : avecpermis ; credit_card : credit_card ; false : false ; true : true ; u_car_brand : CITROEN ; u_car_model : Saxo ; vehicle_damage : Bon état général ; vehicle_maintenance : Véhicule non fumeur ; vehicle_vsp : Avec permis ; vehicle_available_payment_methods : credit_card ; is_import : false ; vehicle_is_eligible_p2p : 2 ; licence_plate_available : true</t>
        </is>
      </c>
      <c r="AG62" s="19" t="inlineStr">
        <is>
          <t>Voir</t>
        </is>
      </c>
      <c r="AH62" s="10" t="inlineStr">
        <is>
          <t>3279840069</t>
        </is>
      </c>
    </row>
    <row r="63">
      <c r="A63" s="10" t="inlineStr">
        <is>
          <t>Citroën Saxo VTS 16V</t>
        </is>
      </c>
      <c r="B63" s="10" t="inlineStr">
        <is>
          <t>Saxo Vts 1.4</t>
        </is>
      </c>
      <c r="C63" s="10" t="inlineStr">
        <is>
          <t>En vente</t>
        </is>
      </c>
      <c r="D63" s="18" t="n">
        <v>46296</v>
      </c>
      <c r="E63" s="18" t="n">
        <v>46296</v>
      </c>
      <c r="F63" s="18" t="n">
        <v>46296</v>
      </c>
      <c r="G63" s="18" t="n"/>
      <c r="H63" s="17">
        <f>IF(OR(ISNUMBER(D63),ISNUMBER(E63)),IF(ISNUMBER(G63),G63,F63)-IF(ISNUMBER(D63),D63,E63),"")</f>
        <v/>
      </c>
      <c r="I63" s="12" t="n">
        <v>4000</v>
      </c>
      <c r="J63" s="12" t="n">
        <v>4000</v>
      </c>
      <c r="K63" s="13">
        <f>IF(AND(ISNUMBER(I63),ISNUMBER(J63),I63&gt;0),1-J63/I63,"")</f>
        <v/>
      </c>
      <c r="L63" s="16" t="n">
        <v>0</v>
      </c>
      <c r="M63" s="15" t="n">
        <v>164000</v>
      </c>
      <c r="N63" s="16" t="n">
        <v>2001</v>
      </c>
      <c r="O63" s="10" t="inlineStr">
        <is>
          <t>1</t>
        </is>
      </c>
      <c r="P63" s="10" t="inlineStr">
        <is>
          <t>1</t>
        </is>
      </c>
      <c r="Q63" s="16" t="n">
        <v>75</v>
      </c>
      <c r="R63" s="16" t="n">
        <v>5</v>
      </c>
      <c r="S63" s="10" t="inlineStr">
        <is>
          <t>autre</t>
        </is>
      </c>
      <c r="T63" s="16" t="n">
        <v>3</v>
      </c>
      <c r="U63" s="10" t="n"/>
      <c r="V63" s="10" t="n"/>
      <c r="W63" s="10" t="inlineStr">
        <is>
          <t>Particulier</t>
        </is>
      </c>
      <c r="X63" s="10" t="inlineStr">
        <is>
          <t>Béthune</t>
        </is>
      </c>
      <c r="Y63" s="10" t="inlineStr">
        <is>
          <t>62400</t>
        </is>
      </c>
      <c r="Z63" s="10" t="inlineStr">
        <is>
          <t>Pas-de-Calais</t>
        </is>
      </c>
      <c r="AA63" s="10" t="inlineStr">
        <is>
          <t>Nord-Pas-de-Calais</t>
        </is>
      </c>
      <c r="AB63" s="16" t="n"/>
      <c r="AC63" s="16" t="n"/>
      <c r="AD63" s="10" t="n"/>
      <c r="AE63" s="10" t="n"/>
      <c r="AF63" s="10" t="inlineStr">
        <is>
          <t>1 : 1 ; 2 : 2 ; 3 : 3 ; 37 : 37 ; 2001 : 2001 ; 711223 : 711223 ; 0.98 : 0.98 ; https://img.leboncoin.fr/api/v1/tenants/9a6387a1-6259-4f2c-a887-7e67f23dd4cb/domains/20bda58f-d650-462e-a72a-a5a7ecf2bf88/buckets/21d2b0bc-e54c-4b64-a30b-89127b18b785/images/profile/pictures/default/303ca24c-0294-557a-97a5-7edaa01a2782?rule=pp-small : https://img.leboncoin.fr/api/v1/tenants/9a6387a1-6259-4f2c-a887-7e67f23dd4cb/domains/20bda58f-d650-462e-a72a-a5a7ecf2bf88/buckets/21d2b0bc-e54c-4b64-a30b-89127b18b785/images/profile/pictures/default/303ca24c-0294-557a-97a5-7edaa01a2782?rule=pp-small ; Citroen : Citroen ; Saxo : Saxo ; CITROEN : CITROEN ; 164000 km : 164000 ; Essence : 1 ; Manuelle : 1 ; VTS : CITROEN_Saxo_VTS ; Saxo 1.4 VTS 3p : Saxo 1.4 VTS 3p ; 08/2001 : 08/2001 ; Bon état général : good_overall_condition ; Berline : berline ; Autre : autre ; 5 Cv : 5 ; 75 Ch : 75 ; Avec permis : avecpermis ; credit_card : credit_card ; false : false ; true : true ; rating_score : 0.98 ; rating_count : 37 ; u_car_brand : CITROEN ; u_car_model : Saxo ; u_car_finition : VTS ; u_car_version : Saxo 1.4 VTS 3p ; vehicle_damage : Bon état général ; vehicle_upholstery : Tissu ; vehicle_maintenance : Véhicule non fumeur ; vehicle_vsp : Avec permis ; vehicle_available_payment_methods : credit_card ; is_import : false ; vehicle_is_eligible_p2p : 2 ; argus_object_id : 711223 ; licence_plate_available : true</t>
        </is>
      </c>
      <c r="AG63" s="19" t="inlineStr">
        <is>
          <t>Voir</t>
        </is>
      </c>
      <c r="AH63" s="10" t="inlineStr">
        <is>
          <t>3279949039</t>
        </is>
      </c>
    </row>
    <row r="64">
      <c r="A64" s="10" t="inlineStr">
        <is>
          <t>Honda S2000</t>
        </is>
      </c>
      <c r="B64" s="10" t="inlineStr">
        <is>
          <t>Honda S2000 AP1 2.0 VTEC conduite à gauche</t>
        </is>
      </c>
      <c r="C64" s="10" t="inlineStr">
        <is>
          <t>En vente</t>
        </is>
      </c>
      <c r="D64" s="18" t="n">
        <v>46239</v>
      </c>
      <c r="E64" s="18" t="n">
        <v>46239</v>
      </c>
      <c r="F64" s="18" t="n">
        <v>46296</v>
      </c>
      <c r="G64" s="18" t="n"/>
      <c r="H64" s="17">
        <f>IF(OR(ISNUMBER(D64),ISNUMBER(E64)),IF(ISNUMBER(G64),G64,F64)-IF(ISNUMBER(D64),D64,E64),"")</f>
        <v/>
      </c>
      <c r="I64" s="12" t="n">
        <v>27500</v>
      </c>
      <c r="J64" s="12" t="n">
        <v>27500</v>
      </c>
      <c r="K64" s="13">
        <f>IF(AND(ISNUMBER(I64),ISNUMBER(J64),I64&gt;0),1-J64/I64,"")</f>
        <v/>
      </c>
      <c r="L64" s="16" t="n">
        <v>0</v>
      </c>
      <c r="M64" s="15" t="n">
        <v>115000</v>
      </c>
      <c r="N64" s="16" t="n">
        <v>2001</v>
      </c>
      <c r="O64" s="10" t="inlineStr">
        <is>
          <t>1</t>
        </is>
      </c>
      <c r="P64" s="10" t="inlineStr">
        <is>
          <t>1</t>
        </is>
      </c>
      <c r="Q64" s="16" t="n">
        <v>240</v>
      </c>
      <c r="R64" s="16" t="n">
        <v>16</v>
      </c>
      <c r="S64" s="10" t="inlineStr">
        <is>
          <t>bleu</t>
        </is>
      </c>
      <c r="T64" s="16" t="n">
        <v>2</v>
      </c>
      <c r="U64" s="10" t="n"/>
      <c r="V64" s="10" t="n"/>
      <c r="W64" s="10" t="inlineStr">
        <is>
          <t>Particulier</t>
        </is>
      </c>
      <c r="X64" s="10" t="inlineStr">
        <is>
          <t>Cuvat</t>
        </is>
      </c>
      <c r="Y64" s="10" t="inlineStr">
        <is>
          <t>74350</t>
        </is>
      </c>
      <c r="Z64" s="10" t="inlineStr">
        <is>
          <t>Haute-Savoie</t>
        </is>
      </c>
      <c r="AA64" s="10" t="inlineStr">
        <is>
          <t>Rhône-Alpes</t>
        </is>
      </c>
      <c r="AB64" s="16" t="n"/>
      <c r="AC64" s="16" t="n"/>
      <c r="AD64" s="10" t="n"/>
      <c r="AE64" s="10" t="n"/>
      <c r="AF64" s="10" t="inlineStr">
        <is>
          <t>1 : 1 ; 2 : 2 ; 2001 : 2001 ; 714587 : 714587 ; https://img.leboncoin.fr/api/v1/tenants/9a6387a1-6259-4f2c-a887-7e67f23dd4cb/domains/20bda58f-d650-462e-a72a-a5a7ecf2bf88/buckets/21d2b0bc-e54c-4b64-a30b-89127b18b785/images/profile/pictures/default/5bef1b9c-65ba-567d-af9e-a1191a06471d?rule=pp-small : https://img.leboncoin.fr/api/v1/tenants/9a6387a1-6259-4f2c-a887-7e67f23dd4cb/domains/20bda58f-d650-462e-a72a-a5a7ecf2bf88/buckets/21d2b0bc-e54c-4b64-a30b-89127b18b785/images/profile/pictures/default/5bef1b9c-65ba-567d-af9e-a1191a06471d?rule=pp-small ; Honda : Honda ; S2000 : S2000 ; HONDA : HONDA ; 115000 km : 115000 ; Essence : 1 ; Manuelle : 1 ; Oui : true ; 05/2001 : 05/2001 ; Traces d’usure normales : normal_wear_and_tear ; Cabriolet : cabriolet ; Bleu : bleu ; Euro 3 : euro3 ; 16 Cv : 16 ; 240 Ch : 240 ; Avec permis : avecpermis ; false : false ; https://autoviza.fr/report/report?uid=20d35139-b2b8-4e46-be03-8a17f6c7a34a : https://autoviza.fr/report/report?uid=20d35139-b2b8-4e46-be03-8a17f6c7a34a ; visible : visible ; true : true ; rating_score : 1 ; rating_count : 2 ; u_car_brand : HONDA ; u_car_model : S2000 ; vehicle_technical_inspection_valid : Oui ; vehicle_damage : Traces d’usure normales ; vehicle_upholstery : Cuir partiel ; vehicle_maintenance : Véhicule non fumeur, Réparations utiles déjà faites ; vehicle_interior_specs : Jantes en alliage, Ordinateur de bord, Phares LED / Xenon, Sièges en cuir, Sièges sport, Toit ouvrant / Toit panoramique, Volant réglable en hauteur ; vehicle_euro_emissions_standard : Euro 3 ; vehicle_vsp : Avec permis ; is_import : false ; vehicle_is_eligible_p2p : 2 ; vehicle_history_report_public_url : https://autoviza.fr/report/report?uid=20d35139-b2b8-4e46-be03-8a17f6c7a34a ; vehicle_history_report_status : visible ; argus_object_id : 714587 ; licence_plate_available : true</t>
        </is>
      </c>
      <c r="AG64" s="19" t="inlineStr">
        <is>
          <t>Voir</t>
        </is>
      </c>
      <c r="AH64" s="10" t="inlineStr">
        <is>
          <t>3140247303</t>
        </is>
      </c>
    </row>
    <row r="65">
      <c r="A65" s="10" t="inlineStr">
        <is>
          <t>Honda S2000</t>
        </is>
      </c>
      <c r="B65" s="10" t="inlineStr">
        <is>
          <t>Honda S2000 AP1 + 5000 de pièces</t>
        </is>
      </c>
      <c r="C65" s="10" t="inlineStr">
        <is>
          <t>En vente</t>
        </is>
      </c>
      <c r="D65" s="18" t="n">
        <v>46270</v>
      </c>
      <c r="E65" s="18" t="n">
        <v>46270</v>
      </c>
      <c r="F65" s="18" t="n">
        <v>46296</v>
      </c>
      <c r="G65" s="18" t="n"/>
      <c r="H65" s="17">
        <f>IF(OR(ISNUMBER(D65),ISNUMBER(E65)),IF(ISNUMBER(G65),G65,F65)-IF(ISNUMBER(D65),D65,E65),"")</f>
        <v/>
      </c>
      <c r="I65" s="12" t="n">
        <v>28900</v>
      </c>
      <c r="J65" s="12" t="n">
        <v>28900</v>
      </c>
      <c r="K65" s="13">
        <f>IF(AND(ISNUMBER(I65),ISNUMBER(J65),I65&gt;0),1-J65/I65,"")</f>
        <v/>
      </c>
      <c r="L65" s="16" t="n">
        <v>0</v>
      </c>
      <c r="M65" s="15" t="n">
        <v>137000</v>
      </c>
      <c r="N65" s="16" t="n">
        <v>2000</v>
      </c>
      <c r="O65" s="10" t="inlineStr">
        <is>
          <t>1</t>
        </is>
      </c>
      <c r="P65" s="10" t="inlineStr">
        <is>
          <t>1</t>
        </is>
      </c>
      <c r="Q65" s="16" t="n">
        <v>240</v>
      </c>
      <c r="R65" s="16" t="n">
        <v>16</v>
      </c>
      <c r="S65" s="10" t="inlineStr">
        <is>
          <t>gris</t>
        </is>
      </c>
      <c r="T65" s="16" t="n">
        <v>2</v>
      </c>
      <c r="U65" s="10" t="n"/>
      <c r="V65" s="10" t="n"/>
      <c r="W65" s="10" t="inlineStr">
        <is>
          <t>Particulier</t>
        </is>
      </c>
      <c r="X65" s="10" t="inlineStr">
        <is>
          <t>Saverne</t>
        </is>
      </c>
      <c r="Y65" s="10" t="inlineStr">
        <is>
          <t>67700</t>
        </is>
      </c>
      <c r="Z65" s="10" t="inlineStr">
        <is>
          <t>Bas-Rhin</t>
        </is>
      </c>
      <c r="AA65" s="10" t="inlineStr">
        <is>
          <t>Alsace</t>
        </is>
      </c>
      <c r="AB65" s="16" t="n"/>
      <c r="AC65" s="16" t="n"/>
      <c r="AD65" s="10" t="n"/>
      <c r="AE65" s="10" t="n"/>
      <c r="AF65" s="10" t="inlineStr">
        <is>
          <t>1 : 1 ; 2 : 2 ; 4 : 4 ; 2000 : 2000 ; 29900 : 29900 ; 714587 : 714587 ; 0.98 : 0.98 ; https://img.leboncoin.fr/api/v1/tenants/9a6387a1-6259-4f2c-a887-7e67f23dd4cb/domains/20bda58f-d650-462e-a72a-a5a7ecf2bf88/buckets/21d2b0bc-e54c-4b64-a30b-89127b18b785/images/profile/pictures/default/a3417d6e-d940-511a-b48e-f18cd4a3c522?rule=pp-small : https://img.leboncoin.fr/api/v1/tenants/9a6387a1-6259-4f2c-a887-7e67f23dd4cb/domains/20bda58f-d650-462e-a72a-a5a7ecf2bf88/buckets/21d2b0bc-e54c-4b64-a30b-89127b18b785/images/profile/pictures/default/a3417d6e-d940-511a-b48e-f18cd4a3c522?rule=pp-small ; Honda : Honda ; S2000 : S2000 ; HONDA : HONDA ; 137000 km : 137000 ; Essence : 1 ; Manuelle : 1 ; Base : HONDA_S2000_Base ; Base_S2000 2.0 BV6 : Base_S2000 2.0 BV6 ; 03/2000 : 03/2000 ; Cabriolet : cabriolet ; Gris : gris ; 16 Cv : 16 ; 240 Ch : 240 ; Avec permis : avecpermis ; false : false ; https://autoviza.fr/report/report?uid=72f9043e-ac69-4087-a50b-5bc473a3bbca : https://autoviza.fr/report/report?uid=72f9043e-ac69-4087-a50b-5bc473a3bbca ; true : true ; rating_score : 0.98 ; rating_count : 4 ; u_car_brand : HONDA ; u_car_model : S2000 ; u_car_finition : Base ; u_car_version : Base_S2000 2.0 BV6 ; vehicle_upholstery : Tout cuir ; vehicle_vsp : Avec permis ; is_import : false ; old_price : 29900 ; vehicle_is_eligible_p2p : 2 ; vehicle_history_report_public_url : https://autoviza.fr/report/report?uid=72f9043e-ac69-4087-a50b-5bc473a3bbca ; argus_object_id : 714587 ; licence_plate_available : true</t>
        </is>
      </c>
      <c r="AG65" s="19" t="inlineStr">
        <is>
          <t>Voir</t>
        </is>
      </c>
      <c r="AH65" s="10" t="inlineStr">
        <is>
          <t>3155762075</t>
        </is>
      </c>
    </row>
    <row r="66">
      <c r="A66" s="10" t="inlineStr">
        <is>
          <t>Honda S2000</t>
        </is>
      </c>
      <c r="B66" s="10" t="inlineStr">
        <is>
          <t>Nissan 350z roadster 3.5 v6 280 pack</t>
        </is>
      </c>
      <c r="C66" s="10" t="inlineStr">
        <is>
          <t>En vente</t>
        </is>
      </c>
      <c r="D66" s="18" t="n">
        <v>46101</v>
      </c>
      <c r="E66" s="18" t="n">
        <v>46101</v>
      </c>
      <c r="F66" s="18" t="n">
        <v>46296</v>
      </c>
      <c r="G66" s="18" t="n"/>
      <c r="H66" s="17">
        <f>IF(OR(ISNUMBER(D66),ISNUMBER(E66)),IF(ISNUMBER(G66),G66,F66)-IF(ISNUMBER(D66),D66,E66),"")</f>
        <v/>
      </c>
      <c r="I66" s="12" t="n">
        <v>18990</v>
      </c>
      <c r="J66" s="12" t="n">
        <v>18990</v>
      </c>
      <c r="K66" s="13">
        <f>IF(AND(ISNUMBER(I66),ISNUMBER(J66),I66&gt;0),1-J66/I66,"")</f>
        <v/>
      </c>
      <c r="L66" s="16" t="n">
        <v>0</v>
      </c>
      <c r="M66" s="15" t="n">
        <v>71000</v>
      </c>
      <c r="N66" s="16" t="n">
        <v>2005</v>
      </c>
      <c r="O66" s="10" t="inlineStr">
        <is>
          <t>1</t>
        </is>
      </c>
      <c r="P66" s="10" t="inlineStr">
        <is>
          <t>1</t>
        </is>
      </c>
      <c r="Q66" s="16" t="n">
        <v>270</v>
      </c>
      <c r="R66" s="16" t="n">
        <v>20</v>
      </c>
      <c r="S66" s="10" t="inlineStr">
        <is>
          <t>noir</t>
        </is>
      </c>
      <c r="T66" s="16" t="n">
        <v>2</v>
      </c>
      <c r="U66" s="10" t="n"/>
      <c r="V66" s="10" t="n"/>
      <c r="W66" s="10" t="inlineStr">
        <is>
          <t>Pro</t>
        </is>
      </c>
      <c r="X66" s="10" t="inlineStr">
        <is>
          <t>Pont-l'Évêque</t>
        </is>
      </c>
      <c r="Y66" s="10" t="inlineStr">
        <is>
          <t>14130</t>
        </is>
      </c>
      <c r="Z66" s="10" t="inlineStr">
        <is>
          <t>Calvados</t>
        </is>
      </c>
      <c r="AA66" s="10" t="inlineStr">
        <is>
          <t>Basse-Normandie</t>
        </is>
      </c>
      <c r="AB66" s="16" t="n"/>
      <c r="AC66" s="16" t="n"/>
      <c r="AD66" s="10" t="n"/>
      <c r="AE66" s="10" t="n"/>
      <c r="AF66" s="10" t="inlineStr">
        <is>
          <t>1 : 1 ; 2 : 2 ; 2005 : 2005 ; 19990 : 19990 ; 500604 : 500604 ; 840550 : 840550 ; 3925495 : 3925495 ; Nissan : Nissan ; 350Z : 350Z ; NISSAN : NISSAN ; 71000 km : 71000 ; Essence : 1 ; Manuelle : 1 ; Pack : NISSAN_350Z_Pack ; 350Z Roadster 3.5 V6 280ch Pack : 350Z Roadster 3.5 V6 280ch Pack ; 04/2005 : 04/2005 ; Cabriolet : cabriolet ; Noir : noir ; 20 Cv : 20 ; 270 Ch : 270 ; false : false ; true : true ; https://img.leboncoin.fr/api/v1/lbcpb1/images/01/d9/c4/01d9c4d5-fe62-470f-8eae-085fc1597a9b?rule=bo-thumb : https://img.leboncoin.fr/api/v1/lbcpb1/images/01/d9/c4/01d9c4d5-fe62-470f-8eae-085fc1597a9b?rule=bo-thumb ; Agence Automobiliere de Lisieux : Agence Automobiliere de Lisieux ; https://autoviza.fr/report/report?uid=75100de3-4aa3-4716-a6af-8cc47fa29ef9 : https://autoviza.fr/report/report?uid=75100de3-4aa3-4716-a6af-8cc47fa29ef9 ; visible : visible ; Non renseignée : non_renseignee ; activity_sector : 1 ; u_car_brand : NISSAN ; u_car_model : 350Z ; u_car_finition : Pack ; u_car_version : 350Z Roadster 3.5 V6 280ch Pack ; vehicle_interior_specs : Apple CarPlay / Android Auto, Bluetooth, Caméra de recul, Climatisation, Ordinateur de bord, Phares LED / Xenon, Roue de secours, Régulateur de vitesse, Sièges chauffants, Sièges sport, Vitres électriques arrières ; recent_used_vehicle : false ; has_visibility_option : true ; store_logo : https://img.leboncoin.fr/api/v1/lbcpb1/images/01/d9/c4/01d9c4d5-fe62-470f-8eae-085fc1597a9b?rule=bo-thumb ; store_name : Agence Automobiliere de Lisieux ; online_store_id : 3925495 ; custom_ref : 500604 ; is_import : true ; old_price : 19990 ; vehicle_history_report_public_url : https://autoviza.fr/report/report?uid=75100de3-4aa3-4716-a6af-8cc47fa29ef9 ; vehicle_history_report_status : visible ; argus_object_id : 840550 ; spare_parts_availability : Non renseignée ; licence_plate_available : true</t>
        </is>
      </c>
      <c r="AG66" s="19" t="inlineStr">
        <is>
          <t>Voir</t>
        </is>
      </c>
      <c r="AH66" s="10" t="inlineStr">
        <is>
          <t>3165194701</t>
        </is>
      </c>
    </row>
    <row r="67">
      <c r="A67" s="10" t="inlineStr">
        <is>
          <t>Honda S2000</t>
        </is>
      </c>
      <c r="B67" s="10" t="inlineStr">
        <is>
          <t>Honda S2000 – Phase 1.5 - 139.000 KM - RHD</t>
        </is>
      </c>
      <c r="C67" s="10" t="inlineStr">
        <is>
          <t>En vente</t>
        </is>
      </c>
      <c r="D67" s="18" t="n">
        <v>46290</v>
      </c>
      <c r="E67" s="18" t="n">
        <v>46290</v>
      </c>
      <c r="F67" s="18" t="n">
        <v>46296</v>
      </c>
      <c r="G67" s="18" t="n"/>
      <c r="H67" s="17">
        <f>IF(OR(ISNUMBER(D67),ISNUMBER(E67)),IF(ISNUMBER(G67),G67,F67)-IF(ISNUMBER(D67),D67,E67),"")</f>
        <v/>
      </c>
      <c r="I67" s="12" t="n">
        <v>18500</v>
      </c>
      <c r="J67" s="12" t="n">
        <v>18500</v>
      </c>
      <c r="K67" s="13">
        <f>IF(AND(ISNUMBER(I67),ISNUMBER(J67),I67&gt;0),1-J67/I67,"")</f>
        <v/>
      </c>
      <c r="L67" s="16" t="n">
        <v>0</v>
      </c>
      <c r="M67" s="15" t="n">
        <v>139000</v>
      </c>
      <c r="N67" s="16" t="n">
        <v>2003</v>
      </c>
      <c r="O67" s="10" t="inlineStr">
        <is>
          <t>1</t>
        </is>
      </c>
      <c r="P67" s="10" t="inlineStr">
        <is>
          <t>1</t>
        </is>
      </c>
      <c r="Q67" s="16" t="n">
        <v>240</v>
      </c>
      <c r="R67" s="16" t="n">
        <v>16</v>
      </c>
      <c r="S67" s="10" t="inlineStr">
        <is>
          <t>bleu</t>
        </is>
      </c>
      <c r="T67" s="16" t="n">
        <v>2</v>
      </c>
      <c r="U67" s="10" t="n"/>
      <c r="V67" s="10" t="n"/>
      <c r="W67" s="10" t="inlineStr">
        <is>
          <t>Particulier</t>
        </is>
      </c>
      <c r="X67" s="10" t="inlineStr">
        <is>
          <t>Toulouse</t>
        </is>
      </c>
      <c r="Y67" s="10" t="inlineStr">
        <is>
          <t>31400</t>
        </is>
      </c>
      <c r="Z67" s="10" t="inlineStr">
        <is>
          <t>Haute-Garonne</t>
        </is>
      </c>
      <c r="AA67" s="10" t="inlineStr">
        <is>
          <t>Midi-Pyrénées</t>
        </is>
      </c>
      <c r="AB67" s="16" t="n"/>
      <c r="AC67" s="16" t="n"/>
      <c r="AD67" s="10" t="n"/>
      <c r="AE67" s="10" t="n"/>
      <c r="AF67" s="10" t="inlineStr">
        <is>
          <t>1 : 1 ; 2 : 2 ; 21 : 21 ; 2003 : 2003 ; 19900 : 19900 ; 771997 : 771997 ; https://img.leboncoin.fr/api/v1/tenants/9a6387a1-6259-4f2c-a887-7e67f23dd4cb/domains/20bda58f-d650-462e-a72a-a5a7ecf2bf88/buckets/21d2b0bc-e54c-4b64-a30b-89127b18b785/images/profile/pictures/4e6126fb-1b49-51a4-8a72-734f9e1be8ac?rule=pp-small : https://img.leboncoin.fr/api/v1/tenants/9a6387a1-6259-4f2c-a887-7e67f23dd4cb/domains/20bda58f-d650-462e-a72a-a5a7ecf2bf88/buckets/21d2b0bc-e54c-4b64-a30b-89127b18b785/images/profile/pictures/4e6126fb-1b49-51a4-8a72-734f9e1be8ac?rule=pp-small ; Honda : Honda ; S2000 : S2000 ; HONDA : HONDA ; 139000 km : 139000 ; Essence : 1 ; Manuelle : 1 ; 03/2003 : 03/2003 ; Cabriolet : cabriolet ; Bleu : bleu ; 16 Cv : 16 ; 240 Ch : 240 ; Avec permis : avecpermis ; credit_card : credit_card ; false : false ; https://autoviza.fr/report/report?uid=0618f3de-314c-4ab8-beb6-72ca1ca6508e : https://autoviza.fr/report/report?uid=0618f3de-314c-4ab8-beb6-72ca1ca6508e ; true : true ; rating_score : 1 ; rating_count : 21 ; u_car_brand : HONDA ; u_car_model : S2000 ; vehicle_vsp : Avec permis ; vehicle_available_payment_methods : credit_card ; is_import : false ; old_price : 19900 ; vehicle_is_eligible_p2p : 2 ; vehicle_history_report_public_url : https://autoviza.fr/report/report?uid=0618f3de-314c-4ab8-beb6-72ca1ca6508e ; argus_object_id : 771997 ; licence_plate_available : true</t>
        </is>
      </c>
      <c r="AG67" s="19" t="inlineStr">
        <is>
          <t>Voir</t>
        </is>
      </c>
      <c r="AH67" s="10" t="inlineStr">
        <is>
          <t>3166175681</t>
        </is>
      </c>
    </row>
    <row r="68">
      <c r="A68" s="10" t="inlineStr">
        <is>
          <t>Honda S2000</t>
        </is>
      </c>
      <c r="B68" s="10" t="inlineStr">
        <is>
          <t>Honda S2000 AP1 J's Racing - 67000km</t>
        </is>
      </c>
      <c r="C68" s="10" t="inlineStr">
        <is>
          <t>En vente</t>
        </is>
      </c>
      <c r="D68" s="18" t="n">
        <v>46257</v>
      </c>
      <c r="E68" s="18" t="n">
        <v>46257</v>
      </c>
      <c r="F68" s="18" t="n">
        <v>46296</v>
      </c>
      <c r="G68" s="18" t="n"/>
      <c r="H68" s="17">
        <f>IF(OR(ISNUMBER(D68),ISNUMBER(E68)),IF(ISNUMBER(G68),G68,F68)-IF(ISNUMBER(D68),D68,E68),"")</f>
        <v/>
      </c>
      <c r="I68" s="12" t="n">
        <v>35900</v>
      </c>
      <c r="J68" s="12" t="n">
        <v>35900</v>
      </c>
      <c r="K68" s="13">
        <f>IF(AND(ISNUMBER(I68),ISNUMBER(J68),I68&gt;0),1-J68/I68,"")</f>
        <v/>
      </c>
      <c r="L68" s="16" t="n">
        <v>0</v>
      </c>
      <c r="M68" s="15" t="n">
        <v>67000</v>
      </c>
      <c r="N68" s="16" t="n">
        <v>2000</v>
      </c>
      <c r="O68" s="10" t="inlineStr">
        <is>
          <t>1</t>
        </is>
      </c>
      <c r="P68" s="10" t="inlineStr">
        <is>
          <t>1</t>
        </is>
      </c>
      <c r="Q68" s="16" t="n">
        <v>450</v>
      </c>
      <c r="R68" s="16" t="n">
        <v>16</v>
      </c>
      <c r="S68" s="10" t="inlineStr">
        <is>
          <t>blanc</t>
        </is>
      </c>
      <c r="T68" s="16" t="n">
        <v>2</v>
      </c>
      <c r="U68" s="10" t="n"/>
      <c r="V68" s="10" t="n"/>
      <c r="W68" s="10" t="inlineStr">
        <is>
          <t>Particulier</t>
        </is>
      </c>
      <c r="X68" s="10" t="inlineStr">
        <is>
          <t>Plateau d'Hauteville</t>
        </is>
      </c>
      <c r="Y68" s="10" t="inlineStr">
        <is>
          <t>01110</t>
        </is>
      </c>
      <c r="Z68" s="10" t="inlineStr">
        <is>
          <t>Ain</t>
        </is>
      </c>
      <c r="AA68" s="10" t="inlineStr">
        <is>
          <t>Rhône-Alpes</t>
        </is>
      </c>
      <c r="AB68" s="16" t="n"/>
      <c r="AC68" s="16" t="n"/>
      <c r="AD68" s="10" t="n"/>
      <c r="AE68" s="10" t="n"/>
      <c r="AF68" s="10" t="inlineStr">
        <is>
          <t>1 : 1 ; 2 : 2 ; 2000 : 2000 ; 54900 : 54900 ; 714587 : 714587 ; https://img.leboncoin.fr/api/v1/tenants/9a6387a1-6259-4f2c-a887-7e67f23dd4cb/domains/20bda58f-d650-462e-a72a-a5a7ecf2bf88/buckets/21d2b0bc-e54c-4b64-a30b-89127b18b785/images/profile/pictures/default/9fb69663-8305-55b8-84c5-39c20f7d16ee?rule=pp-small : https://img.leboncoin.fr/api/v1/tenants/9a6387a1-6259-4f2c-a887-7e67f23dd4cb/domains/20bda58f-d650-462e-a72a-a5a7ecf2bf88/buckets/21d2b0bc-e54c-4b64-a30b-89127b18b785/images/profile/pictures/default/9fb69663-8305-55b8-84c5-39c20f7d16ee?rule=pp-small ; Honda : Honda ; S2000 : S2000 ; HONDA : HONDA ; 67000 km : 67000 ; Essence : 1 ; Manuelle : 1 ; 09/2000 : 09/2000 ; Cabriolet : cabriolet ; Blanc : blanc ; 16 Cv : 16 ; 450 Ch : 450 ; Avec permis : avecpermis ; false : false ; https://autoviza.fr/report/report?uid=ca2a2614-255c-4a21-95b1-f5878d9ada5c : https://autoviza.fr/report/report?uid=ca2a2614-255c-4a21-95b1-f5878d9ada5c ; true : true ; u_car_brand : HONDA ; u_car_model : S2000 ; vehicle_vsp : Avec permis ; is_import : false ; old_price : 54900 ; vehicle_is_eligible_p2p : 2 ; vehicle_history_report_public_url : https://autoviza.fr/report/report?uid=ca2a2614-255c-4a21-95b1-f5878d9ada5c ; argus_object_id : 714587 ; licence_plate_available : true</t>
        </is>
      </c>
      <c r="AG68" s="19" t="inlineStr">
        <is>
          <t>Voir</t>
        </is>
      </c>
      <c r="AH68" s="10" t="inlineStr">
        <is>
          <t>3182140973</t>
        </is>
      </c>
    </row>
    <row r="69">
      <c r="A69" s="10" t="inlineStr">
        <is>
          <t>Honda S2000</t>
        </is>
      </c>
      <c r="B69" s="10" t="inlineStr">
        <is>
          <t>Audi tt 1.8 180 coupe</t>
        </is>
      </c>
      <c r="C69" s="10" t="inlineStr">
        <is>
          <t>En vente</t>
        </is>
      </c>
      <c r="D69" s="18" t="n">
        <v>46132</v>
      </c>
      <c r="E69" s="18" t="n">
        <v>46132</v>
      </c>
      <c r="F69" s="18" t="n">
        <v>46296</v>
      </c>
      <c r="G69" s="18" t="n"/>
      <c r="H69" s="17">
        <f>IF(OR(ISNUMBER(D69),ISNUMBER(E69)),IF(ISNUMBER(G69),G69,F69)-IF(ISNUMBER(D69),D69,E69),"")</f>
        <v/>
      </c>
      <c r="I69" s="12" t="n">
        <v>7990</v>
      </c>
      <c r="J69" s="12" t="n">
        <v>7990</v>
      </c>
      <c r="K69" s="13">
        <f>IF(AND(ISNUMBER(I69),ISNUMBER(J69),I69&gt;0),1-J69/I69,"")</f>
        <v/>
      </c>
      <c r="L69" s="16" t="n">
        <v>0</v>
      </c>
      <c r="M69" s="15" t="n">
        <v>220000</v>
      </c>
      <c r="N69" s="16" t="n">
        <v>1999</v>
      </c>
      <c r="O69" s="10" t="inlineStr">
        <is>
          <t>1</t>
        </is>
      </c>
      <c r="P69" s="10" t="inlineStr">
        <is>
          <t>1</t>
        </is>
      </c>
      <c r="Q69" s="16" t="n">
        <v>180</v>
      </c>
      <c r="R69" s="16" t="n">
        <v>11</v>
      </c>
      <c r="S69" s="10" t="inlineStr">
        <is>
          <t>argent</t>
        </is>
      </c>
      <c r="T69" s="16" t="n">
        <v>3</v>
      </c>
      <c r="U69" s="10" t="n"/>
      <c r="V69" s="10" t="n"/>
      <c r="W69" s="10" t="inlineStr">
        <is>
          <t>Pro</t>
        </is>
      </c>
      <c r="X69" s="10" t="inlineStr">
        <is>
          <t>Sausheim</t>
        </is>
      </c>
      <c r="Y69" s="10" t="inlineStr">
        <is>
          <t>68390</t>
        </is>
      </c>
      <c r="Z69" s="10" t="inlineStr">
        <is>
          <t>Haut-Rhin</t>
        </is>
      </c>
      <c r="AA69" s="10" t="inlineStr">
        <is>
          <t>Alsace</t>
        </is>
      </c>
      <c r="AB69" s="16" t="n"/>
      <c r="AC69" s="16" t="n"/>
      <c r="AD69" s="10" t="n"/>
      <c r="AE69" s="10" t="n"/>
      <c r="AF69" s="10" t="inlineStr">
        <is>
          <t>1 : 1 ; 3 : 3 ; 4 : 4 ; 1999 : 1999 ; 37155 : 37155 ; 175803 : 175803 ; 709362 : 709362 ; Audi : Audi ; Tt : Tt ; AUDI : AUDI ; TT : AUDI_TT ; 220000 km : 220000 ; Essence : 1 ; Manuelle : 1 ; Base : AUDI_TT_Base ; TT 1.8 T 180ch : TT 1.8 T 180ch ; 03/1999 : 03/1999 ; Citadine : citadine ; Argent : argent ; 11 Cv : 11 ; 180 Ch : 180 ; false : false ; true : true ; https://img.leboncoin.fr/api/v1/lbcpb1/images/76/24/24/7624249b-0796-44fa-b7d5-39e6ce2b6a46?rule=bo-thumb : https://img.leboncoin.fr/api/v1/lbcpb1/images/76/24/24/7624249b-0796-44fa-b7d5-39e6ce2b6a46?rule=bo-thumb ; L' AGENCE AUTOMOBILIERE MULHOUSE : L' AGENCE AUTOMOBILIERE MULHOUSE ; https://autoviza.fr/report/report?uid=f23a4bea-e1fd-49bf-93fc-720a8092bdf0 : https://autoviza.fr/report/report?uid=f23a4bea-e1fd-49bf-93fc-720a8092bdf0 ; visible : visible ; Non renseignée : non_renseignee ; activity_sector : 1 ; u_car_brand : AUDI ; u_car_model : TT ; u_car_finition : Base ; u_car_version : TT 1.8 T 180ch ; vehicle_interior_specs : Climatisation, Ordinateur de bord, Phares LED / Xenon, Sièges chauffants, Vitres électriques arrières ; recent_used_vehicle : false ; has_visibility_option : true ; store_logo : https://img.leboncoin.fr/api/v1/lbcpb1/images/76/24/24/7624249b-0796-44fa-b7d5-39e6ce2b6a46?rule=bo-thumb ; store_name : L' AGENCE AUTOMOBILIERE MULHOUSE ; online_store_id : 37155 ; custom_ref : 175803 ; is_import : true ; vehicle_history_report_public_url : https://autoviza.fr/report/report?uid=f23a4bea-e1fd-49bf-93fc-720a8092bdf0 ; vehicle_history_report_status : visible ; argus_object_id : 709362 ; spare_parts_availability : Non renseignée ; licence_plate_available : true</t>
        </is>
      </c>
      <c r="AG69" s="19" t="inlineStr">
        <is>
          <t>Voir</t>
        </is>
      </c>
      <c r="AH69" s="10" t="inlineStr">
        <is>
          <t>3183271891</t>
        </is>
      </c>
    </row>
    <row r="70">
      <c r="A70" s="10" t="inlineStr">
        <is>
          <t>Honda S2000</t>
        </is>
      </c>
      <c r="B70" s="10" t="inlineStr">
        <is>
          <t>Honda S 2000 Porsche Japonaise</t>
        </is>
      </c>
      <c r="C70" s="10" t="inlineStr">
        <is>
          <t>En vente</t>
        </is>
      </c>
      <c r="D70" s="18" t="n">
        <v>46281</v>
      </c>
      <c r="E70" s="18" t="n">
        <v>46281</v>
      </c>
      <c r="F70" s="18" t="n">
        <v>46296</v>
      </c>
      <c r="G70" s="18" t="n"/>
      <c r="H70" s="17">
        <f>IF(OR(ISNUMBER(D70),ISNUMBER(E70)),IF(ISNUMBER(G70),G70,F70)-IF(ISNUMBER(D70),D70,E70),"")</f>
        <v/>
      </c>
      <c r="I70" s="12" t="n">
        <v>19999</v>
      </c>
      <c r="J70" s="12" t="n">
        <v>19999</v>
      </c>
      <c r="K70" s="13">
        <f>IF(AND(ISNUMBER(I70),ISNUMBER(J70),I70&gt;0),1-J70/I70,"")</f>
        <v/>
      </c>
      <c r="L70" s="16" t="n">
        <v>0</v>
      </c>
      <c r="M70" s="15" t="n">
        <v>151000</v>
      </c>
      <c r="N70" s="16" t="n">
        <v>2001</v>
      </c>
      <c r="O70" s="10" t="inlineStr">
        <is>
          <t>1</t>
        </is>
      </c>
      <c r="P70" s="10" t="inlineStr">
        <is>
          <t>1</t>
        </is>
      </c>
      <c r="Q70" s="16" t="n">
        <v>240</v>
      </c>
      <c r="R70" s="16" t="n">
        <v>16</v>
      </c>
      <c r="S70" s="10" t="inlineStr">
        <is>
          <t>noir</t>
        </is>
      </c>
      <c r="T70" s="16" t="n">
        <v>2</v>
      </c>
      <c r="U70" s="10" t="n"/>
      <c r="V70" s="10" t="inlineStr">
        <is>
          <t>3</t>
        </is>
      </c>
      <c r="W70" s="10" t="inlineStr">
        <is>
          <t>Particulier</t>
        </is>
      </c>
      <c r="X70" s="10" t="inlineStr">
        <is>
          <t>Vidauban</t>
        </is>
      </c>
      <c r="Y70" s="10" t="inlineStr">
        <is>
          <t>83550</t>
        </is>
      </c>
      <c r="Z70" s="10" t="inlineStr">
        <is>
          <t>Var</t>
        </is>
      </c>
      <c r="AA70" s="10" t="inlineStr">
        <is>
          <t>Provence-Alpes-Côte d'Azur</t>
        </is>
      </c>
      <c r="AB70" s="16" t="n"/>
      <c r="AC70" s="16" t="n"/>
      <c r="AD70" s="10" t="n"/>
      <c r="AE70" s="10" t="n"/>
      <c r="AF70" s="10" t="inlineStr">
        <is>
          <t>1 : 1 ; 2 : 2 ; 3 : 3 ; 69 : 69 ; 2001 : 2001 ; 714587 : 714587 ; 0.98 : 0.98 ; https://img.leboncoin.fr/api/v1/tenants/9a6387a1-6259-4f2c-a887-7e67f23dd4cb/domains/20bda58f-d650-462e-a72a-a5a7ecf2bf88/buckets/21d2b0bc-e54c-4b64-a30b-89127b18b785/images/profile/pictures/0010bf71-5e10-52a5-a29b-89e7ba3f0090?rule=pp-small : https://img.leboncoin.fr/api/v1/tenants/9a6387a1-6259-4f2c-a887-7e67f23dd4cb/domains/20bda58f-d650-462e-a72a-a5a7ecf2bf88/buckets/21d2b0bc-e54c-4b64-a30b-89127b18b785/images/profile/pictures/0010bf71-5e10-52a5-a29b-89e7ba3f0090?rule=pp-small ; Honda : Honda ; S2000 : S2000 ; HONDA : HONDA ; 151000 km : 151000 ; Essence : 1 ; Manuelle : 1 ; 03/2001 : 03/2001 ; Cabriolet : cabriolet ; Noir : noir ; 16 Cv : 16 ; 240 Ch : 240 ; Avec permis : avecpermis ; credit_card : credit_card ; false : false ; https://autoviza.fr/report/report?uid=f26bd50a-36c1-4760-9517-be3f416fb1b2 : https://autoviza.fr/report/report?uid=f26bd50a-36c1-4760-9517-be3f416fb1b2 ; visible : visible ; true : true ; rating_score : 0.98 ; rating_count : 69 ; u_car_brand : HONDA ; u_car_model : S2000 ; vehicle_upholstery : Cuir partiel ; vehicle_vsp : Avec permis ; vehicle_available_payment_methods : credit_card ; is_import : false ; vehicle_is_eligible_p2p : 2 ; vehicle_history_report_public_url : https://autoviza.fr/report/report?uid=f26bd50a-36c1-4760-9517-be3f416fb1b2 ; vehicle_history_report_status : visible ; argus_object_id : 714587 ; licence_plate_available : true</t>
        </is>
      </c>
      <c r="AG70" s="19" t="inlineStr">
        <is>
          <t>Voir</t>
        </is>
      </c>
      <c r="AH70" s="10" t="inlineStr">
        <is>
          <t>3185838540</t>
        </is>
      </c>
    </row>
    <row r="71">
      <c r="A71" s="10" t="inlineStr">
        <is>
          <t>Honda S2000</t>
        </is>
      </c>
      <c r="B71" s="10" t="inlineStr">
        <is>
          <t>BMW Z4 Roadster 3.0i 231cv BVM6 - sièges chauffants - Bluetooth - Toit révisé - Garantie 12 Mois</t>
        </is>
      </c>
      <c r="C71" s="10" t="inlineStr">
        <is>
          <t>En vente</t>
        </is>
      </c>
      <c r="D71" s="18" t="n">
        <v>46296</v>
      </c>
      <c r="E71" s="18" t="n">
        <v>46296</v>
      </c>
      <c r="F71" s="18" t="n">
        <v>46296</v>
      </c>
      <c r="G71" s="18" t="n"/>
      <c r="H71" s="17">
        <f>IF(OR(ISNUMBER(D71),ISNUMBER(E71)),IF(ISNUMBER(G71),G71,F71)-IF(ISNUMBER(D71),D71,E71),"")</f>
        <v/>
      </c>
      <c r="I71" s="12" t="n">
        <v>12990</v>
      </c>
      <c r="J71" s="12" t="n">
        <v>12990</v>
      </c>
      <c r="K71" s="13">
        <f>IF(AND(ISNUMBER(I71),ISNUMBER(J71),I71&gt;0),1-J71/I71,"")</f>
        <v/>
      </c>
      <c r="L71" s="16" t="n">
        <v>0</v>
      </c>
      <c r="M71" s="15" t="n">
        <v>167900</v>
      </c>
      <c r="N71" s="16" t="n">
        <v>2003</v>
      </c>
      <c r="O71" s="10" t="inlineStr">
        <is>
          <t>1</t>
        </is>
      </c>
      <c r="P71" s="10" t="inlineStr">
        <is>
          <t>1</t>
        </is>
      </c>
      <c r="Q71" s="16" t="n">
        <v>231</v>
      </c>
      <c r="R71" s="16" t="n">
        <v>15</v>
      </c>
      <c r="S71" s="10" t="inlineStr">
        <is>
          <t>gris</t>
        </is>
      </c>
      <c r="T71" s="16" t="n">
        <v>2</v>
      </c>
      <c r="U71" s="10" t="n"/>
      <c r="V71" s="10" t="n"/>
      <c r="W71" s="10" t="inlineStr">
        <is>
          <t>Pro</t>
        </is>
      </c>
      <c r="X71" s="10" t="inlineStr">
        <is>
          <t>Nérac</t>
        </is>
      </c>
      <c r="Y71" s="10" t="inlineStr">
        <is>
          <t>47600</t>
        </is>
      </c>
      <c r="Z71" s="10" t="inlineStr">
        <is>
          <t>Lot-et-Garonne</t>
        </is>
      </c>
      <c r="AA71" s="10" t="inlineStr">
        <is>
          <t>Aquitaine</t>
        </is>
      </c>
      <c r="AB71" s="16" t="n"/>
      <c r="AC71" s="16" t="n"/>
      <c r="AD71" s="10" t="n"/>
      <c r="AE71" s="10" t="n"/>
      <c r="AF71" s="10" t="inlineStr">
        <is>
          <t>1 : 1 ; 2 : 2 ; 2003 : 2003 ; 710314 : 710314 ; Bmw : Bmw ; Autres : Autres ; BMW : BMW ; Z4 : BMW_Z4 ; 167900 km : 167900 ; Essence : 1 ; Manuelle : 1 ; Base : BMW_Z4_Base ; Z4 Roadster 3.0i 231ch : Z4 Roadster 3.0i 231ch ; Non : false ; 06/2003 : 06/2003 ; Traces d’usure normales : normal_wear_and_tear ; Cabriolet : cabriolet ; Gris : gris ; 15 Cv : 15 ; 231 Ch : 231 ; Avec permis : avecpermis ; false : false ; Z4.413 : Z4.413 ; https://autoviza.fr/report/report?uid=d61f2235-0a53-4540-87c8-3b4676488d2c : https://autoviza.fr/report/report?uid=d61f2235-0a53-4540-87c8-3b4676488d2c ; visible : visible ; Non renseignée : non_renseignee ; true : true ; activity_sector : 1 ; u_car_brand : BMW ; u_car_model : Z4 ; u_car_finition : Base ; u_car_version : Z4 Roadster 3.0i 231ch ; vehicle_technical_inspection_valid : Non ; vehicle_damage : Traces d’usure normales ; vehicle_upholstery : Tout cuir ; vehicle_interior_specs : Bluetooth, Chargeurs USB, Climatisation, Jantes en alliage, Ordinateur de bord, Phares anti-brouillard, Régulateur de vitesse, Siège réglable en hauteur, Sièges chauffants, Sièges en cuir, Sièges sport, Volant réglable en hauteur, Volant réglable en profondeur ; vehicle_vsp : Avec permis ; car_contract : Non ; recent_used_vehicle : false ; vehicle_commercial_warranty : Non ; vehicle_manufacturer_warranty : Non ; custom_ref : Z4.413 ; is_import : false ; vehicle_history_report_public_url : https://autoviza.fr/report/report?uid=d61f2235-0a53-4540-87c8-3b4676488d2c ; vehicle_history_report_status : visible ; argus_object_id : 710314 ; spare_parts_availability : Non renseignée ; licence_plate_available : true</t>
        </is>
      </c>
      <c r="AG71" s="19" t="inlineStr">
        <is>
          <t>Voir</t>
        </is>
      </c>
      <c r="AH71" s="10" t="inlineStr">
        <is>
          <t>3206462061</t>
        </is>
      </c>
    </row>
    <row r="72">
      <c r="A72" s="10" t="inlineStr">
        <is>
          <t>Honda S2000</t>
        </is>
      </c>
      <c r="B72" s="10" t="inlineStr">
        <is>
          <t>Honda S2000 ap1 '00</t>
        </is>
      </c>
      <c r="C72" s="10" t="inlineStr">
        <is>
          <t>En vente</t>
        </is>
      </c>
      <c r="D72" s="18" t="n">
        <v>46248</v>
      </c>
      <c r="E72" s="18" t="n">
        <v>46248</v>
      </c>
      <c r="F72" s="18" t="n">
        <v>46296</v>
      </c>
      <c r="G72" s="18" t="n"/>
      <c r="H72" s="17">
        <f>IF(OR(ISNUMBER(D72),ISNUMBER(E72)),IF(ISNUMBER(G72),G72,F72)-IF(ISNUMBER(D72),D72,E72),"")</f>
        <v/>
      </c>
      <c r="I72" s="12" t="n">
        <v>25500</v>
      </c>
      <c r="J72" s="12" t="n">
        <v>25500</v>
      </c>
      <c r="K72" s="13">
        <f>IF(AND(ISNUMBER(I72),ISNUMBER(J72),I72&gt;0),1-J72/I72,"")</f>
        <v/>
      </c>
      <c r="L72" s="16" t="n">
        <v>0</v>
      </c>
      <c r="M72" s="15" t="n">
        <v>187500</v>
      </c>
      <c r="N72" s="16" t="n">
        <v>2000</v>
      </c>
      <c r="O72" s="10" t="inlineStr">
        <is>
          <t>1</t>
        </is>
      </c>
      <c r="P72" s="10" t="inlineStr">
        <is>
          <t>1</t>
        </is>
      </c>
      <c r="Q72" s="16" t="n">
        <v>240</v>
      </c>
      <c r="R72" s="16" t="n">
        <v>16</v>
      </c>
      <c r="S72" s="10" t="inlineStr">
        <is>
          <t>gris</t>
        </is>
      </c>
      <c r="T72" s="16" t="n">
        <v>2</v>
      </c>
      <c r="U72" s="10" t="n"/>
      <c r="V72" s="10" t="n"/>
      <c r="W72" s="10" t="inlineStr">
        <is>
          <t>Particulier</t>
        </is>
      </c>
      <c r="X72" s="10" t="inlineStr">
        <is>
          <t>Villandraut</t>
        </is>
      </c>
      <c r="Y72" s="10" t="inlineStr">
        <is>
          <t>33730</t>
        </is>
      </c>
      <c r="Z72" s="10" t="inlineStr">
        <is>
          <t>Gironde</t>
        </is>
      </c>
      <c r="AA72" s="10" t="inlineStr">
        <is>
          <t>Aquitaine</t>
        </is>
      </c>
      <c r="AB72" s="16" t="n"/>
      <c r="AC72" s="16" t="n"/>
      <c r="AD72" s="10" t="n"/>
      <c r="AE72" s="10" t="n"/>
      <c r="AF72" s="10" t="inlineStr">
        <is>
          <t>1 : 1 ; 2 : 2 ; 130 : 130 ; 2000 : 2000 ; 2028 : 2028 ; 26500 : 26500 ; 714587 : 714587 ; https://img.leboncoin.fr/api/v1/tenants/9a6387a1-6259-4f2c-a887-7e67f23dd4cb/domains/20bda58f-d650-462e-a72a-a5a7ecf2bf88/buckets/21d2b0bc-e54c-4b64-a30b-89127b18b785/images/profile/pictures/aa4d823b-50ce-5ab2-8c2b-98371e382747?rule=pp-small : https://img.leboncoin.fr/api/v1/tenants/9a6387a1-6259-4f2c-a887-7e67f23dd4cb/domains/20bda58f-d650-462e-a72a-a5a7ecf2bf88/buckets/21d2b0bc-e54c-4b64-a30b-89127b18b785/images/profile/pictures/aa4d823b-50ce-5ab2-8c2b-98371e382747?rule=pp-small ; Honda : Honda ; S2000 : S2000 ; HONDA : HONDA ; 187500 km : 187500 ; Essence : 1 ; Manuelle : 1 ; Base : HONDA_S2000_Base ; Base_S2000 2.0 BV6 : Base_S2000 2.0 BV6 ; Oui : true ; 05/2000 : 05/2000 ; Bon état général : good_overall_condition ; Cabriolet : cabriolet ; Gris : gris ; 16 Cv : 16 ; 240 Ch : 240 ; Avec permis : avecpermis ; false : false ; https://autoviza.fr/report/report?uid=81dd50ef-b5bf-4633-b10f-5cc5318dfbff : https://autoviza.fr/report/report?uid=81dd50ef-b5bf-4633-b10f-5cc5318dfbff ; visible : visible ; true : true ; rating_score : 1 ; rating_count : 130 ; u_car_brand : HONDA ; u_car_model : S2000 ; u_car_finition : Base ; u_car_version : Base_S2000 2.0 BV6 ; vehicle_technical_inspection_valid : Oui ; vehicle_technical_inspection_a : 2028 ; vehicle_damage : Bon état général ; vehicle_upholstery : Tout cuir ; vehicle_maintenance : Véhicule non fumeur, Factures disponibles ; vehicle_interior_specs : Climatisation ; vehicle_vsp : Avec permis ; is_import : false ; old_price : 26500 ; vehicle_is_eligible_p2p : 2 ; vehicle_history_report_public_url : https://autoviza.fr/report/report?uid=81dd50ef-b5bf-4633-b10f-5cc5318dfbff ; vehicle_history_report_status : visible ; argus_object_id : 714587 ; licence_plate_available : true</t>
        </is>
      </c>
      <c r="AG72" s="19" t="inlineStr">
        <is>
          <t>Voir</t>
        </is>
      </c>
      <c r="AH72" s="10" t="inlineStr">
        <is>
          <t>3217513763</t>
        </is>
      </c>
    </row>
    <row r="73">
      <c r="A73" s="10" t="inlineStr">
        <is>
          <t>Honda S2000</t>
        </is>
      </c>
      <c r="B73" s="10" t="inlineStr">
        <is>
          <t>Vente Honda S2000</t>
        </is>
      </c>
      <c r="C73" s="10" t="inlineStr">
        <is>
          <t>En vente</t>
        </is>
      </c>
      <c r="D73" s="18" t="n">
        <v>46275</v>
      </c>
      <c r="E73" s="18" t="n">
        <v>46275</v>
      </c>
      <c r="F73" s="18" t="n">
        <v>46296</v>
      </c>
      <c r="G73" s="18" t="n"/>
      <c r="H73" s="17">
        <f>IF(OR(ISNUMBER(D73),ISNUMBER(E73)),IF(ISNUMBER(G73),G73,F73)-IF(ISNUMBER(D73),D73,E73),"")</f>
        <v/>
      </c>
      <c r="I73" s="12" t="n">
        <v>29000</v>
      </c>
      <c r="J73" s="12" t="n">
        <v>29000</v>
      </c>
      <c r="K73" s="13">
        <f>IF(AND(ISNUMBER(I73),ISNUMBER(J73),I73&gt;0),1-J73/I73,"")</f>
        <v/>
      </c>
      <c r="L73" s="16" t="n">
        <v>0</v>
      </c>
      <c r="M73" s="15" t="n">
        <v>122000</v>
      </c>
      <c r="N73" s="16" t="n">
        <v>2003</v>
      </c>
      <c r="O73" s="10" t="inlineStr">
        <is>
          <t>1</t>
        </is>
      </c>
      <c r="P73" s="10" t="inlineStr">
        <is>
          <t>1</t>
        </is>
      </c>
      <c r="Q73" s="16" t="n">
        <v>240</v>
      </c>
      <c r="R73" s="16" t="n">
        <v>16</v>
      </c>
      <c r="S73" s="10" t="inlineStr">
        <is>
          <t>gris</t>
        </is>
      </c>
      <c r="T73" s="16" t="n">
        <v>2</v>
      </c>
      <c r="U73" s="10" t="n"/>
      <c r="V73" s="10" t="inlineStr">
        <is>
          <t>3</t>
        </is>
      </c>
      <c r="W73" s="10" t="inlineStr">
        <is>
          <t>Particulier</t>
        </is>
      </c>
      <c r="X73" s="10" t="inlineStr">
        <is>
          <t>Lyon</t>
        </is>
      </c>
      <c r="Y73" s="10" t="inlineStr">
        <is>
          <t>69009</t>
        </is>
      </c>
      <c r="Z73" s="10" t="inlineStr">
        <is>
          <t>Rhône</t>
        </is>
      </c>
      <c r="AA73" s="10" t="inlineStr">
        <is>
          <t>Rhône-Alpes</t>
        </is>
      </c>
      <c r="AB73" s="16" t="n"/>
      <c r="AC73" s="16" t="n"/>
      <c r="AD73" s="10" t="n"/>
      <c r="AE73" s="10" t="n"/>
      <c r="AF73" s="10" t="inlineStr">
        <is>
          <t>2 : 2 ; 3 : 3 ; 2003 : 2003 ; https://img.leboncoin.fr/api/v1/tenants/9a6387a1-6259-4f2c-a887-7e67f23dd4cb/domains/20bda58f-d650-462e-a72a-a5a7ecf2bf88/buckets/21d2b0bc-e54c-4b64-a30b-89127b18b785/images/profile/pictures/default/8072eb8d-8b52-5dbb-ad17-55635e0ffefd?rule=pp-small : https://img.leboncoin.fr/api/v1/tenants/9a6387a1-6259-4f2c-a887-7e67f23dd4cb/domains/20bda58f-d650-462e-a72a-a5a7ecf2bf88/buckets/21d2b0bc-e54c-4b64-a30b-89127b18b785/images/profile/pictures/default/8072eb8d-8b52-5dbb-ad17-55635e0ffefd?rule=pp-small ; Honda : Honda ; S2000 : S2000 ; HONDA : HONDA ; 122000 km : 122000 ; Essence : 1 ; Manuelle : 1 ; 01/2003 : 01/2003 ; Cabriolet : cabriolet ; Gris : gris ; 16 Cv : 16 ; 240 Ch : 240 ; Avec permis : avecpermis ; false : false ; true : true ; u_car_brand : HONDA ; u_car_model : S2000 ; vehicle_upholstery : Tout cuir ; vehicle_vsp : Avec permis ; is_import : false ; vehicle_is_eligible_p2p : 2 ; licence_plate_available : true</t>
        </is>
      </c>
      <c r="AG73" s="19" t="inlineStr">
        <is>
          <t>Voir</t>
        </is>
      </c>
      <c r="AH73" s="10" t="inlineStr">
        <is>
          <t>3231572470</t>
        </is>
      </c>
    </row>
    <row r="74">
      <c r="A74" s="10" t="inlineStr">
        <is>
          <t>Honda S2000</t>
        </is>
      </c>
      <c r="B74" s="10" t="inlineStr">
        <is>
          <t>MG MGF/MGTF TF 115 CV fiabilisée RHD + HARDTOP</t>
        </is>
      </c>
      <c r="C74" s="10" t="inlineStr">
        <is>
          <t>En vente</t>
        </is>
      </c>
      <c r="D74" s="18" t="n">
        <v>46220</v>
      </c>
      <c r="E74" s="18" t="n">
        <v>46220</v>
      </c>
      <c r="F74" s="18" t="n">
        <v>46296</v>
      </c>
      <c r="G74" s="18" t="n"/>
      <c r="H74" s="17">
        <f>IF(OR(ISNUMBER(D74),ISNUMBER(E74)),IF(ISNUMBER(G74),G74,F74)-IF(ISNUMBER(D74),D74,E74),"")</f>
        <v/>
      </c>
      <c r="I74" s="12" t="n">
        <v>4599</v>
      </c>
      <c r="J74" s="12" t="n">
        <v>4599</v>
      </c>
      <c r="K74" s="13">
        <f>IF(AND(ISNUMBER(I74),ISNUMBER(J74),I74&gt;0),1-J74/I74,"")</f>
        <v/>
      </c>
      <c r="L74" s="16" t="n">
        <v>0</v>
      </c>
      <c r="M74" s="15" t="n">
        <v>147999</v>
      </c>
      <c r="N74" s="16" t="n">
        <v>2005</v>
      </c>
      <c r="O74" s="10" t="inlineStr">
        <is>
          <t>1</t>
        </is>
      </c>
      <c r="P74" s="10" t="inlineStr">
        <is>
          <t>1</t>
        </is>
      </c>
      <c r="Q74" s="16" t="n">
        <v>115</v>
      </c>
      <c r="R74" s="16" t="n">
        <v>7</v>
      </c>
      <c r="S74" s="10" t="inlineStr">
        <is>
          <t>gris</t>
        </is>
      </c>
      <c r="T74" s="16" t="n">
        <v>2</v>
      </c>
      <c r="U74" s="10" t="n"/>
      <c r="V74" s="10" t="n"/>
      <c r="W74" s="10" t="inlineStr">
        <is>
          <t>Pro</t>
        </is>
      </c>
      <c r="X74" s="10" t="inlineStr">
        <is>
          <t>Salouël</t>
        </is>
      </c>
      <c r="Y74" s="10" t="inlineStr">
        <is>
          <t>80480</t>
        </is>
      </c>
      <c r="Z74" s="10" t="inlineStr">
        <is>
          <t>Somme</t>
        </is>
      </c>
      <c r="AA74" s="10" t="inlineStr">
        <is>
          <t>Picardie</t>
        </is>
      </c>
      <c r="AB74" s="16" t="n"/>
      <c r="AC74" s="16" t="n"/>
      <c r="AD74" s="10" t="n"/>
      <c r="AE74" s="10" t="n"/>
      <c r="AF74" s="10" t="inlineStr">
        <is>
          <t>1 : 1 ; 2 : 2 ; 2005 : 2005 ; 4799 : 4799 ; 122487 : 122487 ; 506183 : 506183 ; 729377 : 729377 ; Autres : Autres ; MG/MG MOTOR : MG/MG MOTOR ; MGF/MGTF : MG/MG MOTOR_MGF/MGTF ; 147999 km : 147999 ; Essence : 1 ; Manuelle : 1 ; Base : MG/MG MOTOR_MGF/MGTF_Base ; MGF/MGTF 115 : MGF/MGTF 115 ; 02/2005 : 02/2005 ; Cabriolet : cabriolet ; Gris : gris ; 7 Cv : 7 ; 115 Ch : 115 ; false : false ; true : true ; https://img.leboncoin.fr/api/v1/lbcpb1/images/c9/8e/ed/c98eedfc-849d-4916-9b83-e931a8c8b8b0?rule=bo-thumb : https://img.leboncoin.fr/api/v1/lbcpb1/images/c9/8e/ed/c98eedfc-849d-4916-9b83-e931a8c8b8b0?rule=bo-thumb ; L'AGENCE AUTOMOBILIERE AMIENS : L'AGENCE AUTOMOBILIERE AMIENS ; https://autoviza.fr/report/report?uid=1d89625f-86d9-446a-8488-96e5773b8252 : https://autoviza.fr/report/report?uid=1d89625f-86d9-446a-8488-96e5773b8252 ; visible : visible ; Non renseignée : non_renseignee ; activity_sector : 1 ; u_car_brand : MG/MG MOTOR ; u_car_model : MGF/MGTF ; u_car_finition : Base ; u_car_version : MGF/MGTF 115 ; vehicle_interior_specs : Ordinateur de bord, Roue de secours, Vitres électriques arrières ; recent_used_vehicle : false ; has_visibility_option : true ; store_logo : https://img.leboncoin.fr/api/v1/lbcpb1/images/c9/8e/ed/c98eedfc-849d-4916-9b83-e931a8c8b8b0?rule=bo-thumb ; store_name : L'AGENCE AUTOMOBILIERE AMIENS ; online_store_id : 122487 ; custom_ref : 506183 ; is_import : true ; old_price : 4799 ; vehicle_history_report_public_url : https://autoviza.fr/report/report?uid=1d89625f-86d9-446a-8488-96e5773b8252 ; vehicle_history_report_status : visible ; argus_object_id : 729377 ; spare_parts_availability : Non renseignée ; licence_plate_available : true</t>
        </is>
      </c>
      <c r="AG74" s="19" t="inlineStr">
        <is>
          <t>Voir</t>
        </is>
      </c>
      <c r="AH74" s="10" t="inlineStr">
        <is>
          <t>3234430383</t>
        </is>
      </c>
    </row>
    <row r="75">
      <c r="A75" s="10" t="inlineStr">
        <is>
          <t>Honda S2000</t>
        </is>
      </c>
      <c r="B75" s="10" t="inlineStr">
        <is>
          <t>Mazda Mx5 ROADSTER 1.8 MZR 125 ELEGANCE</t>
        </is>
      </c>
      <c r="C75" s="10" t="inlineStr">
        <is>
          <t>En vente</t>
        </is>
      </c>
      <c r="D75" s="18" t="n">
        <v>46225</v>
      </c>
      <c r="E75" s="18" t="n">
        <v>46225</v>
      </c>
      <c r="F75" s="18" t="n">
        <v>46296</v>
      </c>
      <c r="G75" s="18" t="n"/>
      <c r="H75" s="17">
        <f>IF(OR(ISNUMBER(D75),ISNUMBER(E75)),IF(ISNUMBER(G75),G75,F75)-IF(ISNUMBER(D75),D75,E75),"")</f>
        <v/>
      </c>
      <c r="I75" s="12" t="n">
        <v>12990</v>
      </c>
      <c r="J75" s="12" t="n">
        <v>12990</v>
      </c>
      <c r="K75" s="13">
        <f>IF(AND(ISNUMBER(I75),ISNUMBER(J75),I75&gt;0),1-J75/I75,"")</f>
        <v/>
      </c>
      <c r="L75" s="16" t="n">
        <v>0</v>
      </c>
      <c r="M75" s="15" t="n">
        <v>101000</v>
      </c>
      <c r="N75" s="16" t="n">
        <v>2006</v>
      </c>
      <c r="O75" s="10" t="inlineStr">
        <is>
          <t>1</t>
        </is>
      </c>
      <c r="P75" s="10" t="inlineStr">
        <is>
          <t>1</t>
        </is>
      </c>
      <c r="Q75" s="16" t="n">
        <v>126</v>
      </c>
      <c r="R75" s="16" t="n">
        <v>8</v>
      </c>
      <c r="S75" s="10" t="inlineStr">
        <is>
          <t>gris</t>
        </is>
      </c>
      <c r="T75" s="16" t="n">
        <v>2</v>
      </c>
      <c r="U75" s="10" t="n"/>
      <c r="V75" s="10" t="inlineStr">
        <is>
          <t>3</t>
        </is>
      </c>
      <c r="W75" s="10" t="inlineStr">
        <is>
          <t>Pro</t>
        </is>
      </c>
      <c r="X75" s="10" t="inlineStr">
        <is>
          <t>Creuzier-le-Vieux</t>
        </is>
      </c>
      <c r="Y75" s="10" t="inlineStr">
        <is>
          <t>03300</t>
        </is>
      </c>
      <c r="Z75" s="10" t="inlineStr">
        <is>
          <t>Allier</t>
        </is>
      </c>
      <c r="AA75" s="10" t="inlineStr">
        <is>
          <t>Auvergne</t>
        </is>
      </c>
      <c r="AB75" s="16" t="n"/>
      <c r="AC75" s="16" t="n"/>
      <c r="AD75" s="10" t="n"/>
      <c r="AE75" s="10" t="n"/>
      <c r="AF75" s="10" t="inlineStr">
        <is>
          <t>1 : 1 ; 2 : 2 ; 3 : 3 ; 2006 : 2006 ; 880087 : 880087 ; 7146777 : 7146777 ; Mazda : Mazda ; Mx-5 : Mx-5 ; MAZDA : MAZDA ; MX-5 : MAZDA_MX-5 ; 101000 km : 101000 ; Essence : 1 ; Manuelle : 1 ; Elegance : MAZDA_MX-5_Elegance ; MX-5 1.8 Elegance : MX-5 1.8 Elegance ; 06/2006 : 06/2006 ; Cabriolet : cabriolet ; Gris : gris ; 8 Cv : 8 ; 126 Ch : 126 ; Avec permis : avecpermis ; false : false ; https://img.leboncoin.fr/api/v1/lbcpb1/images/65/86/b2/6586b22c-f702-4b56-b503-625681ee0326?rule=bo-thumb : https://img.leboncoin.fr/api/v1/lbcpb1/images/65/86/b2/6586b22c-f702-4b56-b503-625681ee0326?rule=bo-thumb ; CAR &amp; BIKE Vichy : CAR &amp; BIKE Vichy ; VRZ_27E20F : VRZ_27E20F ; true : true ; https://autoviza.fr/report/report?uid=7bd1e8b1-0409-4a30-8310-bbd269e913a6 : https://autoviza.fr/report/report?uid=7bd1e8b1-0409-4a30-8310-bbd269e913a6 ; visible : visible ; Non renseignée : non_renseignee ; activity_sector : 1 ; u_car_brand : MAZDA ; u_car_model : MX-5 ; u_car_finition : Elegance ; u_car_version : MX-5 1.8 Elegance ; vehicle_vsp : Avec permis ; recent_used_vehicle : false ; has_visibility_option : false ; store_logo : https://img.leboncoin.fr/api/v1/lbcpb1/images/65/86/b2/6586b22c-f702-4b56-b503-625681ee0326?rule=bo-thumb ; store_name : CAR &amp; BIKE Vichy ; online_store_id : 7146777 ; custom_ref : VRZ_27E20F ; is_import : true ; vehicle_history_report_public_url : https://autoviza.fr/report/report?uid=7bd1e8b1-0409-4a30-8310-bbd269e913a6 ; vehicle_history_report_status : visible ; argus_object_id : 880087 ; spare_parts_availability : Non renseignée ; licence_plate_available : true</t>
        </is>
      </c>
      <c r="AG75" s="19" t="inlineStr">
        <is>
          <t>Voir</t>
        </is>
      </c>
      <c r="AH75" s="10" t="inlineStr">
        <is>
          <t>3237454171</t>
        </is>
      </c>
    </row>
    <row r="76">
      <c r="A76" s="10" t="inlineStr">
        <is>
          <t>Honda S2000</t>
        </is>
      </c>
      <c r="B76" s="10" t="inlineStr">
        <is>
          <t>Honda s2000</t>
        </is>
      </c>
      <c r="C76" s="10" t="inlineStr">
        <is>
          <t>En vente</t>
        </is>
      </c>
      <c r="D76" s="18" t="n">
        <v>46236</v>
      </c>
      <c r="E76" s="18" t="n">
        <v>46236</v>
      </c>
      <c r="F76" s="18" t="n">
        <v>46296</v>
      </c>
      <c r="G76" s="18" t="n"/>
      <c r="H76" s="17">
        <f>IF(OR(ISNUMBER(D76),ISNUMBER(E76)),IF(ISNUMBER(G76),G76,F76)-IF(ISNUMBER(D76),D76,E76),"")</f>
        <v/>
      </c>
      <c r="I76" s="12" t="n">
        <v>12500</v>
      </c>
      <c r="J76" s="12" t="n">
        <v>12500</v>
      </c>
      <c r="K76" s="13">
        <f>IF(AND(ISNUMBER(I76),ISNUMBER(J76),I76&gt;0),1-J76/I76,"")</f>
        <v/>
      </c>
      <c r="L76" s="16" t="n">
        <v>0</v>
      </c>
      <c r="M76" s="15" t="n">
        <v>243000</v>
      </c>
      <c r="N76" s="16" t="n">
        <v>2002</v>
      </c>
      <c r="O76" s="10" t="inlineStr">
        <is>
          <t>1</t>
        </is>
      </c>
      <c r="P76" s="10" t="inlineStr">
        <is>
          <t>1</t>
        </is>
      </c>
      <c r="Q76" s="16" t="n">
        <v>240</v>
      </c>
      <c r="R76" s="16" t="n">
        <v>16</v>
      </c>
      <c r="S76" s="10" t="inlineStr">
        <is>
          <t>noir</t>
        </is>
      </c>
      <c r="T76" s="16" t="n">
        <v>2</v>
      </c>
      <c r="U76" s="10" t="n"/>
      <c r="V76" s="10" t="n"/>
      <c r="W76" s="10" t="inlineStr">
        <is>
          <t>Particulier</t>
        </is>
      </c>
      <c r="X76" s="10" t="inlineStr">
        <is>
          <t>Béziers</t>
        </is>
      </c>
      <c r="Y76" s="10" t="inlineStr">
        <is>
          <t>34500</t>
        </is>
      </c>
      <c r="Z76" s="10" t="inlineStr">
        <is>
          <t>Hérault</t>
        </is>
      </c>
      <c r="AA76" s="10" t="inlineStr">
        <is>
          <t>Languedoc-Roussillon</t>
        </is>
      </c>
      <c r="AB76" s="16" t="n"/>
      <c r="AC76" s="16" t="n"/>
      <c r="AD76" s="10" t="n"/>
      <c r="AE76" s="10" t="n"/>
      <c r="AF76" s="10" t="inlineStr">
        <is>
          <t>1 : 1 ; 2 : 2 ; 11 : 11 ; 2002 : 2002 ; https://img.leboncoin.fr/api/v1/tenants/9a6387a1-6259-4f2c-a887-7e67f23dd4cb/domains/20bda58f-d650-462e-a72a-a5a7ecf2bf88/buckets/21d2b0bc-e54c-4b64-a30b-89127b18b785/images/profile/pictures/default/08cb8048-6b5b-5a18-8a93-0c02ecfbee89?rule=pp-small : https://img.leboncoin.fr/api/v1/tenants/9a6387a1-6259-4f2c-a887-7e67f23dd4cb/domains/20bda58f-d650-462e-a72a-a5a7ecf2bf88/buckets/21d2b0bc-e54c-4b64-a30b-89127b18b785/images/profile/pictures/default/08cb8048-6b5b-5a18-8a93-0c02ecfbee89?rule=pp-small ; Honda : Honda ; S2000 : S2000 ; HONDA : HONDA ; 243000 km : 243000 ; Essence : 1 ; Manuelle : 1 ; 09/2002 : 09/2002 ; Cabriolet : cabriolet ; Noir : noir ; 16 Cv : 16 ; 240 Ch : 240 ; Avec permis : avecpermis ; credit_card : credit_card ; false : false ; true : true ; rating_score : 1 ; rating_count : 11 ; u_car_brand : HONDA ; u_car_model : S2000 ; vehicle_vsp : Avec permis ; vehicle_available_payment_methods : credit_card ; is_import : false ; vehicle_is_eligible_p2p : 2 ; licence_plate_available : true</t>
        </is>
      </c>
      <c r="AG76" s="19" t="inlineStr">
        <is>
          <t>Voir</t>
        </is>
      </c>
      <c r="AH76" s="10" t="inlineStr">
        <is>
          <t>3243670260</t>
        </is>
      </c>
    </row>
    <row r="77">
      <c r="A77" s="10" t="inlineStr">
        <is>
          <t>Honda S2000</t>
        </is>
      </c>
      <c r="B77" s="10" t="inlineStr">
        <is>
          <t>Honda S2000 (échange possible)</t>
        </is>
      </c>
      <c r="C77" s="10" t="inlineStr">
        <is>
          <t>En vente</t>
        </is>
      </c>
      <c r="D77" s="18" t="n">
        <v>46242</v>
      </c>
      <c r="E77" s="18" t="n">
        <v>46242</v>
      </c>
      <c r="F77" s="18" t="n">
        <v>46296</v>
      </c>
      <c r="G77" s="18" t="n"/>
      <c r="H77" s="17">
        <f>IF(OR(ISNUMBER(D77),ISNUMBER(E77)),IF(ISNUMBER(G77),G77,F77)-IF(ISNUMBER(D77),D77,E77),"")</f>
        <v/>
      </c>
      <c r="I77" s="12" t="n">
        <v>27000</v>
      </c>
      <c r="J77" s="12" t="n">
        <v>27000</v>
      </c>
      <c r="K77" s="13">
        <f>IF(AND(ISNUMBER(I77),ISNUMBER(J77),I77&gt;0),1-J77/I77,"")</f>
        <v/>
      </c>
      <c r="L77" s="16" t="n">
        <v>0</v>
      </c>
      <c r="M77" s="15" t="n">
        <v>172346</v>
      </c>
      <c r="N77" s="16" t="n">
        <v>2000</v>
      </c>
      <c r="O77" s="10" t="inlineStr">
        <is>
          <t>1</t>
        </is>
      </c>
      <c r="P77" s="10" t="inlineStr">
        <is>
          <t>1</t>
        </is>
      </c>
      <c r="Q77" s="16" t="n">
        <v>240</v>
      </c>
      <c r="R77" s="16" t="n">
        <v>16</v>
      </c>
      <c r="S77" s="10" t="inlineStr">
        <is>
          <t>gris</t>
        </is>
      </c>
      <c r="T77" s="16" t="n">
        <v>2</v>
      </c>
      <c r="U77" s="10" t="n"/>
      <c r="V77" s="10" t="inlineStr">
        <is>
          <t>3</t>
        </is>
      </c>
      <c r="W77" s="10" t="inlineStr">
        <is>
          <t>Particulier</t>
        </is>
      </c>
      <c r="X77" s="10" t="inlineStr">
        <is>
          <t>Bayonne</t>
        </is>
      </c>
      <c r="Y77" s="10" t="inlineStr">
        <is>
          <t>64100</t>
        </is>
      </c>
      <c r="Z77" s="10" t="inlineStr">
        <is>
          <t>Pyrénées-Atlantiques</t>
        </is>
      </c>
      <c r="AA77" s="10" t="inlineStr">
        <is>
          <t>Aquitaine</t>
        </is>
      </c>
      <c r="AB77" s="16" t="n"/>
      <c r="AC77" s="16" t="n"/>
      <c r="AD77" s="10" t="n"/>
      <c r="AE77" s="10" t="n"/>
      <c r="AF77" s="10" t="inlineStr">
        <is>
          <t>1 : 1 ; 2 : 2 ; 3 : 3 ; 53 : 53 ; 2000 : 2000 ; 2028 : 2028 ; 714587 : 714587 ; https://img.leboncoin.fr/api/v1/tenants/9a6387a1-6259-4f2c-a887-7e67f23dd4cb/domains/20bda58f-d650-462e-a72a-a5a7ecf2bf88/buckets/21d2b0bc-e54c-4b64-a30b-89127b18b785/images/profile/pictures/default/47787a91-9a20-59c0-959a-cb1739dd8059?rule=pp-small : https://img.leboncoin.fr/api/v1/tenants/9a6387a1-6259-4f2c-a887-7e67f23dd4cb/domains/20bda58f-d650-462e-a72a-a5a7ecf2bf88/buckets/21d2b0bc-e54c-4b64-a30b-89127b18b785/images/profile/pictures/default/47787a91-9a20-59c0-959a-cb1739dd8059?rule=pp-small ; Honda : Honda ; S2000 : S2000 ; HONDA : HONDA ; 172346 km : 172346 ; Essence : 1 ; Manuelle : 1 ; Base : HONDA_S2000_Base ; Base_S2000 2.0 BV6 : Base_S2000 2.0 BV6 ; Oui : true ; 06/2000 : 06/2000 ; Bon état général : good_overall_condition ; Cabriolet : cabriolet ; Gris : gris ; 16 Cv : 16 ; 240 Ch : 240 ; Avec permis : avecpermis ; false : false ; https://autoviza.fr/report/report?uid=811bb82b-ad54-4a59-9d09-3ecd12229b69 : https://autoviza.fr/report/report?uid=811bb82b-ad54-4a59-9d09-3ecd12229b69 ; true : true ; rating_score : 1 ; rating_count : 53 ; u_car_brand : HONDA ; u_car_model : S2000 ; u_car_finition : Base ; u_car_version : Base_S2000 2.0 BV6 ; vehicle_technical_inspection_valid : Oui ; vehicle_technical_inspection_a : 2028 ; vehicle_damage : Bon état général ; vehicle_maintenance : Carnet d'entretien disponible, Factures disponibles ; vehicle_interior_specs : Bluetooth, Climatisation ; vehicle_vsp : Avec permis ; is_import : false ; vehicle_is_eligible_p2p : 2 ; vehicle_history_report_public_url : https://autoviza.fr/report/report?uid=811bb82b-ad54-4a59-9d09-3ecd12229b69 ; argus_object_id : 714587 ; licence_plate_available : true</t>
        </is>
      </c>
      <c r="AG77" s="19" t="inlineStr">
        <is>
          <t>Voir</t>
        </is>
      </c>
      <c r="AH77" s="10" t="inlineStr">
        <is>
          <t>3246600883</t>
        </is>
      </c>
    </row>
    <row r="78">
      <c r="A78" s="10" t="inlineStr">
        <is>
          <t>Honda S2000</t>
        </is>
      </c>
      <c r="B78" s="10" t="inlineStr">
        <is>
          <t>Honda s2000 phase2 intérieur full red unique</t>
        </is>
      </c>
      <c r="C78" s="10" t="inlineStr">
        <is>
          <t>En vente</t>
        </is>
      </c>
      <c r="D78" s="18" t="n">
        <v>46243</v>
      </c>
      <c r="E78" s="18" t="n">
        <v>46243</v>
      </c>
      <c r="F78" s="18" t="n">
        <v>46296</v>
      </c>
      <c r="G78" s="18" t="n"/>
      <c r="H78" s="17">
        <f>IF(OR(ISNUMBER(D78),ISNUMBER(E78)),IF(ISNUMBER(G78),G78,F78)-IF(ISNUMBER(D78),D78,E78),"")</f>
        <v/>
      </c>
      <c r="I78" s="12" t="n">
        <v>19500</v>
      </c>
      <c r="J78" s="12" t="n">
        <v>19500</v>
      </c>
      <c r="K78" s="13">
        <f>IF(AND(ISNUMBER(I78),ISNUMBER(J78),I78&gt;0),1-J78/I78,"")</f>
        <v/>
      </c>
      <c r="L78" s="16" t="n">
        <v>0</v>
      </c>
      <c r="M78" s="15" t="n">
        <v>160000</v>
      </c>
      <c r="N78" s="16" t="n">
        <v>2004</v>
      </c>
      <c r="O78" s="10" t="inlineStr">
        <is>
          <t>1</t>
        </is>
      </c>
      <c r="P78" s="10" t="inlineStr">
        <is>
          <t>1</t>
        </is>
      </c>
      <c r="Q78" s="16" t="n">
        <v>240</v>
      </c>
      <c r="R78" s="16" t="n">
        <v>16</v>
      </c>
      <c r="S78" s="10" t="inlineStr">
        <is>
          <t>noir</t>
        </is>
      </c>
      <c r="T78" s="16" t="n">
        <v>2</v>
      </c>
      <c r="U78" s="10" t="n"/>
      <c r="V78" s="10" t="n"/>
      <c r="W78" s="10" t="inlineStr">
        <is>
          <t>Particulier</t>
        </is>
      </c>
      <c r="X78" s="10" t="inlineStr">
        <is>
          <t>Loches</t>
        </is>
      </c>
      <c r="Y78" s="10" t="inlineStr">
        <is>
          <t>37600</t>
        </is>
      </c>
      <c r="Z78" s="10" t="inlineStr">
        <is>
          <t>Indre-et-Loire</t>
        </is>
      </c>
      <c r="AA78" s="10" t="inlineStr">
        <is>
          <t>Centre</t>
        </is>
      </c>
      <c r="AB78" s="16" t="n"/>
      <c r="AC78" s="16" t="n"/>
      <c r="AD78" s="10" t="n"/>
      <c r="AE78" s="10" t="n"/>
      <c r="AF78" s="10" t="inlineStr">
        <is>
          <t>1 : 1 ; 2 : 2 ; 2004 : 2004 ; https://img.leboncoin.fr/api/v1/tenants/9a6387a1-6259-4f2c-a887-7e67f23dd4cb/domains/20bda58f-d650-462e-a72a-a5a7ecf2bf88/buckets/21d2b0bc-e54c-4b64-a30b-89127b18b785/images/profile/pictures/default/f5ccbfd1-fe53-5a29-b53e-99a2ccdd1207?rule=pp-small : https://img.leboncoin.fr/api/v1/tenants/9a6387a1-6259-4f2c-a887-7e67f23dd4cb/domains/20bda58f-d650-462e-a72a-a5a7ecf2bf88/buckets/21d2b0bc-e54c-4b64-a30b-89127b18b785/images/profile/pictures/default/f5ccbfd1-fe53-5a29-b53e-99a2ccdd1207?rule=pp-small ; Honda : Honda ; S2000 : S2000 ; HONDA : HONDA ; 160000 km : 160000 ; Essence : 1 ; Manuelle : 1 ; Oui : true ; 04/2004 : 04/2004 ; Bon état général : good_overall_condition ; Cabriolet : cabriolet ; Noir : noir ; 16 Cv : 16 ; 240 Ch : 240 ; Avec permis : avecpermis ; credit_card : credit_card ; false : false ; true : true ; rating_score : 1 ; rating_count : 2 ; u_car_brand : HONDA ; u_car_model : S2000 ; vehicle_technical_inspection_valid : Oui ; vehicle_damage : Bon état général ; vehicle_upholstery : Tout cuir ; vehicle_maintenance : Carnet d'entretien disponible, Véhicule non fumeur, Factures disponibles, Réparations utiles déjà faites ; vehicle_vsp : Avec permis ; vehicle_available_payment_methods : credit_card ; is_import : false ; vehicle_is_eligible_p2p : 2 ; licence_plate_available : true</t>
        </is>
      </c>
      <c r="AG78" s="19" t="inlineStr">
        <is>
          <t>Voir</t>
        </is>
      </c>
      <c r="AH78" s="10" t="inlineStr">
        <is>
          <t>3247204311</t>
        </is>
      </c>
    </row>
    <row r="79">
      <c r="A79" s="10" t="inlineStr">
        <is>
          <t>Honda S2000</t>
        </is>
      </c>
      <c r="B79" s="10" t="inlineStr">
        <is>
          <t>HONDA S2000 (AP) 2.0 i VTEC Roadster 240cv</t>
        </is>
      </c>
      <c r="C79" s="10" t="inlineStr">
        <is>
          <t>En vente</t>
        </is>
      </c>
      <c r="D79" s="18" t="n">
        <v>46244</v>
      </c>
      <c r="E79" s="18" t="n">
        <v>46244</v>
      </c>
      <c r="F79" s="18" t="n">
        <v>46296</v>
      </c>
      <c r="G79" s="18" t="n"/>
      <c r="H79" s="17">
        <f>IF(OR(ISNUMBER(D79),ISNUMBER(E79)),IF(ISNUMBER(G79),G79,F79)-IF(ISNUMBER(D79),D79,E79),"")</f>
        <v/>
      </c>
      <c r="I79" s="12" t="n">
        <v>46990</v>
      </c>
      <c r="J79" s="12" t="n">
        <v>46990</v>
      </c>
      <c r="K79" s="13">
        <f>IF(AND(ISNUMBER(I79),ISNUMBER(J79),I79&gt;0),1-J79/I79,"")</f>
        <v/>
      </c>
      <c r="L79" s="16" t="n">
        <v>0</v>
      </c>
      <c r="M79" s="15" t="n">
        <v>33320</v>
      </c>
      <c r="N79" s="16" t="n">
        <v>2005</v>
      </c>
      <c r="O79" s="10" t="inlineStr">
        <is>
          <t>1</t>
        </is>
      </c>
      <c r="P79" s="10" t="inlineStr">
        <is>
          <t>1</t>
        </is>
      </c>
      <c r="Q79" s="16" t="n">
        <v>240</v>
      </c>
      <c r="R79" s="16" t="n">
        <v>16</v>
      </c>
      <c r="S79" s="10" t="inlineStr">
        <is>
          <t>gris</t>
        </is>
      </c>
      <c r="T79" s="16" t="n">
        <v>2</v>
      </c>
      <c r="U79" s="10" t="n"/>
      <c r="V79" s="10" t="n"/>
      <c r="W79" s="10" t="inlineStr">
        <is>
          <t>Pro</t>
        </is>
      </c>
      <c r="X79" s="10" t="inlineStr">
        <is>
          <t>Bastia</t>
        </is>
      </c>
      <c r="Y79" s="10" t="inlineStr">
        <is>
          <t>20600</t>
        </is>
      </c>
      <c r="Z79" s="10" t="n"/>
      <c r="AA79" s="10" t="inlineStr">
        <is>
          <t>Corse</t>
        </is>
      </c>
      <c r="AB79" s="16" t="n"/>
      <c r="AC79" s="16" t="n"/>
      <c r="AD79" s="10" t="n"/>
      <c r="AE79" s="10" t="n"/>
      <c r="AF79" s="10" t="inlineStr">
        <is>
          <t>1 : 1 ; 2 : 2 ; 2005 : 2005 ; 104609 : 104609 ; 714587 : 714587 ; Honda : Honda ; S2000 : S2000 ; HONDA : HONDA ; 33320 km : 33320 ; Essence : 1 ; Manuelle : 1 ; Base : HONDA_S2000_Base ; S2000 2.0 BV6 : S2000 2.0 BV6 ; 06/2005 : 06/2005 ; Bon état général : good_overall_condition ; Cabriolet : cabriolet ; Gris : gris ; 16 Cv : 16 ; 240 Ch : 240 ; Avec permis : avecpermis ; false : false ; https://img.leboncoin.fr/api/v1/lbcpb1/images/e4/bc/ca/e4bccaf0-d048-5568-8f1d-d928d4acd5cd?rule=bo-thumb : https://img.leboncoin.fr/api/v1/lbcpb1/images/e4/bc/ca/e4bccaf0-d048-5568-8f1d-d928d4acd5cd?rule=bo-thumb ; 60 SECONDES CHRONO : 60 SECONDES CHRONO ; https://autoviza.fr/report/report?uid=d90ddca7-4e2b-4457-a039-c7d4b86a99c8 : https://autoviza.fr/report/report?uid=d90ddca7-4e2b-4457-a039-c7d4b86a99c8 ; visible : visible ; Non renseignée : non_renseignee ; true : true ; activity_sector : 1 ; u_car_brand : HONDA ; u_car_model : S2000 ; u_car_finition : Base ; u_car_version : S2000 2.0 BV6 ; vehicle_damage : Bon état général ; vehicle_upholstery : Tout cuir ; vehicle_maintenance : Factures disponibles, Véhicule non fumeur ; vehicle_vsp : Avec permis ; recent_used_vehicle : false ; has_visibility_option : false ; store_logo : https://img.leboncoin.fr/api/v1/lbcpb1/images/e4/bc/ca/e4bccaf0-d048-5568-8f1d-d928d4acd5cd?rule=bo-thumb ; store_name : 60 SECONDES CHRONO ; online_store_id : 104609 ; is_import : false ; vehicle_history_report_public_url : https://autoviza.fr/report/report?uid=d90ddca7-4e2b-4457-a039-c7d4b86a99c8 ; vehicle_history_report_status : visible ; argus_object_id : 714587 ; spare_parts_availability : Non renseignée ; licence_plate_available : true</t>
        </is>
      </c>
      <c r="AG79" s="19" t="inlineStr">
        <is>
          <t>Voir</t>
        </is>
      </c>
      <c r="AH79" s="10" t="inlineStr">
        <is>
          <t>3247698308</t>
        </is>
      </c>
    </row>
    <row r="80">
      <c r="A80" s="10" t="inlineStr">
        <is>
          <t>Honda S2000</t>
        </is>
      </c>
      <c r="B80" s="10" t="inlineStr">
        <is>
          <t>Porsche Boxster 2.7 240</t>
        </is>
      </c>
      <c r="C80" s="10" t="inlineStr">
        <is>
          <t>En vente</t>
        </is>
      </c>
      <c r="D80" s="18" t="n">
        <v>46244</v>
      </c>
      <c r="E80" s="18" t="n">
        <v>46244</v>
      </c>
      <c r="F80" s="18" t="n">
        <v>46296</v>
      </c>
      <c r="G80" s="18" t="n"/>
      <c r="H80" s="17">
        <f>IF(OR(ISNUMBER(D80),ISNUMBER(E80)),IF(ISNUMBER(G80),G80,F80)-IF(ISNUMBER(D80),D80,E80),"")</f>
        <v/>
      </c>
      <c r="I80" s="12" t="n">
        <v>22990</v>
      </c>
      <c r="J80" s="12" t="n">
        <v>22990</v>
      </c>
      <c r="K80" s="13">
        <f>IF(AND(ISNUMBER(I80),ISNUMBER(J80),I80&gt;0),1-J80/I80,"")</f>
        <v/>
      </c>
      <c r="L80" s="16" t="n">
        <v>0</v>
      </c>
      <c r="M80" s="15" t="n">
        <v>132000</v>
      </c>
      <c r="N80" s="16" t="n">
        <v>2005</v>
      </c>
      <c r="O80" s="10" t="inlineStr">
        <is>
          <t>1</t>
        </is>
      </c>
      <c r="P80" s="10" t="inlineStr">
        <is>
          <t>1</t>
        </is>
      </c>
      <c r="Q80" s="16" t="n">
        <v>240</v>
      </c>
      <c r="R80" s="16" t="n">
        <v>16</v>
      </c>
      <c r="S80" s="10" t="inlineStr">
        <is>
          <t>gris</t>
        </is>
      </c>
      <c r="T80" s="16" t="n">
        <v>2</v>
      </c>
      <c r="U80" s="10" t="n"/>
      <c r="V80" s="10" t="inlineStr">
        <is>
          <t>1</t>
        </is>
      </c>
      <c r="W80" s="10" t="inlineStr">
        <is>
          <t>Pro</t>
        </is>
      </c>
      <c r="X80" s="10" t="inlineStr">
        <is>
          <t>Creuzier-le-Vieux</t>
        </is>
      </c>
      <c r="Y80" s="10" t="inlineStr">
        <is>
          <t>03300</t>
        </is>
      </c>
      <c r="Z80" s="10" t="inlineStr">
        <is>
          <t>Allier</t>
        </is>
      </c>
      <c r="AA80" s="10" t="inlineStr">
        <is>
          <t>Auvergne</t>
        </is>
      </c>
      <c r="AB80" s="16" t="n"/>
      <c r="AC80" s="16" t="n"/>
      <c r="AD80" s="10" t="n"/>
      <c r="AE80" s="10" t="n"/>
      <c r="AF80" s="10" t="inlineStr">
        <is>
          <t>1 : 1 ; 2 : 2 ; 2005 : 2005 ; 23490 : 23490 ; 835017 : 835017 ; 7146777 : 7146777 ; Porsche : Porsche ; Boxster : Boxster ; PORSCHE : PORSCHE ; 132000 km : 132000 ; Essence : 1 ; Manuelle : 1 ; Base : PORSCHE_Boxster_Base ; Boxster 2.7 : Boxster 2.7 ; 04/2005 : 04/2005 ; Cabriolet : cabriolet ; Gris : gris ; 16 Cv : 16 ; 240 Ch : 240 ; Avec permis : avecpermis ; false : false ; https://img.leboncoin.fr/api/v1/lbcpb1/images/65/86/b2/6586b22c-f702-4b56-b503-625681ee0326?rule=bo-thumb : https://img.leboncoin.fr/api/v1/lbcpb1/images/65/86/b2/6586b22c-f702-4b56-b503-625681ee0326?rule=bo-thumb ; CAR &amp; BIKE Vichy : CAR &amp; BIKE Vichy ; VRZ_B6F017 : VRZ_B6F017 ; true : true ; https://autoviza.fr/report/report?uid=d5ca3616-27c4-49d7-bc12-dd232c7d4d62 : https://autoviza.fr/report/report?uid=d5ca3616-27c4-49d7-bc12-dd232c7d4d62 ; visible : visible ; Non renseignée : non_renseignee ; activity_sector : 1 ; u_car_brand : PORSCHE ; u_car_model : Boxster ; u_car_finition : Base ; u_car_version : Boxster 2.7 ; vehicle_vsp : Avec permis ; recent_used_vehicle : false ; has_visibility_option : false ; store_logo : https://img.leboncoin.fr/api/v1/lbcpb1/images/65/86/b2/6586b22c-f702-4b56-b503-625681ee0326?rule=bo-thumb ; store_name : CAR &amp; BIKE Vichy ; online_store_id : 7146777 ; custom_ref : VRZ_B6F017 ; is_import : true ; old_price : 23490 ; vehicle_history_report_public_url : https://autoviza.fr/report/report?uid=d5ca3616-27c4-49d7-bc12-dd232c7d4d62 ; vehicle_history_report_status : visible ; argus_object_id : 835017 ; spare_parts_availability : Non renseignée ; licence_plate_available : true</t>
        </is>
      </c>
      <c r="AG80" s="19" t="inlineStr">
        <is>
          <t>Voir</t>
        </is>
      </c>
      <c r="AH80" s="10" t="inlineStr">
        <is>
          <t>3247804233</t>
        </is>
      </c>
    </row>
    <row r="81">
      <c r="A81" s="10" t="inlineStr">
        <is>
          <t>Honda S2000</t>
        </is>
      </c>
      <c r="B81" s="10" t="inlineStr">
        <is>
          <t>Honda S2000 LHD 2.0 VTEC 2002</t>
        </is>
      </c>
      <c r="C81" s="10" t="inlineStr">
        <is>
          <t>En vente</t>
        </is>
      </c>
      <c r="D81" s="18" t="n">
        <v>46248</v>
      </c>
      <c r="E81" s="18" t="n">
        <v>46248</v>
      </c>
      <c r="F81" s="18" t="n">
        <v>46296</v>
      </c>
      <c r="G81" s="18" t="n"/>
      <c r="H81" s="17">
        <f>IF(OR(ISNUMBER(D81),ISNUMBER(E81)),IF(ISNUMBER(G81),G81,F81)-IF(ISNUMBER(D81),D81,E81),"")</f>
        <v/>
      </c>
      <c r="I81" s="12" t="n">
        <v>26800</v>
      </c>
      <c r="J81" s="12" t="n">
        <v>26800</v>
      </c>
      <c r="K81" s="13">
        <f>IF(AND(ISNUMBER(I81),ISNUMBER(J81),I81&gt;0),1-J81/I81,"")</f>
        <v/>
      </c>
      <c r="L81" s="16" t="n">
        <v>0</v>
      </c>
      <c r="M81" s="15" t="n">
        <v>113000</v>
      </c>
      <c r="N81" s="16" t="n">
        <v>2002</v>
      </c>
      <c r="O81" s="10" t="inlineStr">
        <is>
          <t>1</t>
        </is>
      </c>
      <c r="P81" s="10" t="inlineStr">
        <is>
          <t>1</t>
        </is>
      </c>
      <c r="Q81" s="16" t="n">
        <v>240</v>
      </c>
      <c r="R81" s="16" t="n">
        <v>16</v>
      </c>
      <c r="S81" s="10" t="inlineStr">
        <is>
          <t>gris</t>
        </is>
      </c>
      <c r="T81" s="16" t="n">
        <v>2</v>
      </c>
      <c r="U81" s="10" t="n"/>
      <c r="V81" s="10" t="inlineStr">
        <is>
          <t>3</t>
        </is>
      </c>
      <c r="W81" s="10" t="inlineStr">
        <is>
          <t>Pro</t>
        </is>
      </c>
      <c r="X81" s="10" t="inlineStr">
        <is>
          <t>Balma</t>
        </is>
      </c>
      <c r="Y81" s="10" t="inlineStr">
        <is>
          <t>31130</t>
        </is>
      </c>
      <c r="Z81" s="10" t="inlineStr">
        <is>
          <t>Haute-Garonne</t>
        </is>
      </c>
      <c r="AA81" s="10" t="inlineStr">
        <is>
          <t>Midi-Pyrénées</t>
        </is>
      </c>
      <c r="AB81" s="16" t="n"/>
      <c r="AC81" s="16" t="n"/>
      <c r="AD81" s="10" t="n"/>
      <c r="AE81" s="10" t="n"/>
      <c r="AF81" s="10" t="inlineStr">
        <is>
          <t>1 : 1 ; 2 : 2 ; 3 : 3 ; 2002 : 2002 ; 2027 : 2027 ; Honda : Honda ; S2000 : S2000 ; HONDA : HONDA ; 113000 km : 113000 ; Essence : 1 ; Manuelle : 1 ; Oui : true ; 01/2002 : 01/2002 ; Bon état général : good_overall_condition ; Cabriolet : cabriolet ; Gris : gris ; 16 Cv : 16 ; 240 Ch : 240 ; Avec permis : avecpermis ; false : false ; 6 mois : 6 ; https://autoviza.fr/report/report?uid=ca3ff212-d7f0-4e68-bca0-c8b678887061 : https://autoviza.fr/report/report?uid=ca3ff212-d7f0-4e68-bca0-c8b678887061 ; visible : visible ; true : true ; Non disponible : non_disponible ; activity_sector : 1 ; u_car_brand : HONDA ; u_car_model : S2000 ; vehicle_technical_inspection_valid : Oui ; vehicle_technical_inspection_a : 2027 ; vehicle_damage : Bon état général ; vehicle_upholstery : Tout cuir ; vehicle_maintenance : Carnet d'entretien disponible, Véhicule non fumeur, Réparations utiles déjà faites ; vehicle_interior_specs : Climatisation, Jantes en alliage, Phares LED / Xenon, Roue de secours, Sièges en cuir, Sièges sport, Toit ouvrant / Toit panoramique ; vehicle_vsp : Avec permis ; recent_used_vehicle : false ; vehicle_commercial_warranty : Oui ; vehicle_commercial_warranty_duration : 6 mois ; vehicle_commercial_warranty_extendable : Oui ; is_import : false ; vehicle_history_report_public_url : https://autoviza.fr/report/report?uid=ca3ff212-d7f0-4e68-bca0-c8b678887061 ; vehicle_history_report_status : visible ; vehicle_history_teaser_critair : 3 ; vehicle_history_teaser_owners : 3 ; vehicle_history_teaser_expertises : false ; vehicle_history_teaser_special_uses : false ; vehicle_history_teaser_atypical_operations : true ; vehicle_history_teaser_importations : true ; spare_parts_availability : Non disponible ; licence_plate_available : true</t>
        </is>
      </c>
      <c r="AG81" s="19" t="inlineStr">
        <is>
          <t>Voir</t>
        </is>
      </c>
      <c r="AH81" s="10" t="inlineStr">
        <is>
          <t>3249751722</t>
        </is>
      </c>
    </row>
    <row r="82">
      <c r="A82" s="10" t="inlineStr">
        <is>
          <t>Honda S2000</t>
        </is>
      </c>
      <c r="B82" s="10" t="inlineStr">
        <is>
          <t>Honda s2000 rhd</t>
        </is>
      </c>
      <c r="C82" s="10" t="inlineStr">
        <is>
          <t>En vente</t>
        </is>
      </c>
      <c r="D82" s="18" t="n">
        <v>46254</v>
      </c>
      <c r="E82" s="18" t="n">
        <v>46254</v>
      </c>
      <c r="F82" s="18" t="n">
        <v>46296</v>
      </c>
      <c r="G82" s="18" t="n"/>
      <c r="H82" s="17">
        <f>IF(OR(ISNUMBER(D82),ISNUMBER(E82)),IF(ISNUMBER(G82),G82,F82)-IF(ISNUMBER(D82),D82,E82),"")</f>
        <v/>
      </c>
      <c r="I82" s="12" t="n">
        <v>17000</v>
      </c>
      <c r="J82" s="12" t="n">
        <v>17000</v>
      </c>
      <c r="K82" s="13">
        <f>IF(AND(ISNUMBER(I82),ISNUMBER(J82),I82&gt;0),1-J82/I82,"")</f>
        <v/>
      </c>
      <c r="L82" s="16" t="n">
        <v>0</v>
      </c>
      <c r="M82" s="15" t="n">
        <v>200000</v>
      </c>
      <c r="N82" s="16" t="n">
        <v>2002</v>
      </c>
      <c r="O82" s="10" t="inlineStr">
        <is>
          <t>1</t>
        </is>
      </c>
      <c r="P82" s="10" t="inlineStr">
        <is>
          <t>1</t>
        </is>
      </c>
      <c r="Q82" s="16" t="n">
        <v>240</v>
      </c>
      <c r="R82" s="16" t="n">
        <v>16</v>
      </c>
      <c r="S82" s="10" t="inlineStr">
        <is>
          <t>noir</t>
        </is>
      </c>
      <c r="T82" s="16" t="n">
        <v>2</v>
      </c>
      <c r="U82" s="10" t="n"/>
      <c r="V82" s="10" t="n"/>
      <c r="W82" s="10" t="inlineStr">
        <is>
          <t>Particulier</t>
        </is>
      </c>
      <c r="X82" s="10" t="inlineStr">
        <is>
          <t>Poueyferré</t>
        </is>
      </c>
      <c r="Y82" s="10" t="inlineStr">
        <is>
          <t>65100</t>
        </is>
      </c>
      <c r="Z82" s="10" t="inlineStr">
        <is>
          <t>Hautes-Pyrénées</t>
        </is>
      </c>
      <c r="AA82" s="10" t="inlineStr">
        <is>
          <t>Midi-Pyrénées</t>
        </is>
      </c>
      <c r="AB82" s="16" t="n"/>
      <c r="AC82" s="16" t="n"/>
      <c r="AD82" s="10" t="n"/>
      <c r="AE82" s="10" t="n"/>
      <c r="AF82" s="10" t="inlineStr">
        <is>
          <t>1 : 1 ; 2 : 2 ; 30 : 30 ; 2002 : 2002 ; 0.99 : 0.99 ; https://img.leboncoin.fr/api/v1/tenants/9a6387a1-6259-4f2c-a887-7e67f23dd4cb/domains/20bda58f-d650-462e-a72a-a5a7ecf2bf88/buckets/21d2b0bc-e54c-4b64-a30b-89127b18b785/images/profile/pictures/12710b8f-4f39-5d67-906d-421775102402?rule=pp-small : https://img.leboncoin.fr/api/v1/tenants/9a6387a1-6259-4f2c-a887-7e67f23dd4cb/domains/20bda58f-d650-462e-a72a-a5a7ecf2bf88/buckets/21d2b0bc-e54c-4b64-a30b-89127b18b785/images/profile/pictures/12710b8f-4f39-5d67-906d-421775102402?rule=pp-small ; Honda : Honda ; S2000 : S2000 ; HONDA : HONDA ; 200000 km : 200000 ; Essence : 1 ; Manuelle : 1 ; 11/2002 : 11/2002 ; Cabriolet : cabriolet ; Noir : noir ; 16 Cv : 16 ; 240 Ch : 240 ; Avec permis : avecpermis ; credit_card : credit_card ; false : false ; true : true ; rating_score : 0.99 ; rating_count : 30 ; u_car_brand : HONDA ; u_car_model : S2000 ; vehicle_upholstery : Tout cuir ; vehicle_vsp : Avec permis ; vehicle_available_payment_methods : credit_card ; is_import : false ; vehicle_is_eligible_p2p : 2 ; licence_plate_available : true</t>
        </is>
      </c>
      <c r="AG82" s="19" t="inlineStr">
        <is>
          <t>Voir</t>
        </is>
      </c>
      <c r="AH82" s="10" t="inlineStr">
        <is>
          <t>3253686728</t>
        </is>
      </c>
    </row>
    <row r="83">
      <c r="A83" s="10" t="inlineStr">
        <is>
          <t>Honda S2000</t>
        </is>
      </c>
      <c r="B83" s="10" t="inlineStr">
        <is>
          <t>Honda s2000</t>
        </is>
      </c>
      <c r="C83" s="10" t="inlineStr">
        <is>
          <t>En vente</t>
        </is>
      </c>
      <c r="D83" s="18" t="n">
        <v>46255</v>
      </c>
      <c r="E83" s="18" t="n">
        <v>46255</v>
      </c>
      <c r="F83" s="18" t="n">
        <v>46296</v>
      </c>
      <c r="G83" s="18" t="n"/>
      <c r="H83" s="17">
        <f>IF(OR(ISNUMBER(D83),ISNUMBER(E83)),IF(ISNUMBER(G83),G83,F83)-IF(ISNUMBER(D83),D83,E83),"")</f>
        <v/>
      </c>
      <c r="I83" s="12" t="n">
        <v>25000</v>
      </c>
      <c r="J83" s="12" t="n">
        <v>25000</v>
      </c>
      <c r="K83" s="13">
        <f>IF(AND(ISNUMBER(I83),ISNUMBER(J83),I83&gt;0),1-J83/I83,"")</f>
        <v/>
      </c>
      <c r="L83" s="16" t="n">
        <v>0</v>
      </c>
      <c r="M83" s="15" t="n">
        <v>138000</v>
      </c>
      <c r="N83" s="16" t="n">
        <v>1999</v>
      </c>
      <c r="O83" s="10" t="inlineStr">
        <is>
          <t>1</t>
        </is>
      </c>
      <c r="P83" s="10" t="inlineStr">
        <is>
          <t>1</t>
        </is>
      </c>
      <c r="Q83" s="16" t="n">
        <v>240</v>
      </c>
      <c r="R83" s="16" t="n">
        <v>16</v>
      </c>
      <c r="S83" s="10" t="inlineStr">
        <is>
          <t>rouge</t>
        </is>
      </c>
      <c r="T83" s="16" t="n">
        <v>2</v>
      </c>
      <c r="U83" s="10" t="n"/>
      <c r="V83" s="10" t="n"/>
      <c r="W83" s="10" t="inlineStr">
        <is>
          <t>Particulier</t>
        </is>
      </c>
      <c r="X83" s="10" t="inlineStr">
        <is>
          <t>Lille</t>
        </is>
      </c>
      <c r="Y83" s="10" t="inlineStr">
        <is>
          <t>59000</t>
        </is>
      </c>
      <c r="Z83" s="10" t="inlineStr">
        <is>
          <t>Nord</t>
        </is>
      </c>
      <c r="AA83" s="10" t="inlineStr">
        <is>
          <t>Nord-Pas-de-Calais</t>
        </is>
      </c>
      <c r="AB83" s="16" t="n"/>
      <c r="AC83" s="16" t="n"/>
      <c r="AD83" s="10" t="n"/>
      <c r="AE83" s="10" t="n"/>
      <c r="AF83" s="10" t="inlineStr">
        <is>
          <t>1 : 1 ; 2 : 2 ; 9 : 9 ; 1999 : 1999 ; 0.97 : 0.97 ; https://img.leboncoin.fr/api/v1/tenants/9a6387a1-6259-4f2c-a887-7e67f23dd4cb/domains/20bda58f-d650-462e-a72a-a5a7ecf2bf88/buckets/21d2b0bc-e54c-4b64-a30b-89127b18b785/images/profile/pictures/default/af409ff4-3d61-5b1e-b658-2687b579cc2b?rule=pp-small : https://img.leboncoin.fr/api/v1/tenants/9a6387a1-6259-4f2c-a887-7e67f23dd4cb/domains/20bda58f-d650-462e-a72a-a5a7ecf2bf88/buckets/21d2b0bc-e54c-4b64-a30b-89127b18b785/images/profile/pictures/default/af409ff4-3d61-5b1e-b658-2687b579cc2b?rule=pp-small ; Honda : Honda ; S2000 : S2000 ; HONDA : HONDA ; 138000 km : 138000 ; Essence : 1 ; Manuelle : 1 ; 09/1999 : 09/1999 ; Cabriolet : cabriolet ; Rouge : rouge ; 16 Cv : 16 ; 240 Ch : 240 ; Avec permis : avecpermis ; false : false ; https://autoviza.fr/report/report?uid=496e8087-dc43-40ef-bd31-ab2c4ca2e881 : https://autoviza.fr/report/report?uid=496e8087-dc43-40ef-bd31-ab2c4ca2e881 ; true : true ; rating_score : 0.97 ; rating_count : 9 ; u_car_brand : HONDA ; u_car_model : S2000 ; vehicle_vsp : Avec permis ; is_import : false ; vehicle_is_eligible_p2p : 2 ; vehicle_history_report_public_url : https://autoviza.fr/report/report?uid=496e8087-dc43-40ef-bd31-ab2c4ca2e881 ; licence_plate_available : true</t>
        </is>
      </c>
      <c r="AG83" s="19" t="inlineStr">
        <is>
          <t>Voir</t>
        </is>
      </c>
      <c r="AH83" s="10" t="inlineStr">
        <is>
          <t>3254057230</t>
        </is>
      </c>
    </row>
    <row r="84">
      <c r="A84" s="10" t="inlineStr">
        <is>
          <t>Honda S2000</t>
        </is>
      </c>
      <c r="B84" s="10" t="inlineStr">
        <is>
          <t>Honda S2000</t>
        </is>
      </c>
      <c r="C84" s="10" t="inlineStr">
        <is>
          <t>En vente</t>
        </is>
      </c>
      <c r="D84" s="18" t="n">
        <v>46256</v>
      </c>
      <c r="E84" s="18" t="n">
        <v>46256</v>
      </c>
      <c r="F84" s="18" t="n">
        <v>46296</v>
      </c>
      <c r="G84" s="18" t="n"/>
      <c r="H84" s="17">
        <f>IF(OR(ISNUMBER(D84),ISNUMBER(E84)),IF(ISNUMBER(G84),G84,F84)-IF(ISNUMBER(D84),D84,E84),"")</f>
        <v/>
      </c>
      <c r="I84" s="12" t="n">
        <v>13000</v>
      </c>
      <c r="J84" s="12" t="n">
        <v>13000</v>
      </c>
      <c r="K84" s="13">
        <f>IF(AND(ISNUMBER(I84),ISNUMBER(J84),I84&gt;0),1-J84/I84,"")</f>
        <v/>
      </c>
      <c r="L84" s="16" t="n">
        <v>0</v>
      </c>
      <c r="M84" s="15" t="n">
        <v>140000</v>
      </c>
      <c r="N84" s="16" t="n">
        <v>2006</v>
      </c>
      <c r="O84" s="10" t="inlineStr">
        <is>
          <t>1</t>
        </is>
      </c>
      <c r="P84" s="10" t="inlineStr">
        <is>
          <t>1</t>
        </is>
      </c>
      <c r="Q84" s="16" t="n">
        <v>240</v>
      </c>
      <c r="R84" s="16" t="n">
        <v>16</v>
      </c>
      <c r="S84" s="10" t="inlineStr">
        <is>
          <t>autre</t>
        </is>
      </c>
      <c r="T84" s="16" t="n">
        <v>2</v>
      </c>
      <c r="U84" s="10" t="n"/>
      <c r="V84" s="10" t="n"/>
      <c r="W84" s="10" t="inlineStr">
        <is>
          <t>Particulier</t>
        </is>
      </c>
      <c r="X84" s="10" t="inlineStr">
        <is>
          <t>Lens</t>
        </is>
      </c>
      <c r="Y84" s="10" t="inlineStr">
        <is>
          <t>62300</t>
        </is>
      </c>
      <c r="Z84" s="10" t="inlineStr">
        <is>
          <t>Pas-de-Calais</t>
        </is>
      </c>
      <c r="AA84" s="10" t="inlineStr">
        <is>
          <t>Nord-Pas-de-Calais</t>
        </is>
      </c>
      <c r="AB84" s="16" t="n"/>
      <c r="AC84" s="16" t="n"/>
      <c r="AD84" s="10" t="n"/>
      <c r="AE84" s="10" t="n"/>
      <c r="AF84" s="10" t="inlineStr">
        <is>
          <t>1 : 1 ; 2 : 2 ; 2006 : 2006 ; https://img.leboncoin.fr/api/v1/tenants/9a6387a1-6259-4f2c-a887-7e67f23dd4cb/domains/20bda58f-d650-462e-a72a-a5a7ecf2bf88/buckets/21d2b0bc-e54c-4b64-a30b-89127b18b785/images/profile/pictures/default/62b25bb1-a573-51a9-a436-47d465cad964?rule=pp-small : https://img.leboncoin.fr/api/v1/tenants/9a6387a1-6259-4f2c-a887-7e67f23dd4cb/domains/20bda58f-d650-462e-a72a-a5a7ecf2bf88/buckets/21d2b0bc-e54c-4b64-a30b-89127b18b785/images/profile/pictures/default/62b25bb1-a573-51a9-a436-47d465cad964?rule=pp-small ; Honda : Honda ; S2000 : S2000 ; HONDA : HONDA ; 140000 km : 140000 ; Essence : 1 ; Manuelle : 1 ; 10/2006 : 10/2006 ; Cabriolet : cabriolet ; Autre : autre ; 16 Cv : 16 ; 240 Ch : 240 ; Avec permis : avecpermis ; essential : essential ; credit_card : credit_card ; false : false ; https://autoviza.fr/report/report?uid=fd97dc52-e5e0-4b09-8b3a-bbb22a1cdc6f : https://autoviza.fr/report/report?uid=fd97dc52-e5e0-4b09-8b3a-bbb22a1cdc6f ; visible : visible ; true : true ; rating_score : 1 ; rating_count : 2 ; u_car_brand : HONDA ; u_car_model : S2000 ; vehicle_vsp : Avec permis ; ad_warranty_type : essential ; vehicle_available_payment_methods : credit_card ; is_import : false ; vehicle_is_eligible_p2p : 2 ; vehicle_history_report_public_url : https://autoviza.fr/report/report?uid=fd97dc52-e5e0-4b09-8b3a-bbb22a1cdc6f ; vehicle_history_report_status : visible ; licence_plate_available : true</t>
        </is>
      </c>
      <c r="AG84" s="19" t="inlineStr">
        <is>
          <t>Voir</t>
        </is>
      </c>
      <c r="AH84" s="10" t="inlineStr">
        <is>
          <t>3254395601</t>
        </is>
      </c>
    </row>
    <row r="85">
      <c r="A85" s="10" t="inlineStr">
        <is>
          <t>Honda S2000</t>
        </is>
      </c>
      <c r="B85" s="10" t="inlineStr">
        <is>
          <t>Honda s2000</t>
        </is>
      </c>
      <c r="C85" s="10" t="inlineStr">
        <is>
          <t>En vente</t>
        </is>
      </c>
      <c r="D85" s="18" t="n">
        <v>46256</v>
      </c>
      <c r="E85" s="18" t="n">
        <v>46256</v>
      </c>
      <c r="F85" s="18" t="n">
        <v>46296</v>
      </c>
      <c r="G85" s="18" t="n"/>
      <c r="H85" s="17">
        <f>IF(OR(ISNUMBER(D85),ISNUMBER(E85)),IF(ISNUMBER(G85),G85,F85)-IF(ISNUMBER(D85),D85,E85),"")</f>
        <v/>
      </c>
      <c r="I85" s="12" t="n">
        <v>33990</v>
      </c>
      <c r="J85" s="12" t="n">
        <v>33990</v>
      </c>
      <c r="K85" s="13">
        <f>IF(AND(ISNUMBER(I85),ISNUMBER(J85),I85&gt;0),1-J85/I85,"")</f>
        <v/>
      </c>
      <c r="L85" s="16" t="n">
        <v>0</v>
      </c>
      <c r="M85" s="15" t="n">
        <v>95950</v>
      </c>
      <c r="N85" s="16" t="n">
        <v>2003</v>
      </c>
      <c r="O85" s="10" t="inlineStr">
        <is>
          <t>1</t>
        </is>
      </c>
      <c r="P85" s="10" t="inlineStr">
        <is>
          <t>1</t>
        </is>
      </c>
      <c r="Q85" s="16" t="n">
        <v>240</v>
      </c>
      <c r="R85" s="16" t="n">
        <v>16</v>
      </c>
      <c r="S85" s="10" t="inlineStr">
        <is>
          <t>autre</t>
        </is>
      </c>
      <c r="T85" s="16" t="n">
        <v>2</v>
      </c>
      <c r="U85" s="10" t="n"/>
      <c r="V85" s="10" t="inlineStr">
        <is>
          <t>3</t>
        </is>
      </c>
      <c r="W85" s="10" t="inlineStr">
        <is>
          <t>Particulier</t>
        </is>
      </c>
      <c r="X85" s="10" t="inlineStr">
        <is>
          <t>Montriond</t>
        </is>
      </c>
      <c r="Y85" s="10" t="inlineStr">
        <is>
          <t>74110</t>
        </is>
      </c>
      <c r="Z85" s="10" t="inlineStr">
        <is>
          <t>Haute-Savoie</t>
        </is>
      </c>
      <c r="AA85" s="10" t="inlineStr">
        <is>
          <t>Rhône-Alpes</t>
        </is>
      </c>
      <c r="AB85" s="16" t="n"/>
      <c r="AC85" s="16" t="n"/>
      <c r="AD85" s="10" t="n"/>
      <c r="AE85" s="10" t="n"/>
      <c r="AF85" s="10" t="inlineStr">
        <is>
          <t>2 : 2 ; 3 : 3 ; 2003 : 2003 ; 2028 : 2028 ; 771997 : 771997 ; https://img.leboncoin.fr/api/v1/tenants/9a6387a1-6259-4f2c-a887-7e67f23dd4cb/domains/20bda58f-d650-462e-a72a-a5a7ecf2bf88/buckets/21d2b0bc-e54c-4b64-a30b-89127b18b785/images/profile/pictures/default/4f915a23-cf18-5b64-b113-40e47c32278d?rule=pp-small : https://img.leboncoin.fr/api/v1/tenants/9a6387a1-6259-4f2c-a887-7e67f23dd4cb/domains/20bda58f-d650-462e-a72a-a5a7ecf2bf88/buckets/21d2b0bc-e54c-4b64-a30b-89127b18b785/images/profile/pictures/default/4f915a23-cf18-5b64-b113-40e47c32278d?rule=pp-small ; Honda : Honda ; S2000 : S2000 ; HONDA : HONDA ; 95950 km : 95950 ; Essence : 1 ; Manuelle : 1 ; Base : HONDA_S2000_Base ; S2000 2.0 VTEC : S2000 2.0 VTEC ; Oui : true ; 08/2003 : 08/2003 ; Excellent état (proche du neuf) : excellent_condition ; Cabriolet : cabriolet ; Autre : autre ; Euro 3 : euro3 ; 16 Cv : 16 ; 240 Ch : 240 ; Avec permis : avecpermis ; false : false ; https://autoviza.fr/report/report?uid=01857d67-fe1f-4b16-b0e9-b243c9696f88 : https://autoviza.fr/report/report?uid=01857d67-fe1f-4b16-b0e9-b243c9696f88 ; true : true ; u_car_brand : HONDA ; u_car_model : S2000 ; u_car_finition : Base ; u_car_version : S2000 2.0 VTEC ; vehicle_technical_inspection_valid : Oui ; vehicle_technical_inspection_a : 2028 ; vehicle_damage : Excellent état (proche du neuf) ; vehicle_upholstery : Autre ; vehicle_euro_emissions_standard : Euro 3 ; vehicle_vsp : Avec permis ; is_import : false ; vehicle_is_eligible_p2p : 2 ; vehicle_history_report_public_url : https://autoviza.fr/report/report?uid=01857d67-fe1f-4b16-b0e9-b243c9696f88 ; vehicle_history_teaser_critair : 3 ; vehicle_history_teaser_owners : 3 ; vehicle_history_teaser_expertises : false ; vehicle_history_teaser_special_uses : false ; vehicle_history_teaser_atypical_operations : false ; vehicle_history_teaser_importations : false ; argus_object_id : 771997 ; licence_plate_available : true</t>
        </is>
      </c>
      <c r="AG85" s="19" t="inlineStr">
        <is>
          <t>Voir</t>
        </is>
      </c>
      <c r="AH85" s="10" t="inlineStr">
        <is>
          <t>3254788855</t>
        </is>
      </c>
    </row>
    <row r="86">
      <c r="A86" s="10" t="inlineStr">
        <is>
          <t>Honda S2000</t>
        </is>
      </c>
      <c r="B86" s="10" t="inlineStr">
        <is>
          <t>NISSAN 350Z Roadster 3.5 280ch Pack - 2006 - 87 500 km - Faible kilométrage</t>
        </is>
      </c>
      <c r="C86" s="10" t="inlineStr">
        <is>
          <t>En vente</t>
        </is>
      </c>
      <c r="D86" s="18" t="n">
        <v>46259</v>
      </c>
      <c r="E86" s="18" t="n">
        <v>46259</v>
      </c>
      <c r="F86" s="18" t="n">
        <v>46296</v>
      </c>
      <c r="G86" s="18" t="n"/>
      <c r="H86" s="17">
        <f>IF(OR(ISNUMBER(D86),ISNUMBER(E86)),IF(ISNUMBER(G86),G86,F86)-IF(ISNUMBER(D86),D86,E86),"")</f>
        <v/>
      </c>
      <c r="I86" s="12" t="n">
        <v>20490</v>
      </c>
      <c r="J86" s="12" t="n">
        <v>20490</v>
      </c>
      <c r="K86" s="13">
        <f>IF(AND(ISNUMBER(I86),ISNUMBER(J86),I86&gt;0),1-J86/I86,"")</f>
        <v/>
      </c>
      <c r="L86" s="16" t="n">
        <v>0</v>
      </c>
      <c r="M86" s="15" t="n">
        <v>87500</v>
      </c>
      <c r="N86" s="16" t="n">
        <v>2006</v>
      </c>
      <c r="O86" s="10" t="inlineStr">
        <is>
          <t>1</t>
        </is>
      </c>
      <c r="P86" s="10" t="inlineStr">
        <is>
          <t>1</t>
        </is>
      </c>
      <c r="Q86" s="16" t="n">
        <v>280</v>
      </c>
      <c r="R86" s="16" t="n">
        <v>20</v>
      </c>
      <c r="S86" s="10" t="n"/>
      <c r="T86" s="16" t="n">
        <v>2</v>
      </c>
      <c r="U86" s="10" t="n"/>
      <c r="V86" s="10" t="n"/>
      <c r="W86" s="10" t="inlineStr">
        <is>
          <t>Pro</t>
        </is>
      </c>
      <c r="X86" s="10" t="inlineStr">
        <is>
          <t>Courcelles-lès-Lens</t>
        </is>
      </c>
      <c r="Y86" s="10" t="inlineStr">
        <is>
          <t>62970</t>
        </is>
      </c>
      <c r="Z86" s="10" t="inlineStr">
        <is>
          <t>Pas-de-Calais</t>
        </is>
      </c>
      <c r="AA86" s="10" t="inlineStr">
        <is>
          <t>Nord-Pas-de-Calais</t>
        </is>
      </c>
      <c r="AB86" s="16" t="n"/>
      <c r="AC86" s="16" t="n"/>
      <c r="AD86" s="10" t="n"/>
      <c r="AE86" s="10" t="n"/>
      <c r="AF86" s="10" t="inlineStr">
        <is>
          <t>1 : 1 ; 2 : 2 ; 2006 : 2006 ; 21490 : 21490 ; 840550 : 840550 ; 7031315 : 7031315 ; Nissan : Nissan ; 350Z : 350Z ; NISSAN : NISSAN ; 87500 km : 87500 ; Essence : 1 ; Manuelle : 1 ; Pack : NISSAN_350Z_Pack ; 350Z Roadster 3.5 V6 280ch Pack : 350Z Roadster 3.5 V6 280ch Pack ; 12/2006 : 12/2006 ; Cabriolet : cabriolet ; 20 Cv : 20 ; 280 Ch : 280 ; false : false ; true : true ; https://img.leboncoin.fr/api/v1/lbcpb1/images/5c/68/e4/5c68e45a-c322-4b2d-b5a8-120a1180c0d2?rule=bo-thumb : https://img.leboncoin.fr/api/v1/lbcpb1/images/5c/68/e4/5c68e45a-c322-4b2d-b5a8-120a1180c0d2?rule=bo-thumb ; VROOM MARKET DOUAI : VROOM MARKET DOUAI ; https://autoviza.fr/report/report?uid=b75b13a3-e56c-4112-8d84-a6b31504d677 : https://autoviza.fr/report/report?uid=b75b13a3-e56c-4112-8d84-a6b31504d677 ; visible : visible ; Non renseignée : non_renseignee ; activity_sector : 1 ; u_car_brand : NISSAN ; u_car_model : 350Z ; u_car_finition : Pack ; u_car_version : 350Z Roadster 3.5 V6 280ch Pack ; vehicle_maintenance : Carnet d'entretien disponible ; vehicle_interior_specs : Jantes en alliage, Phares LED / Xenon, Régulateur de vitesse, Sièges chauffants ; recent_used_vehicle : false ; has_visibility_option : true ; store_logo : https://img.leboncoin.fr/api/v1/lbcpb1/images/5c/68/e4/5c68e45a-c322-4b2d-b5a8-120a1180c0d2?rule=bo-thumb ; store_name : VROOM MARKET DOUAI ; online_store_id : 7031315 ; is_import : true ; old_price : 21490 ; vehicle_history_report_public_url : https://autoviza.fr/report/report?uid=b75b13a3-e56c-4112-8d84-a6b31504d677 ; vehicle_history_report_status : visible ; argus_object_id : 840550 ; spare_parts_availability : Non renseignée ; licence_plate_available : true</t>
        </is>
      </c>
      <c r="AG86" s="19" t="inlineStr">
        <is>
          <t>Voir</t>
        </is>
      </c>
      <c r="AH86" s="10" t="inlineStr">
        <is>
          <t>3256705549</t>
        </is>
      </c>
    </row>
    <row r="87">
      <c r="A87" s="10" t="inlineStr">
        <is>
          <t>Honda S2000</t>
        </is>
      </c>
      <c r="B87" s="10" t="inlineStr">
        <is>
          <t>Honda S2000</t>
        </is>
      </c>
      <c r="C87" s="10" t="inlineStr">
        <is>
          <t>En vente</t>
        </is>
      </c>
      <c r="D87" s="18" t="n">
        <v>46261</v>
      </c>
      <c r="E87" s="18" t="n">
        <v>46261</v>
      </c>
      <c r="F87" s="18" t="n">
        <v>46296</v>
      </c>
      <c r="G87" s="18" t="n"/>
      <c r="H87" s="17">
        <f>IF(OR(ISNUMBER(D87),ISNUMBER(E87)),IF(ISNUMBER(G87),G87,F87)-IF(ISNUMBER(D87),D87,E87),"")</f>
        <v/>
      </c>
      <c r="I87" s="12" t="n">
        <v>25000</v>
      </c>
      <c r="J87" s="12" t="n">
        <v>25000</v>
      </c>
      <c r="K87" s="13">
        <f>IF(AND(ISNUMBER(I87),ISNUMBER(J87),I87&gt;0),1-J87/I87,"")</f>
        <v/>
      </c>
      <c r="L87" s="16" t="n">
        <v>0</v>
      </c>
      <c r="M87" s="15" t="n">
        <v>158000</v>
      </c>
      <c r="N87" s="16" t="n">
        <v>2000</v>
      </c>
      <c r="O87" s="10" t="inlineStr">
        <is>
          <t>1</t>
        </is>
      </c>
      <c r="P87" s="10" t="inlineStr">
        <is>
          <t>1</t>
        </is>
      </c>
      <c r="Q87" s="16" t="n">
        <v>240</v>
      </c>
      <c r="R87" s="16" t="n">
        <v>16</v>
      </c>
      <c r="S87" s="10" t="inlineStr">
        <is>
          <t>gris</t>
        </is>
      </c>
      <c r="T87" s="16" t="n">
        <v>2</v>
      </c>
      <c r="U87" s="10" t="n"/>
      <c r="V87" s="10" t="n"/>
      <c r="W87" s="10" t="inlineStr">
        <is>
          <t>Particulier</t>
        </is>
      </c>
      <c r="X87" s="10" t="inlineStr">
        <is>
          <t>Ancenis-Saint-Géréon</t>
        </is>
      </c>
      <c r="Y87" s="10" t="inlineStr">
        <is>
          <t>44150</t>
        </is>
      </c>
      <c r="Z87" s="10" t="inlineStr">
        <is>
          <t>Loire-Atlantique</t>
        </is>
      </c>
      <c r="AA87" s="10" t="inlineStr">
        <is>
          <t>Pays de la Loire</t>
        </is>
      </c>
      <c r="AB87" s="16" t="n"/>
      <c r="AC87" s="16" t="n"/>
      <c r="AD87" s="10" t="n"/>
      <c r="AE87" s="10" t="n"/>
      <c r="AF87" s="10" t="inlineStr">
        <is>
          <t>2 : 2 ; 2000 : 2000 ; https://img.leboncoin.fr/api/v1/tenants/9a6387a1-6259-4f2c-a887-7e67f23dd4cb/domains/20bda58f-d650-462e-a72a-a5a7ecf2bf88/buckets/21d2b0bc-e54c-4b64-a30b-89127b18b785/images/profile/pictures/48abc916-ac64-5a8e-bcde-28ae84a2d9ef?rule=pp-small : https://img.leboncoin.fr/api/v1/tenants/9a6387a1-6259-4f2c-a887-7e67f23dd4cb/domains/20bda58f-d650-462e-a72a-a5a7ecf2bf88/buckets/21d2b0bc-e54c-4b64-a30b-89127b18b785/images/profile/pictures/48abc916-ac64-5a8e-bcde-28ae84a2d9ef?rule=pp-small ; Honda : Honda ; S2000 : S2000 ; HONDA : HONDA ; 158000 km : 158000 ; Essence : 1 ; Manuelle : 1 ; 02/2000 : 02/2000 ; Bon état général : good_overall_condition ; Cabriolet : cabriolet ; Gris : gris ; 16 Cv : 16 ; 240 Ch : 240 ; Avec permis : avecpermis ; false : false ; true : true ; u_car_brand : HONDA ; u_car_model : S2000 ; vehicle_damage : Bon état général ; vehicle_upholstery : Tout cuir ; vehicle_vsp : Avec permis ; is_import : false ; vehicle_is_eligible_p2p : 2 ; licence_plate_available : true</t>
        </is>
      </c>
      <c r="AG87" s="19" t="inlineStr">
        <is>
          <t>Voir</t>
        </is>
      </c>
      <c r="AH87" s="10" t="inlineStr">
        <is>
          <t>3258000352</t>
        </is>
      </c>
    </row>
    <row r="88">
      <c r="A88" s="10" t="inlineStr">
        <is>
          <t>Honda S2000</t>
        </is>
      </c>
      <c r="B88" s="10" t="inlineStr">
        <is>
          <t>Honda S2000</t>
        </is>
      </c>
      <c r="C88" s="10" t="inlineStr">
        <is>
          <t>En vente</t>
        </is>
      </c>
      <c r="D88" s="18" t="n">
        <v>46273</v>
      </c>
      <c r="E88" s="18" t="n">
        <v>46273</v>
      </c>
      <c r="F88" s="18" t="n">
        <v>46296</v>
      </c>
      <c r="G88" s="18" t="n"/>
      <c r="H88" s="17">
        <f>IF(OR(ISNUMBER(D88),ISNUMBER(E88)),IF(ISNUMBER(G88),G88,F88)-IF(ISNUMBER(D88),D88,E88),"")</f>
        <v/>
      </c>
      <c r="I88" s="12" t="n">
        <v>14800</v>
      </c>
      <c r="J88" s="12" t="n">
        <v>14800</v>
      </c>
      <c r="K88" s="13">
        <f>IF(AND(ISNUMBER(I88),ISNUMBER(J88),I88&gt;0),1-J88/I88,"")</f>
        <v/>
      </c>
      <c r="L88" s="16" t="n">
        <v>0</v>
      </c>
      <c r="M88" s="15" t="n">
        <v>214000</v>
      </c>
      <c r="N88" s="16" t="n">
        <v>2000</v>
      </c>
      <c r="O88" s="10" t="inlineStr">
        <is>
          <t>1</t>
        </is>
      </c>
      <c r="P88" s="10" t="inlineStr">
        <is>
          <t>1</t>
        </is>
      </c>
      <c r="Q88" s="16" t="n">
        <v>240</v>
      </c>
      <c r="R88" s="16" t="n">
        <v>16</v>
      </c>
      <c r="S88" s="10" t="inlineStr">
        <is>
          <t>gris</t>
        </is>
      </c>
      <c r="T88" s="16" t="n">
        <v>2</v>
      </c>
      <c r="U88" s="10" t="n"/>
      <c r="V88" s="10" t="n"/>
      <c r="W88" s="10" t="inlineStr">
        <is>
          <t>Particulier</t>
        </is>
      </c>
      <c r="X88" s="10" t="inlineStr">
        <is>
          <t>Bignan</t>
        </is>
      </c>
      <c r="Y88" s="10" t="inlineStr">
        <is>
          <t>56500</t>
        </is>
      </c>
      <c r="Z88" s="10" t="inlineStr">
        <is>
          <t>Morbihan</t>
        </is>
      </c>
      <c r="AA88" s="10" t="inlineStr">
        <is>
          <t>Bretagne</t>
        </is>
      </c>
      <c r="AB88" s="16" t="n"/>
      <c r="AC88" s="16" t="n"/>
      <c r="AD88" s="10" t="n"/>
      <c r="AE88" s="10" t="n"/>
      <c r="AF88" s="10" t="inlineStr">
        <is>
          <t>1 : 1 ; 2 : 2 ; 4 : 4 ; 2000 : 2000 ; 2028 : 2028 ; https://img.leboncoin.fr/api/v1/tenants/9a6387a1-6259-4f2c-a887-7e67f23dd4cb/domains/20bda58f-d650-462e-a72a-a5a7ecf2bf88/buckets/21d2b0bc-e54c-4b64-a30b-89127b18b785/images/profile/pictures/default/116182f4-8fc6-5fee-bb2f-81e4d0dffafb?rule=pp-small : https://img.leboncoin.fr/api/v1/tenants/9a6387a1-6259-4f2c-a887-7e67f23dd4cb/domains/20bda58f-d650-462e-a72a-a5a7ecf2bf88/buckets/21d2b0bc-e54c-4b64-a30b-89127b18b785/images/profile/pictures/default/116182f4-8fc6-5fee-bb2f-81e4d0dffafb?rule=pp-small ; Honda : Honda ; S2000 : S2000 ; HONDA : HONDA ; 214000 km : 214000 ; Essence : 1 ; Manuelle : 1 ; Oui : true ; 03/2000 : 03/2000 ; Traces d’usure normales : normal_wear_and_tear ; Cabriolet : cabriolet ; Gris : gris ; 16 Cv : 16 ; 240 Ch : 240 ; Avec permis : avecpermis ; credit_card : credit_card ; false : false ; https://autoviza.fr/report/report?uid=97179c06-a795-4054-a4e8-4b95902bfd73 : https://autoviza.fr/report/report?uid=97179c06-a795-4054-a4e8-4b95902bfd73 ; true : true ; rating_score : 1 ; rating_count : 4 ; u_car_brand : HONDA ; u_car_model : S2000 ; vehicle_technical_inspection_valid : Oui ; vehicle_technical_inspection_a : 2028 ; vehicle_damage : Traces d’usure normales ; vehicle_upholstery : Tout cuir ; vehicle_interior_specs : Bluetooth ; vehicle_vsp : Avec permis ; vehicle_available_payment_methods : credit_card ; is_import : false ; vehicle_is_eligible_p2p : 2 ; vehicle_history_report_public_url : https://autoviza.fr/report/report?uid=97179c06-a795-4054-a4e8-4b95902bfd73 ; licence_plate_available : true</t>
        </is>
      </c>
      <c r="AG88" s="19" t="inlineStr">
        <is>
          <t>Voir</t>
        </is>
      </c>
      <c r="AH88" s="10" t="inlineStr">
        <is>
          <t>3266038843</t>
        </is>
      </c>
    </row>
    <row r="89">
      <c r="A89" s="10" t="inlineStr">
        <is>
          <t>Honda S2000</t>
        </is>
      </c>
      <c r="B89" s="10" t="inlineStr">
        <is>
          <t>Honda s2000 ap1</t>
        </is>
      </c>
      <c r="C89" s="10" t="inlineStr">
        <is>
          <t>En vente</t>
        </is>
      </c>
      <c r="D89" s="18" t="n">
        <v>46277</v>
      </c>
      <c r="E89" s="18" t="n">
        <v>46277</v>
      </c>
      <c r="F89" s="18" t="n">
        <v>46296</v>
      </c>
      <c r="G89" s="18" t="n"/>
      <c r="H89" s="17">
        <f>IF(OR(ISNUMBER(D89),ISNUMBER(E89)),IF(ISNUMBER(G89),G89,F89)-IF(ISNUMBER(D89),D89,E89),"")</f>
        <v/>
      </c>
      <c r="I89" s="12" t="n">
        <v>21000</v>
      </c>
      <c r="J89" s="12" t="n">
        <v>21000</v>
      </c>
      <c r="K89" s="13">
        <f>IF(AND(ISNUMBER(I89),ISNUMBER(J89),I89&gt;0),1-J89/I89,"")</f>
        <v/>
      </c>
      <c r="L89" s="16" t="n">
        <v>0</v>
      </c>
      <c r="M89" s="15" t="n">
        <v>153800</v>
      </c>
      <c r="N89" s="16" t="n">
        <v>2000</v>
      </c>
      <c r="O89" s="10" t="inlineStr">
        <is>
          <t>1</t>
        </is>
      </c>
      <c r="P89" s="10" t="inlineStr">
        <is>
          <t>1</t>
        </is>
      </c>
      <c r="Q89" s="16" t="n">
        <v>240</v>
      </c>
      <c r="R89" s="16" t="n">
        <v>16</v>
      </c>
      <c r="S89" s="10" t="inlineStr">
        <is>
          <t>rouge</t>
        </is>
      </c>
      <c r="T89" s="16" t="n">
        <v>2</v>
      </c>
      <c r="U89" s="10" t="n"/>
      <c r="V89" s="10" t="inlineStr">
        <is>
          <t>3</t>
        </is>
      </c>
      <c r="W89" s="10" t="inlineStr">
        <is>
          <t>Particulier</t>
        </is>
      </c>
      <c r="X89" s="10" t="inlineStr">
        <is>
          <t>Marseille</t>
        </is>
      </c>
      <c r="Y89" s="10" t="inlineStr">
        <is>
          <t>13010</t>
        </is>
      </c>
      <c r="Z89" s="10" t="inlineStr">
        <is>
          <t>Bouches-du-Rhône</t>
        </is>
      </c>
      <c r="AA89" s="10" t="inlineStr">
        <is>
          <t>Provence-Alpes-Côte d'Azur</t>
        </is>
      </c>
      <c r="AB89" s="16" t="n"/>
      <c r="AC89" s="16" t="n"/>
      <c r="AD89" s="10" t="n"/>
      <c r="AE89" s="10" t="n"/>
      <c r="AF89" s="10" t="inlineStr">
        <is>
          <t>1 : 1 ; 2 : 2 ; 3 : 3 ; 2000 : 2000 ; https://img.leboncoin.fr/api/v1/tenants/9a6387a1-6259-4f2c-a887-7e67f23dd4cb/domains/20bda58f-d650-462e-a72a-a5a7ecf2bf88/buckets/21d2b0bc-e54c-4b64-a30b-89127b18b785/images/profile/pictures/default/3eca707c-399f-5e21-9575-d49a05faef27?rule=pp-small : https://img.leboncoin.fr/api/v1/tenants/9a6387a1-6259-4f2c-a887-7e67f23dd4cb/domains/20bda58f-d650-462e-a72a-a5a7ecf2bf88/buckets/21d2b0bc-e54c-4b64-a30b-89127b18b785/images/profile/pictures/default/3eca707c-399f-5e21-9575-d49a05faef27?rule=pp-small ; Honda : Honda ; S2000 : S2000 ; HONDA : HONDA ; 153800 km : 153800 ; Essence : 1 ; Manuelle : 1 ; Non : false ; 08/2000 : 08/2000 ; Cabriolet : cabriolet ; Rouge : rouge ; 16 Cv : 16 ; 240 Ch : 240 ; Avec permis : avecpermis ; false : false ; https://autoviza.fr/report/report?uid=7bb41e2e-6893-4a04-926a-1fe399a5323a : https://autoviza.fr/report/report?uid=7bb41e2e-6893-4a04-926a-1fe399a5323a ; visible : visible ; true : true ; rating_score : 1 ; rating_count : 1 ; u_car_brand : HONDA ; u_car_model : S2000 ; vehicle_technical_inspection_valid : Non ; vehicle_upholstery : Tout cuir ; vehicle_vsp : Avec permis ; is_import : false ; vehicle_is_eligible_p2p : 2 ; vehicle_history_report_public_url : https://autoviza.fr/report/report?uid=7bb41e2e-6893-4a04-926a-1fe399a5323a ; vehicle_history_report_status : visible ; licence_plate_available : true</t>
        </is>
      </c>
      <c r="AG89" s="19" t="inlineStr">
        <is>
          <t>Voir</t>
        </is>
      </c>
      <c r="AH89" s="10" t="inlineStr">
        <is>
          <t>3268164763</t>
        </is>
      </c>
    </row>
    <row r="90">
      <c r="A90" s="10" t="inlineStr">
        <is>
          <t>Honda S2000</t>
        </is>
      </c>
      <c r="B90" s="10" t="inlineStr">
        <is>
          <t>Honda s2000</t>
        </is>
      </c>
      <c r="C90" s="10" t="inlineStr">
        <is>
          <t>En vente</t>
        </is>
      </c>
      <c r="D90" s="18" t="n">
        <v>46279</v>
      </c>
      <c r="E90" s="18" t="n">
        <v>46279</v>
      </c>
      <c r="F90" s="18" t="n">
        <v>46296</v>
      </c>
      <c r="G90" s="18" t="n"/>
      <c r="H90" s="17">
        <f>IF(OR(ISNUMBER(D90),ISNUMBER(E90)),IF(ISNUMBER(G90),G90,F90)-IF(ISNUMBER(D90),D90,E90),"")</f>
        <v/>
      </c>
      <c r="I90" s="12" t="n">
        <v>27500</v>
      </c>
      <c r="J90" s="12" t="n">
        <v>27500</v>
      </c>
      <c r="K90" s="13">
        <f>IF(AND(ISNUMBER(I90),ISNUMBER(J90),I90&gt;0),1-J90/I90,"")</f>
        <v/>
      </c>
      <c r="L90" s="16" t="n">
        <v>0</v>
      </c>
      <c r="M90" s="15" t="n">
        <v>130000</v>
      </c>
      <c r="N90" s="16" t="n">
        <v>2000</v>
      </c>
      <c r="O90" s="10" t="inlineStr">
        <is>
          <t>1</t>
        </is>
      </c>
      <c r="P90" s="10" t="inlineStr">
        <is>
          <t>1</t>
        </is>
      </c>
      <c r="Q90" s="16" t="n">
        <v>240</v>
      </c>
      <c r="R90" s="16" t="n">
        <v>16</v>
      </c>
      <c r="S90" s="10" t="inlineStr">
        <is>
          <t>noir</t>
        </is>
      </c>
      <c r="T90" s="16" t="n">
        <v>2</v>
      </c>
      <c r="U90" s="10" t="n"/>
      <c r="V90" s="10" t="n"/>
      <c r="W90" s="10" t="inlineStr">
        <is>
          <t>Particulier</t>
        </is>
      </c>
      <c r="X90" s="10" t="inlineStr">
        <is>
          <t>Tarbes</t>
        </is>
      </c>
      <c r="Y90" s="10" t="inlineStr">
        <is>
          <t>65000</t>
        </is>
      </c>
      <c r="Z90" s="10" t="inlineStr">
        <is>
          <t>Hautes-Pyrénées</t>
        </is>
      </c>
      <c r="AA90" s="10" t="inlineStr">
        <is>
          <t>Midi-Pyrénées</t>
        </is>
      </c>
      <c r="AB90" s="16" t="n"/>
      <c r="AC90" s="16" t="n"/>
      <c r="AD90" s="10" t="n"/>
      <c r="AE90" s="10" t="n"/>
      <c r="AF90" s="10" t="inlineStr">
        <is>
          <t>1 : 1 ; 2 : 2 ; 7 : 7 ; 2000 : 2000 ; 2028 : 2028 ; 714587 : 714587 ; https://img.leboncoin.fr/api/v1/tenants/9a6387a1-6259-4f2c-a887-7e67f23dd4cb/domains/20bda58f-d650-462e-a72a-a5a7ecf2bf88/buckets/21d2b0bc-e54c-4b64-a30b-89127b18b785/images/profile/pictures/default/c3314804-6ef2-5132-bd5d-0ec2086addd4?rule=pp-small : https://img.leboncoin.fr/api/v1/tenants/9a6387a1-6259-4f2c-a887-7e67f23dd4cb/domains/20bda58f-d650-462e-a72a-a5a7ecf2bf88/buckets/21d2b0bc-e54c-4b64-a30b-89127b18b785/images/profile/pictures/default/c3314804-6ef2-5132-bd5d-0ec2086addd4?rule=pp-small ; Honda : Honda ; S2000 : S2000 ; HONDA : HONDA ; 130000 km : 130000 ; Essence : 1 ; Manuelle : 1 ; Base : HONDA_S2000_Base ; S2000 2.0 BV6 : S2000 2.0 BV6 ; Oui : true ; 02/2000 : 02/2000 ; Excellent état (proche du neuf) : excellent_condition ; Cabriolet : cabriolet ; Noir : noir ; 16 Cv : 16 ; 240 Ch : 240 ; Avec permis : avecpermis ; false : false ; https://autoviza.fr/report/report?uid=88d3bf49-c9c0-45a5-984d-5597e1a483f6 : https://autoviza.fr/report/report?uid=88d3bf49-c9c0-45a5-984d-5597e1a483f6 ; true : true ; rating_score : 1 ; rating_count : 7 ; u_car_brand : HONDA ; u_car_model : S2000 ; u_car_finition : Base ; u_car_version : S2000 2.0 BV6 ; vehicle_technical_inspection_valid : Oui ; vehicle_technical_inspection_a : 2028 ; vehicle_damage : Excellent état (proche du neuf) ; vehicle_upholstery : Tout cuir ; vehicle_maintenance : Factures disponibles, Véhicule non fumeur, Réparations utiles déjà faites ; vehicle_vsp : Avec permis ; is_import : false ; vehicle_is_eligible_p2p : 2 ; vehicle_history_report_public_url : https://autoviza.fr/report/report?uid=88d3bf49-c9c0-45a5-984d-5597e1a483f6 ; argus_object_id : 714587 ; licence_plate_available : true</t>
        </is>
      </c>
      <c r="AG90" s="19" t="inlineStr">
        <is>
          <t>Voir</t>
        </is>
      </c>
      <c r="AH90" s="10" t="inlineStr">
        <is>
          <t>3269545549</t>
        </is>
      </c>
    </row>
    <row r="91">
      <c r="A91" s="10" t="inlineStr">
        <is>
          <t>Honda S2000</t>
        </is>
      </c>
      <c r="B91" s="10" t="inlineStr">
        <is>
          <t>TOYOTA MR2 1.8 140 VVT-i 2005 - 110 430 km - Réfection complète peinture - sellerie - capote - pneus arrière neufs -</t>
        </is>
      </c>
      <c r="C91" s="10" t="inlineStr">
        <is>
          <t>En vente</t>
        </is>
      </c>
      <c r="D91" s="18" t="n">
        <v>46280</v>
      </c>
      <c r="E91" s="18" t="n">
        <v>46280</v>
      </c>
      <c r="F91" s="18" t="n">
        <v>46296</v>
      </c>
      <c r="G91" s="18" t="n"/>
      <c r="H91" s="17">
        <f>IF(OR(ISNUMBER(D91),ISNUMBER(E91)),IF(ISNUMBER(G91),G91,F91)-IF(ISNUMBER(D91),D91,E91),"")</f>
        <v/>
      </c>
      <c r="I91" s="12" t="n">
        <v>11990</v>
      </c>
      <c r="J91" s="12" t="n">
        <v>11990</v>
      </c>
      <c r="K91" s="13">
        <f>IF(AND(ISNUMBER(I91),ISNUMBER(J91),I91&gt;0),1-J91/I91,"")</f>
        <v/>
      </c>
      <c r="L91" s="16" t="n">
        <v>0</v>
      </c>
      <c r="M91" s="15" t="n">
        <v>110430</v>
      </c>
      <c r="N91" s="16" t="n">
        <v>2005</v>
      </c>
      <c r="O91" s="10" t="inlineStr">
        <is>
          <t>1</t>
        </is>
      </c>
      <c r="P91" s="10" t="inlineStr">
        <is>
          <t>1</t>
        </is>
      </c>
      <c r="Q91" s="16" t="n">
        <v>140</v>
      </c>
      <c r="R91" s="16" t="n">
        <v>8</v>
      </c>
      <c r="S91" s="10" t="inlineStr">
        <is>
          <t>rouge</t>
        </is>
      </c>
      <c r="T91" s="16" t="n">
        <v>2</v>
      </c>
      <c r="U91" s="10" t="n"/>
      <c r="V91" s="10" t="n"/>
      <c r="W91" s="10" t="inlineStr">
        <is>
          <t>Pro</t>
        </is>
      </c>
      <c r="X91" s="10" t="inlineStr">
        <is>
          <t>Reims</t>
        </is>
      </c>
      <c r="Y91" s="10" t="inlineStr">
        <is>
          <t>51100</t>
        </is>
      </c>
      <c r="Z91" s="10" t="inlineStr">
        <is>
          <t>Marne</t>
        </is>
      </c>
      <c r="AA91" s="10" t="inlineStr">
        <is>
          <t>Champagne-Ardenne</t>
        </is>
      </c>
      <c r="AB91" s="16" t="n"/>
      <c r="AC91" s="16" t="n"/>
      <c r="AD91" s="10" t="n"/>
      <c r="AE91" s="10" t="n"/>
      <c r="AF91" s="10" t="inlineStr">
        <is>
          <t>1 : 1 ; 2 : 2 ; 2005 : 2005 ; 725341 : 725341 ; 7130512 : 7130512 ; Toyota : Toyota ; Mr : Mr ; TOYOTA : TOYOTA ; MR : TOYOTA_MR ; 110430 km : 110430 ; Essence : 1 ; Manuelle : 1 ; Base : TOYOTA_MR_Base ; MR 140 VVT-i : MR 140 VVT-i ; 06/2005 : 06/2005 ; Cabriolet : cabriolet ; Rouge : rouge ; 8 Cv : 8 ; 140 Ch : 140 ; false : false ; true : true ; https://img.leboncoin.fr/api/v1/lbcpb1/images/2b/99/3d/2b993d16-5e24-4491-b88b-babf0ec718e0?rule=bo-thumb : https://img.leboncoin.fr/api/v1/lbcpb1/images/2b/99/3d/2b993d16-5e24-4491-b88b-babf0ec718e0?rule=bo-thumb ; VROOM MARKET REIMS : VROOM MARKET REIMS ; https://autoviza.fr/report/report?uid=ef2f442d-7120-4c99-a34c-9d55b1329f97 : https://autoviza.fr/report/report?uid=ef2f442d-7120-4c99-a34c-9d55b1329f97 ; visible : visible ; Non renseignée : non_renseignee ; activity_sector : 1 ; u_car_brand : TOYOTA ; u_car_model : MR ; u_car_finition : Base ; u_car_version : MR 140 VVT-i ; vehicle_interior_specs : Jantes en alliage, Phares anti-brouillard ; recent_used_vehicle : false ; has_visibility_option : true ; store_logo : https://img.leboncoin.fr/api/v1/lbcpb1/images/2b/99/3d/2b993d16-5e24-4491-b88b-babf0ec718e0?rule=bo-thumb ; store_name : VROOM MARKET REIMS ; online_store_id : 7130512 ; is_import : true ; vehicle_history_report_public_url : https://autoviza.fr/report/report?uid=ef2f442d-7120-4c99-a34c-9d55b1329f97 ; vehicle_history_report_status : visible ; argus_object_id : 725341 ; spare_parts_availability : Non renseignée ; licence_plate_available : true</t>
        </is>
      </c>
      <c r="AG91" s="19" t="inlineStr">
        <is>
          <t>Voir</t>
        </is>
      </c>
      <c r="AH91" s="10" t="inlineStr">
        <is>
          <t>3270236878</t>
        </is>
      </c>
    </row>
    <row r="92">
      <c r="A92" s="10" t="inlineStr">
        <is>
          <t>Honda S2000</t>
        </is>
      </c>
      <c r="B92" s="10" t="inlineStr">
        <is>
          <t>Audi tt décapotable 225cv quattro</t>
        </is>
      </c>
      <c r="C92" s="10" t="inlineStr">
        <is>
          <t>En vente</t>
        </is>
      </c>
      <c r="D92" s="18" t="n">
        <v>46281</v>
      </c>
      <c r="E92" s="18" t="n">
        <v>46281</v>
      </c>
      <c r="F92" s="18" t="n">
        <v>46296</v>
      </c>
      <c r="G92" s="18" t="n"/>
      <c r="H92" s="17">
        <f>IF(OR(ISNUMBER(D92),ISNUMBER(E92)),IF(ISNUMBER(G92),G92,F92)-IF(ISNUMBER(D92),D92,E92),"")</f>
        <v/>
      </c>
      <c r="I92" s="12" t="n">
        <v>9000</v>
      </c>
      <c r="J92" s="12" t="n">
        <v>9000</v>
      </c>
      <c r="K92" s="13">
        <f>IF(AND(ISNUMBER(I92),ISNUMBER(J92),I92&gt;0),1-J92/I92,"")</f>
        <v/>
      </c>
      <c r="L92" s="16" t="n">
        <v>0</v>
      </c>
      <c r="M92" s="15" t="n">
        <v>194500</v>
      </c>
      <c r="N92" s="16" t="n">
        <v>2002</v>
      </c>
      <c r="O92" s="10" t="inlineStr">
        <is>
          <t>1</t>
        </is>
      </c>
      <c r="P92" s="10" t="inlineStr">
        <is>
          <t>1</t>
        </is>
      </c>
      <c r="Q92" s="16" t="n">
        <v>225</v>
      </c>
      <c r="R92" s="16" t="n">
        <v>15</v>
      </c>
      <c r="S92" s="10" t="inlineStr">
        <is>
          <t>gris</t>
        </is>
      </c>
      <c r="T92" s="16" t="n">
        <v>2</v>
      </c>
      <c r="U92" s="10" t="n"/>
      <c r="V92" s="10" t="inlineStr">
        <is>
          <t>3</t>
        </is>
      </c>
      <c r="W92" s="10" t="inlineStr">
        <is>
          <t>Particulier</t>
        </is>
      </c>
      <c r="X92" s="10" t="inlineStr">
        <is>
          <t>Paris</t>
        </is>
      </c>
      <c r="Y92" s="10" t="inlineStr">
        <is>
          <t>75001</t>
        </is>
      </c>
      <c r="Z92" s="10" t="inlineStr">
        <is>
          <t>Paris</t>
        </is>
      </c>
      <c r="AA92" s="10" t="inlineStr">
        <is>
          <t>Ile-de-France</t>
        </is>
      </c>
      <c r="AB92" s="16" t="n"/>
      <c r="AC92" s="16" t="n"/>
      <c r="AD92" s="10" t="n"/>
      <c r="AE92" s="10" t="n"/>
      <c r="AF92" s="10" t="inlineStr">
        <is>
          <t>2 : 2 ; 3 : 3 ; 2002 : 2002 ; 2027 : 2027 ; 709374 : 709374 ; https://img.leboncoin.fr/api/v1/tenants/9a6387a1-6259-4f2c-a887-7e67f23dd4cb/domains/20bda58f-d650-462e-a72a-a5a7ecf2bf88/buckets/21d2b0bc-e54c-4b64-a30b-89127b18b785/images/profile/pictures/default/d0addef3-50f0-5eb3-bfab-b97b26f35efe?rule=pp-small : https://img.leboncoin.fr/api/v1/tenants/9a6387a1-6259-4f2c-a887-7e67f23dd4cb/domains/20bda58f-d650-462e-a72a-a5a7ecf2bf88/buckets/21d2b0bc-e54c-4b64-a30b-89127b18b785/images/profile/pictures/default/d0addef3-50f0-5eb3-bfab-b97b26f35efe?rule=pp-small ; Audi : Audi ; Tt : Tt ; AUDI : AUDI ; TT : AUDI_TT ; 194500 km : 194500 ; Essence : 1 ; Manuelle : 1 ; Base : AUDI_TT_Base ; TT Roadster 1.8 T 225ch quattro : TT Roadster 1.8 T 225ch quattro ; Oui : true ; 06/2002 : 06/2002 ; Excellent état (proche du neuf) : excellent_condition ; Autre : autre ; Gris : gris ; 15 Cv : 15 ; 225 Ch : 225 ; Avec permis : avecpermis ; credit_card : credit_card ; false : false ; https://autoviza.fr/report/report?uid=a7c71ca0-68b9-48f7-852f-ac5643226f36 : https://autoviza.fr/report/report?uid=a7c71ca0-68b9-48f7-852f-ac5643226f36 ; true : true ; u_car_brand : AUDI ; u_car_model : TT ; u_car_finition : Base ; u_car_version : TT Roadster 1.8 T 225ch quattro ; vehicle_technical_inspection_valid : Oui ; vehicle_technical_inspection_a : 2027 ; vehicle_damage : Excellent état (proche du neuf) ; vehicle_upholstery : Tout cuir ; vehicle_maintenance : Carnet d'entretien disponible, Factures disponibles, Véhicule non fumeur, Réparations utiles déjà faites ; vehicle_interior_specs : 4 roues motrices, Climatisation, Jantes en alliage, Phares LED / Xenon, Régulateur de vitesse, Sièges chauffants, Sièges en cuir, Toit ouvrant / Toit panoramique ; vehicle_vsp : Avec permis ; vehicle_available_payment_methods : credit_card ; is_import : false ; vehicle_is_eligible_p2p : 2 ; vehicle_history_report_public_url : https://autoviza.fr/report/report?uid=a7c71ca0-68b9-48f7-852f-ac5643226f36 ; vehicle_history_teaser_critair : 3 ; vehicle_history_teaser_owners : 3 ; vehicle_history_teaser_expertises : true ; vehicle_history_teaser_special_uses : false ; vehicle_history_teaser_atypical_operations : true ; vehicle_history_teaser_importations : true ; argus_object_id : 709374 ; licence_plate_available : true</t>
        </is>
      </c>
      <c r="AG92" s="19" t="inlineStr">
        <is>
          <t>Voir</t>
        </is>
      </c>
      <c r="AH92" s="10" t="inlineStr">
        <is>
          <t>3270657423</t>
        </is>
      </c>
    </row>
    <row r="93">
      <c r="A93" s="10" t="inlineStr">
        <is>
          <t>Honda S2000</t>
        </is>
      </c>
      <c r="B93" s="10" t="inlineStr">
        <is>
          <t>Honda s2000 2.0 vtec 240</t>
        </is>
      </c>
      <c r="C93" s="10" t="inlineStr">
        <is>
          <t>En vente</t>
        </is>
      </c>
      <c r="D93" s="18" t="n">
        <v>46283</v>
      </c>
      <c r="E93" s="18" t="n">
        <v>46283</v>
      </c>
      <c r="F93" s="18" t="n">
        <v>46296</v>
      </c>
      <c r="G93" s="18" t="n"/>
      <c r="H93" s="17">
        <f>IF(OR(ISNUMBER(D93),ISNUMBER(E93)),IF(ISNUMBER(G93),G93,F93)-IF(ISNUMBER(D93),D93,E93),"")</f>
        <v/>
      </c>
      <c r="I93" s="12" t="n">
        <v>30980</v>
      </c>
      <c r="J93" s="12" t="n">
        <v>30980</v>
      </c>
      <c r="K93" s="13">
        <f>IF(AND(ISNUMBER(I93),ISNUMBER(J93),I93&gt;0),1-J93/I93,"")</f>
        <v/>
      </c>
      <c r="L93" s="16" t="n">
        <v>0</v>
      </c>
      <c r="M93" s="15" t="n">
        <v>124526</v>
      </c>
      <c r="N93" s="16" t="n">
        <v>2000</v>
      </c>
      <c r="O93" s="10" t="inlineStr">
        <is>
          <t>1</t>
        </is>
      </c>
      <c r="P93" s="10" t="inlineStr">
        <is>
          <t>1</t>
        </is>
      </c>
      <c r="Q93" s="16" t="n">
        <v>240</v>
      </c>
      <c r="R93" s="16" t="n">
        <v>16</v>
      </c>
      <c r="S93" s="10" t="inlineStr">
        <is>
          <t>autre</t>
        </is>
      </c>
      <c r="T93" s="16" t="n">
        <v>2</v>
      </c>
      <c r="U93" s="10" t="n"/>
      <c r="V93" s="10" t="inlineStr">
        <is>
          <t>3</t>
        </is>
      </c>
      <c r="W93" s="10" t="inlineStr">
        <is>
          <t>Pro</t>
        </is>
      </c>
      <c r="X93" s="10" t="inlineStr">
        <is>
          <t>Saint-Maur-des-Fossés</t>
        </is>
      </c>
      <c r="Y93" s="10" t="inlineStr">
        <is>
          <t>94100</t>
        </is>
      </c>
      <c r="Z93" s="10" t="inlineStr">
        <is>
          <t>Val-de-Marne</t>
        </is>
      </c>
      <c r="AA93" s="10" t="inlineStr">
        <is>
          <t>Ile-de-France</t>
        </is>
      </c>
      <c r="AB93" s="16" t="n"/>
      <c r="AC93" s="16" t="n"/>
      <c r="AD93" s="10" t="n"/>
      <c r="AE93" s="10" t="n"/>
      <c r="AF93" s="10" t="inlineStr">
        <is>
          <t>1 : 1 ; 2 : 2 ; 3 : 3 ; 2000 : 2000 ; 714587 : 714587 ; 5904862 : 5904862 ; Honda : Honda ; S2000 : S2000 ; HONDA : HONDA ; 124526 km : 124526 ; Essence : 1 ; Manuelle : 1 ; Base : HONDA_S2000_Base ; S2000 2.0 BV6 : S2000 2.0 BV6 ; 08/2000 : 08/2000 ; Cabriolet : cabriolet ; Autre : autre ; Euro 3 : euro3 ; 16 Cv : 16 ; 240 Ch : 240 ; Avec permis : avecpermis ; Non : 1 ; false : false ; https://img.leboncoin.fr/api/v1/lbcpb1/images/84/48/a1/8448a1a3-b2ec-475a-81eb-dc6b1af1da02?rule=bo-thumb : https://img.leboncoin.fr/api/v1/lbcpb1/images/84/48/a1/8448a1a3-b2ec-475a-81eb-dc6b1af1da02?rule=bo-thumb ; DBM SAINT MAUR AUTO : DBM SAINT MAUR AUTO ; https://autoviza.fr/report/report?uid=2e9fc601-ed91-43e1-a040-2847db2da734 : https://autoviza.fr/report/report?uid=2e9fc601-ed91-43e1-a040-2847db2da734 ; visible : visible ; Non renseignée : non_renseignee ; true : true ; activity_sector : 1 ; u_car_brand : HONDA ; u_car_model : S2000 ; u_car_finition : Base ; u_car_version : S2000 2.0 BV6 ; vehicle_upholstery : Tout cuir ; vehicle_euro_emissions_standard : Euro 3 ; vehicle_vsp : Avec permis ; car_contract : Non ; recent_used_vehicle : false ; has_visibility_option : false ; store_logo : https://img.leboncoin.fr/api/v1/lbcpb1/images/84/48/a1/8448a1a3-b2ec-475a-81eb-dc6b1af1da02?rule=bo-thumb ; store_name : DBM SAINT MAUR AUTO ; online_store_id : 5904862 ; vehicle_commercial_warranty : Non ; vehicle_manufacturer_warranty : Non ; is_import : false ; vehicle_history_report_public_url : https://autoviza.fr/report/report?uid=2e9fc601-ed91-43e1-a040-2847db2da734 ; vehicle_history_report_status : visible ; argus_object_id : 714587 ; spare_parts_availability : Non renseignée ; licence_plate_available : true</t>
        </is>
      </c>
      <c r="AG93" s="19" t="inlineStr">
        <is>
          <t>Voir</t>
        </is>
      </c>
      <c r="AH93" s="10" t="inlineStr">
        <is>
          <t>3271776834</t>
        </is>
      </c>
    </row>
    <row r="94">
      <c r="A94" s="10" t="inlineStr">
        <is>
          <t>Honda S2000</t>
        </is>
      </c>
      <c r="B94" s="10" t="inlineStr">
        <is>
          <t>Honda S2000 AP1 2.0 vtec 240- Seulement 20 200 km - Origine France Japauto - Carnet d'entretien disponible tamponné</t>
        </is>
      </c>
      <c r="C94" s="10" t="inlineStr">
        <is>
          <t>En vente</t>
        </is>
      </c>
      <c r="D94" s="18" t="n">
        <v>46286</v>
      </c>
      <c r="E94" s="18" t="n">
        <v>46286</v>
      </c>
      <c r="F94" s="18" t="n">
        <v>46296</v>
      </c>
      <c r="G94" s="18" t="n"/>
      <c r="H94" s="17">
        <f>IF(OR(ISNUMBER(D94),ISNUMBER(E94)),IF(ISNUMBER(G94),G94,F94)-IF(ISNUMBER(D94),D94,E94),"")</f>
        <v/>
      </c>
      <c r="I94" s="12" t="n">
        <v>49990</v>
      </c>
      <c r="J94" s="12" t="n">
        <v>49990</v>
      </c>
      <c r="K94" s="13">
        <f>IF(AND(ISNUMBER(I94),ISNUMBER(J94),I94&gt;0),1-J94/I94,"")</f>
        <v/>
      </c>
      <c r="L94" s="16" t="n">
        <v>0</v>
      </c>
      <c r="M94" s="15" t="n">
        <v>20200</v>
      </c>
      <c r="N94" s="16" t="n">
        <v>2000</v>
      </c>
      <c r="O94" s="10" t="inlineStr">
        <is>
          <t>1</t>
        </is>
      </c>
      <c r="P94" s="10" t="inlineStr">
        <is>
          <t>1</t>
        </is>
      </c>
      <c r="Q94" s="16" t="n">
        <v>240</v>
      </c>
      <c r="R94" s="16" t="n">
        <v>16</v>
      </c>
      <c r="S94" s="10" t="inlineStr">
        <is>
          <t>gris</t>
        </is>
      </c>
      <c r="T94" s="16" t="n">
        <v>2</v>
      </c>
      <c r="U94" s="10" t="n"/>
      <c r="V94" s="10" t="n"/>
      <c r="W94" s="10" t="inlineStr">
        <is>
          <t>Pro</t>
        </is>
      </c>
      <c r="X94" s="10" t="inlineStr">
        <is>
          <t>Les Alluets-le-Roi</t>
        </is>
      </c>
      <c r="Y94" s="10" t="inlineStr">
        <is>
          <t>78580</t>
        </is>
      </c>
      <c r="Z94" s="10" t="inlineStr">
        <is>
          <t>Yvelines</t>
        </is>
      </c>
      <c r="AA94" s="10" t="inlineStr">
        <is>
          <t>Ile-de-France</t>
        </is>
      </c>
      <c r="AB94" s="16" t="n"/>
      <c r="AC94" s="16" t="n"/>
      <c r="AD94" s="10" t="n"/>
      <c r="AE94" s="10" t="n"/>
      <c r="AF94" s="10" t="inlineStr">
        <is>
          <t>1 : 1 ; 2 : 2 ; 3 : 3 ; 2000 : 2000 ; Honda : Honda ; S2000 : S2000 ; HONDA : HONDA ; 20200 km : 20200 ; Essence : 1 ; Manuelle : 1 ; 05/2000 : 05/2000 ; Cabriolet : cabriolet ; Gris : gris ; 16 Cv : 16 ; 240 Ch : 240 ; Avec permis : avecpermis ; false : false ; NATHAN : NATHAN ; https://autoviza.fr/report/report?uid=8d14b9ed-c5f8-43a3-895c-451ef001bda0 : https://autoviza.fr/report/report?uid=8d14b9ed-c5f8-43a3-895c-451ef001bda0 ; visible : visible ; Non renseignée : non_renseignee ; true : true ; activity_sector : 1 ; u_car_brand : HONDA ; u_car_model : S2000 ; vehicle_upholstery : Tout cuir ; vehicle_maintenance : Carnet d'entretien disponible, Factures disponibles ; vehicle_vsp : Avec permis ; recent_used_vehicle : false ; custom_ref : NATHAN ; is_import : false ; vehicle_history_report_public_url : https://autoviza.fr/report/report?uid=8d14b9ed-c5f8-43a3-895c-451ef001bda0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 ; licence_plate_available : true</t>
        </is>
      </c>
      <c r="AG94" s="19" t="inlineStr">
        <is>
          <t>Voir</t>
        </is>
      </c>
      <c r="AH94" s="10" t="inlineStr">
        <is>
          <t>3274290118</t>
        </is>
      </c>
    </row>
    <row r="95">
      <c r="A95" s="10" t="inlineStr">
        <is>
          <t>Honda S2000</t>
        </is>
      </c>
      <c r="B95" s="10" t="inlineStr">
        <is>
          <t>Honda S2000</t>
        </is>
      </c>
      <c r="C95" s="10" t="inlineStr">
        <is>
          <t>En vente</t>
        </is>
      </c>
      <c r="D95" s="18" t="n">
        <v>46288</v>
      </c>
      <c r="E95" s="18" t="n">
        <v>46288</v>
      </c>
      <c r="F95" s="18" t="n">
        <v>46296</v>
      </c>
      <c r="G95" s="18" t="n"/>
      <c r="H95" s="17">
        <f>IF(OR(ISNUMBER(D95),ISNUMBER(E95)),IF(ISNUMBER(G95),G95,F95)-IF(ISNUMBER(D95),D95,E95),"")</f>
        <v/>
      </c>
      <c r="I95" s="12" t="n">
        <v>21500</v>
      </c>
      <c r="J95" s="12" t="n">
        <v>21500</v>
      </c>
      <c r="K95" s="13">
        <f>IF(AND(ISNUMBER(I95),ISNUMBER(J95),I95&gt;0),1-J95/I95,"")</f>
        <v/>
      </c>
      <c r="L95" s="16" t="n">
        <v>0</v>
      </c>
      <c r="M95" s="15" t="n">
        <v>166000</v>
      </c>
      <c r="N95" s="16" t="n">
        <v>2002</v>
      </c>
      <c r="O95" s="10" t="inlineStr">
        <is>
          <t>1</t>
        </is>
      </c>
      <c r="P95" s="10" t="inlineStr">
        <is>
          <t>1</t>
        </is>
      </c>
      <c r="Q95" s="16" t="n">
        <v>240</v>
      </c>
      <c r="R95" s="16" t="n">
        <v>16</v>
      </c>
      <c r="S95" s="10" t="inlineStr">
        <is>
          <t>noir</t>
        </is>
      </c>
      <c r="T95" s="16" t="n">
        <v>2</v>
      </c>
      <c r="U95" s="10" t="n"/>
      <c r="V95" s="10" t="n"/>
      <c r="W95" s="10" t="inlineStr">
        <is>
          <t>Particulier</t>
        </is>
      </c>
      <c r="X95" s="10" t="inlineStr">
        <is>
          <t>Saint-Péray</t>
        </is>
      </c>
      <c r="Y95" s="10" t="inlineStr">
        <is>
          <t>07130</t>
        </is>
      </c>
      <c r="Z95" s="10" t="inlineStr">
        <is>
          <t>Ardèche</t>
        </is>
      </c>
      <c r="AA95" s="10" t="inlineStr">
        <is>
          <t>Rhône-Alpes</t>
        </is>
      </c>
      <c r="AB95" s="16" t="n"/>
      <c r="AC95" s="16" t="n"/>
      <c r="AD95" s="10" t="n"/>
      <c r="AE95" s="10" t="n"/>
      <c r="AF95" s="10" t="inlineStr">
        <is>
          <t>1 : 1 ; 2 : 2 ; 8 : 8 ; 2002 : 2002 ; 2028 : 2028 ; https://img.leboncoin.fr/api/v1/tenants/9a6387a1-6259-4f2c-a887-7e67f23dd4cb/domains/20bda58f-d650-462e-a72a-a5a7ecf2bf88/buckets/21d2b0bc-e54c-4b64-a30b-89127b18b785/images/profile/pictures/default/7e1b0b6d-fe2b-5fb3-a928-8654a5c90977?rule=pp-small : https://img.leboncoin.fr/api/v1/tenants/9a6387a1-6259-4f2c-a887-7e67f23dd4cb/domains/20bda58f-d650-462e-a72a-a5a7ecf2bf88/buckets/21d2b0bc-e54c-4b64-a30b-89127b18b785/images/profile/pictures/default/7e1b0b6d-fe2b-5fb3-a928-8654a5c90977?rule=pp-small ; Honda : Honda ; S2000 : S2000 ; HONDA : HONDA ; 166000 km : 166000 ; Essence : 1 ; Manuelle : 1 ; Oui : true ; 03/2002 : 03/2002 ; Cabriolet : cabriolet ; Noir : noir ; 16 Cv : 16 ; 240 Ch : 240 ; Avec permis : avecpermis ; false : false ; https://autoviza.fr/report/report?uid=171812b8-c376-4fb6-8b9f-f4fde511ef8e : https://autoviza.fr/report/report?uid=171812b8-c376-4fb6-8b9f-f4fde511ef8e ; visible : visible ; true : true ; rating_score : 1 ; rating_count : 8 ; u_car_brand : HONDA ; u_car_model : S2000 ; vehicle_technical_inspection_valid : Oui ; vehicle_technical_inspection_a : 2028 ; vehicle_vsp : Avec permis ; is_import : false ; vehicle_is_eligible_p2p : 2 ; vehicle_history_report_public_url : https://autoviza.fr/report/report?uid=171812b8-c376-4fb6-8b9f-f4fde511ef8e ; vehicle_history_report_status : visible ; licence_plate_available : true</t>
        </is>
      </c>
      <c r="AG95" s="19" t="inlineStr">
        <is>
          <t>Voir</t>
        </is>
      </c>
      <c r="AH95" s="10" t="inlineStr">
        <is>
          <t>3275414023</t>
        </is>
      </c>
    </row>
    <row r="96">
      <c r="A96" s="10" t="inlineStr">
        <is>
          <t>Honda S2000</t>
        </is>
      </c>
      <c r="B96" s="10" t="inlineStr">
        <is>
          <t>Honda s2000</t>
        </is>
      </c>
      <c r="C96" s="10" t="inlineStr">
        <is>
          <t>En vente</t>
        </is>
      </c>
      <c r="D96" s="18" t="n">
        <v>46289</v>
      </c>
      <c r="E96" s="18" t="n">
        <v>46289</v>
      </c>
      <c r="F96" s="18" t="n">
        <v>46296</v>
      </c>
      <c r="G96" s="18" t="n"/>
      <c r="H96" s="17">
        <f>IF(OR(ISNUMBER(D96),ISNUMBER(E96)),IF(ISNUMBER(G96),G96,F96)-IF(ISNUMBER(D96),D96,E96),"")</f>
        <v/>
      </c>
      <c r="I96" s="12" t="n">
        <v>37990</v>
      </c>
      <c r="J96" s="12" t="n">
        <v>37990</v>
      </c>
      <c r="K96" s="13">
        <f>IF(AND(ISNUMBER(I96),ISNUMBER(J96),I96&gt;0),1-J96/I96,"")</f>
        <v/>
      </c>
      <c r="L96" s="16" t="n">
        <v>0</v>
      </c>
      <c r="M96" s="15" t="n">
        <v>116000</v>
      </c>
      <c r="N96" s="16" t="n">
        <v>2006</v>
      </c>
      <c r="O96" s="10" t="inlineStr">
        <is>
          <t>1</t>
        </is>
      </c>
      <c r="P96" s="10" t="inlineStr">
        <is>
          <t>1</t>
        </is>
      </c>
      <c r="Q96" s="16" t="n">
        <v>240</v>
      </c>
      <c r="R96" s="16" t="n">
        <v>16</v>
      </c>
      <c r="S96" s="10" t="inlineStr">
        <is>
          <t>noir</t>
        </is>
      </c>
      <c r="T96" s="16" t="n">
        <v>2</v>
      </c>
      <c r="U96" s="10" t="n"/>
      <c r="V96" s="10" t="n"/>
      <c r="W96" s="10" t="inlineStr">
        <is>
          <t>Particulier</t>
        </is>
      </c>
      <c r="X96" s="10" t="inlineStr">
        <is>
          <t>Breuillet</t>
        </is>
      </c>
      <c r="Y96" s="10" t="inlineStr">
        <is>
          <t>91650</t>
        </is>
      </c>
      <c r="Z96" s="10" t="inlineStr">
        <is>
          <t>Essonne</t>
        </is>
      </c>
      <c r="AA96" s="10" t="inlineStr">
        <is>
          <t>Ile-de-France</t>
        </is>
      </c>
      <c r="AB96" s="16" t="n"/>
      <c r="AC96" s="16" t="n"/>
      <c r="AD96" s="10" t="n"/>
      <c r="AE96" s="10" t="n"/>
      <c r="AF96" s="10" t="inlineStr">
        <is>
          <t>1 : 1 ; 2 : 2 ; 141 : 141 ; 2006 : 2006 ; https://img.leboncoin.fr/api/v1/tenants/9a6387a1-6259-4f2c-a887-7e67f23dd4cb/domains/20bda58f-d650-462e-a72a-a5a7ecf2bf88/buckets/21d2b0bc-e54c-4b64-a30b-89127b18b785/images/profile/pictures/default/de9a13df-b13a-506e-a85f-d95cc7530f57?rule=pp-small : https://img.leboncoin.fr/api/v1/tenants/9a6387a1-6259-4f2c-a887-7e67f23dd4cb/domains/20bda58f-d650-462e-a72a-a5a7ecf2bf88/buckets/21d2b0bc-e54c-4b64-a30b-89127b18b785/images/profile/pictures/default/de9a13df-b13a-506e-a85f-d95cc7530f57?rule=pp-small ; Honda : Honda ; S2000 : S2000 ; HONDA : HONDA ; 116000 km : 116000 ; Essence : 1 ; Manuelle : 1 ; 01/2006 : 01/2006 ; Excellent état (proche du neuf) : excellent_condition ; Cabriolet : cabriolet ; Noir : noir ; Euro 1 : euro1 ; 16 Cv : 16 ; 240 Ch : 240 ; Avec permis : avecpermis ; false : false ; https://autoviza.fr/report/report?uid=13f7f293-53a0-4c95-9d8a-8fc2fe0ca1cc : https://autoviza.fr/report/report?uid=13f7f293-53a0-4c95-9d8a-8fc2fe0ca1cc ; visible : visible ; true : true ; rating_score : 1 ; rating_count : 141 ; u_car_brand : HONDA ; u_car_model : S2000 ; vehicle_damage : Excellent état (proche du neuf) ; vehicle_maintenance : Factures disponibles ; vehicle_euro_emissions_standard : Euro 1 ; vehicle_vsp : Avec permis ; is_import : false ; vehicle_is_eligible_p2p : 2 ; vehicle_history_report_public_url : https://autoviza.fr/report/report?uid=13f7f293-53a0-4c95-9d8a-8fc2fe0ca1cc ; vehicle_history_report_status : visible ; licence_plate_available : true</t>
        </is>
      </c>
      <c r="AG96" s="19" t="inlineStr">
        <is>
          <t>Voir</t>
        </is>
      </c>
      <c r="AH96" s="10" t="inlineStr">
        <is>
          <t>3275889267</t>
        </is>
      </c>
    </row>
    <row r="97">
      <c r="A97" s="10" t="inlineStr">
        <is>
          <t>Honda S2000</t>
        </is>
      </c>
      <c r="B97" s="10" t="inlineStr">
        <is>
          <t>HONDA S2000 2.0 i-VTEC COUPE . PHASE 2</t>
        </is>
      </c>
      <c r="C97" s="10" t="inlineStr">
        <is>
          <t>En vente</t>
        </is>
      </c>
      <c r="D97" s="18" t="n">
        <v>46234</v>
      </c>
      <c r="E97" s="18" t="n">
        <v>46234</v>
      </c>
      <c r="F97" s="18" t="n">
        <v>46296</v>
      </c>
      <c r="G97" s="18" t="n"/>
      <c r="H97" s="17">
        <f>IF(OR(ISNUMBER(D97),ISNUMBER(E97)),IF(ISNUMBER(G97),G97,F97)-IF(ISNUMBER(D97),D97,E97),"")</f>
        <v/>
      </c>
      <c r="I97" s="12" t="n">
        <v>35790</v>
      </c>
      <c r="J97" s="12" t="n">
        <v>35790</v>
      </c>
      <c r="K97" s="13">
        <f>IF(AND(ISNUMBER(I97),ISNUMBER(J97),I97&gt;0),1-J97/I97,"")</f>
        <v/>
      </c>
      <c r="L97" s="16" t="n">
        <v>0</v>
      </c>
      <c r="M97" s="15" t="n">
        <v>105000</v>
      </c>
      <c r="N97" s="16" t="n">
        <v>2007</v>
      </c>
      <c r="O97" s="10" t="inlineStr">
        <is>
          <t>1</t>
        </is>
      </c>
      <c r="P97" s="10" t="inlineStr">
        <is>
          <t>1</t>
        </is>
      </c>
      <c r="Q97" s="16" t="n">
        <v>240</v>
      </c>
      <c r="R97" s="16" t="n">
        <v>16</v>
      </c>
      <c r="S97" s="10" t="inlineStr">
        <is>
          <t>gris</t>
        </is>
      </c>
      <c r="T97" s="16" t="n">
        <v>2</v>
      </c>
      <c r="U97" s="10" t="n"/>
      <c r="V97" s="10" t="inlineStr">
        <is>
          <t>0</t>
        </is>
      </c>
      <c r="W97" s="10" t="inlineStr">
        <is>
          <t>Pro</t>
        </is>
      </c>
      <c r="X97" s="10" t="inlineStr">
        <is>
          <t>Bretignolles-sur-Mer</t>
        </is>
      </c>
      <c r="Y97" s="10" t="inlineStr">
        <is>
          <t>85470</t>
        </is>
      </c>
      <c r="Z97" s="10" t="inlineStr">
        <is>
          <t>Vendée</t>
        </is>
      </c>
      <c r="AA97" s="10" t="inlineStr">
        <is>
          <t>Pays de la Loire</t>
        </is>
      </c>
      <c r="AB97" s="16" t="n"/>
      <c r="AC97" s="16" t="n"/>
      <c r="AD97" s="10" t="n"/>
      <c r="AE97" s="10" t="n"/>
      <c r="AF97" s="10" t="inlineStr">
        <is>
          <t>0 : 0 ; 1 : 1 ; 2 : 2 ; 2007 : 2007 ; 36990 : 36990 ; 771997 : 771997 ; 7416585 : 7416585 ; Honda : Honda ; S2000 : S2000 ; HONDA : HONDA ; 105000 km : 105000 ; Essence : 1 ; Manuelle : 1 ; Base : HONDA_S2000_Base ; S2000 2.0 VTEC : S2000 2.0 VTEC ; 01/2007 : 01/2007 ; Bon état général : good_overall_condition ; Autre : autre ; Gris : gris ; 16 Cv : 16 ; 240 Ch : 240 ; Sans permis : sanspermis ; false : false ; true : true ; https://img.leboncoin.fr/api/v1/lbcpb1/images/42/7c/33/427c338c-0ee4-4163-9506-1ff5475439e1?rule=bo-thumb : https://img.leboncoin.fr/api/v1/lbcpb1/images/42/7c/33/427c338c-0ee4-4163-9506-1ff5475439e1?rule=bo-thumb ; Lolan Mobility : Lolan Mobility ; 1894-0000156 : 1894-0000156 ; https://app.weespots.com/f3eae349fc1d757e42f7e0a3b18fad77a9298ceea1ed42bf2d62cade1370e146/1894-0000156/leboncoin : https://app.weespots.com/f3eae349fc1d757e42f7e0a3b18fad77a9298ceea1ed42bf2d62cade1370e146/1894-0000156/leboncoin ; https://autoviza.fr/report/report?uid=06976162-328e-4c68-a5ef-082f6cb982c9 : https://autoviza.fr/report/report?uid=06976162-328e-4c68-a5ef-082f6cb982c9 ; visible : visible ; Non renseignée : non_renseignee ; activity_sector : 1 ; u_car_brand : HONDA ; u_car_model : S2000 ; u_car_finition : Base ; u_car_version : S2000 2.0 VTEC ; vehicle_damage : Bon état général ; vehicle_interior_specs : Jantes en alliage ; vehicle_vsp : Sans permis ; recent_used_vehicle : false ; has_visibility_option : true ; store_logo : https://img.leboncoin.fr/api/v1/lbcpb1/images/42/7c/33/427c338c-0ee4-4163-9506-1ff5475439e1?rule=bo-thumb ; store_name : Lolan Mobility ; online_store_id : 7416585 ; custom_ref : 1894-0000156 ; virtual_tour : https://app.weespots.com/f3eae349fc1d757e42f7e0a3b18fad77a9298ceea1ed42bf2d62cade1370e146/1894-0000156/leboncoin ; is_import : true ; old_price : 36990 ; vehicle_history_report_public_url : https://autoviza.fr/report/report?uid=06976162-328e-4c68-a5ef-082f6cb982c9 ; vehicle_history_report_status : visible ; argus_object_id : 771997 ; spare_parts_availability : Non renseignée ; licence_plate_available : true</t>
        </is>
      </c>
      <c r="AG97" s="19" t="inlineStr">
        <is>
          <t>Voir</t>
        </is>
      </c>
      <c r="AH97" s="10" t="inlineStr">
        <is>
          <t>3278304133</t>
        </is>
      </c>
    </row>
    <row r="98">
      <c r="A98" s="10" t="inlineStr">
        <is>
          <t>Honda S2000</t>
        </is>
      </c>
      <c r="B98" s="10" t="inlineStr">
        <is>
          <t>Honda S2000</t>
        </is>
      </c>
      <c r="C98" s="10" t="inlineStr">
        <is>
          <t>En vente</t>
        </is>
      </c>
      <c r="D98" s="18" t="n">
        <v>46293</v>
      </c>
      <c r="E98" s="18" t="n">
        <v>46293</v>
      </c>
      <c r="F98" s="18" t="n">
        <v>46296</v>
      </c>
      <c r="G98" s="18" t="n"/>
      <c r="H98" s="17">
        <f>IF(OR(ISNUMBER(D98),ISNUMBER(E98)),IF(ISNUMBER(G98),G98,F98)-IF(ISNUMBER(D98),D98,E98),"")</f>
        <v/>
      </c>
      <c r="I98" s="12" t="n">
        <v>18000</v>
      </c>
      <c r="J98" s="12" t="n">
        <v>18000</v>
      </c>
      <c r="K98" s="13">
        <f>IF(AND(ISNUMBER(I98),ISNUMBER(J98),I98&gt;0),1-J98/I98,"")</f>
        <v/>
      </c>
      <c r="L98" s="16" t="n">
        <v>0</v>
      </c>
      <c r="M98" s="15" t="n">
        <v>188000</v>
      </c>
      <c r="N98" s="16" t="n">
        <v>2004</v>
      </c>
      <c r="O98" s="10" t="inlineStr">
        <is>
          <t>1</t>
        </is>
      </c>
      <c r="P98" s="10" t="inlineStr">
        <is>
          <t>1</t>
        </is>
      </c>
      <c r="Q98" s="16" t="n">
        <v>240</v>
      </c>
      <c r="R98" s="16" t="n">
        <v>16</v>
      </c>
      <c r="S98" s="10" t="inlineStr">
        <is>
          <t>noir</t>
        </is>
      </c>
      <c r="T98" s="16" t="n">
        <v>2</v>
      </c>
      <c r="U98" s="10" t="n"/>
      <c r="V98" s="10" t="n"/>
      <c r="W98" s="10" t="inlineStr">
        <is>
          <t>Particulier</t>
        </is>
      </c>
      <c r="X98" s="10" t="inlineStr">
        <is>
          <t>Ensisheim</t>
        </is>
      </c>
      <c r="Y98" s="10" t="inlineStr">
        <is>
          <t>68190</t>
        </is>
      </c>
      <c r="Z98" s="10" t="inlineStr">
        <is>
          <t>Haut-Rhin</t>
        </is>
      </c>
      <c r="AA98" s="10" t="inlineStr">
        <is>
          <t>Alsace</t>
        </is>
      </c>
      <c r="AB98" s="16" t="n"/>
      <c r="AC98" s="16" t="n"/>
      <c r="AD98" s="10" t="n"/>
      <c r="AE98" s="10" t="n"/>
      <c r="AF98" s="10" t="inlineStr">
        <is>
          <t>2 : 2 ; 150 : 150 ; 2004 : 2004 ; 0.99 : 0.99 ; https://img.leboncoin.fr/api/v1/tenants/9a6387a1-6259-4f2c-a887-7e67f23dd4cb/domains/20bda58f-d650-462e-a72a-a5a7ecf2bf88/buckets/21d2b0bc-e54c-4b64-a30b-89127b18b785/images/profile/pictures/06e7b178-2ffb-577f-b814-3bafb9ec1cd2?rule=pp-small : https://img.leboncoin.fr/api/v1/tenants/9a6387a1-6259-4f2c-a887-7e67f23dd4cb/domains/20bda58f-d650-462e-a72a-a5a7ecf2bf88/buckets/21d2b0bc-e54c-4b64-a30b-89127b18b785/images/profile/pictures/06e7b178-2ffb-577f-b814-3bafb9ec1cd2?rule=pp-small ; Honda : Honda ; S2000 : S2000 ; HONDA : HONDA ; 188000 km : 188000 ; Essence : 1 ; Manuelle : 1 ; 08/2004 : 08/2004 ; Cabriolet : cabriolet ; Noir : noir ; 16 Cv : 16 ; 240 Ch : 240 ; Avec permis : avecpermis ; credit_card : credit_card ; false : false ; https://autoviza.fr/report/report?uid=bab27115-bfdc-4df1-9ded-7311c8a948a2 : https://autoviza.fr/report/report?uid=bab27115-bfdc-4df1-9ded-7311c8a948a2 ; true : true ; rating_score : 0.99 ; rating_count : 150 ; u_car_brand : HONDA ; u_car_model : S2000 ; vehicle_vsp : Avec permis ; vehicle_available_payment_methods : credit_card ; is_import : false ; vehicle_is_eligible_p2p : 2 ; vehicle_history_report_public_url : https://autoviza.fr/report/report?uid=bab27115-bfdc-4df1-9ded-7311c8a948a2 ; licence_plate_available : true</t>
        </is>
      </c>
      <c r="AG98" s="19" t="inlineStr">
        <is>
          <t>Voir</t>
        </is>
      </c>
      <c r="AH98" s="10" t="inlineStr">
        <is>
          <t>3278641460</t>
        </is>
      </c>
    </row>
    <row r="99">
      <c r="A99" s="10" t="inlineStr">
        <is>
          <t>Honda S2000</t>
        </is>
      </c>
      <c r="B99" s="10" t="inlineStr">
        <is>
          <t>Honda S2000 AP1</t>
        </is>
      </c>
      <c r="C99" s="10" t="inlineStr">
        <is>
          <t>En vente</t>
        </is>
      </c>
      <c r="D99" s="18" t="n">
        <v>46294</v>
      </c>
      <c r="E99" s="18" t="n">
        <v>46294</v>
      </c>
      <c r="F99" s="18" t="n">
        <v>46296</v>
      </c>
      <c r="G99" s="18" t="n"/>
      <c r="H99" s="17">
        <f>IF(OR(ISNUMBER(D99),ISNUMBER(E99)),IF(ISNUMBER(G99),G99,F99)-IF(ISNUMBER(D99),D99,E99),"")</f>
        <v/>
      </c>
      <c r="I99" s="12" t="n">
        <v>15000</v>
      </c>
      <c r="J99" s="12" t="n">
        <v>15000</v>
      </c>
      <c r="K99" s="13">
        <f>IF(AND(ISNUMBER(I99),ISNUMBER(J99),I99&gt;0),1-J99/I99,"")</f>
        <v/>
      </c>
      <c r="L99" s="16" t="n">
        <v>0</v>
      </c>
      <c r="M99" s="15" t="n">
        <v>154000</v>
      </c>
      <c r="N99" s="16" t="n">
        <v>2000</v>
      </c>
      <c r="O99" s="10" t="inlineStr">
        <is>
          <t>1</t>
        </is>
      </c>
      <c r="P99" s="10" t="inlineStr">
        <is>
          <t>1</t>
        </is>
      </c>
      <c r="Q99" s="16" t="n">
        <v>240</v>
      </c>
      <c r="R99" s="16" t="n">
        <v>16</v>
      </c>
      <c r="S99" s="10" t="inlineStr">
        <is>
          <t>rouge</t>
        </is>
      </c>
      <c r="T99" s="16" t="n">
        <v>2</v>
      </c>
      <c r="U99" s="10" t="n"/>
      <c r="V99" s="10" t="n"/>
      <c r="W99" s="10" t="inlineStr">
        <is>
          <t>Particulier</t>
        </is>
      </c>
      <c r="X99" s="10" t="inlineStr">
        <is>
          <t>Doubs</t>
        </is>
      </c>
      <c r="Y99" s="10" t="inlineStr">
        <is>
          <t>25300</t>
        </is>
      </c>
      <c r="Z99" s="10" t="inlineStr">
        <is>
          <t>Doubs</t>
        </is>
      </c>
      <c r="AA99" s="10" t="inlineStr">
        <is>
          <t>Franche-Comté</t>
        </is>
      </c>
      <c r="AB99" s="16" t="n"/>
      <c r="AC99" s="16" t="n"/>
      <c r="AD99" s="10" t="n"/>
      <c r="AE99" s="10" t="n"/>
      <c r="AF99" s="10" t="inlineStr">
        <is>
          <t>1 : 1 ; 2 : 2 ; 3 : 3 ; 8 : 8 ; 2000 : 2000 ; https://img.leboncoin.fr/api/v1/tenants/9a6387a1-6259-4f2c-a887-7e67f23dd4cb/domains/20bda58f-d650-462e-a72a-a5a7ecf2bf88/buckets/21d2b0bc-e54c-4b64-a30b-89127b18b785/images/profile/pictures/default/b03ad7df-942d-512e-87c3-6e33ec139e21?rule=pp-small : https://img.leboncoin.fr/api/v1/tenants/9a6387a1-6259-4f2c-a887-7e67f23dd4cb/domains/20bda58f-d650-462e-a72a-a5a7ecf2bf88/buckets/21d2b0bc-e54c-4b64-a30b-89127b18b785/images/profile/pictures/default/b03ad7df-942d-512e-87c3-6e33ec139e21?rule=pp-small ; Honda : Honda ; S2000 : S2000 ; HONDA : HONDA ; 154000 km : 154000 ; Essence : 1 ; Manuelle : 1 ; Non : false ; 03/2000 : 03/2000 ; Cabriolet : cabriolet ; Rouge : rouge ; 16 Cv : 16 ; 240 Ch : 240 ; Avec permis : avecpermis ; credit_card : credit_card ; false : false ; https://autoviza.fr/report/report?uid=bb64a306-5a91-4c0d-9a5e-19fc671ccffe : https://autoviza.fr/report/report?uid=bb64a306-5a91-4c0d-9a5e-19fc671ccffe ; true : true ; rating_score : 1 ; rating_count : 2 ; u_car_brand : HONDA ; u_car_model : S2000 ; vehicle_technical_inspection_valid : Non ; vehicle_vsp : Avec permis ; vehicle_available_payment_methods : credit_card ; is_import : false ; vehicle_is_eligible_p2p : 2 ; vehicle_history_report_public_url : https://autoviza.fr/report/report?uid=bb64a306-5a91-4c0d-9a5e-19fc671ccffe ; vehicle_history_teaser_critair : 3 ; vehicle_history_teaser_owners : 8 ; vehicle_history_teaser_expertises : true ; vehicle_history_teaser_special_uses : true ; vehicle_history_teaser_atypical_operations : true ; vehicle_history_teaser_importations : false ; licence_plate_available : true</t>
        </is>
      </c>
      <c r="AG99" s="19" t="inlineStr">
        <is>
          <t>Voir</t>
        </is>
      </c>
      <c r="AH99" s="10" t="inlineStr">
        <is>
          <t>3278735968</t>
        </is>
      </c>
    </row>
    <row r="100">
      <c r="A100" s="10" t="inlineStr">
        <is>
          <t>Honda S2000</t>
        </is>
      </c>
      <c r="B100" s="10" t="inlineStr">
        <is>
          <t>Honda S2000 2.0 IVTEC 240 réf 446</t>
        </is>
      </c>
      <c r="C100" s="10" t="inlineStr">
        <is>
          <t>En vente</t>
        </is>
      </c>
      <c r="D100" s="18" t="n">
        <v>46294</v>
      </c>
      <c r="E100" s="18" t="n">
        <v>46294</v>
      </c>
      <c r="F100" s="18" t="n">
        <v>46296</v>
      </c>
      <c r="G100" s="18" t="n"/>
      <c r="H100" s="17">
        <f>IF(OR(ISNUMBER(D100),ISNUMBER(E100)),IF(ISNUMBER(G100),G100,F100)-IF(ISNUMBER(D100),D100,E100),"")</f>
        <v/>
      </c>
      <c r="I100" s="12" t="n">
        <v>19490</v>
      </c>
      <c r="J100" s="12" t="n">
        <v>19490</v>
      </c>
      <c r="K100" s="13">
        <f>IF(AND(ISNUMBER(I100),ISNUMBER(J100),I100&gt;0),1-J100/I100,"")</f>
        <v/>
      </c>
      <c r="L100" s="16" t="n">
        <v>0</v>
      </c>
      <c r="M100" s="15" t="n">
        <v>139800</v>
      </c>
      <c r="N100" s="16" t="n">
        <v>2003</v>
      </c>
      <c r="O100" s="10" t="inlineStr">
        <is>
          <t>1</t>
        </is>
      </c>
      <c r="P100" s="10" t="inlineStr">
        <is>
          <t>1</t>
        </is>
      </c>
      <c r="Q100" s="16" t="n">
        <v>240</v>
      </c>
      <c r="R100" s="16" t="n">
        <v>16</v>
      </c>
      <c r="S100" s="10" t="inlineStr">
        <is>
          <t>bleu</t>
        </is>
      </c>
      <c r="T100" s="16" t="n">
        <v>2</v>
      </c>
      <c r="U100" s="10" t="n"/>
      <c r="V100" s="10" t="inlineStr">
        <is>
          <t>3</t>
        </is>
      </c>
      <c r="W100" s="10" t="inlineStr">
        <is>
          <t>Pro</t>
        </is>
      </c>
      <c r="X100" s="10" t="inlineStr">
        <is>
          <t>Muret</t>
        </is>
      </c>
      <c r="Y100" s="10" t="inlineStr">
        <is>
          <t>31600</t>
        </is>
      </c>
      <c r="Z100" s="10" t="inlineStr">
        <is>
          <t>Haute-Garonne</t>
        </is>
      </c>
      <c r="AA100" s="10" t="inlineStr">
        <is>
          <t>Midi-Pyrénées</t>
        </is>
      </c>
      <c r="AB100" s="16" t="n"/>
      <c r="AC100" s="16" t="n"/>
      <c r="AD100" s="10" t="n"/>
      <c r="AE100" s="10" t="n"/>
      <c r="AF100" s="10" t="inlineStr">
        <is>
          <t>1 : 1 ; 2 : 2 ; 3 : 3 ; 2003 : 2003 ; 714587 : 714587 ; 7036053 : 7036053 ; Honda : Honda ; S2000 : S2000 ; HONDA : HONDA ; 139800 km : 139800 ; Essence : 1 ; Manuelle : 1 ; Base : HONDA_S2000_Base ; S2000 2.0 BV6 : S2000 2.0 BV6 ; 03/2003 : 03/2003 ; Cabriolet : cabriolet ; Bleu : bleu ; 16 Cv : 16 ; 240 Ch : 240 ; Avec permis : avecpermis ; false : false ; https://img.leboncoin.fr/api/v1/lbcpb1/images/99/e6/12/99e6122d-9e7f-455a-8274-baa6ab96f729?rule=bo-thumb : https://img.leboncoin.fr/api/v1/lbcpb1/images/99/e6/12/99e6122d-9e7f-455a-8274-baa6ab96f729?rule=bo-thumb ; Agence Clickandbuyauto.fr Muret : Agence Clickandbuyauto.fr Muret ; CLI_6209BE : CLI_6209BE ; true : true ; Non renseignée : non_renseignee ; activity_sector : 1 ; u_car_brand : HONDA ; u_car_model : S2000 ; u_car_finition : Base ; u_car_version : S2000 2.0 BV6 ; vehicle_vsp : Avec permis ; recent_used_vehicle : false ; has_visibility_option : false ; store_logo : https://img.leboncoin.fr/api/v1/lbcpb1/images/99/e6/12/99e6122d-9e7f-455a-8274-baa6ab96f729?rule=bo-thumb ; store_name : Agence Clickandbuyauto.fr Muret ; online_store_id : 7036053 ; custom_ref : CLI_6209BE ; is_import : true ; argus_object_id : 714587 ; spare_parts_availability : Non renseignée</t>
        </is>
      </c>
      <c r="AG100" s="19" t="inlineStr">
        <is>
          <t>Voir</t>
        </is>
      </c>
      <c r="AH100" s="10" t="inlineStr">
        <is>
          <t>3278871252</t>
        </is>
      </c>
    </row>
    <row r="101">
      <c r="A101" s="10" t="inlineStr">
        <is>
          <t>Honda S2000</t>
        </is>
      </c>
      <c r="B101" s="10" t="inlineStr">
        <is>
          <t>HONDA S2000 HONDA 2.0 i-VTEC 240ch AP1 Origine Dossier complet – RHD</t>
        </is>
      </c>
      <c r="C101" s="10" t="inlineStr">
        <is>
          <t>En vente</t>
        </is>
      </c>
      <c r="D101" s="18" t="n">
        <v>46284</v>
      </c>
      <c r="E101" s="18" t="n">
        <v>46284</v>
      </c>
      <c r="F101" s="18" t="n">
        <v>46296</v>
      </c>
      <c r="G101" s="18" t="n"/>
      <c r="H101" s="17">
        <f>IF(OR(ISNUMBER(D101),ISNUMBER(E101)),IF(ISNUMBER(G101),G101,F101)-IF(ISNUMBER(D101),D101,E101),"")</f>
        <v/>
      </c>
      <c r="I101" s="12" t="n">
        <v>23990</v>
      </c>
      <c r="J101" s="12" t="n">
        <v>23990</v>
      </c>
      <c r="K101" s="13">
        <f>IF(AND(ISNUMBER(I101),ISNUMBER(J101),I101&gt;0),1-J101/I101,"")</f>
        <v/>
      </c>
      <c r="L101" s="16" t="n">
        <v>0</v>
      </c>
      <c r="M101" s="15" t="n">
        <v>80000</v>
      </c>
      <c r="N101" s="16" t="n">
        <v>2004</v>
      </c>
      <c r="O101" s="10" t="inlineStr">
        <is>
          <t>1</t>
        </is>
      </c>
      <c r="P101" s="10" t="inlineStr">
        <is>
          <t>1</t>
        </is>
      </c>
      <c r="Q101" s="16" t="n">
        <v>240</v>
      </c>
      <c r="R101" s="16" t="n">
        <v>16</v>
      </c>
      <c r="S101" s="10" t="inlineStr">
        <is>
          <t>bleu</t>
        </is>
      </c>
      <c r="T101" s="16" t="n">
        <v>2</v>
      </c>
      <c r="U101" s="10" t="n"/>
      <c r="V101" s="10" t="inlineStr">
        <is>
          <t>3</t>
        </is>
      </c>
      <c r="W101" s="10" t="inlineStr">
        <is>
          <t>Pro</t>
        </is>
      </c>
      <c r="X101" s="10" t="inlineStr">
        <is>
          <t>Venelles</t>
        </is>
      </c>
      <c r="Y101" s="10" t="inlineStr">
        <is>
          <t>13770</t>
        </is>
      </c>
      <c r="Z101" s="10" t="inlineStr">
        <is>
          <t>Bouches-du-Rhône</t>
        </is>
      </c>
      <c r="AA101" s="10" t="inlineStr">
        <is>
          <t>Provence-Alpes-Côte d'Azur</t>
        </is>
      </c>
      <c r="AB101" s="16" t="n"/>
      <c r="AC101" s="16" t="n"/>
      <c r="AD101" s="10" t="n"/>
      <c r="AE101" s="10" t="n"/>
      <c r="AF101" s="10" t="inlineStr">
        <is>
          <t>1 : 1 ; 2 : 2 ; 3 : 3 ; 2004 : 2004 ; 771997 : 771997 ; 7029212 : 7029212 ; Honda : Honda ; S2000 : S2000 ; HONDA : HONDA ; 80000 km : 80000 ; Essence : 1 ; Manuelle : 1 ; Base : HONDA_S2000_Base ; S2000 2.0 VTEC : S2000 2.0 VTEC ; 03/2004 : 03/2004 ; Bon état général : good_overall_condition ; Autre : autre ; Bleu : bleu ; 16 Cv : 16 ; 240 Ch : 240 ; Sans permis : sanspermis ; false : false ; true : true ; https://img.leboncoin.fr/api/v1/lbcpb1/images/e3/52/94/e352947e-cbf0-48b9-8617-4df12ab72c1a?rule=bo-thumb : https://img.leboncoin.fr/api/v1/lbcpb1/images/e3/52/94/e352947e-cbf0-48b9-8617-4df12ab72c1a?rule=bo-thumb ; AGENCY CAR AIX EN PROVENCE : AGENCY CAR AIX EN PROVENCE ; 1670-0000584 : 1670-0000584 ; https://weespots.ai/c/f3b152c9-67e8-451e-be1c-80c5c5521f83/360?embed=true&amp;amp;partner/leboncoin : https://weespots.ai/c/f3b152c9-67e8-451e-be1c-80c5c5521f83/360?embed=true&amp;amp;partner/leboncoin ; https://autoviza.fr/report/report?uid=bf08b0da-c7c3-4757-9a0b-54c388c0641c : https://autoviza.fr/report/report?uid=bf08b0da-c7c3-4757-9a0b-54c388c0641c ; visible : visible ; Non renseignée : non_renseignee ; activity_sector : 1 ; u_car_brand : HONDA ; u_car_model : S2000 ; u_car_finition : Base ; u_car_version : S2000 2.0 VTEC ; vehicle_damage : Bon état général ; vehicle_upholstery : Tout cuir ; vehicle_vsp : Sans permis ; recent_used_vehicle : false ; has_visibility_option : true ; store_logo : https://img.leboncoin.fr/api/v1/lbcpb1/images/e3/52/94/e352947e-cbf0-48b9-8617-4df12ab72c1a?rule=bo-thumb ; store_name : AGENCY CAR AIX EN PROVENCE ; online_store_id : 7029212 ; custom_ref : 1670-0000584 ; virtual_tour : https://weespots.ai/c/f3b152c9-67e8-451e-be1c-80c5c5521f83/360?embed=true&amp;amp;partner/leboncoin ; is_import : true ; vehicle_history_report_public_url : https://autoviza.fr/report/report?uid=bf08b0da-c7c3-4757-9a0b-54c388c0641c ; vehicle_history_report_status : visible ; argus_object_id : 771997 ; spare_parts_availability : Non renseignée ; licence_plate_available : true</t>
        </is>
      </c>
      <c r="AG101" s="19" t="inlineStr">
        <is>
          <t>Voir</t>
        </is>
      </c>
      <c r="AH101" s="10" t="inlineStr">
        <is>
          <t>3279647179</t>
        </is>
      </c>
    </row>
    <row r="102">
      <c r="A102" s="10" t="inlineStr">
        <is>
          <t>Honda S2000</t>
        </is>
      </c>
      <c r="B102" s="10" t="inlineStr">
        <is>
          <t>Honda S2000 2.0 Essence 240 ch</t>
        </is>
      </c>
      <c r="C102" s="10" t="inlineStr">
        <is>
          <t>En vente</t>
        </is>
      </c>
      <c r="D102" s="18" t="n">
        <v>46296</v>
      </c>
      <c r="E102" s="18" t="n">
        <v>46296</v>
      </c>
      <c r="F102" s="18" t="n">
        <v>46296</v>
      </c>
      <c r="G102" s="18" t="n"/>
      <c r="H102" s="17">
        <f>IF(OR(ISNUMBER(D102),ISNUMBER(E102)),IF(ISNUMBER(G102),G102,F102)-IF(ISNUMBER(D102),D102,E102),"")</f>
        <v/>
      </c>
      <c r="I102" s="12" t="n">
        <v>10500</v>
      </c>
      <c r="J102" s="12" t="n">
        <v>10500</v>
      </c>
      <c r="K102" s="13">
        <f>IF(AND(ISNUMBER(I102),ISNUMBER(J102),I102&gt;0),1-J102/I102,"")</f>
        <v/>
      </c>
      <c r="L102" s="16" t="n">
        <v>0</v>
      </c>
      <c r="M102" s="15" t="n">
        <v>175000</v>
      </c>
      <c r="N102" s="16" t="n">
        <v>1999</v>
      </c>
      <c r="O102" s="10" t="inlineStr">
        <is>
          <t>1</t>
        </is>
      </c>
      <c r="P102" s="10" t="inlineStr">
        <is>
          <t>1</t>
        </is>
      </c>
      <c r="Q102" s="16" t="n">
        <v>240</v>
      </c>
      <c r="R102" s="16" t="n">
        <v>16</v>
      </c>
      <c r="S102" s="10" t="inlineStr">
        <is>
          <t>gris</t>
        </is>
      </c>
      <c r="T102" s="16" t="n">
        <v>2</v>
      </c>
      <c r="U102" s="10" t="n"/>
      <c r="V102" s="10" t="n"/>
      <c r="W102" s="10" t="inlineStr">
        <is>
          <t>Particulier</t>
        </is>
      </c>
      <c r="X102" s="10" t="inlineStr">
        <is>
          <t>Lons-le-Saunier</t>
        </is>
      </c>
      <c r="Y102" s="10" t="inlineStr">
        <is>
          <t>39000</t>
        </is>
      </c>
      <c r="Z102" s="10" t="inlineStr">
        <is>
          <t>Jura</t>
        </is>
      </c>
      <c r="AA102" s="10" t="inlineStr">
        <is>
          <t>Franche-Comté</t>
        </is>
      </c>
      <c r="AB102" s="16" t="n"/>
      <c r="AC102" s="16" t="n"/>
      <c r="AD102" s="10" t="n"/>
      <c r="AE102" s="10" t="n"/>
      <c r="AF102" s="10" t="inlineStr">
        <is>
          <t>1 : 1 ; 2 : 2 ; 1999 : 1999 ; https://img.leboncoin.fr/api/v1/tenants/9a6387a1-6259-4f2c-a887-7e67f23dd4cb/domains/20bda58f-d650-462e-a72a-a5a7ecf2bf88/buckets/21d2b0bc-e54c-4b64-a30b-89127b18b785/images/profile/pictures/default/4feb1240-fea5-59ef-9cf5-ac4f1438e27d?rule=pp-small : https://img.leboncoin.fr/api/v1/tenants/9a6387a1-6259-4f2c-a887-7e67f23dd4cb/domains/20bda58f-d650-462e-a72a-a5a7ecf2bf88/buckets/21d2b0bc-e54c-4b64-a30b-89127b18b785/images/profile/pictures/default/4feb1240-fea5-59ef-9cf5-ac4f1438e27d?rule=pp-small ; Honda : Honda ; S2000 : S2000 ; HONDA : HONDA ; 175000 km : 175000 ; Essence : 1 ; Manuelle : 1 ; Non : false ; 09/1999 : 09/1999 ; Cabriolet : cabriolet ; Gris : gris ; 16 Cv : 16 ; 240 Ch : 240 ; Avec permis : avecpermis ; credit_card : credit_card ; false : false ; true : true ; u_car_brand : HONDA ; u_car_model : S2000 ; vehicle_technical_inspection_valid : Non ; vehicle_vsp : Avec permis ; vehicle_available_payment_methods : credit_card ; is_import : false ; vehicle_is_eligible_p2p : 2 ; licence_plate_available : true</t>
        </is>
      </c>
      <c r="AG102" s="19" t="inlineStr">
        <is>
          <t>Voir</t>
        </is>
      </c>
      <c r="AH102" s="10" t="inlineStr">
        <is>
          <t>3280188594</t>
        </is>
      </c>
    </row>
    <row r="103">
      <c r="A103" s="10" t="inlineStr">
        <is>
          <t>Mazda MX-5 NA</t>
        </is>
      </c>
      <c r="B103" s="10" t="inlineStr">
        <is>
          <t>MAZDA MX5/ NA/1995/65000km D‘ORIGINE/ TBE 15500E</t>
        </is>
      </c>
      <c r="C103" s="10" t="inlineStr">
        <is>
          <t>En vente</t>
        </is>
      </c>
      <c r="D103" s="18" t="n">
        <v>46282</v>
      </c>
      <c r="E103" s="18" t="n">
        <v>46282</v>
      </c>
      <c r="F103" s="18" t="n">
        <v>46296</v>
      </c>
      <c r="G103" s="18" t="n"/>
      <c r="H103" s="17">
        <f>IF(OR(ISNUMBER(D103),ISNUMBER(E103)),IF(ISNUMBER(G103),G103,F103)-IF(ISNUMBER(D103),D103,E103),"")</f>
        <v/>
      </c>
      <c r="I103" s="12" t="n">
        <v>15500</v>
      </c>
      <c r="J103" s="12" t="n">
        <v>15500</v>
      </c>
      <c r="K103" s="13">
        <f>IF(AND(ISNUMBER(I103),ISNUMBER(J103),I103&gt;0),1-J103/I103,"")</f>
        <v/>
      </c>
      <c r="L103" s="16" t="n">
        <v>0</v>
      </c>
      <c r="M103" s="15" t="n">
        <v>65000</v>
      </c>
      <c r="N103" s="16" t="n">
        <v>1995</v>
      </c>
      <c r="O103" s="10" t="inlineStr">
        <is>
          <t>1</t>
        </is>
      </c>
      <c r="P103" s="10" t="inlineStr">
        <is>
          <t>1</t>
        </is>
      </c>
      <c r="Q103" s="16" t="n">
        <v>90</v>
      </c>
      <c r="R103" s="16" t="n">
        <v>8</v>
      </c>
      <c r="S103" s="10" t="inlineStr">
        <is>
          <t>jaune</t>
        </is>
      </c>
      <c r="T103" s="16" t="n">
        <v>2</v>
      </c>
      <c r="U103" s="10" t="n"/>
      <c r="V103" s="10" t="n"/>
      <c r="W103" s="10" t="inlineStr">
        <is>
          <t>Particulier</t>
        </is>
      </c>
      <c r="X103" s="10" t="inlineStr">
        <is>
          <t>Rive-de-Gier</t>
        </is>
      </c>
      <c r="Y103" s="10" t="inlineStr">
        <is>
          <t>42800</t>
        </is>
      </c>
      <c r="Z103" s="10" t="inlineStr">
        <is>
          <t>Loire</t>
        </is>
      </c>
      <c r="AA103" s="10" t="inlineStr">
        <is>
          <t>Rhône-Alpes</t>
        </is>
      </c>
      <c r="AB103" s="16" t="n"/>
      <c r="AC103" s="16" t="n"/>
      <c r="AD103" s="10" t="n"/>
      <c r="AE103"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F103" s="10" t="inlineStr">
        <is>
          <t>2 : 2 ; 1995 : 1995 ; https://img.leboncoin.fr/api/v1/tenants/9a6387a1-6259-4f2c-a887-7e67f23dd4cb/domains/20bda58f-d650-462e-a72a-a5a7ecf2bf88/buckets/21d2b0bc-e54c-4b64-a30b-89127b18b785/images/profile/pictures/default/29966207-f00a-57e8-9e40-3960ccd62c10?rule=pp-small : https://img.leboncoin.fr/api/v1/tenants/9a6387a1-6259-4f2c-a887-7e67f23dd4cb/domains/20bda58f-d650-462e-a72a-a5a7ecf2bf88/buckets/21d2b0bc-e54c-4b64-a30b-89127b18b785/images/profile/pictures/default/29966207-f00a-57e8-9e40-3960ccd62c10?rule=pp-small ; Mazda : Mazda ; Mx-5 : Mx-5 ; MAZDA : MAZDA ; MX-5 : MAZDA_MX-5 ; 65000 km : 65000 ; Essence : 1 ; Manuelle : 1 ; 04/1995 : 04/1995 ; Excellent état (proche du neuf) : excellent_condition ; Cabriolet : cabriolet ; Jaune : jaune ; 8 Cv : 8 ; 90 Ch : 90 ; Avec permis : avecpermis ; credit_card : credit_card ; false : false ; true : true ; u_car_brand : MAZDA ; u_car_model : MX-5 ; vehicle_damage : Excellent état (proche du neuf) ; vehicle_upholstery : Alcantara ; vehicle_vsp : Avec permis ; vehicle_available_payment_methods : credit_card ; is_import : false ; vehicle_is_eligible_p2p : 2 ; licence_plate_available : true</t>
        </is>
      </c>
      <c r="AG103" s="19" t="inlineStr">
        <is>
          <t>Voir</t>
        </is>
      </c>
      <c r="AH103" s="10" t="inlineStr">
        <is>
          <t>3198496140</t>
        </is>
      </c>
    </row>
    <row r="104">
      <c r="A104" s="10" t="inlineStr">
        <is>
          <t>Mazda MX-5 NA</t>
        </is>
      </c>
      <c r="B104" s="10" t="inlineStr">
        <is>
          <t>MAZDA MX5 Mazda Mx5 de 1991</t>
        </is>
      </c>
      <c r="C104" s="10" t="inlineStr">
        <is>
          <t>En vente</t>
        </is>
      </c>
      <c r="D104" s="18" t="n">
        <v>45955</v>
      </c>
      <c r="E104" s="18" t="n">
        <v>45955</v>
      </c>
      <c r="F104" s="18" t="n">
        <v>46296</v>
      </c>
      <c r="G104" s="18" t="n"/>
      <c r="H104" s="17">
        <f>IF(OR(ISNUMBER(D104),ISNUMBER(E104)),IF(ISNUMBER(G104),G104,F104)-IF(ISNUMBER(D104),D104,E104),"")</f>
        <v/>
      </c>
      <c r="I104" s="12" t="n">
        <v>11980</v>
      </c>
      <c r="J104" s="12" t="n">
        <v>11980</v>
      </c>
      <c r="K104" s="13">
        <f>IF(AND(ISNUMBER(I104),ISNUMBER(J104),I104&gt;0),1-J104/I104,"")</f>
        <v/>
      </c>
      <c r="L104" s="16" t="n">
        <v>0</v>
      </c>
      <c r="M104" s="15" t="n">
        <v>146000</v>
      </c>
      <c r="N104" s="16" t="n">
        <v>1991</v>
      </c>
      <c r="O104" s="10" t="inlineStr">
        <is>
          <t>1</t>
        </is>
      </c>
      <c r="P104" s="10" t="inlineStr">
        <is>
          <t>1</t>
        </is>
      </c>
      <c r="Q104" s="16" t="n">
        <v>115</v>
      </c>
      <c r="R104" s="16" t="n">
        <v>8</v>
      </c>
      <c r="S104" s="10" t="inlineStr">
        <is>
          <t>rouge</t>
        </is>
      </c>
      <c r="T104" s="16" t="n"/>
      <c r="U104" s="10" t="n"/>
      <c r="V104" s="10" t="n"/>
      <c r="W104" s="10" t="inlineStr">
        <is>
          <t>Pro</t>
        </is>
      </c>
      <c r="X104" s="10" t="inlineStr">
        <is>
          <t>Avrainville</t>
        </is>
      </c>
      <c r="Y104" s="10" t="inlineStr">
        <is>
          <t>91630</t>
        </is>
      </c>
      <c r="Z104" s="10" t="inlineStr">
        <is>
          <t>Essonne</t>
        </is>
      </c>
      <c r="AA104" s="10" t="inlineStr">
        <is>
          <t>Ile-de-France</t>
        </is>
      </c>
      <c r="AB104" s="16" t="n"/>
      <c r="AC104" s="16" t="n"/>
      <c r="AD104" s="10" t="n"/>
      <c r="AE104"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F104" s="10" t="inlineStr">
        <is>
          <t>1 : 1 ; 2 : 2 ; 1991 : 1991 ; 393768 : 393768 ; 899145 : 899145 ; 7012224 : 7012224 ; Mazda : Mazda ; Mx-5 : Mx-5 ; MAZDA : MAZDA ; MX-5 : MAZDA_MX-5 ; 146000 km : 146000 ; Essence : 1 ; Manuelle : 1 ; Base : MAZDA_MX-5_Base ; MX-5 1.8 : MX-5 1.8 ; 03/1991 : 03/1991 ; Cabriolet : cabriolet ; Rouge : rouge ; 8 Cv : 8 ; 115 Ch : 115 ; false : false ; true : true ; https://img.leboncoin.fr/api/v1/lbcpb1/images/bc/56/15/bc5615b2-f9ce-47f5-a3f6-ac9855292710?rule=bo-thumb : https://img.leboncoin.fr/api/v1/lbcpb1/images/bc/56/15/bc5615b2-f9ce-47f5-a3f6-ac9855292710?rule=bo-thumb ; AUTO SHOP : AUTO SHOP ; broken : broken ; Non renseignée : non_renseignee ; activity_sector : 1 ; u_car_brand : MAZDA ; u_car_model : MX-5 ; u_car_finition : Base ; u_car_version : MX-5 1.8 ; vehicle_interior_specs : Climatisation, Vitres électriques arrières ; recent_used_vehicle : false ; has_visibility_option : true ; store_logo : https://img.leboncoin.fr/api/v1/lbcpb1/images/bc/56/15/bc5615b2-f9ce-47f5-a3f6-ac9855292710?rule=bo-thumb ; store_name : AUTO SHOP ; online_store_id : 7012224 ; custom_ref : 393768 ; is_import : true ; vehicle_history_report_status : broken ; argus_object_id : 899145 ; spare_parts_availability : Non renseignée ; licence_plate_available : true</t>
        </is>
      </c>
      <c r="AG104" s="19" t="inlineStr">
        <is>
          <t>Voir</t>
        </is>
      </c>
      <c r="AH104" s="10" t="inlineStr">
        <is>
          <t>3199317557</t>
        </is>
      </c>
    </row>
    <row r="105">
      <c r="A105" s="10" t="inlineStr">
        <is>
          <t>Mazda MX-5 NA</t>
        </is>
      </c>
      <c r="B105" s="10" t="inlineStr">
        <is>
          <t>Mazda mx5 na 1.6l 116ch 1991</t>
        </is>
      </c>
      <c r="C105" s="10" t="inlineStr">
        <is>
          <t>En vente</t>
        </is>
      </c>
      <c r="D105" s="18" t="n">
        <v>46286</v>
      </c>
      <c r="E105" s="18" t="n">
        <v>46286</v>
      </c>
      <c r="F105" s="18" t="n">
        <v>46296</v>
      </c>
      <c r="G105" s="18" t="n"/>
      <c r="H105" s="17">
        <f>IF(OR(ISNUMBER(D105),ISNUMBER(E105)),IF(ISNUMBER(G105),G105,F105)-IF(ISNUMBER(D105),D105,E105),"")</f>
        <v/>
      </c>
      <c r="I105" s="12" t="n">
        <v>14000</v>
      </c>
      <c r="J105" s="12" t="n">
        <v>14000</v>
      </c>
      <c r="K105" s="13">
        <f>IF(AND(ISNUMBER(I105),ISNUMBER(J105),I105&gt;0),1-J105/I105,"")</f>
        <v/>
      </c>
      <c r="L105" s="16" t="n">
        <v>0</v>
      </c>
      <c r="M105" s="15" t="n">
        <v>152600</v>
      </c>
      <c r="N105" s="16" t="n">
        <v>1993</v>
      </c>
      <c r="O105" s="10" t="inlineStr">
        <is>
          <t>1</t>
        </is>
      </c>
      <c r="P105" s="10" t="inlineStr">
        <is>
          <t>1</t>
        </is>
      </c>
      <c r="Q105" s="16" t="n">
        <v>116</v>
      </c>
      <c r="R105" s="16" t="n">
        <v>6</v>
      </c>
      <c r="S105" s="10" t="inlineStr">
        <is>
          <t>rouge</t>
        </is>
      </c>
      <c r="T105" s="16" t="n">
        <v>2</v>
      </c>
      <c r="U105" s="10" t="n"/>
      <c r="V105" s="10" t="inlineStr">
        <is>
          <t>4</t>
        </is>
      </c>
      <c r="W105" s="10" t="inlineStr">
        <is>
          <t>Particulier</t>
        </is>
      </c>
      <c r="X105" s="10" t="inlineStr">
        <is>
          <t>Brion-près-Thouet</t>
        </is>
      </c>
      <c r="Y105" s="10" t="inlineStr">
        <is>
          <t>79290</t>
        </is>
      </c>
      <c r="Z105" s="10" t="inlineStr">
        <is>
          <t>Deux-Sèvres</t>
        </is>
      </c>
      <c r="AA105" s="10" t="inlineStr">
        <is>
          <t>Poitou-Charentes</t>
        </is>
      </c>
      <c r="AB105" s="16" t="n"/>
      <c r="AC105" s="16" t="n"/>
      <c r="AD105" s="10" t="n"/>
      <c r="AE105"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F105" s="10" t="inlineStr">
        <is>
          <t>1 : 1 ; 2 : 2 ; 4 : 4 ; 1993 : 1993 ; 16500 : 16500 ; https://img.leboncoin.fr/api/v1/tenants/9a6387a1-6259-4f2c-a887-7e67f23dd4cb/domains/20bda58f-d650-462e-a72a-a5a7ecf2bf88/buckets/21d2b0bc-e54c-4b64-a30b-89127b18b785/images/profile/pictures/default/43d25a7c-328c-59b6-b1f7-b03916c4eae1?rule=pp-small : https://img.leboncoin.fr/api/v1/tenants/9a6387a1-6259-4f2c-a887-7e67f23dd4cb/domains/20bda58f-d650-462e-a72a-a5a7ecf2bf88/buckets/21d2b0bc-e54c-4b64-a30b-89127b18b785/images/profile/pictures/default/43d25a7c-328c-59b6-b1f7-b03916c4eae1?rule=pp-small ; Mazda : Mazda ; Mx-5 : Mx-5 ; MAZDA : MAZDA ; MX-5 : MAZDA_MX-5 ; 152600 km : 152600 ; Essence : 1 ; Manuelle : 1 ; 05/1993 : 05/1993 ; Cabriolet : cabriolet ; Rouge : rouge ; 6 Cv : 6 ; 116 Ch : 116 ; Avec permis : avecpermis ; credit_card : credit_card ; false : false ; true : true ; rating_score : 1 ; rating_count : 1 ; u_car_brand : MAZDA ; u_car_model : MX-5 ; vehicle_upholstery : Tissu ; vehicle_interior_specs : Phares anti-brouillard ; vehicle_vsp : Avec permis ; vehicle_available_payment_methods : credit_card ; is_import : false ; old_price : 16500 ; vehicle_is_eligible_p2p : 2 ; licence_plate_available : true</t>
        </is>
      </c>
      <c r="AG105" s="19" t="inlineStr">
        <is>
          <t>Voir</t>
        </is>
      </c>
      <c r="AH105" s="10" t="inlineStr">
        <is>
          <t>3203841842</t>
        </is>
      </c>
    </row>
    <row r="106">
      <c r="A106" s="10" t="inlineStr">
        <is>
          <t>Mazda MX-5 NA</t>
        </is>
      </c>
      <c r="B106" s="10" t="inlineStr">
        <is>
          <t>Mazda MX5</t>
        </is>
      </c>
      <c r="C106" s="10" t="inlineStr">
        <is>
          <t>En vente</t>
        </is>
      </c>
      <c r="D106" s="18" t="n">
        <v>46268</v>
      </c>
      <c r="E106" s="18" t="n">
        <v>46268</v>
      </c>
      <c r="F106" s="18" t="n">
        <v>46296</v>
      </c>
      <c r="G106" s="18" t="n"/>
      <c r="H106" s="17">
        <f>IF(OR(ISNUMBER(D106),ISNUMBER(E106)),IF(ISNUMBER(G106),G106,F106)-IF(ISNUMBER(D106),D106,E106),"")</f>
        <v/>
      </c>
      <c r="I106" s="12" t="n">
        <v>15500</v>
      </c>
      <c r="J106" s="12" t="n">
        <v>15500</v>
      </c>
      <c r="K106" s="13">
        <f>IF(AND(ISNUMBER(I106),ISNUMBER(J106),I106&gt;0),1-J106/I106,"")</f>
        <v/>
      </c>
      <c r="L106" s="16" t="n">
        <v>0</v>
      </c>
      <c r="M106" s="15" t="n">
        <v>94000</v>
      </c>
      <c r="N106" s="16" t="n">
        <v>1992</v>
      </c>
      <c r="O106" s="10" t="inlineStr">
        <is>
          <t>1</t>
        </is>
      </c>
      <c r="P106" s="10" t="inlineStr">
        <is>
          <t>1</t>
        </is>
      </c>
      <c r="Q106" s="16" t="n">
        <v>116</v>
      </c>
      <c r="R106" s="16" t="n">
        <v>8</v>
      </c>
      <c r="S106" s="10" t="inlineStr">
        <is>
          <t>rouge</t>
        </is>
      </c>
      <c r="T106" s="16" t="n">
        <v>2</v>
      </c>
      <c r="U106" s="10" t="n"/>
      <c r="V106" s="10" t="n"/>
      <c r="W106" s="10" t="inlineStr">
        <is>
          <t>Particulier</t>
        </is>
      </c>
      <c r="X106" s="10" t="inlineStr">
        <is>
          <t>Bonrepos-sur-Aussonnelle</t>
        </is>
      </c>
      <c r="Y106" s="10" t="inlineStr">
        <is>
          <t>31470</t>
        </is>
      </c>
      <c r="Z106" s="10" t="inlineStr">
        <is>
          <t>Haute-Garonne</t>
        </is>
      </c>
      <c r="AA106" s="10" t="inlineStr">
        <is>
          <t>Midi-Pyrénées</t>
        </is>
      </c>
      <c r="AB106" s="16" t="n"/>
      <c r="AC106" s="16" t="n"/>
      <c r="AD106" s="10" t="n"/>
      <c r="AE106"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F106" s="10" t="inlineStr">
        <is>
          <t>1 : 1 ; 2 : 2 ; 10 : 10 ; 1992 : 1992 ; https://img.leboncoin.fr/api/v1/tenants/9a6387a1-6259-4f2c-a887-7e67f23dd4cb/domains/20bda58f-d650-462e-a72a-a5a7ecf2bf88/buckets/21d2b0bc-e54c-4b64-a30b-89127b18b785/images/profile/pictures/ba6592de-e166-502f-a537-f22487410c79?rule=pp-small : https://img.leboncoin.fr/api/v1/tenants/9a6387a1-6259-4f2c-a887-7e67f23dd4cb/domains/20bda58f-d650-462e-a72a-a5a7ecf2bf88/buckets/21d2b0bc-e54c-4b64-a30b-89127b18b785/images/profile/pictures/ba6592de-e166-502f-a537-f22487410c79?rule=pp-small ; Mazda : Mazda ; Mx-5 : Mx-5 ; MAZDA : MAZDA ; MX-5 : MAZDA_MX-5 ; 94000 km : 94000 ; Essence : 1 ; Manuelle : 1 ; 01/1992 : 01/1992 ; Cabriolet : cabriolet ; Rouge : rouge ; 8 Cv : 8 ; 116 Ch : 116 ; Avec permis : avecpermis ; credit_card : credit_card ; false : false ; https://autoviza.fr/report/report?uid=24fc300a-e8c9-4448-afad-a5b256ead0e6 : https://autoviza.fr/report/report?uid=24fc300a-e8c9-4448-afad-a5b256ead0e6 ; true : true ; rating_score : 1 ; rating_count : 10 ; u_car_brand : MAZDA ; u_car_model : MX-5 ; vehicle_upholstery : Tissu ; vehicle_vsp : Avec permis ; vehicle_available_payment_methods : credit_card ; is_import : false ; vehicle_is_eligible_p2p : 2 ; vehicle_history_report_public_url : https://autoviza.fr/report/report?uid=24fc300a-e8c9-4448-afad-a5b256ead0e6 ; licence_plate_available : true</t>
        </is>
      </c>
      <c r="AG106" s="19" t="inlineStr">
        <is>
          <t>Voir</t>
        </is>
      </c>
      <c r="AH106" s="10" t="inlineStr">
        <is>
          <t>3227901009</t>
        </is>
      </c>
    </row>
    <row r="107">
      <c r="A107" s="10" t="inlineStr">
        <is>
          <t>Mazda MX-5 NA</t>
        </is>
      </c>
      <c r="B107" s="10" t="inlineStr">
        <is>
          <t>Magnifique cabriolet MAZDA MX5</t>
        </is>
      </c>
      <c r="C107" s="10" t="inlineStr">
        <is>
          <t>En vente</t>
        </is>
      </c>
      <c r="D107" s="18" t="n">
        <v>46294</v>
      </c>
      <c r="E107" s="18" t="n">
        <v>46294</v>
      </c>
      <c r="F107" s="18" t="n">
        <v>46296</v>
      </c>
      <c r="G107" s="18" t="n"/>
      <c r="H107" s="17">
        <f>IF(OR(ISNUMBER(D107),ISNUMBER(E107)),IF(ISNUMBER(G107),G107,F107)-IF(ISNUMBER(D107),D107,E107),"")</f>
        <v/>
      </c>
      <c r="I107" s="12" t="n">
        <v>10990</v>
      </c>
      <c r="J107" s="12" t="n">
        <v>10990</v>
      </c>
      <c r="K107" s="13">
        <f>IF(AND(ISNUMBER(I107),ISNUMBER(J107),I107&gt;0),1-J107/I107,"")</f>
        <v/>
      </c>
      <c r="L107" s="16" t="n">
        <v>0</v>
      </c>
      <c r="M107" s="15" t="n">
        <v>127000</v>
      </c>
      <c r="N107" s="16" t="n">
        <v>1997</v>
      </c>
      <c r="O107" s="10" t="inlineStr">
        <is>
          <t>1</t>
        </is>
      </c>
      <c r="P107" s="10" t="inlineStr">
        <is>
          <t>1</t>
        </is>
      </c>
      <c r="Q107" s="16" t="n">
        <v>90</v>
      </c>
      <c r="R107" s="16" t="n">
        <v>8</v>
      </c>
      <c r="S107" s="10" t="inlineStr">
        <is>
          <t>vert</t>
        </is>
      </c>
      <c r="T107" s="16" t="n">
        <v>2</v>
      </c>
      <c r="U107" s="10" t="n"/>
      <c r="V107" s="10" t="n"/>
      <c r="W107" s="10" t="inlineStr">
        <is>
          <t>Particulier</t>
        </is>
      </c>
      <c r="X107" s="10" t="inlineStr">
        <is>
          <t>Pontcharra</t>
        </is>
      </c>
      <c r="Y107" s="10" t="inlineStr">
        <is>
          <t>38530</t>
        </is>
      </c>
      <c r="Z107" s="10" t="inlineStr">
        <is>
          <t>Isère</t>
        </is>
      </c>
      <c r="AA107" s="10" t="inlineStr">
        <is>
          <t>Rhône-Alpes</t>
        </is>
      </c>
      <c r="AB107" s="16" t="n"/>
      <c r="AC107" s="16" t="n"/>
      <c r="AD107" s="10" t="n"/>
      <c r="AE107"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F107" s="10" t="inlineStr">
        <is>
          <t>1 : 1 ; 2 : 2 ; 1997 : 1997 ; https://img.leboncoin.fr/api/v1/tenants/9a6387a1-6259-4f2c-a887-7e67f23dd4cb/domains/20bda58f-d650-462e-a72a-a5a7ecf2bf88/buckets/21d2b0bc-e54c-4b64-a30b-89127b18b785/images/profile/pictures/default/8e3f6e44-389e-514d-8837-412095f86216?rule=pp-small : https://img.leboncoin.fr/api/v1/tenants/9a6387a1-6259-4f2c-a887-7e67f23dd4cb/domains/20bda58f-d650-462e-a72a-a5a7ecf2bf88/buckets/21d2b0bc-e54c-4b64-a30b-89127b18b785/images/profile/pictures/default/8e3f6e44-389e-514d-8837-412095f86216?rule=pp-small ; Mazda : Mazda ; Mx-5 : Mx-5 ; MAZDA : MAZDA ; MX-5 : MAZDA_MX-5 ; 127000 km : 127000 ; Essence : 1 ; Manuelle : 1 ; Non : false ; 07/1997 : 07/1997 ; Bon état général : good_overall_condition ; Cabriolet : cabriolet ; Vert : vert ; 8 Cv : 8 ; 90 Ch : 90 ; Avec permis : avecpermis ; credit_card : credit_card ; false : false ; true : true ; u_car_brand : MAZDA ; u_car_model : MX-5 ; vehicle_technical_inspection_valid : Non ; vehicle_damage : Bon état général ; vehicle_upholstery : Tissu ; vehicle_interior_specs : Toit ouvrant / Toit panoramique ; vehicle_vsp : Avec permis ; vehicle_available_payment_methods : credit_card ; is_import : false ; vehicle_is_eligible_p2p : 2 ; licence_plate_available : true</t>
        </is>
      </c>
      <c r="AG107" s="19" t="inlineStr">
        <is>
          <t>Voir</t>
        </is>
      </c>
      <c r="AH107" s="10" t="inlineStr">
        <is>
          <t>3232034023</t>
        </is>
      </c>
    </row>
    <row r="108">
      <c r="A108" s="10" t="inlineStr">
        <is>
          <t>Mazda MX-5 NA</t>
        </is>
      </c>
      <c r="B108" s="10" t="inlineStr">
        <is>
          <t>Mazda mx5 na</t>
        </is>
      </c>
      <c r="C108" s="10" t="inlineStr">
        <is>
          <t>En vente</t>
        </is>
      </c>
      <c r="D108" s="18" t="n">
        <v>46281</v>
      </c>
      <c r="E108" s="18" t="n">
        <v>46281</v>
      </c>
      <c r="F108" s="18" t="n">
        <v>46296</v>
      </c>
      <c r="G108" s="18" t="n"/>
      <c r="H108" s="17">
        <f>IF(OR(ISNUMBER(D108),ISNUMBER(E108)),IF(ISNUMBER(G108),G108,F108)-IF(ISNUMBER(D108),D108,E108),"")</f>
        <v/>
      </c>
      <c r="I108" s="12" t="n">
        <v>6500</v>
      </c>
      <c r="J108" s="12" t="n">
        <v>6500</v>
      </c>
      <c r="K108" s="13">
        <f>IF(AND(ISNUMBER(I108),ISNUMBER(J108),I108&gt;0),1-J108/I108,"")</f>
        <v/>
      </c>
      <c r="L108" s="16" t="n">
        <v>0</v>
      </c>
      <c r="M108" s="15" t="n">
        <v>215000</v>
      </c>
      <c r="N108" s="16" t="n">
        <v>1995</v>
      </c>
      <c r="O108" s="10" t="inlineStr">
        <is>
          <t>1</t>
        </is>
      </c>
      <c r="P108" s="10" t="inlineStr">
        <is>
          <t>1</t>
        </is>
      </c>
      <c r="Q108" s="16" t="n">
        <v>90</v>
      </c>
      <c r="R108" s="16" t="n">
        <v>8</v>
      </c>
      <c r="S108" s="10" t="inlineStr">
        <is>
          <t>blanc</t>
        </is>
      </c>
      <c r="T108" s="16" t="n">
        <v>2</v>
      </c>
      <c r="U108" s="10" t="n"/>
      <c r="V108" s="10" t="n"/>
      <c r="W108" s="10" t="inlineStr">
        <is>
          <t>Particulier</t>
        </is>
      </c>
      <c r="X108" s="10" t="inlineStr">
        <is>
          <t>Villeneuve-d'Ascq</t>
        </is>
      </c>
      <c r="Y108" s="10" t="inlineStr">
        <is>
          <t>59650</t>
        </is>
      </c>
      <c r="Z108" s="10" t="inlineStr">
        <is>
          <t>Nord</t>
        </is>
      </c>
      <c r="AA108" s="10" t="inlineStr">
        <is>
          <t>Nord-Pas-de-Calais</t>
        </is>
      </c>
      <c r="AB108" s="16" t="n"/>
      <c r="AC108" s="16" t="n"/>
      <c r="AD108" s="10" t="n"/>
      <c r="AE108" s="10" t="inlineStr">
        <is>
          <t>Bonjour, Je vend ma mazda mx5 na avec quelle que frais prévoir sans contrôle technique, pour plus d’informations n’hésitez pas à me contacter.</t>
        </is>
      </c>
      <c r="AF108" s="10" t="inlineStr">
        <is>
          <t>1 : 1 ; 2 : 2 ; 1995 : 1995 ; https://img.leboncoin.fr/api/v1/tenants/9a6387a1-6259-4f2c-a887-7e67f23dd4cb/domains/20bda58f-d650-462e-a72a-a5a7ecf2bf88/buckets/21d2b0bc-e54c-4b64-a30b-89127b18b785/images/profile/pictures/default/416b23b2-446d-5b61-950a-b5637ea332b3?rule=pp-small : https://img.leboncoin.fr/api/v1/tenants/9a6387a1-6259-4f2c-a887-7e67f23dd4cb/domains/20bda58f-d650-462e-a72a-a5a7ecf2bf88/buckets/21d2b0bc-e54c-4b64-a30b-89127b18b785/images/profile/pictures/default/416b23b2-446d-5b61-950a-b5637ea332b3?rule=pp-small ; Mazda : Mazda ; Mx-5 : Mx-5 ; MAZDA : MAZDA ; MX-5 : MAZDA_MX-5 ; 215000 km : 215000 ; Essence : 1 ; Manuelle : 1 ; 07/1995 : 07/1995 ; Réparations mineures à prévoir : minor_repairs_needed ; Cabriolet : cabriolet ; Blanc : blanc ; 8 Cv : 8 ; 90 Ch : 90 ; Avec permis : avecpermis ; credit_card : credit_card ; false : false ; true : true ; u_car_brand : MAZDA ; u_car_model : MX-5 ; vehicle_damage : Réparations mineures à prévoir ; vehicle_upholstery : Cuir partiel ; vehicle_vsp : Avec permis ; vehicle_available_payment_methods : credit_card ; is_import : false ; vehicle_is_eligible_p2p : 2 ; licence_plate_available : true</t>
        </is>
      </c>
      <c r="AG108" s="19" t="inlineStr">
        <is>
          <t>Voir</t>
        </is>
      </c>
      <c r="AH108" s="10" t="inlineStr">
        <is>
          <t>3234020888</t>
        </is>
      </c>
    </row>
    <row r="109">
      <c r="A109" s="10" t="inlineStr">
        <is>
          <t>Mazda MX-5 NA</t>
        </is>
      </c>
      <c r="B109" s="10" t="inlineStr">
        <is>
          <t>Mazda mx5 Na</t>
        </is>
      </c>
      <c r="C109" s="10" t="inlineStr">
        <is>
          <t>En vente</t>
        </is>
      </c>
      <c r="D109" s="18" t="n">
        <v>46282</v>
      </c>
      <c r="E109" s="18" t="n">
        <v>46282</v>
      </c>
      <c r="F109" s="18" t="n">
        <v>46296</v>
      </c>
      <c r="G109" s="18" t="n"/>
      <c r="H109" s="17">
        <f>IF(OR(ISNUMBER(D109),ISNUMBER(E109)),IF(ISNUMBER(G109),G109,F109)-IF(ISNUMBER(D109),D109,E109),"")</f>
        <v/>
      </c>
      <c r="I109" s="12" t="n">
        <v>7500</v>
      </c>
      <c r="J109" s="12" t="n">
        <v>7500</v>
      </c>
      <c r="K109" s="13">
        <f>IF(AND(ISNUMBER(I109),ISNUMBER(J109),I109&gt;0),1-J109/I109,"")</f>
        <v/>
      </c>
      <c r="L109" s="16" t="n">
        <v>0</v>
      </c>
      <c r="M109" s="15" t="n">
        <v>173000</v>
      </c>
      <c r="N109" s="16" t="n">
        <v>1990</v>
      </c>
      <c r="O109" s="10" t="inlineStr">
        <is>
          <t>1</t>
        </is>
      </c>
      <c r="P109" s="10" t="inlineStr">
        <is>
          <t>1</t>
        </is>
      </c>
      <c r="Q109" s="16" t="n">
        <v>115</v>
      </c>
      <c r="R109" s="16" t="n">
        <v>8</v>
      </c>
      <c r="S109" s="10" t="inlineStr">
        <is>
          <t>noir</t>
        </is>
      </c>
      <c r="T109" s="16" t="n">
        <v>2</v>
      </c>
      <c r="U109" s="10" t="n"/>
      <c r="V109" s="10" t="n"/>
      <c r="W109" s="10" t="inlineStr">
        <is>
          <t>Particulier</t>
        </is>
      </c>
      <c r="X109" s="10" t="inlineStr">
        <is>
          <t>Alençon</t>
        </is>
      </c>
      <c r="Y109" s="10" t="inlineStr">
        <is>
          <t>61000</t>
        </is>
      </c>
      <c r="Z109" s="10" t="inlineStr">
        <is>
          <t>Orne</t>
        </is>
      </c>
      <c r="AA109" s="10" t="inlineStr">
        <is>
          <t>Basse-Normandie</t>
        </is>
      </c>
      <c r="AB109" s="16" t="n"/>
      <c r="AC109" s="16" t="n"/>
      <c r="AD109" s="10" t="n"/>
      <c r="AE109"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F109" s="10" t="inlineStr">
        <is>
          <t>1 : 1 ; 2 : 2 ; 25 : 25 ; 1990 : 1990 ; 8500 : 8500 ; 715280 : 715280 ; https://img.leboncoin.fr/api/v1/tenants/9a6387a1-6259-4f2c-a887-7e67f23dd4cb/domains/20bda58f-d650-462e-a72a-a5a7ecf2bf88/buckets/21d2b0bc-e54c-4b64-a30b-89127b18b785/images/profile/pictures/d044f5b6-48d1-5e25-9075-21c81b48f238?rule=pp-small : https://img.leboncoin.fr/api/v1/tenants/9a6387a1-6259-4f2c-a887-7e67f23dd4cb/domains/20bda58f-d650-462e-a72a-a5a7ecf2bf88/buckets/21d2b0bc-e54c-4b64-a30b-89127b18b785/images/profile/pictures/d044f5b6-48d1-5e25-9075-21c81b48f238?rule=pp-small ; Mazda : Mazda ; Mx-5 : Mx-5 ; MAZDA : MAZDA ; MX-5 : MAZDA_MX-5 ; 173000 km : 173000 ; Essence : 1 ; Manuelle : 1 ; Base : MAZDA_MX-5_Base ; Base_MX-5 1.6 : Base_MX-5 1.6 ; 08/1990 : 08/1990 ; Réparations majeures à prévoir : major_repairs_needed ; Cabriolet : cabriolet ; Noir : noir ; 8 Cv : 8 ; 115 Ch : 115 ; Avec permis : avecpermis ; credit_card : credit_card ; false : false ; true : true ; rating_score : 1 ; rating_count : 25 ; u_car_brand : MAZDA ; u_car_model : MX-5 ; u_car_finition : Base ; u_car_version : Base_MX-5 1.6 ; vehicle_damage : Réparations majeures à prévoir ; vehicle_upholstery : Tissu ; vehicle_vsp : Avec permis ; vehicle_available_payment_methods : credit_card ; is_import : false ; old_price : 8500 ; vehicle_is_eligible_p2p : 2 ; argus_object_id : 715280 ; licence_plate_available : true</t>
        </is>
      </c>
      <c r="AG109" s="19" t="inlineStr">
        <is>
          <t>Voir</t>
        </is>
      </c>
      <c r="AH109" s="10" t="inlineStr">
        <is>
          <t>3235292026</t>
        </is>
      </c>
    </row>
    <row r="110">
      <c r="A110" s="10" t="inlineStr">
        <is>
          <t>Mazda MX-5 NA</t>
        </is>
      </c>
      <c r="B110" s="10" t="inlineStr">
        <is>
          <t>Mazda MX5 na Roadster Pro Cup</t>
        </is>
      </c>
      <c r="C110" s="10" t="inlineStr">
        <is>
          <t>En vente</t>
        </is>
      </c>
      <c r="D110" s="18" t="n">
        <v>46282</v>
      </c>
      <c r="E110" s="18" t="n">
        <v>46282</v>
      </c>
      <c r="F110" s="18" t="n">
        <v>46296</v>
      </c>
      <c r="G110" s="18" t="n"/>
      <c r="H110" s="17">
        <f>IF(OR(ISNUMBER(D110),ISNUMBER(E110)),IF(ISNUMBER(G110),G110,F110)-IF(ISNUMBER(D110),D110,E110),"")</f>
        <v/>
      </c>
      <c r="I110" s="12" t="n">
        <v>12500</v>
      </c>
      <c r="J110" s="12" t="n">
        <v>12500</v>
      </c>
      <c r="K110" s="13">
        <f>IF(AND(ISNUMBER(I110),ISNUMBER(J110),I110&gt;0),1-J110/I110,"")</f>
        <v/>
      </c>
      <c r="L110" s="16" t="n">
        <v>0</v>
      </c>
      <c r="M110" s="15" t="n">
        <v>100000</v>
      </c>
      <c r="N110" s="16" t="n">
        <v>1991</v>
      </c>
      <c r="O110" s="10" t="inlineStr">
        <is>
          <t>1</t>
        </is>
      </c>
      <c r="P110" s="10" t="inlineStr">
        <is>
          <t>1</t>
        </is>
      </c>
      <c r="Q110" s="16" t="n">
        <v>115</v>
      </c>
      <c r="R110" s="16" t="n">
        <v>6</v>
      </c>
      <c r="S110" s="10" t="inlineStr">
        <is>
          <t>bleu</t>
        </is>
      </c>
      <c r="T110" s="16" t="n">
        <v>2</v>
      </c>
      <c r="U110" s="10" t="n"/>
      <c r="V110" s="10" t="n"/>
      <c r="W110" s="10" t="inlineStr">
        <is>
          <t>Particulier</t>
        </is>
      </c>
      <c r="X110" s="10" t="inlineStr">
        <is>
          <t>L'Isle-Jourdain</t>
        </is>
      </c>
      <c r="Y110" s="10" t="inlineStr">
        <is>
          <t>32600</t>
        </is>
      </c>
      <c r="Z110" s="10" t="inlineStr">
        <is>
          <t>Gers</t>
        </is>
      </c>
      <c r="AA110" s="10" t="inlineStr">
        <is>
          <t>Midi-Pyrénées</t>
        </is>
      </c>
      <c r="AB110" s="16" t="n"/>
      <c r="AC110" s="16" t="n"/>
      <c r="AD110" s="10" t="n"/>
      <c r="AE110"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F110" s="10" t="inlineStr">
        <is>
          <t>1 : 1 ; 2 : 2 ; 3 : 3 ; 1991 : 1991 ; https://img.leboncoin.fr/api/v1/tenants/9a6387a1-6259-4f2c-a887-7e67f23dd4cb/domains/20bda58f-d650-462e-a72a-a5a7ecf2bf88/buckets/21d2b0bc-e54c-4b64-a30b-89127b18b785/images/profile/pictures/default/510187a3-c814-568f-884e-500765ed3c64?rule=pp-small : https://img.leboncoin.fr/api/v1/tenants/9a6387a1-6259-4f2c-a887-7e67f23dd4cb/domains/20bda58f-d650-462e-a72a-a5a7ecf2bf88/buckets/21d2b0bc-e54c-4b64-a30b-89127b18b785/images/profile/pictures/default/510187a3-c814-568f-884e-500765ed3c64?rule=pp-small ; Mazda : Mazda ; Mx-5 : Mx-5 ; MAZDA : MAZDA ; MX-5 : MAZDA_MX-5 ; 100000 km : 100000 ; Essence : 1 ; Manuelle : 1 ; Non : false ; 01/1991 : 01/1991 ; Berline : berline ; Bleu : bleu ; 6 Cv : 6 ; 115 Ch : 115 ; Avec permis : avecpermis ; credit_card : credit_card ; false : false ; true : true ; rating_score : 1 ; rating_count : 3 ; u_car_brand : MAZDA ; u_car_model : MX-5 ; vehicle_technical_inspection_valid : Non ; vehicle_vsp : Avec permis ; vehicle_available_payment_methods : credit_card ; is_import : false ; vehicle_is_eligible_p2p : 2 ; licence_plate_available : true</t>
        </is>
      </c>
      <c r="AG110" s="19" t="inlineStr">
        <is>
          <t>Voir</t>
        </is>
      </c>
      <c r="AH110" s="10" t="inlineStr">
        <is>
          <t>3235335116</t>
        </is>
      </c>
    </row>
    <row r="111">
      <c r="A111" s="10" t="inlineStr">
        <is>
          <t>Mazda MX-5 NA</t>
        </is>
      </c>
      <c r="B111" s="10" t="inlineStr">
        <is>
          <t>Mazda mx5 na</t>
        </is>
      </c>
      <c r="C111" s="10" t="inlineStr">
        <is>
          <t>En vente</t>
        </is>
      </c>
      <c r="D111" s="18" t="n">
        <v>46293</v>
      </c>
      <c r="E111" s="18" t="n">
        <v>46293</v>
      </c>
      <c r="F111" s="18" t="n">
        <v>46296</v>
      </c>
      <c r="G111" s="18" t="n"/>
      <c r="H111" s="17">
        <f>IF(OR(ISNUMBER(D111),ISNUMBER(E111)),IF(ISNUMBER(G111),G111,F111)-IF(ISNUMBER(D111),D111,E111),"")</f>
        <v/>
      </c>
      <c r="I111" s="12" t="n">
        <v>12000</v>
      </c>
      <c r="J111" s="12" t="n">
        <v>12000</v>
      </c>
      <c r="K111" s="13">
        <f>IF(AND(ISNUMBER(I111),ISNUMBER(J111),I111&gt;0),1-J111/I111,"")</f>
        <v/>
      </c>
      <c r="L111" s="16" t="n">
        <v>0</v>
      </c>
      <c r="M111" s="15" t="n">
        <v>289000</v>
      </c>
      <c r="N111" s="16" t="n">
        <v>1992</v>
      </c>
      <c r="O111" s="10" t="inlineStr">
        <is>
          <t>1</t>
        </is>
      </c>
      <c r="P111" s="10" t="inlineStr">
        <is>
          <t>1</t>
        </is>
      </c>
      <c r="Q111" s="16" t="n">
        <v>116</v>
      </c>
      <c r="R111" s="16" t="n">
        <v>8</v>
      </c>
      <c r="S111" s="10" t="inlineStr">
        <is>
          <t>autre</t>
        </is>
      </c>
      <c r="T111" s="16" t="n">
        <v>2</v>
      </c>
      <c r="U111" s="10" t="n"/>
      <c r="V111" s="10" t="n"/>
      <c r="W111" s="10" t="inlineStr">
        <is>
          <t>Particulier</t>
        </is>
      </c>
      <c r="X111" s="10" t="inlineStr">
        <is>
          <t>Sainte-Marie-la-Mer</t>
        </is>
      </c>
      <c r="Y111" s="10" t="inlineStr">
        <is>
          <t>66470</t>
        </is>
      </c>
      <c r="Z111" s="10" t="inlineStr">
        <is>
          <t>Pyrénées-Orientales</t>
        </is>
      </c>
      <c r="AA111" s="10" t="inlineStr">
        <is>
          <t>Languedoc-Roussillon</t>
        </is>
      </c>
      <c r="AB111" s="16" t="n"/>
      <c r="AC111" s="16" t="n"/>
      <c r="AD111" s="10" t="n"/>
      <c r="AE111"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F111" s="10" t="inlineStr">
        <is>
          <t>2 : 2 ; 14 : 14 ; 1992 : 1992 ; 12500 : 12500 ; 715283 : 715283 ; 0.99 : 0.99 ; https://img.leboncoin.fr/api/v1/tenants/9a6387a1-6259-4f2c-a887-7e67f23dd4cb/domains/20bda58f-d650-462e-a72a-a5a7ecf2bf88/buckets/21d2b0bc-e54c-4b64-a30b-89127b18b785/images/profile/pictures/default/79bb771b-0a81-53e5-a342-e1882b3ad3b5?rule=pp-small : https://img.leboncoin.fr/api/v1/tenants/9a6387a1-6259-4f2c-a887-7e67f23dd4cb/domains/20bda58f-d650-462e-a72a-a5a7ecf2bf88/buckets/21d2b0bc-e54c-4b64-a30b-89127b18b785/images/profile/pictures/default/79bb771b-0a81-53e5-a342-e1882b3ad3b5?rule=pp-small ; Mazda : Mazda ; Mx-5 : Mx-5 ; MAZDA : MAZDA ; MX-5 : MAZDA_MX-5 ; 289000 km : 289000 ; Essence : 1 ; Manuelle : 1 ; Hard Top : MAZDA_MX-5_Hard Top ; MX-5 1.6 Hard Top : MX-5 1.6 Hard Top ; 09/1992 : 09/1992 ; Bon état général : good_overall_condition ; Cabriolet : cabriolet ; Autre : autre ; 8 Cv : 8 ; 116 Ch : 116 ; Avec permis : avecpermis ; credit_card : credit_card ; false : false ; true : true ; rating_score : 0.99 ; rating_count : 14 ; u_car_brand : MAZDA ; u_car_model : MX-5 ; u_car_finition : Hard Top ; u_car_version : MX-5 1.6 Hard Top ; vehicle_damage : Bon état général ; vehicle_upholstery : Autre ; vehicle_interior_specs : Sièges sport ; vehicle_vsp : Avec permis ; vehicle_available_payment_methods : credit_card ; is_import : false ; old_price : 12500 ; vehicle_is_eligible_p2p : 2 ; argus_object_id : 715283 ; licence_plate_available : true</t>
        </is>
      </c>
      <c r="AG111" s="19" t="inlineStr">
        <is>
          <t>Voir</t>
        </is>
      </c>
      <c r="AH111" s="10" t="inlineStr">
        <is>
          <t>3236647415</t>
        </is>
      </c>
    </row>
    <row r="112">
      <c r="A112" s="10" t="inlineStr">
        <is>
          <t>Mazda MX-5 NA</t>
        </is>
      </c>
      <c r="B112" s="10" t="inlineStr">
        <is>
          <t>Mazda MX5 NA 1.8l</t>
        </is>
      </c>
      <c r="C112" s="10" t="inlineStr">
        <is>
          <t>En vente</t>
        </is>
      </c>
      <c r="D112" s="18" t="n">
        <v>46285</v>
      </c>
      <c r="E112" s="18" t="n">
        <v>46285</v>
      </c>
      <c r="F112" s="18" t="n">
        <v>46296</v>
      </c>
      <c r="G112" s="18" t="n"/>
      <c r="H112" s="17">
        <f>IF(OR(ISNUMBER(D112),ISNUMBER(E112)),IF(ISNUMBER(G112),G112,F112)-IF(ISNUMBER(D112),D112,E112),"")</f>
        <v/>
      </c>
      <c r="I112" s="12" t="n">
        <v>12500</v>
      </c>
      <c r="J112" s="12" t="n">
        <v>12500</v>
      </c>
      <c r="K112" s="13">
        <f>IF(AND(ISNUMBER(I112),ISNUMBER(J112),I112&gt;0),1-J112/I112,"")</f>
        <v/>
      </c>
      <c r="L112" s="16" t="n">
        <v>0</v>
      </c>
      <c r="M112" s="15" t="n">
        <v>233000</v>
      </c>
      <c r="N112" s="16" t="n">
        <v>1995</v>
      </c>
      <c r="O112" s="10" t="inlineStr">
        <is>
          <t>1</t>
        </is>
      </c>
      <c r="P112" s="10" t="inlineStr">
        <is>
          <t>1</t>
        </is>
      </c>
      <c r="Q112" s="16" t="n">
        <v>130</v>
      </c>
      <c r="R112" s="16" t="n">
        <v>10</v>
      </c>
      <c r="S112" s="10" t="inlineStr">
        <is>
          <t>noir</t>
        </is>
      </c>
      <c r="T112" s="16" t="n">
        <v>2</v>
      </c>
      <c r="U112" s="10" t="n"/>
      <c r="V112" s="10" t="n"/>
      <c r="W112" s="10" t="inlineStr">
        <is>
          <t>Particulier</t>
        </is>
      </c>
      <c r="X112" s="10" t="inlineStr">
        <is>
          <t>Tilly-sur-Seulles</t>
        </is>
      </c>
      <c r="Y112" s="10" t="inlineStr">
        <is>
          <t>14250</t>
        </is>
      </c>
      <c r="Z112" s="10" t="inlineStr">
        <is>
          <t>Calvados</t>
        </is>
      </c>
      <c r="AA112" s="10" t="inlineStr">
        <is>
          <t>Basse-Normandie</t>
        </is>
      </c>
      <c r="AB112" s="16" t="n"/>
      <c r="AC112" s="16" t="n"/>
      <c r="AD112" s="10" t="n"/>
      <c r="AE112"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F112" s="10" t="inlineStr">
        <is>
          <t>1 : 1 ; 2 : 2 ; 1995 : 1995 ; 13000 : 13000 ; 715282 : 715282 ; https://img.leboncoin.fr/api/v1/tenants/9a6387a1-6259-4f2c-a887-7e67f23dd4cb/domains/20bda58f-d650-462e-a72a-a5a7ecf2bf88/buckets/21d2b0bc-e54c-4b64-a30b-89127b18b785/images/profile/pictures/default/b96efb35-ad64-5e3e-8e62-e70c3f91924e?rule=pp-small : https://img.leboncoin.fr/api/v1/tenants/9a6387a1-6259-4f2c-a887-7e67f23dd4cb/domains/20bda58f-d650-462e-a72a-a5a7ecf2bf88/buckets/21d2b0bc-e54c-4b64-a30b-89127b18b785/images/profile/pictures/default/b96efb35-ad64-5e3e-8e62-e70c3f91924e?rule=pp-small ; Mazda : Mazda ; Mx-5 : Mx-5 ; MAZDA : MAZDA ; MX-5 : MAZDA_MX-5 ; 233000 km : 233000 ; Essence : 1 ; Manuelle : 1 ; Base : MAZDA_MX-5_Base ; Base_MX-5 1.8 130ch : Base_MX-5 1.8 130ch ; 04/1995 : 04/1995 ; Cabriolet : cabriolet ; Noir : noir ; 10 Cv : 10 ; 130 Ch : 130 ; Avec permis : avecpermis ; credit_card : credit_card ; false : false ; true : true ; u_car_brand : MAZDA ; u_car_model : MX-5 ; u_car_finition : Base ; u_car_version : Base_MX-5 1.8 130ch ; vehicle_upholstery : Tout cuir ; vehicle_vsp : Avec permis ; vehicle_available_payment_methods : credit_card ; is_import : false ; old_price : 13000 ; vehicle_is_eligible_p2p : 2 ; argus_object_id : 715282 ; licence_plate_available : true</t>
        </is>
      </c>
      <c r="AG112" s="19" t="inlineStr">
        <is>
          <t>Voir</t>
        </is>
      </c>
      <c r="AH112" s="10" t="inlineStr">
        <is>
          <t>3237501387</t>
        </is>
      </c>
    </row>
    <row r="113">
      <c r="A113" s="10" t="inlineStr">
        <is>
          <t>Mazda MX-5 NA</t>
        </is>
      </c>
      <c r="B113" s="10" t="inlineStr">
        <is>
          <t>Mazda mx5</t>
        </is>
      </c>
      <c r="C113" s="10" t="inlineStr">
        <is>
          <t>En vente</t>
        </is>
      </c>
      <c r="D113" s="18" t="n">
        <v>46257</v>
      </c>
      <c r="E113" s="18" t="n">
        <v>46257</v>
      </c>
      <c r="F113" s="18" t="n">
        <v>46296</v>
      </c>
      <c r="G113" s="18" t="n"/>
      <c r="H113" s="17">
        <f>IF(OR(ISNUMBER(D113),ISNUMBER(E113)),IF(ISNUMBER(G113),G113,F113)-IF(ISNUMBER(D113),D113,E113),"")</f>
        <v/>
      </c>
      <c r="I113" s="12" t="n">
        <v>9500</v>
      </c>
      <c r="J113" s="12" t="n">
        <v>9500</v>
      </c>
      <c r="K113" s="13">
        <f>IF(AND(ISNUMBER(I113),ISNUMBER(J113),I113&gt;0),1-J113/I113,"")</f>
        <v/>
      </c>
      <c r="L113" s="16" t="n">
        <v>0</v>
      </c>
      <c r="M113" s="15" t="n">
        <v>120000</v>
      </c>
      <c r="N113" s="16" t="n">
        <v>1990</v>
      </c>
      <c r="O113" s="10" t="inlineStr">
        <is>
          <t>1</t>
        </is>
      </c>
      <c r="P113" s="10" t="inlineStr">
        <is>
          <t>1</t>
        </is>
      </c>
      <c r="Q113" s="16" t="n">
        <v>116</v>
      </c>
      <c r="R113" s="16" t="n">
        <v>8</v>
      </c>
      <c r="S113" s="10" t="inlineStr">
        <is>
          <t>autre</t>
        </is>
      </c>
      <c r="T113" s="16" t="n">
        <v>2</v>
      </c>
      <c r="U113" s="10" t="n"/>
      <c r="V113" s="10" t="n"/>
      <c r="W113" s="10" t="inlineStr">
        <is>
          <t>Particulier</t>
        </is>
      </c>
      <c r="X113" s="10" t="inlineStr">
        <is>
          <t>Aumagne</t>
        </is>
      </c>
      <c r="Y113" s="10" t="inlineStr">
        <is>
          <t>17770</t>
        </is>
      </c>
      <c r="Z113" s="10" t="inlineStr">
        <is>
          <t>Charente-Maritime</t>
        </is>
      </c>
      <c r="AA113" s="10" t="inlineStr">
        <is>
          <t>Poitou-Charentes</t>
        </is>
      </c>
      <c r="AB113" s="16" t="n"/>
      <c r="AC113" s="16" t="n"/>
      <c r="AD113" s="10" t="n"/>
      <c r="AE113" s="10" t="inlineStr">
        <is>
          <t>Je vends ma mx5, il y a une capote à refaire (vitre arrière cassée) je la vends comme ça elle ne sera pas fait pour la vente, elle reste négociable, si vous souhaitez plus d’informations il ne faut pas hésiter</t>
        </is>
      </c>
      <c r="AF113" s="10" t="inlineStr">
        <is>
          <t>1 : 1 ; 2 : 2 ; 9 : 9 ; 1990 : 1990 ; https://img.leboncoin.fr/api/v1/tenants/9a6387a1-6259-4f2c-a887-7e67f23dd4cb/domains/20bda58f-d650-462e-a72a-a5a7ecf2bf88/buckets/21d2b0bc-e54c-4b64-a30b-89127b18b785/images/profile/pictures/default/1f058483-6bca-568f-8cc3-dc188d715a74?rule=pp-small : https://img.leboncoin.fr/api/v1/tenants/9a6387a1-6259-4f2c-a887-7e67f23dd4cb/domains/20bda58f-d650-462e-a72a-a5a7ecf2bf88/buckets/21d2b0bc-e54c-4b64-a30b-89127b18b785/images/profile/pictures/default/1f058483-6bca-568f-8cc3-dc188d715a74?rule=pp-small ; Mazda : Mazda ; Mx-5 : Mx-5 ; MAZDA : MAZDA ; MX-5 : MAZDA_MX-5 ; 120000 km : 120000 ; Essence : 1 ; Manuelle : 1 ; 06/1990 : 06/1990 ; Cabriolet : cabriolet ; Autre : autre ; 8 Cv : 8 ; 116 Ch : 116 ; Avec permis : avecpermis ; credit_card : credit_card ; false : false ; https://autoviza.fr/report/report?uid=52cc9f7c-a702-45f0-bd8a-cd9394ee36d6 : https://autoviza.fr/report/report?uid=52cc9f7c-a702-45f0-bd8a-cd9394ee36d6 ; true : true ; rating_score : 1 ; rating_count : 9 ; u_car_brand : MAZDA ; u_car_model : MX-5 ; vehicle_vsp : Avec permis ; vehicle_available_payment_methods : credit_card ; is_import : false ; vehicle_is_eligible_p2p : 2 ; vehicle_history_report_public_url : https://autoviza.fr/report/report?uid=52cc9f7c-a702-45f0-bd8a-cd9394ee36d6 ; licence_plate_available : true</t>
        </is>
      </c>
      <c r="AG113" s="19" t="inlineStr">
        <is>
          <t>Voir</t>
        </is>
      </c>
      <c r="AH113" s="10" t="inlineStr">
        <is>
          <t>3255091039</t>
        </is>
      </c>
    </row>
    <row r="114">
      <c r="A114" s="10" t="inlineStr">
        <is>
          <t>Mazda MX-5 NA</t>
        </is>
      </c>
      <c r="B114" s="10" t="inlineStr">
        <is>
          <t>Mazda MX5</t>
        </is>
      </c>
      <c r="C114" s="10" t="inlineStr">
        <is>
          <t>En vente</t>
        </is>
      </c>
      <c r="D114" s="18" t="n">
        <v>46265</v>
      </c>
      <c r="E114" s="18" t="n">
        <v>46265</v>
      </c>
      <c r="F114" s="18" t="n">
        <v>46296</v>
      </c>
      <c r="G114" s="18" t="n"/>
      <c r="H114" s="17">
        <f>IF(OR(ISNUMBER(D114),ISNUMBER(E114)),IF(ISNUMBER(G114),G114,F114)-IF(ISNUMBER(D114),D114,E114),"")</f>
        <v/>
      </c>
      <c r="I114" s="12" t="n">
        <v>11500</v>
      </c>
      <c r="J114" s="12" t="n">
        <v>11500</v>
      </c>
      <c r="K114" s="13">
        <f>IF(AND(ISNUMBER(I114),ISNUMBER(J114),I114&gt;0),1-J114/I114,"")</f>
        <v/>
      </c>
      <c r="L114" s="16" t="n">
        <v>0</v>
      </c>
      <c r="M114" s="15" t="n">
        <v>164000</v>
      </c>
      <c r="N114" s="16" t="n">
        <v>1998</v>
      </c>
      <c r="O114" s="10" t="inlineStr">
        <is>
          <t>1</t>
        </is>
      </c>
      <c r="P114" s="10" t="inlineStr">
        <is>
          <t>1</t>
        </is>
      </c>
      <c r="Q114" s="16" t="n">
        <v>110</v>
      </c>
      <c r="R114" s="16" t="n">
        <v>8</v>
      </c>
      <c r="S114" s="10" t="inlineStr">
        <is>
          <t>vert</t>
        </is>
      </c>
      <c r="T114" s="16" t="n">
        <v>2</v>
      </c>
      <c r="U114" s="10" t="n"/>
      <c r="V114" s="10" t="inlineStr">
        <is>
          <t>6</t>
        </is>
      </c>
      <c r="W114" s="10" t="inlineStr">
        <is>
          <t>Particulier</t>
        </is>
      </c>
      <c r="X114" s="10" t="inlineStr">
        <is>
          <t>Renaison</t>
        </is>
      </c>
      <c r="Y114" s="10" t="inlineStr">
        <is>
          <t>42370</t>
        </is>
      </c>
      <c r="Z114" s="10" t="inlineStr">
        <is>
          <t>Loire</t>
        </is>
      </c>
      <c r="AA114" s="10" t="inlineStr">
        <is>
          <t>Rhône-Alpes</t>
        </is>
      </c>
      <c r="AB114" s="16" t="n"/>
      <c r="AC114" s="16" t="n"/>
      <c r="AD114" s="10" t="n"/>
      <c r="AE114" s="10" t="inlineStr">
        <is>
          <t>Vends Mazda MX5 totalisant 164000km. Très bon état carroserie et intérieur. Embrayage MAZDA neuf. 4 pneus très récents. Le CT sera passé pour la vente.</t>
        </is>
      </c>
      <c r="AF114" s="10" t="inlineStr">
        <is>
          <t>1 : 1 ; 2 : 2 ; 1998 : 1998 ; 715288 : 715288 ; https://img.leboncoin.fr/api/v1/tenants/9a6387a1-6259-4f2c-a887-7e67f23dd4cb/domains/20bda58f-d650-462e-a72a-a5a7ecf2bf88/buckets/21d2b0bc-e54c-4b64-a30b-89127b18b785/images/profile/pictures/default/8184f219-da52-54b5-a3be-12bdb7ffbf5a?rule=pp-small : https://img.leboncoin.fr/api/v1/tenants/9a6387a1-6259-4f2c-a887-7e67f23dd4cb/domains/20bda58f-d650-462e-a72a-a5a7ecf2bf88/buckets/21d2b0bc-e54c-4b64-a30b-89127b18b785/images/profile/pictures/default/8184f219-da52-54b5-a3be-12bdb7ffbf5a?rule=pp-small ; Mazda : Mazda ; Mx-5 : Mx-5 ; MAZDA : MAZDA ; MX-5 : MAZDA_MX-5 ; 164000 km : 164000 ; Essence : 1 ; Manuelle : 1 ; Base : MAZDA_MX-5_Base ; Base_MX-5 1.6 110ch : Base_MX-5 1.6 110ch ; Oui : true ; 07/1998 : 07/1998 ; Cabriolet : cabriolet ; Vert : vert ; Non classé : 6 ; 8 Cv : 8 ; 110 Ch : 110 ; Avec permis : avecpermis ; credit_card : credit_card ; false : false ; true : true ; rating_score : 1 ; rating_count : 1 ; u_car_brand : MAZDA ; u_car_model : MX-5 ; u_car_finition : Base ; u_car_version : Base_MX-5 1.6 110ch ; vehicle_technical_inspection_valid : Oui ; vehicle_upholstery : Tissu ; vehicle_maintenance : Carnet d'entretien disponible, Factures disponibles, Réparations utiles déjà faites ; vehicle_vsp : Avec permis ; vehicle_available_payment_methods : credit_card ; is_import : false ; vehicle_is_eligible_p2p : 2 ; argus_object_id : 715288 ; licence_plate_available : true</t>
        </is>
      </c>
      <c r="AG114" s="19" t="inlineStr">
        <is>
          <t>Voir</t>
        </is>
      </c>
      <c r="AH114" s="10" t="inlineStr">
        <is>
          <t>3260415699</t>
        </is>
      </c>
    </row>
    <row r="115">
      <c r="A115" s="10" t="inlineStr">
        <is>
          <t>Mazda MX-5 NA</t>
        </is>
      </c>
      <c r="B115" s="10" t="inlineStr">
        <is>
          <t>Mazda Mx5 miata na</t>
        </is>
      </c>
      <c r="C115" s="10" t="inlineStr">
        <is>
          <t>En vente</t>
        </is>
      </c>
      <c r="D115" s="18" t="n">
        <v>46265</v>
      </c>
      <c r="E115" s="18" t="n">
        <v>46265</v>
      </c>
      <c r="F115" s="18" t="n">
        <v>46296</v>
      </c>
      <c r="G115" s="18" t="n"/>
      <c r="H115" s="17">
        <f>IF(OR(ISNUMBER(D115),ISNUMBER(E115)),IF(ISNUMBER(G115),G115,F115)-IF(ISNUMBER(D115),D115,E115),"")</f>
        <v/>
      </c>
      <c r="I115" s="12" t="n">
        <v>11500</v>
      </c>
      <c r="J115" s="12" t="n">
        <v>11500</v>
      </c>
      <c r="K115" s="13">
        <f>IF(AND(ISNUMBER(I115),ISNUMBER(J115),I115&gt;0),1-J115/I115,"")</f>
        <v/>
      </c>
      <c r="L115" s="16" t="n">
        <v>0</v>
      </c>
      <c r="M115" s="15" t="n">
        <v>175000</v>
      </c>
      <c r="N115" s="16" t="n">
        <v>1997</v>
      </c>
      <c r="O115" s="10" t="inlineStr">
        <is>
          <t>1</t>
        </is>
      </c>
      <c r="P115" s="10" t="inlineStr">
        <is>
          <t>1</t>
        </is>
      </c>
      <c r="Q115" s="16" t="n">
        <v>90</v>
      </c>
      <c r="R115" s="16" t="n">
        <v>8</v>
      </c>
      <c r="S115" s="10" t="inlineStr">
        <is>
          <t>bleu</t>
        </is>
      </c>
      <c r="T115" s="16" t="n">
        <v>2</v>
      </c>
      <c r="U115" s="10" t="n"/>
      <c r="V115" s="10" t="n"/>
      <c r="W115" s="10" t="inlineStr">
        <is>
          <t>Particulier</t>
        </is>
      </c>
      <c r="X115" s="10" t="inlineStr">
        <is>
          <t>Orgelet</t>
        </is>
      </c>
      <c r="Y115" s="10" t="inlineStr">
        <is>
          <t>39270</t>
        </is>
      </c>
      <c r="Z115" s="10" t="inlineStr">
        <is>
          <t>Jura</t>
        </is>
      </c>
      <c r="AA115" s="10" t="inlineStr">
        <is>
          <t>Franche-Comté</t>
        </is>
      </c>
      <c r="AB115" s="16" t="n"/>
      <c r="AC115" s="16" t="n"/>
      <c r="AD115" s="10" t="n"/>
      <c r="AE115"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F115" s="10" t="inlineStr">
        <is>
          <t>2 : 2 ; 1997 : 1997 ; 2028 : 2028 ; https://img.leboncoin.fr/api/v1/tenants/9a6387a1-6259-4f2c-a887-7e67f23dd4cb/domains/20bda58f-d650-462e-a72a-a5a7ecf2bf88/buckets/21d2b0bc-e54c-4b64-a30b-89127b18b785/images/profile/pictures/default/b74c8bba-b6cc-5f23-aa16-ecee9654d19f?rule=pp-small : https://img.leboncoin.fr/api/v1/tenants/9a6387a1-6259-4f2c-a887-7e67f23dd4cb/domains/20bda58f-d650-462e-a72a-a5a7ecf2bf88/buckets/21d2b0bc-e54c-4b64-a30b-89127b18b785/images/profile/pictures/default/b74c8bba-b6cc-5f23-aa16-ecee9654d19f?rule=pp-small ; Mazda : Mazda ; Mx-5 : Mx-5 ; MAZDA : MAZDA ; MX-5 : MAZDA_MX-5 ; 175000 km : 175000 ; Essence : 1 ; Manuelle : 1 ; Oui : true ; 06/1997 : 06/1997 ; Non endommagé : undamaged ; Cabriolet : cabriolet ; Bleu : bleu ; 8 Cv : 8 ; 90 Ch : 90 ; Avec permis : avecpermis ; credit_card : credit_card ; false : false ; true : true ; u_car_brand : MAZDA ; u_car_model : MX-5 ; vehicle_technical_inspection_valid : Oui ; vehicle_technical_inspection_a : 2028 ; vehicle_damage : Non endommagé ; vehicle_maintenance : Factures disponibles, Réparations utiles déjà faites ; vehicle_vsp : Avec permis ; vehicle_available_payment_methods : credit_card ; is_import : false ; vehicle_is_eligible_p2p : 2 ; licence_plate_available : true</t>
        </is>
      </c>
      <c r="AG115" s="19" t="inlineStr">
        <is>
          <t>Voir</t>
        </is>
      </c>
      <c r="AH115" s="10" t="inlineStr">
        <is>
          <t>3260654659</t>
        </is>
      </c>
    </row>
    <row r="116">
      <c r="A116" s="10" t="inlineStr">
        <is>
          <t>Mazda MX-5 NA</t>
        </is>
      </c>
      <c r="B116" s="10" t="inlineStr">
        <is>
          <t>A vendre mazda mx5</t>
        </is>
      </c>
      <c r="C116" s="10" t="inlineStr">
        <is>
          <t>En vente</t>
        </is>
      </c>
      <c r="D116" s="18" t="n">
        <v>46269</v>
      </c>
      <c r="E116" s="18" t="n">
        <v>46269</v>
      </c>
      <c r="F116" s="18" t="n">
        <v>46296</v>
      </c>
      <c r="G116" s="18" t="n"/>
      <c r="H116" s="17">
        <f>IF(OR(ISNUMBER(D116),ISNUMBER(E116)),IF(ISNUMBER(G116),G116,F116)-IF(ISNUMBER(D116),D116,E116),"")</f>
        <v/>
      </c>
      <c r="I116" s="12" t="n">
        <v>16000</v>
      </c>
      <c r="J116" s="12" t="n">
        <v>16000</v>
      </c>
      <c r="K116" s="13">
        <f>IF(AND(ISNUMBER(I116),ISNUMBER(J116),I116&gt;0),1-J116/I116,"")</f>
        <v/>
      </c>
      <c r="L116" s="16" t="n">
        <v>0</v>
      </c>
      <c r="M116" s="15" t="n">
        <v>162600</v>
      </c>
      <c r="N116" s="16" t="n">
        <v>1991</v>
      </c>
      <c r="O116" s="10" t="inlineStr">
        <is>
          <t>1</t>
        </is>
      </c>
      <c r="P116" s="10" t="inlineStr">
        <is>
          <t>1</t>
        </is>
      </c>
      <c r="Q116" s="16" t="n">
        <v>116</v>
      </c>
      <c r="R116" s="16" t="n">
        <v>8</v>
      </c>
      <c r="S116" s="10" t="inlineStr">
        <is>
          <t>rouge</t>
        </is>
      </c>
      <c r="T116" s="16" t="n">
        <v>2</v>
      </c>
      <c r="U116" s="10" t="n"/>
      <c r="V116" s="10" t="n"/>
      <c r="W116" s="10" t="inlineStr">
        <is>
          <t>Particulier</t>
        </is>
      </c>
      <c r="X116" s="10" t="inlineStr">
        <is>
          <t>Saint-Tropez</t>
        </is>
      </c>
      <c r="Y116" s="10" t="inlineStr">
        <is>
          <t>83990</t>
        </is>
      </c>
      <c r="Z116" s="10" t="inlineStr">
        <is>
          <t>Var</t>
        </is>
      </c>
      <c r="AA116" s="10" t="inlineStr">
        <is>
          <t>Provence-Alpes-Côte d'Azur</t>
        </is>
      </c>
      <c r="AB116" s="16" t="n"/>
      <c r="AC116" s="16" t="n"/>
      <c r="AD116" s="10" t="n"/>
      <c r="AE116" s="10" t="inlineStr">
        <is>
          <t>Bonjour je vends ma Mazda MX5 cabriolé de 1991 . En parfait état Véhicule visible sur Saint Tropez Pour plus de renseignement me contacter</t>
        </is>
      </c>
      <c r="AF116" s="10" t="inlineStr">
        <is>
          <t>2 : 2 ; 1991 : 1991 ; https://img.leboncoin.fr/api/v1/tenants/9a6387a1-6259-4f2c-a887-7e67f23dd4cb/domains/20bda58f-d650-462e-a72a-a5a7ecf2bf88/buckets/21d2b0bc-e54c-4b64-a30b-89127b18b785/images/profile/pictures/default/e7fab9a6-faed-54b3-8451-e41298af1d36?rule=pp-small : https://img.leboncoin.fr/api/v1/tenants/9a6387a1-6259-4f2c-a887-7e67f23dd4cb/domains/20bda58f-d650-462e-a72a-a5a7ecf2bf88/buckets/21d2b0bc-e54c-4b64-a30b-89127b18b785/images/profile/pictures/default/e7fab9a6-faed-54b3-8451-e41298af1d36?rule=pp-small ; Mazda : Mazda ; Mx-5 : Mx-5 ; MAZDA : MAZDA ; MX-5 : MAZDA_MX-5 ; 162600 km : 162600 ; Essence : 1 ; Manuelle : 1 ; 02/1991 : 02/1991 ; Bon état général : good_overall_condition ; Cabriolet : cabriolet ; Rouge : rouge ; 8 Cv : 8 ; 116 Ch : 116 ; Avec permis : avecpermis ; credit_card : credit_card ; false : false ; https://autoviza.fr/report/report?uid=dbe10668-56e7-46c4-aa60-7bf353985724 : https://autoviza.fr/report/report?uid=dbe10668-56e7-46c4-aa60-7bf353985724 ; visible : visible ; true : true ; u_car_brand : MAZDA ; u_car_model : MX-5 ; vehicle_damage : Bon état général ; vehicle_upholstery : Tissu ; vehicle_vsp : Avec permis ; vehicle_available_payment_methods : credit_card ; is_import : false ; vehicle_is_eligible_p2p : 2 ; vehicle_history_report_public_url : https://autoviza.fr/report/report?uid=dbe10668-56e7-46c4-aa60-7bf353985724 ; vehicle_history_report_status : visible ; licence_plate_available : true</t>
        </is>
      </c>
      <c r="AG116" s="19" t="inlineStr">
        <is>
          <t>Voir</t>
        </is>
      </c>
      <c r="AH116" s="10" t="inlineStr">
        <is>
          <t>3262698527</t>
        </is>
      </c>
    </row>
    <row r="117">
      <c r="A117" s="10" t="inlineStr">
        <is>
          <t>Mazda MX-5 NA</t>
        </is>
      </c>
      <c r="B117" s="10" t="inlineStr">
        <is>
          <t>Mazda Mx5 NBFL Hardtop</t>
        </is>
      </c>
      <c r="C117" s="10" t="inlineStr">
        <is>
          <t>En vente</t>
        </is>
      </c>
      <c r="D117" s="18" t="n">
        <v>46270</v>
      </c>
      <c r="E117" s="18" t="n">
        <v>46270</v>
      </c>
      <c r="F117" s="18" t="n">
        <v>46296</v>
      </c>
      <c r="G117" s="18" t="n"/>
      <c r="H117" s="17">
        <f>IF(OR(ISNUMBER(D117),ISNUMBER(E117)),IF(ISNUMBER(G117),G117,F117)-IF(ISNUMBER(D117),D117,E117),"")</f>
        <v/>
      </c>
      <c r="I117" s="12" t="n">
        <v>13000</v>
      </c>
      <c r="J117" s="12" t="n">
        <v>13000</v>
      </c>
      <c r="K117" s="13">
        <f>IF(AND(ISNUMBER(I117),ISNUMBER(J117),I117&gt;0),1-J117/I117,"")</f>
        <v/>
      </c>
      <c r="L117" s="16" t="n">
        <v>0</v>
      </c>
      <c r="M117" s="15" t="n">
        <v>94000</v>
      </c>
      <c r="N117" s="16" t="n">
        <v>1998</v>
      </c>
      <c r="O117" s="10" t="inlineStr">
        <is>
          <t>1</t>
        </is>
      </c>
      <c r="P117" s="10" t="inlineStr">
        <is>
          <t>1</t>
        </is>
      </c>
      <c r="Q117" s="16" t="n">
        <v>110</v>
      </c>
      <c r="R117" s="16" t="n">
        <v>8</v>
      </c>
      <c r="S117" s="10" t="inlineStr">
        <is>
          <t>bleu</t>
        </is>
      </c>
      <c r="T117" s="16" t="n">
        <v>2</v>
      </c>
      <c r="U117" s="10" t="n"/>
      <c r="V117" s="10" t="n"/>
      <c r="W117" s="10" t="inlineStr">
        <is>
          <t>Particulier</t>
        </is>
      </c>
      <c r="X117" s="10" t="inlineStr">
        <is>
          <t>Orchies</t>
        </is>
      </c>
      <c r="Y117" s="10" t="inlineStr">
        <is>
          <t>59310</t>
        </is>
      </c>
      <c r="Z117" s="10" t="inlineStr">
        <is>
          <t>Nord</t>
        </is>
      </c>
      <c r="AA117" s="10" t="inlineStr">
        <is>
          <t>Nord-Pas-de-Calais</t>
        </is>
      </c>
      <c r="AB117" s="16" t="n"/>
      <c r="AC117" s="16" t="n"/>
      <c r="AD117" s="10" t="n"/>
      <c r="AE117"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F117" s="10" t="inlineStr">
        <is>
          <t>1 : 1 ; 2 : 2 ; 1998 : 1998 ; 2028 : 2028 ; https://img.leboncoin.fr/api/v1/tenants/9a6387a1-6259-4f2c-a887-7e67f23dd4cb/domains/20bda58f-d650-462e-a72a-a5a7ecf2bf88/buckets/21d2b0bc-e54c-4b64-a30b-89127b18b785/images/profile/pictures/default/44915059-f9f3-5166-b530-abb75f019cb0?rule=pp-small : https://img.leboncoin.fr/api/v1/tenants/9a6387a1-6259-4f2c-a887-7e67f23dd4cb/domains/20bda58f-d650-462e-a72a-a5a7ecf2bf88/buckets/21d2b0bc-e54c-4b64-a30b-89127b18b785/images/profile/pictures/default/44915059-f9f3-5166-b530-abb75f019cb0?rule=pp-small ; Mazda : Mazda ; Mx-5 : Mx-5 ; MAZDA : MAZDA ; MX-5 : MAZDA_MX-5 ; 94000 km : 94000 ; Essence : 1 ; Manuelle : 1 ; Oui : true ; 06/1998 : 06/1998 ; Traces d’usure normales : normal_wear_and_tear ; Cabriolet : cabriolet ; Bleu : bleu ; 8 Cv : 8 ; 110 Ch : 110 ; Avec permis : avecpermis ; credit_card : credit_card ; false : false ; true : true ; u_car_brand : MAZDA ; u_car_model : MX-5 ; vehicle_technical_inspection_valid : Oui ; vehicle_technical_inspection_a : 2028 ; vehicle_damage : Traces d’usure normales ; vehicle_maintenance : Factures disponibles, Réparations utiles déjà faites ; vehicle_vsp : Avec permis ; vehicle_available_payment_methods : credit_card ; is_import : false ; vehicle_is_eligible_p2p : 2 ; licence_plate_available : true</t>
        </is>
      </c>
      <c r="AG117" s="19" t="inlineStr">
        <is>
          <t>Voir</t>
        </is>
      </c>
      <c r="AH117" s="10" t="inlineStr">
        <is>
          <t>3263224799</t>
        </is>
      </c>
    </row>
    <row r="118">
      <c r="A118" s="10" t="inlineStr">
        <is>
          <t>Mazda MX-5 NA</t>
        </is>
      </c>
      <c r="B118" s="10" t="inlineStr">
        <is>
          <t>1990 Mazda MX5 BBR Turbo</t>
        </is>
      </c>
      <c r="C118" s="10" t="inlineStr">
        <is>
          <t>En vente</t>
        </is>
      </c>
      <c r="D118" s="18" t="n">
        <v>46272</v>
      </c>
      <c r="E118" s="18" t="n">
        <v>46272</v>
      </c>
      <c r="F118" s="18" t="n">
        <v>46296</v>
      </c>
      <c r="G118" s="18" t="n"/>
      <c r="H118" s="17">
        <f>IF(OR(ISNUMBER(D118),ISNUMBER(E118)),IF(ISNUMBER(G118),G118,F118)-IF(ISNUMBER(D118),D118,E118),"")</f>
        <v/>
      </c>
      <c r="I118" s="12" t="n">
        <v>17990</v>
      </c>
      <c r="J118" s="12" t="n">
        <v>17990</v>
      </c>
      <c r="K118" s="13">
        <f>IF(AND(ISNUMBER(I118),ISNUMBER(J118),I118&gt;0),1-J118/I118,"")</f>
        <v/>
      </c>
      <c r="L118" s="16" t="n">
        <v>0</v>
      </c>
      <c r="M118" s="15" t="n">
        <v>205000</v>
      </c>
      <c r="N118" s="16" t="n">
        <v>1990</v>
      </c>
      <c r="O118" s="10" t="inlineStr">
        <is>
          <t>1</t>
        </is>
      </c>
      <c r="P118" s="10" t="inlineStr">
        <is>
          <t>1</t>
        </is>
      </c>
      <c r="Q118" s="16" t="n">
        <v>150</v>
      </c>
      <c r="R118" s="16" t="n">
        <v>10</v>
      </c>
      <c r="S118" s="10" t="inlineStr">
        <is>
          <t>rouge</t>
        </is>
      </c>
      <c r="T118" s="16" t="n">
        <v>2</v>
      </c>
      <c r="U118" s="10" t="n"/>
      <c r="V118" s="10" t="n"/>
      <c r="W118" s="10" t="inlineStr">
        <is>
          <t>Particulier</t>
        </is>
      </c>
      <c r="X118" s="10" t="inlineStr">
        <is>
          <t>Palaiseau</t>
        </is>
      </c>
      <c r="Y118" s="10" t="inlineStr">
        <is>
          <t>91120</t>
        </is>
      </c>
      <c r="Z118" s="10" t="inlineStr">
        <is>
          <t>Essonne</t>
        </is>
      </c>
      <c r="AA118" s="10" t="inlineStr">
        <is>
          <t>Ile-de-France</t>
        </is>
      </c>
      <c r="AB118" s="16" t="n"/>
      <c r="AC118" s="16" t="n"/>
      <c r="AD118" s="10" t="n"/>
      <c r="AE118"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F118" s="10" t="inlineStr">
        <is>
          <t>2 : 2 ; 1990 : 1990 ; https://img.leboncoin.fr/api/v1/tenants/9a6387a1-6259-4f2c-a887-7e67f23dd4cb/domains/20bda58f-d650-462e-a72a-a5a7ecf2bf88/buckets/21d2b0bc-e54c-4b64-a30b-89127b18b785/images/profile/pictures/default/6174951e-cd13-5e3c-a7b8-1fdd0deb3124?rule=pp-small : https://img.leboncoin.fr/api/v1/tenants/9a6387a1-6259-4f2c-a887-7e67f23dd4cb/domains/20bda58f-d650-462e-a72a-a5a7ecf2bf88/buckets/21d2b0bc-e54c-4b64-a30b-89127b18b785/images/profile/pictures/default/6174951e-cd13-5e3c-a7b8-1fdd0deb3124?rule=pp-small ; Mazda : Mazda ; Mx-5 : Mx-5 ; MAZDA : MAZDA ; MX-5 : MAZDA_MX-5 ; 205000 km : 205000 ; Essence : 1 ; Manuelle : 1 ; 01/1990 : 01/1990 ; Cabriolet : cabriolet ; Rouge : rouge ; 10 Cv : 10 ; 150 Ch : 150 ; Avec permis : avecpermis ; credit_card : credit_card ; false : false ; true : true ; u_car_brand : MAZDA ; u_car_model : MX-5 ; vehicle_vsp : Avec permis ; vehicle_available_payment_methods : credit_card ; is_import : false ; vehicle_is_eligible_p2p : 2 ; licence_plate_available : true</t>
        </is>
      </c>
      <c r="AG118" s="19" t="inlineStr">
        <is>
          <t>Voir</t>
        </is>
      </c>
      <c r="AH118" s="10" t="inlineStr">
        <is>
          <t>3265533307</t>
        </is>
      </c>
    </row>
    <row r="119">
      <c r="A119" s="10" t="inlineStr">
        <is>
          <t>Mazda MX-5 NA</t>
        </is>
      </c>
      <c r="B119" s="10" t="inlineStr">
        <is>
          <t>Mazda mx5 BBR turbo</t>
        </is>
      </c>
      <c r="C119" s="10" t="inlineStr">
        <is>
          <t>En vente</t>
        </is>
      </c>
      <c r="D119" s="18" t="n">
        <v>46276</v>
      </c>
      <c r="E119" s="18" t="n">
        <v>46276</v>
      </c>
      <c r="F119" s="18" t="n">
        <v>46296</v>
      </c>
      <c r="G119" s="18" t="n"/>
      <c r="H119" s="17">
        <f>IF(OR(ISNUMBER(D119),ISNUMBER(E119)),IF(ISNUMBER(G119),G119,F119)-IF(ISNUMBER(D119),D119,E119),"")</f>
        <v/>
      </c>
      <c r="I119" s="12" t="n">
        <v>10550</v>
      </c>
      <c r="J119" s="12" t="n">
        <v>10550</v>
      </c>
      <c r="K119" s="13">
        <f>IF(AND(ISNUMBER(I119),ISNUMBER(J119),I119&gt;0),1-J119/I119,"")</f>
        <v/>
      </c>
      <c r="L119" s="16" t="n">
        <v>0</v>
      </c>
      <c r="M119" s="15" t="n">
        <v>157000</v>
      </c>
      <c r="N119" s="16" t="n">
        <v>1994</v>
      </c>
      <c r="O119" s="10" t="inlineStr">
        <is>
          <t>1</t>
        </is>
      </c>
      <c r="P119" s="10" t="inlineStr">
        <is>
          <t>1</t>
        </is>
      </c>
      <c r="Q119" s="16" t="n"/>
      <c r="R119" s="16" t="n"/>
      <c r="S119" s="10" t="n"/>
      <c r="T119" s="16" t="n"/>
      <c r="U119" s="10" t="n"/>
      <c r="V119" s="10" t="n"/>
      <c r="W119" s="10" t="inlineStr">
        <is>
          <t>Pro</t>
        </is>
      </c>
      <c r="X119" s="10" t="inlineStr">
        <is>
          <t>Paris</t>
        </is>
      </c>
      <c r="Y119" s="10" t="inlineStr">
        <is>
          <t>75001</t>
        </is>
      </c>
      <c r="Z119" s="10" t="inlineStr">
        <is>
          <t>Paris</t>
        </is>
      </c>
      <c r="AA119" s="10" t="inlineStr">
        <is>
          <t>Ile-de-France</t>
        </is>
      </c>
      <c r="AB119" s="16" t="n"/>
      <c r="AC119" s="16" t="n"/>
      <c r="AD119" s="10" t="n"/>
      <c r="AE119"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F119" s="10" t="inlineStr">
        <is>
          <t>1 : 1 ; 1994 : 1994 ; 12400 : 12400 ; Mazda : Mazda ; Mx-5 : Mx-5 ; MAZDA : MAZDA ; MX-5 : MAZDA_MX-5 ; 157000 km : 157000 ; Essence : 1 ; Manuelle : 1 ; Avec permis : avecpermis ; false : false ; Non : false ; Non renseignée : non_renseignee ; activity_sector : 1 ; u_car_brand : MAZDA ; u_car_model : MX-5 ; vehicle_vsp : Avec permis ; recent_used_vehicle : false ; vehicle_commercial_warranty : Non ; vehicle_manufacturer_warranty : Non ; is_import : false ; old_price : 12400 ; spare_parts_availability : Non renseignée</t>
        </is>
      </c>
      <c r="AG119" s="19" t="inlineStr">
        <is>
          <t>Voir</t>
        </is>
      </c>
      <c r="AH119" s="10" t="inlineStr">
        <is>
          <t>3267479895</t>
        </is>
      </c>
    </row>
    <row r="120">
      <c r="A120" s="10" t="inlineStr">
        <is>
          <t>Mazda MX-5 NA</t>
        </is>
      </c>
      <c r="B120" s="10" t="inlineStr">
        <is>
          <t>Mazda MX5 NA</t>
        </is>
      </c>
      <c r="C120" s="10" t="inlineStr">
        <is>
          <t>En vente</t>
        </is>
      </c>
      <c r="D120" s="18" t="n">
        <v>46278</v>
      </c>
      <c r="E120" s="18" t="n">
        <v>46278</v>
      </c>
      <c r="F120" s="18" t="n">
        <v>46296</v>
      </c>
      <c r="G120" s="18" t="n"/>
      <c r="H120" s="17">
        <f>IF(OR(ISNUMBER(D120),ISNUMBER(E120)),IF(ISNUMBER(G120),G120,F120)-IF(ISNUMBER(D120),D120,E120),"")</f>
        <v/>
      </c>
      <c r="I120" s="12" t="n">
        <v>14000</v>
      </c>
      <c r="J120" s="12" t="n">
        <v>14000</v>
      </c>
      <c r="K120" s="13">
        <f>IF(AND(ISNUMBER(I120),ISNUMBER(J120),I120&gt;0),1-J120/I120,"")</f>
        <v/>
      </c>
      <c r="L120" s="16" t="n">
        <v>0</v>
      </c>
      <c r="M120" s="15" t="n">
        <v>120000</v>
      </c>
      <c r="N120" s="16" t="n">
        <v>1995</v>
      </c>
      <c r="O120" s="10" t="inlineStr">
        <is>
          <t>1</t>
        </is>
      </c>
      <c r="P120" s="10" t="inlineStr">
        <is>
          <t>1</t>
        </is>
      </c>
      <c r="Q120" s="16" t="n">
        <v>90</v>
      </c>
      <c r="R120" s="16" t="n">
        <v>8</v>
      </c>
      <c r="S120" s="10" t="inlineStr">
        <is>
          <t>vert</t>
        </is>
      </c>
      <c r="T120" s="16" t="n">
        <v>2</v>
      </c>
      <c r="U120" s="10" t="n"/>
      <c r="V120" s="10" t="n"/>
      <c r="W120" s="10" t="inlineStr">
        <is>
          <t>Particulier</t>
        </is>
      </c>
      <c r="X120" s="10" t="inlineStr">
        <is>
          <t>Le Mans</t>
        </is>
      </c>
      <c r="Y120" s="10" t="inlineStr">
        <is>
          <t>72000</t>
        </is>
      </c>
      <c r="Z120" s="10" t="inlineStr">
        <is>
          <t>Sarthe</t>
        </is>
      </c>
      <c r="AA120" s="10" t="inlineStr">
        <is>
          <t>Pays de la Loire</t>
        </is>
      </c>
      <c r="AB120" s="16" t="n"/>
      <c r="AC120" s="16" t="n"/>
      <c r="AD120" s="10" t="n"/>
      <c r="AE120"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F120" s="10" t="inlineStr">
        <is>
          <t>1 : 1 ; 2 : 2 ; 8 : 8 ; 1995 : 1995 ; https://img.leboncoin.fr/api/v1/tenants/9a6387a1-6259-4f2c-a887-7e67f23dd4cb/domains/20bda58f-d650-462e-a72a-a5a7ecf2bf88/buckets/21d2b0bc-e54c-4b64-a30b-89127b18b785/images/profile/pictures/default/8503b71f-1dc0-51a9-89b6-6b2f3f6e4fd7?rule=pp-small : https://img.leboncoin.fr/api/v1/tenants/9a6387a1-6259-4f2c-a887-7e67f23dd4cb/domains/20bda58f-d650-462e-a72a-a5a7ecf2bf88/buckets/21d2b0bc-e54c-4b64-a30b-89127b18b785/images/profile/pictures/default/8503b71f-1dc0-51a9-89b6-6b2f3f6e4fd7?rule=pp-small ; Mazda : Mazda ; Mx-5 : Mx-5 ; MAZDA : MAZDA ; MX-5 : MAZDA_MX-5 ; 120000 km : 120000 ; Essence : 1 ; Manuelle : 1 ; Non : false ; 08/1995 : 08/1995 ; Bon état général : good_overall_condition ; Cabriolet : cabriolet ; Vert : vert ; 8 Cv : 8 ; 90 Ch : 90 ; Avec permis : avecpermis ; credit_card : credit_card ; false : false ; true : true ; rating_score : 1 ; rating_count : 8 ; u_car_brand : MAZDA ; u_car_model : MX-5 ; vehicle_technical_inspection_valid : Non ; vehicle_damage : Bon état général ; vehicle_upholstery : Cuir partiel ; vehicle_maintenance : Carnet d'entretien disponible ; vehicle_vsp : Avec permis ; vehicle_available_payment_methods : credit_card ; is_import : false ; vehicle_is_eligible_p2p : 2 ; licence_plate_available : true</t>
        </is>
      </c>
      <c r="AG120" s="19" t="inlineStr">
        <is>
          <t>Voir</t>
        </is>
      </c>
      <c r="AH120" s="10" t="inlineStr">
        <is>
          <t>3268572356</t>
        </is>
      </c>
    </row>
    <row r="121">
      <c r="A121" s="10" t="inlineStr">
        <is>
          <t>Mazda MX-5 NA</t>
        </is>
      </c>
      <c r="B121" s="10" t="inlineStr">
        <is>
          <t>Mazda MX5 NA</t>
        </is>
      </c>
      <c r="C121" s="10" t="inlineStr">
        <is>
          <t>En vente</t>
        </is>
      </c>
      <c r="D121" s="18" t="n">
        <v>46278</v>
      </c>
      <c r="E121" s="18" t="n">
        <v>46278</v>
      </c>
      <c r="F121" s="18" t="n">
        <v>46296</v>
      </c>
      <c r="G121" s="18" t="n"/>
      <c r="H121" s="17">
        <f>IF(OR(ISNUMBER(D121),ISNUMBER(E121)),IF(ISNUMBER(G121),G121,F121)-IF(ISNUMBER(D121),D121,E121),"")</f>
        <v/>
      </c>
      <c r="I121" s="12" t="n">
        <v>6000</v>
      </c>
      <c r="J121" s="12" t="n">
        <v>6000</v>
      </c>
      <c r="K121" s="13">
        <f>IF(AND(ISNUMBER(I121),ISNUMBER(J121),I121&gt;0),1-J121/I121,"")</f>
        <v/>
      </c>
      <c r="L121" s="16" t="n">
        <v>0</v>
      </c>
      <c r="M121" s="15" t="n">
        <v>124100</v>
      </c>
      <c r="N121" s="16" t="n">
        <v>1991</v>
      </c>
      <c r="O121" s="10" t="inlineStr">
        <is>
          <t>1</t>
        </is>
      </c>
      <c r="P121" s="10" t="inlineStr">
        <is>
          <t>1</t>
        </is>
      </c>
      <c r="Q121" s="16" t="n">
        <v>116</v>
      </c>
      <c r="R121" s="16" t="n">
        <v>8</v>
      </c>
      <c r="S121" s="10" t="inlineStr">
        <is>
          <t>rouge</t>
        </is>
      </c>
      <c r="T121" s="16" t="n">
        <v>2</v>
      </c>
      <c r="U121" s="10" t="n"/>
      <c r="V121" s="10" t="n"/>
      <c r="W121" s="10" t="inlineStr">
        <is>
          <t>Particulier</t>
        </is>
      </c>
      <c r="X121" s="10" t="inlineStr">
        <is>
          <t>Binic-Étables-sur-Mer</t>
        </is>
      </c>
      <c r="Y121" s="10" t="inlineStr">
        <is>
          <t>22680</t>
        </is>
      </c>
      <c r="Z121" s="10" t="inlineStr">
        <is>
          <t>Côtes-d'Armor</t>
        </is>
      </c>
      <c r="AA121" s="10" t="inlineStr">
        <is>
          <t>Bretagne</t>
        </is>
      </c>
      <c r="AB121" s="16" t="n"/>
      <c r="AC121" s="16" t="n"/>
      <c r="AD121" s="10" t="n"/>
      <c r="AE121" s="10" t="inlineStr">
        <is>
          <t>Mazda MX5, type NA, MEC 21 O2 1991. Vendu pour autre projet Vendu avec porte bagages chrome, et embrayage neuf sous emballage. Joli projet de renovation.</t>
        </is>
      </c>
      <c r="AF121" s="10" t="inlineStr">
        <is>
          <t>1 : 1 ; 2 : 2 ; 3 : 3 ; 1991 : 1991 ; 715280 : 715280 ; https://img.leboncoin.fr/api/v1/tenants/9a6387a1-6259-4f2c-a887-7e67f23dd4cb/domains/20bda58f-d650-462e-a72a-a5a7ecf2bf88/buckets/21d2b0bc-e54c-4b64-a30b-89127b18b785/images/profile/pictures/default/f9b805df-02c5-5b51-af21-7fda4514c104?rule=pp-small : https://img.leboncoin.fr/api/v1/tenants/9a6387a1-6259-4f2c-a887-7e67f23dd4cb/domains/20bda58f-d650-462e-a72a-a5a7ecf2bf88/buckets/21d2b0bc-e54c-4b64-a30b-89127b18b785/images/profile/pictures/default/f9b805df-02c5-5b51-af21-7fda4514c104?rule=pp-small ; Mazda : Mazda ; Mx-5 : Mx-5 ; MAZDA : MAZDA ; MX-5 : MAZDA_MX-5 ; 124100 km : 124100 ; Essence : 1 ; Manuelle : 1 ; Base : MAZDA_MX-5_Base ; Base_MX-5 1.6 : Base_MX-5 1.6 ; 02/1991 : 02/1991 ; Non roulant : not_drivable ; Cabriolet : cabriolet ; Rouge : rouge ; 8 Cv : 8 ; 116 Ch : 116 ; Avec permis : avecpermis ; credit_card : credit_card ; false : false ; https://autoviza.fr/report/report?uid=879568aa-f0e7-499f-bc0a-daf44c534d98 : https://autoviza.fr/report/report?uid=879568aa-f0e7-499f-bc0a-daf44c534d98 ; true : true ; rating_score : 1 ; rating_count : 3 ; u_car_brand : MAZDA ; u_car_model : MX-5 ; u_car_finition : Base ; u_car_version : Base_MX-5 1.6 ; vehicle_damage : Non roulant ; vehicle_upholstery : Tissu ; vehicle_vsp : Avec permis ; vehicle_available_payment_methods : credit_card ; is_import : false ; vehicle_is_eligible_p2p : 2 ; vehicle_history_report_public_url : https://autoviza.fr/report/report?uid=879568aa-f0e7-499f-bc0a-daf44c534d98 ; argus_object_id : 715280 ; licence_plate_available : true</t>
        </is>
      </c>
      <c r="AG121" s="19" t="inlineStr">
        <is>
          <t>Voir</t>
        </is>
      </c>
      <c r="AH121" s="10" t="inlineStr">
        <is>
          <t>3268726676</t>
        </is>
      </c>
    </row>
    <row r="122">
      <c r="A122" s="10" t="inlineStr">
        <is>
          <t>Mazda MX-5 NA</t>
        </is>
      </c>
      <c r="B122" s="10" t="inlineStr">
        <is>
          <t>Mazda Mx5 Miata 1990</t>
        </is>
      </c>
      <c r="C122" s="10" t="inlineStr">
        <is>
          <t>En vente</t>
        </is>
      </c>
      <c r="D122" s="18" t="n">
        <v>46278</v>
      </c>
      <c r="E122" s="18" t="n">
        <v>46278</v>
      </c>
      <c r="F122" s="18" t="n">
        <v>46296</v>
      </c>
      <c r="G122" s="18" t="n"/>
      <c r="H122" s="17">
        <f>IF(OR(ISNUMBER(D122),ISNUMBER(E122)),IF(ISNUMBER(G122),G122,F122)-IF(ISNUMBER(D122),D122,E122),"")</f>
        <v/>
      </c>
      <c r="I122" s="12" t="n">
        <v>9200</v>
      </c>
      <c r="J122" s="12" t="n">
        <v>9200</v>
      </c>
      <c r="K122" s="13">
        <f>IF(AND(ISNUMBER(I122),ISNUMBER(J122),I122&gt;0),1-J122/I122,"")</f>
        <v/>
      </c>
      <c r="L122" s="16" t="n">
        <v>0</v>
      </c>
      <c r="M122" s="15" t="n">
        <v>110000</v>
      </c>
      <c r="N122" s="16" t="n">
        <v>1990</v>
      </c>
      <c r="O122" s="10" t="inlineStr">
        <is>
          <t>1</t>
        </is>
      </c>
      <c r="P122" s="10" t="inlineStr">
        <is>
          <t>1</t>
        </is>
      </c>
      <c r="Q122" s="16" t="n">
        <v>115</v>
      </c>
      <c r="R122" s="16" t="n">
        <v>8</v>
      </c>
      <c r="S122" s="10" t="inlineStr">
        <is>
          <t>rouge</t>
        </is>
      </c>
      <c r="T122" s="16" t="n">
        <v>2</v>
      </c>
      <c r="U122" s="10" t="n"/>
      <c r="V122" s="10" t="n"/>
      <c r="W122" s="10" t="inlineStr">
        <is>
          <t>Particulier</t>
        </is>
      </c>
      <c r="X122" s="10" t="inlineStr">
        <is>
          <t>Noisy-le-Sec</t>
        </is>
      </c>
      <c r="Y122" s="10" t="inlineStr">
        <is>
          <t>93130</t>
        </is>
      </c>
      <c r="Z122" s="10" t="inlineStr">
        <is>
          <t>Seine-Saint-Denis</t>
        </is>
      </c>
      <c r="AA122" s="10" t="inlineStr">
        <is>
          <t>Ile-de-France</t>
        </is>
      </c>
      <c r="AB122" s="16" t="n"/>
      <c r="AC122" s="16" t="n"/>
      <c r="AD122" s="10" t="inlineStr">
        <is>
          <t>Oui</t>
        </is>
      </c>
      <c r="AE122" s="10" t="inlineStr">
        <is>
          <t>Jolie Mx5 très bon état, premier modèle Démarre au quart de tour Peinture neuve Clim/cuir Distribution pompe à eau faite Vidange moteur /boite /pont Bougies Durites remplacées en préventif Véhicule qui avait pas roulé pendant 10 ans</t>
        </is>
      </c>
      <c r="AF122" s="10" t="inlineStr">
        <is>
          <t>1 : 1 ; 2 : 2 ; 1990 : 1990 ; https://img.leboncoin.fr/api/v1/tenants/9a6387a1-6259-4f2c-a887-7e67f23dd4cb/domains/20bda58f-d650-462e-a72a-a5a7ecf2bf88/buckets/21d2b0bc-e54c-4b64-a30b-89127b18b785/images/profile/pictures/default/c5fa075d-000c-52ca-9878-ab51aee4824c?rule=pp-small : https://img.leboncoin.fr/api/v1/tenants/9a6387a1-6259-4f2c-a887-7e67f23dd4cb/domains/20bda58f-d650-462e-a72a-a5a7ecf2bf88/buckets/21d2b0bc-e54c-4b64-a30b-89127b18b785/images/profile/pictures/default/c5fa075d-000c-52ca-9878-ab51aee4824c?rule=pp-small ; Mazda : Mazda ; Mx-5 : Mx-5 ; MAZDA : MAZDA ; MX-5 : MAZDA_MX-5 ; 110000 km : 110000 ; Essence : 1 ; Manuelle : 1 ; Oui : true ; 01/1990 : 01/1990 ; Bon état général : good_overall_condition ; Cabriolet : cabriolet ; Rouge : rouge ; 8 Cv : 8 ; 115 Ch : 115 ; Avec permis : avecpermis ; credit_card : credit_card ; false : false ; https://autoviza.fr/report/report?uid=fb72e4af-a7bd-4a35-bcb7-e0ec54c1ae67 : https://autoviza.fr/report/report?uid=fb72e4af-a7bd-4a35-bcb7-e0ec54c1ae67 ; visible : visible ; true : true ; rating_score : 1 ; rating_count : 2 ; u_car_brand : MAZDA ; u_car_model : MX-5 ; vehicle_technical_inspection_valid : Oui ; vehicle_damage : Bon état général ; vehicle_upholstery : Tout cuir ; vehicle_maintenance : Réparations utiles déjà faites ; vehicle_vsp : Avec permis ; vehicle_available_payment_methods : credit_card ; is_import : false ; vehicle_is_eligible_p2p : 2 ; vehicle_history_report_public_url : https://autoviza.fr/report/report?uid=fb72e4af-a7bd-4a35-bcb7-e0ec54c1ae67 ; vehicle_history_report_status : visible ; licence_plate_available : true</t>
        </is>
      </c>
      <c r="AG122" s="19" t="inlineStr">
        <is>
          <t>Voir</t>
        </is>
      </c>
      <c r="AH122" s="10" t="inlineStr">
        <is>
          <t>3269222663</t>
        </is>
      </c>
    </row>
    <row r="123">
      <c r="A123" s="10" t="inlineStr">
        <is>
          <t>Mazda MX-5 NA</t>
        </is>
      </c>
      <c r="B123" s="10" t="inlineStr">
        <is>
          <t>MAZDA MX5 NA 1.6L 90CV Montego blue</t>
        </is>
      </c>
      <c r="C123" s="10" t="inlineStr">
        <is>
          <t>En vente</t>
        </is>
      </c>
      <c r="D123" s="18" t="n">
        <v>46280</v>
      </c>
      <c r="E123" s="18" t="n">
        <v>46280</v>
      </c>
      <c r="F123" s="18" t="n">
        <v>46296</v>
      </c>
      <c r="G123" s="18" t="n"/>
      <c r="H123" s="17">
        <f>IF(OR(ISNUMBER(D123),ISNUMBER(E123)),IF(ISNUMBER(G123),G123,F123)-IF(ISNUMBER(D123),D123,E123),"")</f>
        <v/>
      </c>
      <c r="I123" s="12" t="n">
        <v>8750</v>
      </c>
      <c r="J123" s="12" t="n">
        <v>8750</v>
      </c>
      <c r="K123" s="13">
        <f>IF(AND(ISNUMBER(I123),ISNUMBER(J123),I123&gt;0),1-J123/I123,"")</f>
        <v/>
      </c>
      <c r="L123" s="16" t="n">
        <v>0</v>
      </c>
      <c r="M123" s="15" t="n">
        <v>203200</v>
      </c>
      <c r="N123" s="16" t="n">
        <v>1996</v>
      </c>
      <c r="O123" s="10" t="inlineStr">
        <is>
          <t>1</t>
        </is>
      </c>
      <c r="P123" s="10" t="inlineStr">
        <is>
          <t>1</t>
        </is>
      </c>
      <c r="Q123" s="16" t="n">
        <v>90</v>
      </c>
      <c r="R123" s="16" t="n">
        <v>8</v>
      </c>
      <c r="S123" s="10" t="inlineStr">
        <is>
          <t>bleu</t>
        </is>
      </c>
      <c r="T123" s="16" t="n">
        <v>2</v>
      </c>
      <c r="U123" s="10" t="n"/>
      <c r="V123" s="10" t="inlineStr">
        <is>
          <t>3</t>
        </is>
      </c>
      <c r="W123" s="10" t="inlineStr">
        <is>
          <t>Pro</t>
        </is>
      </c>
      <c r="X123" s="10" t="inlineStr">
        <is>
          <t>Vallières-sur-Fier</t>
        </is>
      </c>
      <c r="Y123" s="10" t="inlineStr">
        <is>
          <t>74150</t>
        </is>
      </c>
      <c r="Z123" s="10" t="inlineStr">
        <is>
          <t>Haute-Savoie</t>
        </is>
      </c>
      <c r="AA123" s="10" t="inlineStr">
        <is>
          <t>Rhône-Alpes</t>
        </is>
      </c>
      <c r="AB123" s="16" t="n"/>
      <c r="AC123" s="16" t="n"/>
      <c r="AD123" s="10" t="n"/>
      <c r="AE123"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F123" s="10" t="inlineStr">
        <is>
          <t>0 : 0 ; 1 : 1 ; 2 : 2 ; 3 : 3 ; 169 : 169 ; 1996 : 1996 ; 715281 : 715281 ; Mazda : Mazda ; Mx-5 : Mx-5 ; MAZDA : MAZDA ; MX-5 : MAZDA_MX-5 ; 203200 km : 203200 ; Essence : 1 ; Manuelle : 1 ; Base : MAZDA_MX-5_Base ; MX-5 1.6 90ch : MX-5 1.6 90ch ; Non : false ; 05/1996 : 05/1996 ; Traces d’usure normales : normal_wear_and_tear ; Cabriolet : cabriolet ; Bleu : bleu ; 8 Cv : 8 ; 90 Ch : 90 ; Avec permis : avecpermis ; false : false ; Oui : true ; 6 mois : 6 ; https://autoviza.fr/report/report?uid=5d8a85ea-74b9-46e8-b43d-db7a9a4004eb : https://autoviza.fr/report/report?uid=5d8a85ea-74b9-46e8-b43d-db7a9a4004eb ; visible : visible ; true : true ; Non renseignée : non_renseignee ; activity_sector : 1 ; u_car_brand : MAZDA ; u_car_model : MX-5 ; u_car_finition : Base ; u_car_version : MX-5 1.6 90ch ; vehicle_technical_inspection_valid : Non ; vehicle_damage : Traces d’usure normales ; vehicle_upholstery : Cuir partiel ; vehicle_maintenance : Factures disponibles ; vehicle_interior_specs : Bluetooth, Jantes en alliage, Roue de secours ; vehicle_vsp : Avec permis ; car_contract : Non ; recent_used_vehicle : false ; vehicle_commercial_warranty : Oui ; vehicle_commercial_warranty_duration : 6 mois ; vehicle_commercial_warranty_extendable : Non ; vehicle_manufacturer_warranty : Non ; custom_ref : 169 ; is_import : false ; vehicle_history_report_public_url : https://autoviza.fr/report/report?uid=5d8a85ea-74b9-46e8-b43d-db7a9a4004eb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argus_object_id : 715281 ; spare_parts_availability : Non renseignée ; licence_plate_available : true</t>
        </is>
      </c>
      <c r="AG123" s="19" t="inlineStr">
        <is>
          <t>Voir</t>
        </is>
      </c>
      <c r="AH123" s="10" t="inlineStr">
        <is>
          <t>3269876574</t>
        </is>
      </c>
    </row>
    <row r="124">
      <c r="A124" s="10" t="inlineStr">
        <is>
          <t>Mazda MX-5 NA</t>
        </is>
      </c>
      <c r="B124" s="10" t="inlineStr">
        <is>
          <t>Mazda mx5 na 1.6 115cv hard top</t>
        </is>
      </c>
      <c r="C124" s="10" t="inlineStr">
        <is>
          <t>En vente</t>
        </is>
      </c>
      <c r="D124" s="18" t="n">
        <v>46280</v>
      </c>
      <c r="E124" s="18" t="n">
        <v>46280</v>
      </c>
      <c r="F124" s="18" t="n">
        <v>46296</v>
      </c>
      <c r="G124" s="18" t="n"/>
      <c r="H124" s="17">
        <f>IF(OR(ISNUMBER(D124),ISNUMBER(E124)),IF(ISNUMBER(G124),G124,F124)-IF(ISNUMBER(D124),D124,E124),"")</f>
        <v/>
      </c>
      <c r="I124" s="12" t="n">
        <v>15900</v>
      </c>
      <c r="J124" s="12" t="n">
        <v>15900</v>
      </c>
      <c r="K124" s="13">
        <f>IF(AND(ISNUMBER(I124),ISNUMBER(J124),I124&gt;0),1-J124/I124,"")</f>
        <v/>
      </c>
      <c r="L124" s="16" t="n">
        <v>0</v>
      </c>
      <c r="M124" s="15" t="n">
        <v>138200</v>
      </c>
      <c r="N124" s="16" t="n">
        <v>1992</v>
      </c>
      <c r="O124" s="10" t="inlineStr">
        <is>
          <t>1</t>
        </is>
      </c>
      <c r="P124" s="10" t="inlineStr">
        <is>
          <t>1</t>
        </is>
      </c>
      <c r="Q124" s="16" t="n">
        <v>115</v>
      </c>
      <c r="R124" s="16" t="n">
        <v>8</v>
      </c>
      <c r="S124" s="10" t="inlineStr">
        <is>
          <t>noir</t>
        </is>
      </c>
      <c r="T124" s="16" t="n">
        <v>2</v>
      </c>
      <c r="U124" s="10" t="n"/>
      <c r="V124" s="10" t="inlineStr">
        <is>
          <t>3</t>
        </is>
      </c>
      <c r="W124" s="10" t="inlineStr">
        <is>
          <t>Pro</t>
        </is>
      </c>
      <c r="X124" s="10" t="inlineStr">
        <is>
          <t>Vallières-sur-Fier</t>
        </is>
      </c>
      <c r="Y124" s="10" t="inlineStr">
        <is>
          <t>74150</t>
        </is>
      </c>
      <c r="Z124" s="10" t="inlineStr">
        <is>
          <t>Haute-Savoie</t>
        </is>
      </c>
      <c r="AA124" s="10" t="inlineStr">
        <is>
          <t>Rhône-Alpes</t>
        </is>
      </c>
      <c r="AB124" s="16" t="n"/>
      <c r="AC124" s="16" t="n"/>
      <c r="AD124" s="10" t="n"/>
      <c r="AE124"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F124" s="10" t="inlineStr">
        <is>
          <t>0 : 0 ; 1 : 1 ; 2 : 2 ; 3 : 3 ; 170 : 170 ; 1992 : 1992 ; 2028 : 2028 ; Mazda : Mazda ; Mx-5 : Mx-5 ; MAZDA : MAZDA ; MX-5 : MAZDA_MX-5 ; 138200 km : 138200 ; Essence : 1 ; Manuelle : 1 ; Oui : true ; 05/1992 : 05/1992 ; Bon état général : good_overall_condition ; Cabriolet : cabriolet ; Noir : noir ; 8 Cv : 8 ; 115 Ch : 115 ; Avec permis : avecpermis ; false : false ; 6 mois : 6 ; Non : false ; https://autoviza.fr/report/report?uid=cd78996f-f2a2-4d3e-b58c-2ed6526f4f18 : https://autoviza.fr/report/report?uid=cd78996f-f2a2-4d3e-b58c-2ed6526f4f18 ; visible : visible ; true : true ; Non renseignée : non_renseignee ; activity_sector : 1 ; u_car_brand : MAZDA ; u_car_model : MX-5 ; vehicle_technical_inspection_valid : Oui ; vehicle_technical_inspection_a : 2028 ; vehicle_damage : Bon état général ; vehicle_upholstery : Tout cuir ; vehicle_maintenance : Factures disponibles ; vehicle_interior_specs : Bluetooth, Jantes en alliage ; vehicle_vsp : Avec permis ; recent_used_vehicle : false ; vehicle_commercial_warranty : Oui ; vehicle_commercial_warranty_duration : 6 mois ; vehicle_commercial_warranty_extendable : Non ; custom_ref : 170 ; is_import : false ; vehicle_history_report_public_url : https://autoviza.fr/report/report?uid=cd78996f-f2a2-4d3e-b58c-2ed6526f4f18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 ; licence_plate_available : true</t>
        </is>
      </c>
      <c r="AG124" s="19" t="inlineStr">
        <is>
          <t>Voir</t>
        </is>
      </c>
      <c r="AH124" s="10" t="inlineStr">
        <is>
          <t>3269880037</t>
        </is>
      </c>
    </row>
    <row r="125">
      <c r="A125" s="10" t="inlineStr">
        <is>
          <t>Mazda MX-5 NA</t>
        </is>
      </c>
      <c r="B125" s="10" t="inlineStr">
        <is>
          <t>Mazda mx5 na 1.8l 130cv</t>
        </is>
      </c>
      <c r="C125" s="10" t="inlineStr">
        <is>
          <t>En vente</t>
        </is>
      </c>
      <c r="D125" s="18" t="n">
        <v>46280</v>
      </c>
      <c r="E125" s="18" t="n">
        <v>46280</v>
      </c>
      <c r="F125" s="18" t="n">
        <v>46296</v>
      </c>
      <c r="G125" s="18" t="n"/>
      <c r="H125" s="17">
        <f>IF(OR(ISNUMBER(D125),ISNUMBER(E125)),IF(ISNUMBER(G125),G125,F125)-IF(ISNUMBER(D125),D125,E125),"")</f>
        <v/>
      </c>
      <c r="I125" s="12" t="n">
        <v>15990</v>
      </c>
      <c r="J125" s="12" t="n">
        <v>15990</v>
      </c>
      <c r="K125" s="13">
        <f>IF(AND(ISNUMBER(I125),ISNUMBER(J125),I125&gt;0),1-J125/I125,"")</f>
        <v/>
      </c>
      <c r="L125" s="16" t="n">
        <v>0</v>
      </c>
      <c r="M125" s="15" t="n">
        <v>151800</v>
      </c>
      <c r="N125" s="16" t="n">
        <v>1995</v>
      </c>
      <c r="O125" s="10" t="inlineStr">
        <is>
          <t>1</t>
        </is>
      </c>
      <c r="P125" s="10" t="inlineStr">
        <is>
          <t>1</t>
        </is>
      </c>
      <c r="Q125" s="16" t="n">
        <v>130</v>
      </c>
      <c r="R125" s="16" t="n">
        <v>10</v>
      </c>
      <c r="S125" s="10" t="inlineStr">
        <is>
          <t>rouge</t>
        </is>
      </c>
      <c r="T125" s="16" t="n">
        <v>2</v>
      </c>
      <c r="U125" s="10" t="n"/>
      <c r="V125" s="10" t="inlineStr">
        <is>
          <t>3</t>
        </is>
      </c>
      <c r="W125" s="10" t="inlineStr">
        <is>
          <t>Pro</t>
        </is>
      </c>
      <c r="X125" s="10" t="inlineStr">
        <is>
          <t>Vallières-sur-Fier</t>
        </is>
      </c>
      <c r="Y125" s="10" t="inlineStr">
        <is>
          <t>74150</t>
        </is>
      </c>
      <c r="Z125" s="10" t="inlineStr">
        <is>
          <t>Haute-Savoie</t>
        </is>
      </c>
      <c r="AA125" s="10" t="inlineStr">
        <is>
          <t>Rhône-Alpes</t>
        </is>
      </c>
      <c r="AB125" s="16" t="n"/>
      <c r="AC125" s="16" t="n"/>
      <c r="AD125" s="10" t="n"/>
      <c r="AE125"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F125" s="10" t="inlineStr">
        <is>
          <t>0 : 0 ; 1 : 1 ; 2 : 2 ; 3 : 3 ; 4 : 4 ; 165 : 165 ; 1995 : 1995 ; 2028 : 2028 ; 715282 : 715282 ; Mazda : Mazda ; Mx-5 : Mx-5 ; MAZDA : MAZDA ; MX-5 : MAZDA_MX-5 ; 151800 km : 151800 ; Essence : 1 ; Manuelle : 1 ; Base : MAZDA_MX-5_Base ; MX-5 1.8 130ch : MX-5 1.8 130ch ; Oui : true ; 03/1995 : 03/1995 ; Bon état général : good_overall_condition ; Cabriolet : cabriolet ; Rouge : rouge ; 10 Cv : 10 ; 130 Ch : 130 ; Avec permis : avecpermis ; false : false ; 6 mois : 6 ; Non : false ; https://autoviza.fr/report/report?uid=2046c2c9-5b30-4a87-a9f5-8101dbcc54ff : https://autoviza.fr/report/report?uid=2046c2c9-5b30-4a87-a9f5-8101dbcc54ff ; visible : visible ; true : true ; Non renseignée : non_renseignee ; activity_sector : 1 ; u_car_brand : MAZDA ; u_car_model : MX-5 ; u_car_finition : Base ; u_car_version : MX-5 1.8 130ch ; vehicle_technical_inspection_valid : Oui ; vehicle_technical_inspection_a : 2028 ; vehicle_damage : Bon état général ; vehicle_upholstery : Tissu ; vehicle_maintenance : Factures disponibles ; vehicle_interior_specs : Jantes en alliage ; vehicle_vsp : Avec permis ; recent_used_vehicle : false ; vehicle_commercial_warranty : Oui ; vehicle_commercial_warranty_duration : 6 mois ; vehicle_commercial_warranty_extendable : Non ; custom_ref : 165 ; is_import : false ; vehicle_history_report_public_url : https://autoviza.fr/report/report?uid=2046c2c9-5b30-4a87-a9f5-8101dbcc54ff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argus_object_id : 715282 ; spare_parts_availability : Non renseignée ; licence_plate_available : true</t>
        </is>
      </c>
      <c r="AG125" s="19" t="inlineStr">
        <is>
          <t>Voir</t>
        </is>
      </c>
      <c r="AH125" s="10" t="inlineStr">
        <is>
          <t>3269883180</t>
        </is>
      </c>
    </row>
    <row r="126">
      <c r="A126" s="10" t="inlineStr">
        <is>
          <t>Mazda MX-5 NA</t>
        </is>
      </c>
      <c r="B126" s="10" t="inlineStr">
        <is>
          <t>Mazda MX5 décapotable vintage CT</t>
        </is>
      </c>
      <c r="C126" s="10" t="inlineStr">
        <is>
          <t>En vente</t>
        </is>
      </c>
      <c r="D126" s="18" t="n">
        <v>46280</v>
      </c>
      <c r="E126" s="18" t="n">
        <v>46280</v>
      </c>
      <c r="F126" s="18" t="n">
        <v>46296</v>
      </c>
      <c r="G126" s="18" t="n"/>
      <c r="H126" s="17">
        <f>IF(OR(ISNUMBER(D126),ISNUMBER(E126)),IF(ISNUMBER(G126),G126,F126)-IF(ISNUMBER(D126),D126,E126),"")</f>
        <v/>
      </c>
      <c r="I126" s="12" t="n">
        <v>3990</v>
      </c>
      <c r="J126" s="12" t="n">
        <v>3990</v>
      </c>
      <c r="K126" s="13">
        <f>IF(AND(ISNUMBER(I126),ISNUMBER(J126),I126&gt;0),1-J126/I126,"")</f>
        <v/>
      </c>
      <c r="L126" s="16" t="n">
        <v>0</v>
      </c>
      <c r="M126" s="15" t="n">
        <v>198000</v>
      </c>
      <c r="N126" s="16" t="n">
        <v>1998</v>
      </c>
      <c r="O126" s="10" t="inlineStr">
        <is>
          <t>1</t>
        </is>
      </c>
      <c r="P126" s="10" t="inlineStr">
        <is>
          <t>1</t>
        </is>
      </c>
      <c r="Q126" s="16" t="n">
        <v>110</v>
      </c>
      <c r="R126" s="16" t="n">
        <v>8</v>
      </c>
      <c r="S126" s="10" t="inlineStr">
        <is>
          <t>autre</t>
        </is>
      </c>
      <c r="T126" s="16" t="n">
        <v>2</v>
      </c>
      <c r="U126" s="10" t="n"/>
      <c r="V126" s="10" t="n"/>
      <c r="W126" s="10" t="inlineStr">
        <is>
          <t>Particulier</t>
        </is>
      </c>
      <c r="X126" s="10" t="inlineStr">
        <is>
          <t>Pontarlier</t>
        </is>
      </c>
      <c r="Y126" s="10" t="inlineStr">
        <is>
          <t>25300</t>
        </is>
      </c>
      <c r="Z126" s="10" t="inlineStr">
        <is>
          <t>Doubs</t>
        </is>
      </c>
      <c r="AA126" s="10" t="inlineStr">
        <is>
          <t>Franche-Comté</t>
        </is>
      </c>
      <c r="AB126" s="16" t="n"/>
      <c r="AC126" s="16" t="n"/>
      <c r="AD126" s="10" t="n"/>
      <c r="AE126"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F126" s="10" t="inlineStr">
        <is>
          <t>1 : 1 ; 2 : 2 ; 224 : 224 ; 1998 : 1998 ; 0.99 : 0.99 ; https://img.leboncoin.fr/api/v1/tenants/9a6387a1-6259-4f2c-a887-7e67f23dd4cb/domains/20bda58f-d650-462e-a72a-a5a7ecf2bf88/buckets/21d2b0bc-e54c-4b64-a30b-89127b18b785/images/profile/pictures/default/f215690f-ab07-5557-88b7-3c7842abfc4c?rule=pp-small : https://img.leboncoin.fr/api/v1/tenants/9a6387a1-6259-4f2c-a887-7e67f23dd4cb/domains/20bda58f-d650-462e-a72a-a5a7ecf2bf88/buckets/21d2b0bc-e54c-4b64-a30b-89127b18b785/images/profile/pictures/default/f215690f-ab07-5557-88b7-3c7842abfc4c?rule=pp-small ; Mazda : Mazda ; Mx-5 : Mx-5 ; MAZDA : MAZDA ; MX-5 : MAZDA_MX-5 ; 198000 km : 198000 ; Essence : 1 ; Manuelle : 1 ; 10/1998 : 10/1998 ; Cabriolet : cabriolet ; Autre : autre ; 8 Cv : 8 ; 110 Ch : 110 ; Avec permis : avecpermis ; credit_card : credit_card ; false : false ; true : true ; rating_score : 0.99 ; rating_count : 224 ; u_car_brand : MAZDA ; u_car_model : MX-5 ; vehicle_vsp : Avec permis ; vehicle_available_payment_methods : credit_card ; is_import : false ; vehicle_is_eligible_p2p : 2 ; licence_plate_available : true</t>
        </is>
      </c>
      <c r="AG126" s="19" t="inlineStr">
        <is>
          <t>Voir</t>
        </is>
      </c>
      <c r="AH126" s="10" t="inlineStr">
        <is>
          <t>3270050795</t>
        </is>
      </c>
    </row>
    <row r="127">
      <c r="A127" s="10" t="inlineStr">
        <is>
          <t>Mazda MX-5 NA</t>
        </is>
      </c>
      <c r="B127" s="10" t="inlineStr">
        <is>
          <t>Mazda Mx5 NA</t>
        </is>
      </c>
      <c r="C127" s="10" t="inlineStr">
        <is>
          <t>En vente</t>
        </is>
      </c>
      <c r="D127" s="18" t="n">
        <v>46280</v>
      </c>
      <c r="E127" s="18" t="n">
        <v>46280</v>
      </c>
      <c r="F127" s="18" t="n">
        <v>46296</v>
      </c>
      <c r="G127" s="18" t="n"/>
      <c r="H127" s="17">
        <f>IF(OR(ISNUMBER(D127),ISNUMBER(E127)),IF(ISNUMBER(G127),G127,F127)-IF(ISNUMBER(D127),D127,E127),"")</f>
        <v/>
      </c>
      <c r="I127" s="12" t="n">
        <v>7000</v>
      </c>
      <c r="J127" s="12" t="n">
        <v>7000</v>
      </c>
      <c r="K127" s="13">
        <f>IF(AND(ISNUMBER(I127),ISNUMBER(J127),I127&gt;0),1-J127/I127,"")</f>
        <v/>
      </c>
      <c r="L127" s="16" t="n">
        <v>0</v>
      </c>
      <c r="M127" s="15" t="n">
        <v>175000</v>
      </c>
      <c r="N127" s="16" t="n">
        <v>1997</v>
      </c>
      <c r="O127" s="10" t="inlineStr">
        <is>
          <t>1</t>
        </is>
      </c>
      <c r="P127" s="10" t="inlineStr">
        <is>
          <t>1</t>
        </is>
      </c>
      <c r="Q127" s="16" t="n">
        <v>90</v>
      </c>
      <c r="R127" s="16" t="n">
        <v>8</v>
      </c>
      <c r="S127" s="10" t="inlineStr">
        <is>
          <t>autre</t>
        </is>
      </c>
      <c r="T127" s="16" t="n">
        <v>2</v>
      </c>
      <c r="U127" s="10" t="n"/>
      <c r="V127" s="10" t="n"/>
      <c r="W127" s="10" t="inlineStr">
        <is>
          <t>Particulier</t>
        </is>
      </c>
      <c r="X127" s="10" t="inlineStr">
        <is>
          <t>Faverges-Seythenex</t>
        </is>
      </c>
      <c r="Y127" s="10" t="inlineStr">
        <is>
          <t>74210</t>
        </is>
      </c>
      <c r="Z127" s="10" t="inlineStr">
        <is>
          <t>Haute-Savoie</t>
        </is>
      </c>
      <c r="AA127" s="10" t="inlineStr">
        <is>
          <t>Rhône-Alpes</t>
        </is>
      </c>
      <c r="AB127" s="16" t="n"/>
      <c r="AC127" s="16" t="n"/>
      <c r="AD127" s="10" t="n"/>
      <c r="AE127"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F127" s="10" t="inlineStr">
        <is>
          <t>1 : 1 ; 2 : 2 ; 4 : 4 ; 1997 : 1997 ; 715281 : 715281 ; https://img.leboncoin.fr/api/v1/tenants/9a6387a1-6259-4f2c-a887-7e67f23dd4cb/domains/20bda58f-d650-462e-a72a-a5a7ecf2bf88/buckets/21d2b0bc-e54c-4b64-a30b-89127b18b785/images/profile/pictures/default/2dc27fa7-6cb3-5a16-8c27-19f6695ddc02?rule=pp-small : https://img.leboncoin.fr/api/v1/tenants/9a6387a1-6259-4f2c-a887-7e67f23dd4cb/domains/20bda58f-d650-462e-a72a-a5a7ecf2bf88/buckets/21d2b0bc-e54c-4b64-a30b-89127b18b785/images/profile/pictures/default/2dc27fa7-6cb3-5a16-8c27-19f6695ddc02?rule=pp-small ; Mazda : Mazda ; Mx-5 : Mx-5 ; MAZDA : MAZDA ; MX-5 : MAZDA_MX-5 ; 175000 km : 175000 ; Essence : 1 ; Manuelle : 1 ; Base : MAZDA_MX-5_Base ; MX-5 1.6 90ch : MX-5 1.6 90ch ; Non : false ; 05/1997 : 05/1997 ; Réparations mineures à prévoir : minor_repairs_needed ; Cabriolet : cabriolet ; Autre : autre ; 8 Cv : 8 ; 90 Ch : 90 ; Avec permis : avecpermis ; credit_card : credit_card ; false : false ; true : true ; rating_score : 1 ; rating_count : 4 ; u_car_brand : MAZDA ; u_car_model : MX-5 ; u_car_finition : Base ; u_car_version : MX-5 1.6 90ch ; vehicle_technical_inspection_valid : Non ; vehicle_damage : Réparations mineures à prévoir ; vehicle_upholstery : Autre, Cuir partiel ; vehicle_maintenance : Factures disponibles ; vehicle_vsp : Avec permis ; vehicle_available_payment_methods : credit_card ; is_import : false ; vehicle_is_eligible_p2p : 2 ; argus_object_id : 715281 ; licence_plate_available : true</t>
        </is>
      </c>
      <c r="AG127" s="19" t="inlineStr">
        <is>
          <t>Voir</t>
        </is>
      </c>
      <c r="AH127" s="10" t="inlineStr">
        <is>
          <t>3270203905</t>
        </is>
      </c>
    </row>
    <row r="128">
      <c r="A128" s="10" t="inlineStr">
        <is>
          <t>Mazda MX-5 NA</t>
        </is>
      </c>
      <c r="B128" s="10" t="inlineStr">
        <is>
          <t>Mazda mx5, mx-5,</t>
        </is>
      </c>
      <c r="C128" s="10" t="inlineStr">
        <is>
          <t>En vente</t>
        </is>
      </c>
      <c r="D128" s="18" t="n">
        <v>46280</v>
      </c>
      <c r="E128" s="18" t="n">
        <v>46280</v>
      </c>
      <c r="F128" s="18" t="n">
        <v>46296</v>
      </c>
      <c r="G128" s="18" t="n"/>
      <c r="H128" s="17">
        <f>IF(OR(ISNUMBER(D128),ISNUMBER(E128)),IF(ISNUMBER(G128),G128,F128)-IF(ISNUMBER(D128),D128,E128),"")</f>
        <v/>
      </c>
      <c r="I128" s="12" t="n">
        <v>6200</v>
      </c>
      <c r="J128" s="12" t="n">
        <v>6200</v>
      </c>
      <c r="K128" s="13">
        <f>IF(AND(ISNUMBER(I128),ISNUMBER(J128),I128&gt;0),1-J128/I128,"")</f>
        <v/>
      </c>
      <c r="L128" s="16" t="n">
        <v>0</v>
      </c>
      <c r="M128" s="15" t="n">
        <v>182000</v>
      </c>
      <c r="N128" s="16" t="n">
        <v>1998</v>
      </c>
      <c r="O128" s="10" t="inlineStr">
        <is>
          <t>1</t>
        </is>
      </c>
      <c r="P128" s="10" t="inlineStr">
        <is>
          <t>1</t>
        </is>
      </c>
      <c r="Q128" s="16" t="n">
        <v>80</v>
      </c>
      <c r="R128" s="16" t="n"/>
      <c r="S128" s="10" t="inlineStr">
        <is>
          <t>blanc</t>
        </is>
      </c>
      <c r="T128" s="16" t="n">
        <v>2</v>
      </c>
      <c r="U128" s="10" t="n"/>
      <c r="V128" s="10" t="n"/>
      <c r="W128" s="10" t="inlineStr">
        <is>
          <t>Particulier</t>
        </is>
      </c>
      <c r="X128" s="10" t="inlineStr">
        <is>
          <t>Saint-Alban-Leysse</t>
        </is>
      </c>
      <c r="Y128" s="10" t="inlineStr">
        <is>
          <t>73230</t>
        </is>
      </c>
      <c r="Z128" s="10" t="inlineStr">
        <is>
          <t>Savoie</t>
        </is>
      </c>
      <c r="AA128" s="10" t="inlineStr">
        <is>
          <t>Rhône-Alpes</t>
        </is>
      </c>
      <c r="AB128" s="16" t="n"/>
      <c r="AC128" s="16" t="n"/>
      <c r="AD128" s="10" t="n"/>
      <c r="AE128" s="10" t="inlineStr">
        <is>
          <t>Véhicule qui donne le sourire à chaque sortie, suivi par des passionnés de mécanique, voiture peu honéreuse, carnet d'entretien à disposition....susceptible de ne pas perdre de valeur.</t>
        </is>
      </c>
      <c r="AF128" s="10" t="inlineStr">
        <is>
          <t>2 : 2 ; 1998 : 1998 ; 2028 : 2028 ; https://img.leboncoin.fr/api/v1/tenants/9a6387a1-6259-4f2c-a887-7e67f23dd4cb/domains/20bda58f-d650-462e-a72a-a5a7ecf2bf88/buckets/21d2b0bc-e54c-4b64-a30b-89127b18b785/images/profile/pictures/default/cce74a69-c154-5809-acd8-53987f07c4a8?rule=pp-small : https://img.leboncoin.fr/api/v1/tenants/9a6387a1-6259-4f2c-a887-7e67f23dd4cb/domains/20bda58f-d650-462e-a72a-a5a7ecf2bf88/buckets/21d2b0bc-e54c-4b64-a30b-89127b18b785/images/profile/pictures/default/cce74a69-c154-5809-acd8-53987f07c4a8?rule=pp-small ; Mazda : Mazda ; Mx-5 : Mx-5 ; MAZDA : MAZDA ; MX-5 : MAZDA_MX-5 ; 182000 km : 182000 ; Essence : 1 ; Manuelle : 1 ; Oui : true ; 12/1998 : 12/1998 ; Cabriolet : cabriolet ; Blanc : blanc ; 80 Ch : 80 ; Avec permis : avecpermis ; credit_card : credit_card ; false : false ; true : true ; u_car_brand : MAZDA ; u_car_model : MX-5 ; vehicle_technical_inspection_valid : Oui ; vehicle_technical_inspection_a : 2028 ; vehicle_upholstery : Tissu ; vehicle_vsp : Avec permis ; vehicle_available_payment_methods : credit_card ; is_import : false ; vehicle_is_eligible_p2p : 2 ; licence_plate_available : true</t>
        </is>
      </c>
      <c r="AG128" s="19" t="inlineStr">
        <is>
          <t>Voir</t>
        </is>
      </c>
      <c r="AH128" s="10" t="inlineStr">
        <is>
          <t>3270232311</t>
        </is>
      </c>
    </row>
    <row r="129">
      <c r="A129" s="10" t="inlineStr">
        <is>
          <t>Mazda MX-5 NA</t>
        </is>
      </c>
      <c r="B129" s="10" t="inlineStr">
        <is>
          <t>Mazda MX5 na</t>
        </is>
      </c>
      <c r="C129" s="10" t="inlineStr">
        <is>
          <t>En vente</t>
        </is>
      </c>
      <c r="D129" s="18" t="n">
        <v>46280</v>
      </c>
      <c r="E129" s="18" t="n">
        <v>46280</v>
      </c>
      <c r="F129" s="18" t="n">
        <v>46296</v>
      </c>
      <c r="G129" s="18" t="n"/>
      <c r="H129" s="17">
        <f>IF(OR(ISNUMBER(D129),ISNUMBER(E129)),IF(ISNUMBER(G129),G129,F129)-IF(ISNUMBER(D129),D129,E129),"")</f>
        <v/>
      </c>
      <c r="I129" s="12" t="n">
        <v>12500</v>
      </c>
      <c r="J129" s="12" t="n">
        <v>12500</v>
      </c>
      <c r="K129" s="13">
        <f>IF(AND(ISNUMBER(I129),ISNUMBER(J129),I129&gt;0),1-J129/I129,"")</f>
        <v/>
      </c>
      <c r="L129" s="16" t="n">
        <v>0</v>
      </c>
      <c r="M129" s="15" t="n">
        <v>200000</v>
      </c>
      <c r="N129" s="16" t="n">
        <v>1991</v>
      </c>
      <c r="O129" s="10" t="inlineStr">
        <is>
          <t>1</t>
        </is>
      </c>
      <c r="P129" s="10" t="inlineStr">
        <is>
          <t>1</t>
        </is>
      </c>
      <c r="Q129" s="16" t="n">
        <v>116</v>
      </c>
      <c r="R129" s="16" t="n">
        <v>8</v>
      </c>
      <c r="S129" s="10" t="inlineStr">
        <is>
          <t>gris</t>
        </is>
      </c>
      <c r="T129" s="16" t="n">
        <v>2</v>
      </c>
      <c r="U129" s="10" t="n"/>
      <c r="V129" s="10" t="n"/>
      <c r="W129" s="10" t="inlineStr">
        <is>
          <t>Particulier</t>
        </is>
      </c>
      <c r="X129" s="10" t="inlineStr">
        <is>
          <t>Les Andelys</t>
        </is>
      </c>
      <c r="Y129" s="10" t="inlineStr">
        <is>
          <t>27700</t>
        </is>
      </c>
      <c r="Z129" s="10" t="inlineStr">
        <is>
          <t>Eure</t>
        </is>
      </c>
      <c r="AA129" s="10" t="inlineStr">
        <is>
          <t>Haute-Normandie</t>
        </is>
      </c>
      <c r="AB129" s="16" t="n"/>
      <c r="AC129" s="16" t="n"/>
      <c r="AD129" s="10" t="n"/>
      <c r="AE129"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F129" s="10" t="inlineStr">
        <is>
          <t>2 : 2 ; 1991 : 1991 ; https://img.leboncoin.fr/api/v1/tenants/9a6387a1-6259-4f2c-a887-7e67f23dd4cb/domains/20bda58f-d650-462e-a72a-a5a7ecf2bf88/buckets/21d2b0bc-e54c-4b64-a30b-89127b18b785/images/profile/pictures/default/4707b4ad-2c0e-5f52-8762-d6baa8a84183?rule=pp-small : https://img.leboncoin.fr/api/v1/tenants/9a6387a1-6259-4f2c-a887-7e67f23dd4cb/domains/20bda58f-d650-462e-a72a-a5a7ecf2bf88/buckets/21d2b0bc-e54c-4b64-a30b-89127b18b785/images/profile/pictures/default/4707b4ad-2c0e-5f52-8762-d6baa8a84183?rule=pp-small ; Mazda : Mazda ; Mx-5 : Mx-5 ; MAZDA : MAZDA ; MX-5 : MAZDA_MX-5 ; 200000 km : 200000 ; Essence : 1 ; Manuelle : 1 ; Non : false ; 01/1991 : 01/1991 ; Cabriolet : cabriolet ; Gris : gris ; 8 Cv : 8 ; 116 Ch : 116 ; Avec permis : avecpermis ; credit_card : credit_card ; false : false ; true : true ; u_car_brand : MAZDA ; u_car_model : MX-5 ; vehicle_technical_inspection_valid : Non ; vehicle_vsp : Avec permis ; vehicle_available_payment_methods : credit_card ; is_import : false ; vehicle_is_eligible_p2p : 2 ; licence_plate_available : true</t>
        </is>
      </c>
      <c r="AG129" s="19" t="inlineStr">
        <is>
          <t>Voir</t>
        </is>
      </c>
      <c r="AH129" s="10" t="inlineStr">
        <is>
          <t>3270458808</t>
        </is>
      </c>
    </row>
    <row r="130">
      <c r="A130" s="10" t="inlineStr">
        <is>
          <t>Mazda MX-5 NA</t>
        </is>
      </c>
      <c r="B130" s="10" t="inlineStr">
        <is>
          <t>Mazda MX5 NA 115 CV 🔴</t>
        </is>
      </c>
      <c r="C130" s="10" t="inlineStr">
        <is>
          <t>En vente</t>
        </is>
      </c>
      <c r="D130" s="18" t="n">
        <v>46281</v>
      </c>
      <c r="E130" s="18" t="n">
        <v>46281</v>
      </c>
      <c r="F130" s="18" t="n">
        <v>46296</v>
      </c>
      <c r="G130" s="18" t="n"/>
      <c r="H130" s="17">
        <f>IF(OR(ISNUMBER(D130),ISNUMBER(E130)),IF(ISNUMBER(G130),G130,F130)-IF(ISNUMBER(D130),D130,E130),"")</f>
        <v/>
      </c>
      <c r="I130" s="12" t="n">
        <v>9500</v>
      </c>
      <c r="J130" s="12" t="n">
        <v>9500</v>
      </c>
      <c r="K130" s="13">
        <f>IF(AND(ISNUMBER(I130),ISNUMBER(J130),I130&gt;0),1-J130/I130,"")</f>
        <v/>
      </c>
      <c r="L130" s="16" t="n">
        <v>0</v>
      </c>
      <c r="M130" s="15" t="n">
        <v>238000</v>
      </c>
      <c r="N130" s="16" t="n">
        <v>1992</v>
      </c>
      <c r="O130" s="10" t="inlineStr">
        <is>
          <t>1</t>
        </is>
      </c>
      <c r="P130" s="10" t="inlineStr">
        <is>
          <t>1</t>
        </is>
      </c>
      <c r="Q130" s="16" t="n">
        <v>116</v>
      </c>
      <c r="R130" s="16" t="n">
        <v>8</v>
      </c>
      <c r="S130" s="10" t="inlineStr">
        <is>
          <t>rouge</t>
        </is>
      </c>
      <c r="T130" s="16" t="n">
        <v>2</v>
      </c>
      <c r="U130" s="10" t="n"/>
      <c r="V130" s="10" t="inlineStr">
        <is>
          <t>6</t>
        </is>
      </c>
      <c r="W130" s="10" t="inlineStr">
        <is>
          <t>Particulier</t>
        </is>
      </c>
      <c r="X130" s="10" t="inlineStr">
        <is>
          <t>Dieulouard</t>
        </is>
      </c>
      <c r="Y130" s="10" t="inlineStr">
        <is>
          <t>54380</t>
        </is>
      </c>
      <c r="Z130" s="10" t="inlineStr">
        <is>
          <t>Meurthe-et-Moselle</t>
        </is>
      </c>
      <c r="AA130" s="10" t="inlineStr">
        <is>
          <t>Lorraine</t>
        </is>
      </c>
      <c r="AB130" s="16" t="n"/>
      <c r="AC130" s="16" t="n"/>
      <c r="AD130" s="10" t="n"/>
      <c r="AE130"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F130" s="10" t="inlineStr">
        <is>
          <t>1 : 1 ; 2 : 2 ; 64 : 64 ; 1992 : 1992 ; 2031 : 2031 ; 0.99 : 0.99 ; https://img.leboncoin.fr/api/v1/tenants/9a6387a1-6259-4f2c-a887-7e67f23dd4cb/domains/20bda58f-d650-462e-a72a-a5a7ecf2bf88/buckets/21d2b0bc-e54c-4b64-a30b-89127b18b785/images/profile/pictures/57f63a79-27ec-5bab-81c7-37e760424e5e?rule=pp-small : https://img.leboncoin.fr/api/v1/tenants/9a6387a1-6259-4f2c-a887-7e67f23dd4cb/domains/20bda58f-d650-462e-a72a-a5a7ecf2bf88/buckets/21d2b0bc-e54c-4b64-a30b-89127b18b785/images/profile/pictures/57f63a79-27ec-5bab-81c7-37e760424e5e?rule=pp-small ; Mazda : Mazda ; Mx-5 : Mx-5 ; MAZDA : MAZDA ; MX-5 : MAZDA_MX-5 ; 238000 km : 238000 ; Essence : 1 ; Manuelle : 1 ; Oui : true ; 03/1992 : 03/1992 ; Bon état général : good_overall_condition ; Cabriolet : cabriolet ; Rouge : rouge ; Non classé : 6 ; 8 Cv : 8 ; 116 Ch : 116 ; Avec permis : avecpermis ; credit_card : credit_card ; false : false ; https://autoviza.fr/report/report?uid=111cc004-38a1-46a8-a828-70ad247a7fe0 : https://autoviza.fr/report/report?uid=111cc004-38a1-46a8-a828-70ad247a7fe0 ; true : true ; rating_score : 0.99 ; rating_count : 64 ; u_car_brand : MAZDA ; u_car_model : MX-5 ; vehicle_technical_inspection_valid : Oui ; vehicle_technical_inspection_a : 2031 ; vehicle_damage : Bon état général ; vehicle_upholstery : Tissu ; vehicle_maintenance : Factures disponibles, Véhicule non fumeur, Réparations utiles déjà faites ; vehicle_vsp : Avec permis ; vehicle_available_payment_methods : credit_card ; is_import : false ; vehicle_is_eligible_p2p : 2 ; vehicle_history_report_public_url : https://autoviza.fr/report/report?uid=111cc004-38a1-46a8-a828-70ad247a7fe0 ; licence_plate_available : true</t>
        </is>
      </c>
      <c r="AG130" s="19" t="inlineStr">
        <is>
          <t>Voir</t>
        </is>
      </c>
      <c r="AH130" s="10" t="inlineStr">
        <is>
          <t>3270565112</t>
        </is>
      </c>
    </row>
    <row r="131">
      <c r="A131" s="10" t="inlineStr">
        <is>
          <t>Mazda MX-5 NA</t>
        </is>
      </c>
      <c r="B131" s="10" t="inlineStr">
        <is>
          <t>Splendide Cabriolet mazda mx5</t>
        </is>
      </c>
      <c r="C131" s="10" t="inlineStr">
        <is>
          <t>En vente</t>
        </is>
      </c>
      <c r="D131" s="18" t="n">
        <v>46282</v>
      </c>
      <c r="E131" s="18" t="n">
        <v>46282</v>
      </c>
      <c r="F131" s="18" t="n">
        <v>46296</v>
      </c>
      <c r="G131" s="18" t="n"/>
      <c r="H131" s="17">
        <f>IF(OR(ISNUMBER(D131),ISNUMBER(E131)),IF(ISNUMBER(G131),G131,F131)-IF(ISNUMBER(D131),D131,E131),"")</f>
        <v/>
      </c>
      <c r="I131" s="12" t="n">
        <v>12900</v>
      </c>
      <c r="J131" s="12" t="n">
        <v>12900</v>
      </c>
      <c r="K131" s="13">
        <f>IF(AND(ISNUMBER(I131),ISNUMBER(J131),I131&gt;0),1-J131/I131,"")</f>
        <v/>
      </c>
      <c r="L131" s="16" t="n">
        <v>0</v>
      </c>
      <c r="M131" s="15" t="n">
        <v>190800</v>
      </c>
      <c r="N131" s="16" t="n">
        <v>1991</v>
      </c>
      <c r="O131" s="10" t="inlineStr">
        <is>
          <t>1</t>
        </is>
      </c>
      <c r="P131" s="10" t="inlineStr">
        <is>
          <t>1</t>
        </is>
      </c>
      <c r="Q131" s="16" t="n">
        <v>116</v>
      </c>
      <c r="R131" s="16" t="n">
        <v>8</v>
      </c>
      <c r="S131" s="10" t="inlineStr">
        <is>
          <t>rouge</t>
        </is>
      </c>
      <c r="T131" s="16" t="n">
        <v>2</v>
      </c>
      <c r="U131" s="10" t="n"/>
      <c r="V131" s="10" t="inlineStr">
        <is>
          <t>6</t>
        </is>
      </c>
      <c r="W131" s="10" t="inlineStr">
        <is>
          <t>Particulier</t>
        </is>
      </c>
      <c r="X131" s="10" t="inlineStr">
        <is>
          <t>Séreilhac</t>
        </is>
      </c>
      <c r="Y131" s="10" t="inlineStr">
        <is>
          <t>87620</t>
        </is>
      </c>
      <c r="Z131" s="10" t="inlineStr">
        <is>
          <t>Haute-Vienne</t>
        </is>
      </c>
      <c r="AA131" s="10" t="inlineStr">
        <is>
          <t>Limousin</t>
        </is>
      </c>
      <c r="AB131" s="16" t="n"/>
      <c r="AC131" s="16" t="n"/>
      <c r="AD131" s="10" t="n"/>
      <c r="AE131"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F131" s="10" t="inlineStr">
        <is>
          <t>2 : 2 ; 1991 : 1991 ; 2027 : 2027 ; https://img.leboncoin.fr/api/v1/tenants/9a6387a1-6259-4f2c-a887-7e67f23dd4cb/domains/20bda58f-d650-462e-a72a-a5a7ecf2bf88/buckets/21d2b0bc-e54c-4b64-a30b-89127b18b785/images/profile/pictures/default/ce81db8a-f05a-5ccf-a251-5cb6b3824b51?rule=pp-small : https://img.leboncoin.fr/api/v1/tenants/9a6387a1-6259-4f2c-a887-7e67f23dd4cb/domains/20bda58f-d650-462e-a72a-a5a7ecf2bf88/buckets/21d2b0bc-e54c-4b64-a30b-89127b18b785/images/profile/pictures/default/ce81db8a-f05a-5ccf-a251-5cb6b3824b51?rule=pp-small ; Mazda : Mazda ; Mx-5 : Mx-5 ; MAZDA : MAZDA ; MX-5 : MAZDA_MX-5 ; 190800 km : 190800 ; Essence : 1 ; Manuelle : 1 ; Oui : true ; 04/1991 : 04/1991 ; Cabriolet : cabriolet ; Rouge : rouge ; Non classé : 6 ; 8 Cv : 8 ; 116 Ch : 116 ; Avec permis : avecpermis ; credit_card : credit_card ; false : false ; https://autoviza.fr/report/report?uid=b997a82b-a10b-4a23-b7b9-31cee96503b8 : https://autoviza.fr/report/report?uid=b997a82b-a10b-4a23-b7b9-31cee96503b8 ; true : true ; u_car_brand : MAZDA ; u_car_model : MX-5 ; vehicle_technical_inspection_valid : Oui ; vehicle_technical_inspection_a : 2027 ; vehicle_upholstery : Tissu ; vehicle_maintenance : Véhicule non fumeur, Factures disponibles ; vehicle_vsp : Avec permis ; vehicle_available_payment_methods : credit_card ; is_import : false ; vehicle_is_eligible_p2p : 2 ; vehicle_history_report_public_url : https://autoviza.fr/report/report?uid=b997a82b-a10b-4a23-b7b9-31cee96503b8 ; licence_plate_available : true</t>
        </is>
      </c>
      <c r="AG131" s="19" t="inlineStr">
        <is>
          <t>Voir</t>
        </is>
      </c>
      <c r="AH131" s="10" t="inlineStr">
        <is>
          <t>3271672291</t>
        </is>
      </c>
    </row>
    <row r="132">
      <c r="A132" s="10" t="inlineStr">
        <is>
          <t>Mazda MX-5 NA</t>
        </is>
      </c>
      <c r="B132" s="10" t="inlineStr">
        <is>
          <t>Mazda MX5 NA</t>
        </is>
      </c>
      <c r="C132" s="10" t="inlineStr">
        <is>
          <t>En vente</t>
        </is>
      </c>
      <c r="D132" s="18" t="n">
        <v>46283</v>
      </c>
      <c r="E132" s="18" t="n">
        <v>46283</v>
      </c>
      <c r="F132" s="18" t="n">
        <v>46296</v>
      </c>
      <c r="G132" s="18" t="n"/>
      <c r="H132" s="17">
        <f>IF(OR(ISNUMBER(D132),ISNUMBER(E132)),IF(ISNUMBER(G132),G132,F132)-IF(ISNUMBER(D132),D132,E132),"")</f>
        <v/>
      </c>
      <c r="I132" s="12" t="n">
        <v>11000</v>
      </c>
      <c r="J132" s="12" t="n">
        <v>11000</v>
      </c>
      <c r="K132" s="13">
        <f>IF(AND(ISNUMBER(I132),ISNUMBER(J132),I132&gt;0),1-J132/I132,"")</f>
        <v/>
      </c>
      <c r="L132" s="16" t="n">
        <v>0</v>
      </c>
      <c r="M132" s="15" t="n">
        <v>175800</v>
      </c>
      <c r="N132" s="16" t="n">
        <v>1991</v>
      </c>
      <c r="O132" s="10" t="inlineStr">
        <is>
          <t>1</t>
        </is>
      </c>
      <c r="P132" s="10" t="inlineStr">
        <is>
          <t>1</t>
        </is>
      </c>
      <c r="Q132" s="16" t="n"/>
      <c r="R132" s="16" t="n">
        <v>9</v>
      </c>
      <c r="S132" s="10" t="inlineStr">
        <is>
          <t>blanc</t>
        </is>
      </c>
      <c r="T132" s="16" t="n">
        <v>2</v>
      </c>
      <c r="U132" s="10" t="n"/>
      <c r="V132" s="10" t="n"/>
      <c r="W132" s="10" t="inlineStr">
        <is>
          <t>Particulier</t>
        </is>
      </c>
      <c r="X132" s="10" t="inlineStr">
        <is>
          <t>Boulay-Moselle</t>
        </is>
      </c>
      <c r="Y132" s="10" t="inlineStr">
        <is>
          <t>57220</t>
        </is>
      </c>
      <c r="Z132" s="10" t="inlineStr">
        <is>
          <t>Moselle</t>
        </is>
      </c>
      <c r="AA132" s="10" t="inlineStr">
        <is>
          <t>Lorraine</t>
        </is>
      </c>
      <c r="AB132" s="16" t="n"/>
      <c r="AC132" s="16" t="n"/>
      <c r="AD132" s="10" t="n"/>
      <c r="AE132" s="10" t="inlineStr">
        <is>
          <t xml:space="preserve">Mazda MX5 NA de 1991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kilomètre que j'ai mis car c'est converti en </t>
        </is>
      </c>
      <c r="AF132" s="10" t="inlineStr">
        <is>
          <t>2 : 2 ; 6 : 6 ; 1991 : 1991 ; 0.98 : 0.98 ; https://img.leboncoin.fr/api/v1/tenants/9a6387a1-6259-4f2c-a887-7e67f23dd4cb/domains/20bda58f-d650-462e-a72a-a5a7ecf2bf88/buckets/21d2b0bc-e54c-4b64-a30b-89127b18b785/images/profile/pictures/default/bef73477-3973-55e0-b798-b88fe02e63b1?rule=pp-small : https://img.leboncoin.fr/api/v1/tenants/9a6387a1-6259-4f2c-a887-7e67f23dd4cb/domains/20bda58f-d650-462e-a72a-a5a7ecf2bf88/buckets/21d2b0bc-e54c-4b64-a30b-89127b18b785/images/profile/pictures/default/bef73477-3973-55e0-b798-b88fe02e63b1?rule=pp-small ; Mazda : Mazda ; Mx-5 : Mx-5 ; MAZDA : MAZDA ; MX-5 : MAZDA_MX-5 ; 175800 km : 175800 ; Essence : 1 ; Manuelle : 1 ; Non : false ; Excellent état (proche du neuf) : excellent_condition ; Cabriolet : cabriolet ; Blanc : blanc ; 9 Cv : 9 ; Avec permis : avecpermis ; credit_card : credit_card ; false : false ; https://autoviza.fr/report/report?uid=c2d0da92-afe7-4e20-9f1c-85d8a83fbdad : https://autoviza.fr/report/report?uid=c2d0da92-afe7-4e20-9f1c-85d8a83fbdad ; visible : visible ; true : true ; rating_score : 0.98 ; rating_count : 6 ; u_car_brand : MAZDA ; u_car_model : MX-5 ; vehicle_technical_inspection_valid : Non ; vehicle_damage : Excellent état (proche du neuf) ; vehicle_upholstery : Tout cuir ; vehicle_vsp : Avec permis ; vehicle_available_payment_methods : credit_card ; is_import : false ; vehicle_is_eligible_p2p : 2 ; vehicle_history_report_public_url : https://autoviza.fr/report/report?uid=c2d0da92-afe7-4e20-9f1c-85d8a83fbdad ; vehicle_history_report_status : visible ; licence_plate_available : true</t>
        </is>
      </c>
      <c r="AG132" s="19" t="inlineStr">
        <is>
          <t>Voir</t>
        </is>
      </c>
      <c r="AH132" s="10" t="inlineStr">
        <is>
          <t>3272203068</t>
        </is>
      </c>
    </row>
    <row r="133">
      <c r="A133" s="10" t="inlineStr">
        <is>
          <t>Mazda MX-5 NA</t>
        </is>
      </c>
      <c r="B133" s="10" t="inlineStr">
        <is>
          <t>Mazda MX5</t>
        </is>
      </c>
      <c r="C133" s="10" t="inlineStr">
        <is>
          <t>En vente</t>
        </is>
      </c>
      <c r="D133" s="18" t="n">
        <v>46285</v>
      </c>
      <c r="E133" s="18" t="n">
        <v>46285</v>
      </c>
      <c r="F133" s="18" t="n">
        <v>46296</v>
      </c>
      <c r="G133" s="18" t="n"/>
      <c r="H133" s="17">
        <f>IF(OR(ISNUMBER(D133),ISNUMBER(E133)),IF(ISNUMBER(G133),G133,F133)-IF(ISNUMBER(D133),D133,E133),"")</f>
        <v/>
      </c>
      <c r="I133" s="12" t="n">
        <v>8500</v>
      </c>
      <c r="J133" s="12" t="n">
        <v>8500</v>
      </c>
      <c r="K133" s="13">
        <f>IF(AND(ISNUMBER(I133),ISNUMBER(J133),I133&gt;0),1-J133/I133,"")</f>
        <v/>
      </c>
      <c r="L133" s="16" t="n">
        <v>0</v>
      </c>
      <c r="M133" s="15" t="n">
        <v>145195</v>
      </c>
      <c r="N133" s="16" t="n">
        <v>1998</v>
      </c>
      <c r="O133" s="10" t="inlineStr">
        <is>
          <t>1</t>
        </is>
      </c>
      <c r="P133" s="10" t="inlineStr">
        <is>
          <t>1</t>
        </is>
      </c>
      <c r="Q133" s="16" t="n">
        <v>110</v>
      </c>
      <c r="R133" s="16" t="n">
        <v>8</v>
      </c>
      <c r="S133" s="10" t="inlineStr">
        <is>
          <t>gris</t>
        </is>
      </c>
      <c r="T133" s="16" t="n">
        <v>2</v>
      </c>
      <c r="U133" s="10" t="n"/>
      <c r="V133" s="10" t="n"/>
      <c r="W133" s="10" t="inlineStr">
        <is>
          <t>Particulier</t>
        </is>
      </c>
      <c r="X133" s="10" t="inlineStr">
        <is>
          <t>Plaisance-du-Touch</t>
        </is>
      </c>
      <c r="Y133" s="10" t="inlineStr">
        <is>
          <t>31830</t>
        </is>
      </c>
      <c r="Z133" s="10" t="inlineStr">
        <is>
          <t>Haute-Garonne</t>
        </is>
      </c>
      <c r="AA133" s="10" t="inlineStr">
        <is>
          <t>Midi-Pyrénées</t>
        </is>
      </c>
      <c r="AB133" s="16" t="n"/>
      <c r="AC133" s="16" t="n"/>
      <c r="AD133" s="10" t="n"/>
      <c r="AE133" s="10" t="inlineStr">
        <is>
          <t>Mazda, très bon état carrosserie, peinture entièrement refaite Capo neuve, filtre, bougies vidange frein fait à jour Vente cause Retraite.</t>
        </is>
      </c>
      <c r="AF133" s="10" t="inlineStr">
        <is>
          <t>2 : 2 ; 1998 : 1998 ; https://img.leboncoin.fr/api/v1/tenants/9a6387a1-6259-4f2c-a887-7e67f23dd4cb/domains/20bda58f-d650-462e-a72a-a5a7ecf2bf88/buckets/21d2b0bc-e54c-4b64-a30b-89127b18b785/images/profile/pictures/default/2ad83232-089d-50e0-b2b5-2d8fabeeac03?rule=pp-small : https://img.leboncoin.fr/api/v1/tenants/9a6387a1-6259-4f2c-a887-7e67f23dd4cb/domains/20bda58f-d650-462e-a72a-a5a7ecf2bf88/buckets/21d2b0bc-e54c-4b64-a30b-89127b18b785/images/profile/pictures/default/2ad83232-089d-50e0-b2b5-2d8fabeeac03?rule=pp-small ; Mazda : Mazda ; Mx-5 : Mx-5 ; MAZDA : MAZDA ; MX-5 : MAZDA_MX-5 ; 145195 km : 145195 ; Essence : 1 ; Manuelle : 1 ; 05/1998 : 05/1998 ; Cabriolet : cabriolet ; Gris : gris ; 8 Cv : 8 ; 110 Ch : 110 ; Avec permis : avecpermis ; credit_card : credit_card ; false : false ; https://autoviza.fr/report/report?uid=90a22828-28a9-465a-8675-1b50c8b3e739 : https://autoviza.fr/report/report?uid=90a22828-28a9-465a-8675-1b50c8b3e739 ; true : true ; u_car_brand : MAZDA ; u_car_model : MX-5 ; vehicle_upholstery : Tout cuir ; vehicle_vsp : Avec permis ; vehicle_available_payment_methods : credit_card ; is_import : false ; vehicle_is_eligible_p2p : 2 ; vehicle_history_report_public_url : https://autoviza.fr/report/report?uid=90a22828-28a9-465a-8675-1b50c8b3e739 ; licence_plate_available : true</t>
        </is>
      </c>
      <c r="AG133" s="19" t="inlineStr">
        <is>
          <t>Voir</t>
        </is>
      </c>
      <c r="AH133" s="10" t="inlineStr">
        <is>
          <t>3273479241</t>
        </is>
      </c>
    </row>
    <row r="134">
      <c r="A134" s="10" t="inlineStr">
        <is>
          <t>Mazda MX-5 NA</t>
        </is>
      </c>
      <c r="B134" s="10" t="inlineStr">
        <is>
          <t>Mazda MX5 Roadster Pro Cup</t>
        </is>
      </c>
      <c r="C134" s="10" t="inlineStr">
        <is>
          <t>En vente</t>
        </is>
      </c>
      <c r="D134" s="18" t="n">
        <v>46288</v>
      </c>
      <c r="E134" s="18" t="n">
        <v>46288</v>
      </c>
      <c r="F134" s="18" t="n">
        <v>46296</v>
      </c>
      <c r="G134" s="18" t="n"/>
      <c r="H134" s="17">
        <f>IF(OR(ISNUMBER(D134),ISNUMBER(E134)),IF(ISNUMBER(G134),G134,F134)-IF(ISNUMBER(D134),D134,E134),"")</f>
        <v/>
      </c>
      <c r="I134" s="12" t="n">
        <v>13000</v>
      </c>
      <c r="J134" s="12" t="n">
        <v>13000</v>
      </c>
      <c r="K134" s="13">
        <f>IF(AND(ISNUMBER(I134),ISNUMBER(J134),I134&gt;0),1-J134/I134,"")</f>
        <v/>
      </c>
      <c r="L134" s="16" t="n">
        <v>0</v>
      </c>
      <c r="M134" s="15" t="n">
        <v>60000</v>
      </c>
      <c r="N134" s="16" t="n">
        <v>1991</v>
      </c>
      <c r="O134" s="10" t="inlineStr">
        <is>
          <t>1</t>
        </is>
      </c>
      <c r="P134" s="10" t="inlineStr">
        <is>
          <t>1</t>
        </is>
      </c>
      <c r="Q134" s="16" t="n">
        <v>115</v>
      </c>
      <c r="R134" s="16" t="n"/>
      <c r="S134" s="10" t="inlineStr">
        <is>
          <t>rouge</t>
        </is>
      </c>
      <c r="T134" s="16" t="n">
        <v>2</v>
      </c>
      <c r="U134" s="10" t="n"/>
      <c r="V134" s="10" t="n"/>
      <c r="W134" s="10" t="inlineStr">
        <is>
          <t>Particulier</t>
        </is>
      </c>
      <c r="X134" s="10" t="inlineStr">
        <is>
          <t>Pigny</t>
        </is>
      </c>
      <c r="Y134" s="10" t="inlineStr">
        <is>
          <t>18110</t>
        </is>
      </c>
      <c r="Z134" s="10" t="inlineStr">
        <is>
          <t>Cher</t>
        </is>
      </c>
      <c r="AA134" s="10" t="inlineStr">
        <is>
          <t>Centre</t>
        </is>
      </c>
      <c r="AB134" s="16" t="n"/>
      <c r="AC134" s="16" t="n"/>
      <c r="AD134" s="10" t="n"/>
      <c r="AE134"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F134" s="10" t="inlineStr">
        <is>
          <t>1 : 1 ; 2 : 2 ; 1991 : 1991 ; 0.95 : 0.95 ; https://img.leboncoin.fr/api/v1/tenants/9a6387a1-6259-4f2c-a887-7e67f23dd4cb/domains/20bda58f-d650-462e-a72a-a5a7ecf2bf88/buckets/21d2b0bc-e54c-4b64-a30b-89127b18b785/images/profile/pictures/default/91ed5fa1-bf0a-5d97-bd3f-f67e65d55f2b?rule=pp-small : https://img.leboncoin.fr/api/v1/tenants/9a6387a1-6259-4f2c-a887-7e67f23dd4cb/domains/20bda58f-d650-462e-a72a-a5a7ecf2bf88/buckets/21d2b0bc-e54c-4b64-a30b-89127b18b785/images/profile/pictures/default/91ed5fa1-bf0a-5d97-bd3f-f67e65d55f2b?rule=pp-small ; Mazda : Mazda ; Mx-5 : Mx-5 ; MAZDA : MAZDA ; MX-5 : MAZDA_MX-5 ; 60000 km : 60000 ; Essence : 1 ; Manuelle : 1 ; Non : false ; 01/1991 : 01/1991 ; Cabriolet : cabriolet ; Rouge : rouge ; 115 Ch : 115 ; Avec permis : avecpermis ; credit_card : credit_card ; false : false ; true : true ; rating_score : 0.95 ; rating_count : 1 ; u_car_brand : MAZDA ; u_car_model : MX-5 ; vehicle_technical_inspection_valid : Non ; vehicle_vsp : Avec permis ; vehicle_available_payment_methods : credit_card ; is_import : false ; vehicle_is_eligible_p2p : 2 ; licence_plate_available : true</t>
        </is>
      </c>
      <c r="AG134" s="19" t="inlineStr">
        <is>
          <t>Voir</t>
        </is>
      </c>
      <c r="AH134" s="10" t="inlineStr">
        <is>
          <t>3275326732</t>
        </is>
      </c>
    </row>
    <row r="135">
      <c r="A135" s="10" t="inlineStr">
        <is>
          <t>Mazda MX-5 NA</t>
        </is>
      </c>
      <c r="B135" s="10" t="inlineStr">
        <is>
          <t>Mazda mx5 na 1993</t>
        </is>
      </c>
      <c r="C135" s="10" t="inlineStr">
        <is>
          <t>En vente</t>
        </is>
      </c>
      <c r="D135" s="18" t="n">
        <v>46290</v>
      </c>
      <c r="E135" s="18" t="n">
        <v>46290</v>
      </c>
      <c r="F135" s="18" t="n">
        <v>46296</v>
      </c>
      <c r="G135" s="18" t="n"/>
      <c r="H135" s="17">
        <f>IF(OR(ISNUMBER(D135),ISNUMBER(E135)),IF(ISNUMBER(G135),G135,F135)-IF(ISNUMBER(D135),D135,E135),"")</f>
        <v/>
      </c>
      <c r="I135" s="12" t="n">
        <v>12000</v>
      </c>
      <c r="J135" s="12" t="n">
        <v>12000</v>
      </c>
      <c r="K135" s="13">
        <f>IF(AND(ISNUMBER(I135),ISNUMBER(J135),I135&gt;0),1-J135/I135,"")</f>
        <v/>
      </c>
      <c r="L135" s="16" t="n">
        <v>0</v>
      </c>
      <c r="M135" s="15" t="n">
        <v>240000</v>
      </c>
      <c r="N135" s="16" t="n">
        <v>1993</v>
      </c>
      <c r="O135" s="10" t="inlineStr">
        <is>
          <t>1</t>
        </is>
      </c>
      <c r="P135" s="10" t="inlineStr">
        <is>
          <t>1</t>
        </is>
      </c>
      <c r="Q135" s="16" t="n">
        <v>116</v>
      </c>
      <c r="R135" s="16" t="n">
        <v>8</v>
      </c>
      <c r="S135" s="10" t="inlineStr">
        <is>
          <t>bleu</t>
        </is>
      </c>
      <c r="T135" s="16" t="n">
        <v>2</v>
      </c>
      <c r="U135" s="10" t="n"/>
      <c r="V135" s="10" t="n"/>
      <c r="W135" s="10" t="inlineStr">
        <is>
          <t>Particulier</t>
        </is>
      </c>
      <c r="X135" s="10" t="inlineStr">
        <is>
          <t>Aix-les-Bains</t>
        </is>
      </c>
      <c r="Y135" s="10" t="inlineStr">
        <is>
          <t>73100</t>
        </is>
      </c>
      <c r="Z135" s="10" t="inlineStr">
        <is>
          <t>Savoie</t>
        </is>
      </c>
      <c r="AA135" s="10" t="inlineStr">
        <is>
          <t>Rhône-Alpes</t>
        </is>
      </c>
      <c r="AB135" s="16" t="n"/>
      <c r="AC135" s="16" t="n"/>
      <c r="AD135" s="10" t="n"/>
      <c r="AE135"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F135" s="10" t="inlineStr">
        <is>
          <t>2 : 2 ; 1993 : 1993 ; https://img.leboncoin.fr/api/v1/tenants/9a6387a1-6259-4f2c-a887-7e67f23dd4cb/domains/20bda58f-d650-462e-a72a-a5a7ecf2bf88/buckets/21d2b0bc-e54c-4b64-a30b-89127b18b785/images/profile/pictures/default/a8d8de19-5069-518c-b77f-da1e11c0aab0?rule=pp-small : https://img.leboncoin.fr/api/v1/tenants/9a6387a1-6259-4f2c-a887-7e67f23dd4cb/domains/20bda58f-d650-462e-a72a-a5a7ecf2bf88/buckets/21d2b0bc-e54c-4b64-a30b-89127b18b785/images/profile/pictures/default/a8d8de19-5069-518c-b77f-da1e11c0aab0?rule=pp-small ; Mazda : Mazda ; Mx-5 : Mx-5 ; MAZDA : MAZDA ; MX-5 : MAZDA_MX-5 ; 240000 km : 240000 ; Essence : 1 ; Manuelle : 1 ; 12/1993 : 12/1993 ; Bon état général : good_overall_condition ; Cabriolet : cabriolet ; Bleu : bleu ; 8 Cv : 8 ; 116 Ch : 116 ; Avec permis : avecpermis ; credit_card : credit_card ; false : false ; true : true ; u_car_brand : MAZDA ; u_car_model : MX-5 ; vehicle_damage : Bon état général ; vehicle_upholstery : Cuir partiel ; vehicle_maintenance : Réparations utiles déjà faites ; vehicle_interior_specs : Bluetooth, Chargeurs USB ; vehicle_vsp : Avec permis ; vehicle_available_payment_methods : credit_card ; is_import : false ; vehicle_is_eligible_p2p : 2 ; licence_plate_available : true</t>
        </is>
      </c>
      <c r="AG135" s="19" t="inlineStr">
        <is>
          <t>Voir</t>
        </is>
      </c>
      <c r="AH135" s="10" t="inlineStr">
        <is>
          <t>3276609067</t>
        </is>
      </c>
    </row>
    <row r="136">
      <c r="A136" s="10" t="inlineStr">
        <is>
          <t>Mazda MX-5 NA</t>
        </is>
      </c>
      <c r="B136" s="10" t="inlineStr">
        <is>
          <t>Mazda mx5 NA 1.6 édition limitée</t>
        </is>
      </c>
      <c r="C136" s="10" t="inlineStr">
        <is>
          <t>En vente</t>
        </is>
      </c>
      <c r="D136" s="18" t="n">
        <v>46291</v>
      </c>
      <c r="E136" s="18" t="n">
        <v>46291</v>
      </c>
      <c r="F136" s="18" t="n">
        <v>46296</v>
      </c>
      <c r="G136" s="18" t="n"/>
      <c r="H136" s="17">
        <f>IF(OR(ISNUMBER(D136),ISNUMBER(E136)),IF(ISNUMBER(G136),G136,F136)-IF(ISNUMBER(D136),D136,E136),"")</f>
        <v/>
      </c>
      <c r="I136" s="12" t="n">
        <v>13500</v>
      </c>
      <c r="J136" s="12" t="n">
        <v>13500</v>
      </c>
      <c r="K136" s="13">
        <f>IF(AND(ISNUMBER(I136),ISNUMBER(J136),I136&gt;0),1-J136/I136,"")</f>
        <v/>
      </c>
      <c r="L136" s="16" t="n">
        <v>0</v>
      </c>
      <c r="M136" s="15" t="n">
        <v>122000</v>
      </c>
      <c r="N136" s="16" t="n">
        <v>1996</v>
      </c>
      <c r="O136" s="10" t="inlineStr">
        <is>
          <t>1</t>
        </is>
      </c>
      <c r="P136" s="10" t="inlineStr">
        <is>
          <t>1</t>
        </is>
      </c>
      <c r="Q136" s="16" t="n">
        <v>90</v>
      </c>
      <c r="R136" s="16" t="n">
        <v>8</v>
      </c>
      <c r="S136" s="10" t="inlineStr">
        <is>
          <t>autre</t>
        </is>
      </c>
      <c r="T136" s="16" t="n">
        <v>2</v>
      </c>
      <c r="U136" s="10" t="n"/>
      <c r="V136" s="10" t="n"/>
      <c r="W136" s="10" t="inlineStr">
        <is>
          <t>Particulier</t>
        </is>
      </c>
      <c r="X136" s="10" t="inlineStr">
        <is>
          <t>Valmont</t>
        </is>
      </c>
      <c r="Y136" s="10" t="inlineStr">
        <is>
          <t>57730</t>
        </is>
      </c>
      <c r="Z136" s="10" t="inlineStr">
        <is>
          <t>Moselle</t>
        </is>
      </c>
      <c r="AA136" s="10" t="inlineStr">
        <is>
          <t>Lorraine</t>
        </is>
      </c>
      <c r="AB136" s="16" t="n"/>
      <c r="AC136" s="16" t="n"/>
      <c r="AD136" s="10" t="n"/>
      <c r="AE136"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F136" s="10" t="inlineStr">
        <is>
          <t>1 : 1 ; 2 : 2 ; 1996 : 1996 ; https://img.leboncoin.fr/api/v1/tenants/9a6387a1-6259-4f2c-a887-7e67f23dd4cb/domains/20bda58f-d650-462e-a72a-a5a7ecf2bf88/buckets/21d2b0bc-e54c-4b64-a30b-89127b18b785/images/profile/pictures/default/a0b1cc4d-1d1d-5705-bc2f-b0a078661554?rule=pp-small : https://img.leboncoin.fr/api/v1/tenants/9a6387a1-6259-4f2c-a887-7e67f23dd4cb/domains/20bda58f-d650-462e-a72a-a5a7ecf2bf88/buckets/21d2b0bc-e54c-4b64-a30b-89127b18b785/images/profile/pictures/default/a0b1cc4d-1d1d-5705-bc2f-b0a078661554?rule=pp-small ; Mazda : Mazda ; Mx-5 : Mx-5 ; MAZDA : MAZDA ; MX-5 : MAZDA_MX-5 ; 122000 km : 122000 ; Essence : 1 ; Manuelle : 1 ; 04/1996 : 04/1996 ; Cabriolet : cabriolet ; Autre : autre ; 8 Cv : 8 ; 90 Ch : 90 ; Avec permis : avecpermis ; credit_card : credit_card ; false : false ; true : true ; u_car_brand : MAZDA ; u_car_model : MX-5 ; vehicle_vsp : Avec permis ; vehicle_available_payment_methods : credit_card ; is_import : false ; vehicle_is_eligible_p2p : 2 ; licence_plate_available : true</t>
        </is>
      </c>
      <c r="AG136" s="19" t="inlineStr">
        <is>
          <t>Voir</t>
        </is>
      </c>
      <c r="AH136" s="10" t="inlineStr">
        <is>
          <t>3277088692</t>
        </is>
      </c>
    </row>
    <row r="137">
      <c r="A137" s="10" t="inlineStr">
        <is>
          <t>Mazda MX-5 NA</t>
        </is>
      </c>
      <c r="B137" s="10" t="inlineStr">
        <is>
          <t>Mazda mx5 na 1,8l</t>
        </is>
      </c>
      <c r="C137" s="10" t="inlineStr">
        <is>
          <t>En vente</t>
        </is>
      </c>
      <c r="D137" s="18" t="n">
        <v>46291</v>
      </c>
      <c r="E137" s="18" t="n">
        <v>46291</v>
      </c>
      <c r="F137" s="18" t="n">
        <v>46296</v>
      </c>
      <c r="G137" s="18" t="n"/>
      <c r="H137" s="17">
        <f>IF(OR(ISNUMBER(D137),ISNUMBER(E137)),IF(ISNUMBER(G137),G137,F137)-IF(ISNUMBER(D137),D137,E137),"")</f>
        <v/>
      </c>
      <c r="I137" s="12" t="n">
        <v>16990</v>
      </c>
      <c r="J137" s="12" t="n">
        <v>16990</v>
      </c>
      <c r="K137" s="13">
        <f>IF(AND(ISNUMBER(I137),ISNUMBER(J137),I137&gt;0),1-J137/I137,"")</f>
        <v/>
      </c>
      <c r="L137" s="16" t="n">
        <v>0</v>
      </c>
      <c r="M137" s="15" t="n">
        <v>151587</v>
      </c>
      <c r="N137" s="16" t="n">
        <v>1994</v>
      </c>
      <c r="O137" s="10" t="inlineStr">
        <is>
          <t>1</t>
        </is>
      </c>
      <c r="P137" s="10" t="inlineStr">
        <is>
          <t>1</t>
        </is>
      </c>
      <c r="Q137" s="16" t="n">
        <v>130</v>
      </c>
      <c r="R137" s="16" t="n">
        <v>10</v>
      </c>
      <c r="S137" s="10" t="inlineStr">
        <is>
          <t>autre</t>
        </is>
      </c>
      <c r="T137" s="16" t="n">
        <v>2</v>
      </c>
      <c r="U137" s="10" t="n"/>
      <c r="V137" s="10" t="inlineStr">
        <is>
          <t>6</t>
        </is>
      </c>
      <c r="W137" s="10" t="inlineStr">
        <is>
          <t>Particulier</t>
        </is>
      </c>
      <c r="X137" s="10" t="inlineStr">
        <is>
          <t>Villefranche-sur-Saône</t>
        </is>
      </c>
      <c r="Y137" s="10" t="inlineStr">
        <is>
          <t>69400</t>
        </is>
      </c>
      <c r="Z137" s="10" t="inlineStr">
        <is>
          <t>Rhône</t>
        </is>
      </c>
      <c r="AA137" s="10" t="inlineStr">
        <is>
          <t>Rhône-Alpes</t>
        </is>
      </c>
      <c r="AB137" s="16" t="n"/>
      <c r="AC137" s="16" t="n"/>
      <c r="AD137" s="10" t="n"/>
      <c r="AE137"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F137" s="10" t="inlineStr">
        <is>
          <t>1 : 1 ; 2 : 2 ; 104 : 104 ; 1994 : 1994 ; https://img.leboncoin.fr/api/v1/tenants/9a6387a1-6259-4f2c-a887-7e67f23dd4cb/domains/20bda58f-d650-462e-a72a-a5a7ecf2bf88/buckets/21d2b0bc-e54c-4b64-a30b-89127b18b785/images/profile/pictures/default/a3886367-00e1-5054-87c0-71799ae4ad4e?rule=pp-small : https://img.leboncoin.fr/api/v1/tenants/9a6387a1-6259-4f2c-a887-7e67f23dd4cb/domains/20bda58f-d650-462e-a72a-a5a7ecf2bf88/buckets/21d2b0bc-e54c-4b64-a30b-89127b18b785/images/profile/pictures/default/a3886367-00e1-5054-87c0-71799ae4ad4e?rule=pp-small ; Mazda : Mazda ; Mx-5 : Mx-5 ; MAZDA : MAZDA ; MX-5 : MAZDA_MX-5 ; 151587 km : 151587 ; Essence : 1 ; Manuelle : 1 ; 06/1994 : 06/1994 ; Cabriolet : cabriolet ; Autre : autre ; Non classé : 6 ; 10 Cv : 10 ; 130 Ch : 130 ; Avec permis : avecpermis ; credit_card : credit_card ; false : false ; true : true ; rating_score : 1 ; rating_count : 104 ; u_car_brand : MAZDA ; u_car_model : MX-5 ; vehicle_vsp : Avec permis ; vehicle_available_payment_methods : credit_card ; is_import : false ; vehicle_is_eligible_p2p : 2 ; licence_plate_available : true</t>
        </is>
      </c>
      <c r="AG137" s="19" t="inlineStr">
        <is>
          <t>Voir</t>
        </is>
      </c>
      <c r="AH137" s="10" t="inlineStr">
        <is>
          <t>3277280211</t>
        </is>
      </c>
    </row>
    <row r="138">
      <c r="A138" s="10" t="inlineStr">
        <is>
          <t>Mazda MX-5 NA</t>
        </is>
      </c>
      <c r="B138" s="10" t="inlineStr">
        <is>
          <t>Mazda Mx5 NA 1.6 90ch</t>
        </is>
      </c>
      <c r="C138" s="10" t="inlineStr">
        <is>
          <t>En vente</t>
        </is>
      </c>
      <c r="D138" s="18" t="n">
        <v>46295</v>
      </c>
      <c r="E138" s="18" t="n">
        <v>46295</v>
      </c>
      <c r="F138" s="18" t="n">
        <v>46296</v>
      </c>
      <c r="G138" s="18" t="n"/>
      <c r="H138" s="17">
        <f>IF(OR(ISNUMBER(D138),ISNUMBER(E138)),IF(ISNUMBER(G138),G138,F138)-IF(ISNUMBER(D138),D138,E138),"")</f>
        <v/>
      </c>
      <c r="I138" s="12" t="n">
        <v>10500</v>
      </c>
      <c r="J138" s="12" t="n">
        <v>10500</v>
      </c>
      <c r="K138" s="13">
        <f>IF(AND(ISNUMBER(I138),ISNUMBER(J138),I138&gt;0),1-J138/I138,"")</f>
        <v/>
      </c>
      <c r="L138" s="16" t="n">
        <v>0</v>
      </c>
      <c r="M138" s="15" t="n">
        <v>198000</v>
      </c>
      <c r="N138" s="16" t="n">
        <v>1997</v>
      </c>
      <c r="O138" s="10" t="inlineStr">
        <is>
          <t>1</t>
        </is>
      </c>
      <c r="P138" s="10" t="inlineStr">
        <is>
          <t>1</t>
        </is>
      </c>
      <c r="Q138" s="16" t="n">
        <v>90</v>
      </c>
      <c r="R138" s="16" t="n">
        <v>8</v>
      </c>
      <c r="S138" s="10" t="inlineStr">
        <is>
          <t>vert</t>
        </is>
      </c>
      <c r="T138" s="16" t="n">
        <v>2</v>
      </c>
      <c r="U138" s="10" t="n"/>
      <c r="V138" s="10" t="n"/>
      <c r="W138" s="10" t="inlineStr">
        <is>
          <t>Particulier</t>
        </is>
      </c>
      <c r="X138" s="10" t="inlineStr">
        <is>
          <t>Savigny-sur-Orge</t>
        </is>
      </c>
      <c r="Y138" s="10" t="inlineStr">
        <is>
          <t>91600</t>
        </is>
      </c>
      <c r="Z138" s="10" t="inlineStr">
        <is>
          <t>Essonne</t>
        </is>
      </c>
      <c r="AA138" s="10" t="inlineStr">
        <is>
          <t>Ile-de-France</t>
        </is>
      </c>
      <c r="AB138" s="16" t="n"/>
      <c r="AC138" s="16" t="n"/>
      <c r="AD138" s="10" t="n"/>
      <c r="AE138"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F138" s="10" t="inlineStr">
        <is>
          <t>1 : 1 ; 2 : 2 ; 4 : 4 ; 1997 : 1997 ; 715281 : 715281 ; https://img.leboncoin.fr/api/v1/tenants/9a6387a1-6259-4f2c-a887-7e67f23dd4cb/domains/20bda58f-d650-462e-a72a-a5a7ecf2bf88/buckets/21d2b0bc-e54c-4b64-a30b-89127b18b785/images/profile/pictures/18e78a42-c9bd-55f7-a423-f2e49857afca?rule=pp-small : https://img.leboncoin.fr/api/v1/tenants/9a6387a1-6259-4f2c-a887-7e67f23dd4cb/domains/20bda58f-d650-462e-a72a-a5a7ecf2bf88/buckets/21d2b0bc-e54c-4b64-a30b-89127b18b785/images/profile/pictures/18e78a42-c9bd-55f7-a423-f2e49857afca?rule=pp-small ; Mazda : Mazda ; Mx-5 : Mx-5 ; MAZDA : MAZDA ; MX-5 : MAZDA_MX-5 ; 198000 km : 198000 ; Essence : 1 ; Manuelle : 1 ; Base : MAZDA_MX-5_Base ; MX-5 1.6 90ch : MX-5 1.6 90ch ; 06/1997 : 06/1997 ; Bon état général : good_overall_condition ; Cabriolet : cabriolet ; Vert : vert ; 8 Cv : 8 ; 90 Ch : 90 ; Avec permis : avecpermis ; credit_card : credit_card ; false : false ; https://autoviza.fr/report/report?uid=9e3c1f11-aeb5-4990-a25b-29b1cbb23916 : https://autoviza.fr/report/report?uid=9e3c1f11-aeb5-4990-a25b-29b1cbb23916 ; true : true ; rating_score : 1 ; rating_count : 4 ; u_car_brand : MAZDA ; u_car_model : MX-5 ; u_car_finition : Base ; u_car_version : MX-5 1.6 90ch ; vehicle_damage : Bon état général ; vehicle_maintenance : Factures disponibles ; vehicle_vsp : Avec permis ; vehicle_available_payment_methods : credit_card ; is_import : false ; vehicle_is_eligible_p2p : 2 ; vehicle_history_report_public_url : https://autoviza.fr/report/report?uid=9e3c1f11-aeb5-4990-a25b-29b1cbb23916 ; argus_object_id : 715281 ; licence_plate_available : true</t>
        </is>
      </c>
      <c r="AG138" s="19" t="inlineStr">
        <is>
          <t>Voir</t>
        </is>
      </c>
      <c r="AH138" s="10" t="inlineStr">
        <is>
          <t>3279515840</t>
        </is>
      </c>
    </row>
    <row r="139">
      <c r="A139" s="10" t="inlineStr">
        <is>
          <t>Mazda MX-5 NA</t>
        </is>
      </c>
      <c r="B139" s="10" t="inlineStr">
        <is>
          <t>Mazda MX5</t>
        </is>
      </c>
      <c r="C139" s="10" t="inlineStr">
        <is>
          <t>En vente</t>
        </is>
      </c>
      <c r="D139" s="18" t="n">
        <v>46296</v>
      </c>
      <c r="E139" s="18" t="n">
        <v>46296</v>
      </c>
      <c r="F139" s="18" t="n">
        <v>46296</v>
      </c>
      <c r="G139" s="18" t="n"/>
      <c r="H139" s="17">
        <f>IF(OR(ISNUMBER(D139),ISNUMBER(E139)),IF(ISNUMBER(G139),G139,F139)-IF(ISNUMBER(D139),D139,E139),"")</f>
        <v/>
      </c>
      <c r="I139" s="12" t="n">
        <v>11200</v>
      </c>
      <c r="J139" s="12" t="n">
        <v>11200</v>
      </c>
      <c r="K139" s="13">
        <f>IF(AND(ISNUMBER(I139),ISNUMBER(J139),I139&gt;0),1-J139/I139,"")</f>
        <v/>
      </c>
      <c r="L139" s="16" t="n">
        <v>0</v>
      </c>
      <c r="M139" s="15" t="n">
        <v>173384</v>
      </c>
      <c r="N139" s="16" t="n">
        <v>1997</v>
      </c>
      <c r="O139" s="10" t="inlineStr">
        <is>
          <t>1</t>
        </is>
      </c>
      <c r="P139" s="10" t="inlineStr">
        <is>
          <t>1</t>
        </is>
      </c>
      <c r="Q139" s="16" t="n">
        <v>130</v>
      </c>
      <c r="R139" s="16" t="n">
        <v>10</v>
      </c>
      <c r="S139" s="10" t="inlineStr">
        <is>
          <t>bleu</t>
        </is>
      </c>
      <c r="T139" s="16" t="n">
        <v>2</v>
      </c>
      <c r="U139" s="10" t="n"/>
      <c r="V139" s="10" t="inlineStr">
        <is>
          <t>3</t>
        </is>
      </c>
      <c r="W139" s="10" t="inlineStr">
        <is>
          <t>Particulier</t>
        </is>
      </c>
      <c r="X139" s="10" t="inlineStr">
        <is>
          <t>Laval-sur-Doulon</t>
        </is>
      </c>
      <c r="Y139" s="10" t="inlineStr">
        <is>
          <t>43440</t>
        </is>
      </c>
      <c r="Z139" s="10" t="inlineStr">
        <is>
          <t>Haute-Loire</t>
        </is>
      </c>
      <c r="AA139" s="10" t="inlineStr">
        <is>
          <t>Auvergne</t>
        </is>
      </c>
      <c r="AB139" s="16" t="n"/>
      <c r="AC139" s="16" t="n"/>
      <c r="AD139" s="10" t="n"/>
      <c r="AE139"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F139" s="10" t="inlineStr">
        <is>
          <t>1 : 1 ; 2 : 2 ; 3 : 3 ; 1997 : 1997 ; 2028 : 2028 ; 715282 : 715282 ; https://img.leboncoin.fr/api/v1/tenants/9a6387a1-6259-4f2c-a887-7e67f23dd4cb/domains/20bda58f-d650-462e-a72a-a5a7ecf2bf88/buckets/21d2b0bc-e54c-4b64-a30b-89127b18b785/images/profile/pictures/default/6781ccc0-20a9-5028-99cd-bde6737ffc93?rule=pp-small : https://img.leboncoin.fr/api/v1/tenants/9a6387a1-6259-4f2c-a887-7e67f23dd4cb/domains/20bda58f-d650-462e-a72a-a5a7ecf2bf88/buckets/21d2b0bc-e54c-4b64-a30b-89127b18b785/images/profile/pictures/default/6781ccc0-20a9-5028-99cd-bde6737ffc93?rule=pp-small ; Mazda : Mazda ; Mx-5 : Mx-5 ; MAZDA : MAZDA ; MX-5 : MAZDA_MX-5 ; 173384 km : 173384 ; Essence : 1 ; Manuelle : 1 ; Base : MAZDA_MX-5_Base ; MX-5 1.8 130ch : MX-5 1.8 130ch ; Oui : true ; 03/1997 : 03/1997 ; Bon état général : good_overall_condition ; Cabriolet : cabriolet ; Bleu : bleu ; Euro 2 : euro2 ; 10 Cv : 10 ; 130 Ch : 130 ; Avec permis : avecpermis ; credit_card : credit_card ; false : false ; https://autoviza.fr/report/report?uid=14669890-172a-4aed-ab15-8419c7480aa2 : https://autoviza.fr/report/report?uid=14669890-172a-4aed-ab15-8419c7480aa2 ; true : true ; rating_score : 1 ; rating_count : 1 ; u_car_brand : MAZDA ; u_car_model : MX-5 ; u_car_finition : Base ; u_car_version : MX-5 1.8 130ch ; vehicle_technical_inspection_valid : Oui ; vehicle_technical_inspection_a : 2028 ; vehicle_damage : Bon état général ; vehicle_upholstery : Tout cuir, Autre ; vehicle_maintenance : Factures disponibles ; vehicle_euro_emissions_standard : Euro 2 ; vehicle_vsp : Avec permis ; vehicle_available_payment_methods : credit_card ; is_import : false ; vehicle_is_eligible_p2p : 2 ; vehicle_history_report_public_url : https://autoviza.fr/report/report?uid=14669890-172a-4aed-ab15-8419c7480aa2 ; vehicle_history_teaser_critair : 3 ; vehicle_history_teaser_owners : 2 ; vehicle_history_teaser_expertises : false ; vehicle_history_teaser_special_uses : false ; vehicle_history_teaser_atypical_operations : false ; vehicle_history_teaser_importations : false ; argus_object_id : 715282 ; licence_plate_available : true</t>
        </is>
      </c>
      <c r="AG139" s="19" t="inlineStr">
        <is>
          <t>Voir</t>
        </is>
      </c>
      <c r="AH139" s="10" t="inlineStr">
        <is>
          <t>3280227190</t>
        </is>
      </c>
    </row>
    <row r="140">
      <c r="A140" s="10" t="inlineStr">
        <is>
          <t>Peugeot 205 GTI</t>
        </is>
      </c>
      <c r="B140" s="10" t="inlineStr">
        <is>
          <t>205 gti 1,6</t>
        </is>
      </c>
      <c r="C140" s="10" t="inlineStr">
        <is>
          <t>En vente</t>
        </is>
      </c>
      <c r="D140" s="18" t="n">
        <v>46285</v>
      </c>
      <c r="E140" s="18" t="n">
        <v>46285</v>
      </c>
      <c r="F140" s="18" t="n">
        <v>46296</v>
      </c>
      <c r="G140" s="18" t="n"/>
      <c r="H140" s="17">
        <f>IF(OR(ISNUMBER(D140),ISNUMBER(E140)),IF(ISNUMBER(G140),G140,F140)-IF(ISNUMBER(D140),D140,E140),"")</f>
        <v/>
      </c>
      <c r="I140" s="12" t="n">
        <v>15200</v>
      </c>
      <c r="J140" s="12" t="n">
        <v>15200</v>
      </c>
      <c r="K140" s="13">
        <f>IF(AND(ISNUMBER(I140),ISNUMBER(J140),I140&gt;0),1-J140/I140,"")</f>
        <v/>
      </c>
      <c r="L140" s="16" t="n">
        <v>0</v>
      </c>
      <c r="M140" s="15" t="n">
        <v>24500</v>
      </c>
      <c r="N140" s="16" t="n">
        <v>1989</v>
      </c>
      <c r="O140" s="10" t="inlineStr">
        <is>
          <t>1</t>
        </is>
      </c>
      <c r="P140" s="10" t="inlineStr">
        <is>
          <t>1</t>
        </is>
      </c>
      <c r="Q140" s="16" t="n">
        <v>60</v>
      </c>
      <c r="R140" s="16" t="n">
        <v>5</v>
      </c>
      <c r="S140" s="10" t="inlineStr">
        <is>
          <t>rouge</t>
        </is>
      </c>
      <c r="T140" s="16" t="n">
        <v>5</v>
      </c>
      <c r="U140" s="10" t="n"/>
      <c r="V140" s="10" t="inlineStr">
        <is>
          <t>3</t>
        </is>
      </c>
      <c r="W140" s="10" t="inlineStr">
        <is>
          <t>Particulier</t>
        </is>
      </c>
      <c r="X140" s="10" t="inlineStr">
        <is>
          <t>Serpaize</t>
        </is>
      </c>
      <c r="Y140" s="10" t="inlineStr">
        <is>
          <t>38200</t>
        </is>
      </c>
      <c r="Z140" s="10" t="inlineStr">
        <is>
          <t>Isère</t>
        </is>
      </c>
      <c r="AA140" s="10" t="inlineStr">
        <is>
          <t>Rhône-Alpes</t>
        </is>
      </c>
      <c r="AB140" s="16" t="n"/>
      <c r="AC140" s="16" t="n"/>
      <c r="AD140" s="10" t="n"/>
      <c r="AE140" s="10" t="n"/>
      <c r="AF140" s="10" t="inlineStr">
        <is>
          <t>1 : 1 ; 2 : 2 ; 3 : 3 ; 5 : 5 ; 205 : 205 ; 1989 : 1989 ; 16500 : 16500 ; https://img.leboncoin.fr/api/v1/tenants/9a6387a1-6259-4f2c-a887-7e67f23dd4cb/domains/20bda58f-d650-462e-a72a-a5a7ecf2bf88/buckets/21d2b0bc-e54c-4b64-a30b-89127b18b785/images/profile/pictures/default/a4019c7f-633c-58b6-a3aa-81d5048407bf?rule=pp-small : https://img.leboncoin.fr/api/v1/tenants/9a6387a1-6259-4f2c-a887-7e67f23dd4cb/domains/20bda58f-d650-462e-a72a-a5a7ecf2bf88/buckets/21d2b0bc-e54c-4b64-a30b-89127b18b785/images/profile/pictures/default/a4019c7f-633c-58b6-a3aa-81d5048407bf?rule=pp-small ; Peugeot : Peugeot ; PEUGEOT : PEUGEOT ; 24500 km : 24500 ; Essence : 1 ; Manuelle : 1 ; 09/1989 : 09/1989 ; Réparations mineures à prévoir : minor_repairs_needed ; Berline : berline ; Rouge : rouge ; Euro 3 : euro3 ; 5 Cv : 5 ; 60 Ch : 60 ; Avec permis : avecpermis ; credit_card : credit_card ; false : false ; https://autoviza.fr/report/report?uid=1d3126b6-8143-42bd-a3b8-6a5c62c449f3 : https://autoviza.fr/report/report?uid=1d3126b6-8143-42bd-a3b8-6a5c62c449f3 ; true : true ; u_car_brand : PEUGEOT ; u_car_model : 205 ; vehicle_damage : Réparations mineures à prévoir ; vehicle_upholstery : Cuir partiel ; vehicle_maintenance : Factures disponibles ; vehicle_interior_specs : Toit ouvrant / Toit panoramique ; vehicle_euro_emissions_standard : Euro 3 ; vehicle_vsp : Avec permis ; vehicle_available_payment_methods : credit_card ; is_import : false ; old_price : 16500 ; vehicle_is_eligible_p2p : 2 ; vehicle_history_report_public_url : https://autoviza.fr/report/report?uid=1d3126b6-8143-42bd-a3b8-6a5c62c449f3 ; licence_plate_available : true</t>
        </is>
      </c>
      <c r="AG140" s="19" t="inlineStr">
        <is>
          <t>Voir</t>
        </is>
      </c>
      <c r="AH140" s="10" t="inlineStr">
        <is>
          <t>3199378668</t>
        </is>
      </c>
    </row>
    <row r="141">
      <c r="A141" s="10" t="inlineStr">
        <is>
          <t>Peugeot 205 GTI</t>
        </is>
      </c>
      <c r="B141" s="10" t="inlineStr">
        <is>
          <t>205 gti</t>
        </is>
      </c>
      <c r="C141" s="10" t="inlineStr">
        <is>
          <t>En vente</t>
        </is>
      </c>
      <c r="D141" s="18" t="n">
        <v>46285</v>
      </c>
      <c r="E141" s="18" t="n">
        <v>46285</v>
      </c>
      <c r="F141" s="18" t="n">
        <v>46296</v>
      </c>
      <c r="G141" s="18" t="n"/>
      <c r="H141" s="17">
        <f>IF(OR(ISNUMBER(D141),ISNUMBER(E141)),IF(ISNUMBER(G141),G141,F141)-IF(ISNUMBER(D141),D141,E141),"")</f>
        <v/>
      </c>
      <c r="I141" s="12" t="n">
        <v>25000</v>
      </c>
      <c r="J141" s="12" t="n">
        <v>25000</v>
      </c>
      <c r="K141" s="13">
        <f>IF(AND(ISNUMBER(I141),ISNUMBER(J141),I141&gt;0),1-J141/I141,"")</f>
        <v/>
      </c>
      <c r="L141" s="16" t="n">
        <v>0</v>
      </c>
      <c r="M141" s="15" t="n">
        <v>56217</v>
      </c>
      <c r="N141" s="16" t="n">
        <v>1992</v>
      </c>
      <c r="O141" s="10" t="inlineStr">
        <is>
          <t>1</t>
        </is>
      </c>
      <c r="P141" s="10" t="inlineStr">
        <is>
          <t>1</t>
        </is>
      </c>
      <c r="Q141" s="16" t="n">
        <v>60</v>
      </c>
      <c r="R141" s="16" t="n">
        <v>5</v>
      </c>
      <c r="S141" s="10" t="inlineStr">
        <is>
          <t>vert</t>
        </is>
      </c>
      <c r="T141" s="16" t="n">
        <v>3</v>
      </c>
      <c r="U141" s="10" t="n"/>
      <c r="V141" s="10" t="n"/>
      <c r="W141" s="10" t="inlineStr">
        <is>
          <t>Particulier</t>
        </is>
      </c>
      <c r="X141" s="10" t="inlineStr">
        <is>
          <t>Saint-Floxel</t>
        </is>
      </c>
      <c r="Y141" s="10" t="inlineStr">
        <is>
          <t>50310</t>
        </is>
      </c>
      <c r="Z141" s="10" t="inlineStr">
        <is>
          <t>Manche</t>
        </is>
      </c>
      <c r="AA141" s="10" t="inlineStr">
        <is>
          <t>Basse-Normandie</t>
        </is>
      </c>
      <c r="AB141" s="16" t="n"/>
      <c r="AC141" s="16" t="n"/>
      <c r="AD141" s="10" t="n"/>
      <c r="AE141" s="10" t="n"/>
      <c r="AF141" s="10" t="inlineStr">
        <is>
          <t>1 : 1 ; 2 : 2 ; 3 : 3 ; 205 : 205 ; 1992 : 1992 ; https://img.leboncoin.fr/api/v1/tenants/9a6387a1-6259-4f2c-a887-7e67f23dd4cb/domains/20bda58f-d650-462e-a72a-a5a7ecf2bf88/buckets/21d2b0bc-e54c-4b64-a30b-89127b18b785/images/profile/pictures/default/3c08e8a6-f1a7-5c56-bfa6-85b850cdb9eb?rule=pp-small : https://img.leboncoin.fr/api/v1/tenants/9a6387a1-6259-4f2c-a887-7e67f23dd4cb/domains/20bda58f-d650-462e-a72a-a5a7ecf2bf88/buckets/21d2b0bc-e54c-4b64-a30b-89127b18b785/images/profile/pictures/default/3c08e8a6-f1a7-5c56-bfa6-85b850cdb9eb?rule=pp-small ; Peugeot : Peugeot ; PEUGEOT : PEUGEOT ; 56217 km : 56217 ; Essence : 1 ; Manuelle : 1 ; Non : false ; 10/1992 : 10/1992 ; Berline : berline ; Vert : vert ; 5 Cv : 5 ; 60 Ch : 60 ; Avec permis : avecpermis ; false : false ; https://autoviza.fr/report/report?uid=ee514fba-c5d5-485a-a36c-dda9a9b75649 : https://autoviza.fr/report/report?uid=ee514fba-c5d5-485a-a36c-dda9a9b75649 ; true : true ; rating_score : 1 ; rating_count : 1 ; u_car_brand : PEUGEOT ; u_car_model : 205 ; vehicle_technical_inspection_valid : Non ; vehicle_upholstery : Tout cuir ; vehicle_vsp : Avec permis ; is_import : false ; vehicle_is_eligible_p2p : 2 ; vehicle_history_report_public_url : https://autoviza.fr/report/report?uid=ee514fba-c5d5-485a-a36c-dda9a9b75649 ; licence_plate_available : true</t>
        </is>
      </c>
      <c r="AG141" s="19" t="inlineStr">
        <is>
          <t>Voir</t>
        </is>
      </c>
      <c r="AH141" s="10" t="inlineStr">
        <is>
          <t>3226018309</t>
        </is>
      </c>
    </row>
    <row r="142">
      <c r="A142" s="10" t="inlineStr">
        <is>
          <t>Peugeot 205 GTI</t>
        </is>
      </c>
      <c r="B142" s="10" t="inlineStr">
        <is>
          <t>Peugeot 205 GTi Phase 2 / 1.9 i 130cv / Entretiens complet / 4ème main / Air ventilé</t>
        </is>
      </c>
      <c r="C142" s="10" t="inlineStr">
        <is>
          <t>En vente</t>
        </is>
      </c>
      <c r="D142" s="18" t="n">
        <v>46209</v>
      </c>
      <c r="E142" s="18" t="n">
        <v>46209</v>
      </c>
      <c r="F142" s="18" t="n">
        <v>46296</v>
      </c>
      <c r="G142" s="18" t="n"/>
      <c r="H142" s="17">
        <f>IF(OR(ISNUMBER(D142),ISNUMBER(E142)),IF(ISNUMBER(G142),G142,F142)-IF(ISNUMBER(D142),D142,E142),"")</f>
        <v/>
      </c>
      <c r="I142" s="12" t="n">
        <v>19990</v>
      </c>
      <c r="J142" s="12" t="n">
        <v>19990</v>
      </c>
      <c r="K142" s="13">
        <f>IF(AND(ISNUMBER(I142),ISNUMBER(J142),I142&gt;0),1-J142/I142,"")</f>
        <v/>
      </c>
      <c r="L142" s="16" t="n">
        <v>0</v>
      </c>
      <c r="M142" s="15" t="n">
        <v>140900</v>
      </c>
      <c r="N142" s="16" t="n">
        <v>1987</v>
      </c>
      <c r="O142" s="10" t="inlineStr">
        <is>
          <t>1</t>
        </is>
      </c>
      <c r="P142" s="10" t="inlineStr">
        <is>
          <t>1</t>
        </is>
      </c>
      <c r="Q142" s="16" t="n">
        <v>128</v>
      </c>
      <c r="R142" s="16" t="n">
        <v>9</v>
      </c>
      <c r="S142" s="10" t="inlineStr">
        <is>
          <t>gris</t>
        </is>
      </c>
      <c r="T142" s="16" t="n">
        <v>3</v>
      </c>
      <c r="U142" s="10" t="n"/>
      <c r="V142" s="10" t="n"/>
      <c r="W142" s="10" t="inlineStr">
        <is>
          <t>Pro</t>
        </is>
      </c>
      <c r="X142" s="10" t="inlineStr">
        <is>
          <t>Saint-Pardoux-du-Breuil</t>
        </is>
      </c>
      <c r="Y142" s="10" t="inlineStr">
        <is>
          <t>47200</t>
        </is>
      </c>
      <c r="Z142" s="10" t="inlineStr">
        <is>
          <t>Lot-et-Garonne</t>
        </is>
      </c>
      <c r="AA142" s="10" t="inlineStr">
        <is>
          <t>Aquitaine</t>
        </is>
      </c>
      <c r="AB142" s="16" t="n"/>
      <c r="AC142" s="16" t="n"/>
      <c r="AD142" s="10" t="inlineStr">
        <is>
          <t>Oui</t>
        </is>
      </c>
      <c r="AE142" s="10" t="n"/>
      <c r="AF142" s="10" t="inlineStr">
        <is>
          <t>1 : 1 ; 3 : 3 ; 5 : 5 ; 205 : 205 ; 1987 : 1987 ; 475266 : 475266 ; 719016 : 719016 ; 3878994 : 3878994 ; Peugeot : Peugeot ; PEUGEOT : PEUGEOT ; 140900 km : 140900 ; Essence : 1 ; Manuelle : 1 ; Sacre Numero : PEUGEOT_205_Sacre Numero ; 205 1.1 Sacre Numero 3p : 205 1.1 Sacre Numero 3p ; 10/1987 : 10/1987 ; Berline : berline ; Gris : gris ; 9 Cv : 9 ; 128 Ch : 128 ; false : false ; true : true ; https://img.leboncoin.fr/api/v1/lbcpb1/images/6a/f1/c7/6af1c74e-f2b6-4c80-856f-2aef05183fd6?rule=bo-thumb : https://img.leboncoin.fr/api/v1/lbcpb1/images/6a/f1/c7/6af1c74e-f2b6-4c80-856f-2aef05183fd6?rule=bo-thumb ; YUMMY CAR : YUMMY CAR ; https://autoviza.fr/report/report?uid=586c954d-d805-419d-bd88-37f1ec618c12 : https://autoviza.fr/report/report?uid=586c954d-d805-419d-bd88-37f1ec618c12 ; visible : visible ; Non renseignée : non_renseignee ; activity_sector : 1 ; u_car_brand : PEUGEOT ; u_car_model : 205 ; u_car_finition : Sacre Numero ; u_car_version : 205 1.1 Sacre Numero 3p ; recent_used_vehicle : false ; has_visibility_option : true ; store_logo : https://img.leboncoin.fr/api/v1/lbcpb1/images/6a/f1/c7/6af1c74e-f2b6-4c80-856f-2aef05183fd6?rule=bo-thumb ; store_name : YUMMY CAR ; online_store_id : 3878994 ; custom_ref : 475266 ; is_import : true ; vehicle_history_report_public_url : https://autoviza.fr/report/report?uid=586c954d-d805-419d-bd88-37f1ec618c12 ; vehicle_history_report_status : visible ; argus_object_id : 719016 ; spare_parts_availability : Non renseignée ; licence_plate_available : true</t>
        </is>
      </c>
      <c r="AG142" s="19" t="inlineStr">
        <is>
          <t>Voir</t>
        </is>
      </c>
      <c r="AH142" s="10" t="inlineStr">
        <is>
          <t>3228549093</t>
        </is>
      </c>
    </row>
    <row r="143">
      <c r="A143" s="10" t="inlineStr">
        <is>
          <t>Peugeot 205 GTI</t>
        </is>
      </c>
      <c r="B143" s="10" t="inlineStr">
        <is>
          <t>205 gti 1.9</t>
        </is>
      </c>
      <c r="C143" s="10" t="inlineStr">
        <is>
          <t>En vente</t>
        </is>
      </c>
      <c r="D143" s="18" t="n">
        <v>46278</v>
      </c>
      <c r="E143" s="18" t="n">
        <v>46278</v>
      </c>
      <c r="F143" s="18" t="n">
        <v>46296</v>
      </c>
      <c r="G143" s="18" t="n"/>
      <c r="H143" s="17">
        <f>IF(OR(ISNUMBER(D143),ISNUMBER(E143)),IF(ISNUMBER(G143),G143,F143)-IF(ISNUMBER(D143),D143,E143),"")</f>
        <v/>
      </c>
      <c r="I143" s="12" t="n">
        <v>15500</v>
      </c>
      <c r="J143" s="12" t="n">
        <v>15500</v>
      </c>
      <c r="K143" s="13">
        <f>IF(AND(ISNUMBER(I143),ISNUMBER(J143),I143&gt;0),1-J143/I143,"")</f>
        <v/>
      </c>
      <c r="L143" s="16" t="n">
        <v>0</v>
      </c>
      <c r="M143" s="15" t="n">
        <v>152000</v>
      </c>
      <c r="N143" s="16" t="n">
        <v>1989</v>
      </c>
      <c r="O143" s="10" t="inlineStr">
        <is>
          <t>1</t>
        </is>
      </c>
      <c r="P143" s="10" t="inlineStr">
        <is>
          <t>1</t>
        </is>
      </c>
      <c r="Q143" s="16" t="n">
        <v>130</v>
      </c>
      <c r="R143" s="16" t="n">
        <v>5</v>
      </c>
      <c r="S143" s="10" t="inlineStr">
        <is>
          <t>blanc</t>
        </is>
      </c>
      <c r="T143" s="16" t="n">
        <v>3</v>
      </c>
      <c r="U143" s="10" t="n"/>
      <c r="V143" s="10" t="n"/>
      <c r="W143" s="10" t="inlineStr">
        <is>
          <t>Particulier</t>
        </is>
      </c>
      <c r="X143" s="10" t="inlineStr">
        <is>
          <t>Fontrieu</t>
        </is>
      </c>
      <c r="Y143" s="10" t="inlineStr">
        <is>
          <t>81260</t>
        </is>
      </c>
      <c r="Z143" s="10" t="inlineStr">
        <is>
          <t>Tarn</t>
        </is>
      </c>
      <c r="AA143" s="10" t="inlineStr">
        <is>
          <t>Midi-Pyrénées</t>
        </is>
      </c>
      <c r="AB143" s="16" t="n"/>
      <c r="AC143" s="16" t="n"/>
      <c r="AD143" s="10" t="n"/>
      <c r="AE143" s="10" t="n"/>
      <c r="AF143" s="10" t="inlineStr">
        <is>
          <t>1 : 1 ; 2 : 2 ; 3 : 3 ; 99 : 99 ; 205 : 205 ; 1989 : 1989 ; 17500 : 17500 ; https://img.leboncoin.fr/api/v1/tenants/9a6387a1-6259-4f2c-a887-7e67f23dd4cb/domains/20bda58f-d650-462e-a72a-a5a7ecf2bf88/buckets/21d2b0bc-e54c-4b64-a30b-89127b18b785/images/profile/pictures/default/787bf670-adde-5665-8c18-132f1bcab013?rule=pp-small : https://img.leboncoin.fr/api/v1/tenants/9a6387a1-6259-4f2c-a887-7e67f23dd4cb/domains/20bda58f-d650-462e-a72a-a5a7ecf2bf88/buckets/21d2b0bc-e54c-4b64-a30b-89127b18b785/images/profile/pictures/default/787bf670-adde-5665-8c18-132f1bcab013?rule=pp-small ; Peugeot : Peugeot ; PEUGEOT : PEUGEOT ; 152000 km : 152000 ; Essence : 1 ; Manuelle : 1 ; Non : false ; 07/1989 : 07/1989 ; Berline : berline ; Blanc : blanc ; 5 Cv : 5 ; 130 Ch : 130 ; Avec permis : avecpermis ; credit_card : credit_card ; false : false ; https://autoviza.fr/report/report?uid=a0af49e2-876a-492c-bf8b-e508ead31280 : https://autoviza.fr/report/report?uid=a0af49e2-876a-492c-bf8b-e508ead31280 ; true : true ; rating_score : 1 ; rating_count : 99 ; u_car_brand : PEUGEOT ; u_car_model : 205 ; vehicle_technical_inspection_valid : Non ; vehicle_vsp : Avec permis ; vehicle_available_payment_methods : credit_card ; is_import : false ; old_price : 17500 ; vehicle_is_eligible_p2p : 2 ; vehicle_history_report_public_url : https://autoviza.fr/report/report?uid=a0af49e2-876a-492c-bf8b-e508ead31280 ; licence_plate_available : true</t>
        </is>
      </c>
      <c r="AG143" s="19" t="inlineStr">
        <is>
          <t>Voir</t>
        </is>
      </c>
      <c r="AH143" s="10" t="inlineStr">
        <is>
          <t>3232618598</t>
        </is>
      </c>
    </row>
    <row r="144">
      <c r="A144" s="10" t="inlineStr">
        <is>
          <t>Peugeot 205 GTI</t>
        </is>
      </c>
      <c r="B144" s="10" t="inlineStr">
        <is>
          <t>205 gti 1l6</t>
        </is>
      </c>
      <c r="C144" s="10" t="inlineStr">
        <is>
          <t>En vente</t>
        </is>
      </c>
      <c r="D144" s="18" t="n">
        <v>46284</v>
      </c>
      <c r="E144" s="18" t="n">
        <v>46284</v>
      </c>
      <c r="F144" s="18" t="n">
        <v>46296</v>
      </c>
      <c r="G144" s="18" t="n"/>
      <c r="H144" s="17">
        <f>IF(OR(ISNUMBER(D144),ISNUMBER(E144)),IF(ISNUMBER(G144),G144,F144)-IF(ISNUMBER(D144),D144,E144),"")</f>
        <v/>
      </c>
      <c r="I144" s="12" t="n">
        <v>11500</v>
      </c>
      <c r="J144" s="12" t="n">
        <v>11500</v>
      </c>
      <c r="K144" s="13">
        <f>IF(AND(ISNUMBER(I144),ISNUMBER(J144),I144&gt;0),1-J144/I144,"")</f>
        <v/>
      </c>
      <c r="L144" s="16" t="n">
        <v>0</v>
      </c>
      <c r="M144" s="15" t="n">
        <v>180000</v>
      </c>
      <c r="N144" s="16" t="n">
        <v>1986</v>
      </c>
      <c r="O144" s="10" t="inlineStr">
        <is>
          <t>1</t>
        </is>
      </c>
      <c r="P144" s="10" t="inlineStr">
        <is>
          <t>1</t>
        </is>
      </c>
      <c r="Q144" s="16" t="n"/>
      <c r="R144" s="16" t="n"/>
      <c r="S144" s="10" t="inlineStr">
        <is>
          <t>gris</t>
        </is>
      </c>
      <c r="T144" s="16" t="n">
        <v>3</v>
      </c>
      <c r="U144" s="10" t="n"/>
      <c r="V144" s="10" t="n"/>
      <c r="W144" s="10" t="inlineStr">
        <is>
          <t>Particulier</t>
        </is>
      </c>
      <c r="X144" s="10" t="inlineStr">
        <is>
          <t>La Roche-sur-Foron</t>
        </is>
      </c>
      <c r="Y144" s="10" t="inlineStr">
        <is>
          <t>74800</t>
        </is>
      </c>
      <c r="Z144" s="10" t="inlineStr">
        <is>
          <t>Haute-Savoie</t>
        </is>
      </c>
      <c r="AA144" s="10" t="inlineStr">
        <is>
          <t>Rhône-Alpes</t>
        </is>
      </c>
      <c r="AB144" s="16" t="n"/>
      <c r="AC144" s="16" t="n"/>
      <c r="AD144" s="10" t="n"/>
      <c r="AE144" s="10" t="n"/>
      <c r="AF144" s="10" t="inlineStr">
        <is>
          <t>1 : 1 ; 2 : 2 ; 3 : 3 ; 5 : 5 ; 205 : 205 ; 1986 : 1986 ; https://img.leboncoin.fr/api/v1/tenants/9a6387a1-6259-4f2c-a887-7e67f23dd4cb/domains/20bda58f-d650-462e-a72a-a5a7ecf2bf88/buckets/21d2b0bc-e54c-4b64-a30b-89127b18b785/images/profile/pictures/default/f3b55335-f215-52e4-a93c-b43f5ef0e087?rule=pp-small : https://img.leboncoin.fr/api/v1/tenants/9a6387a1-6259-4f2c-a887-7e67f23dd4cb/domains/20bda58f-d650-462e-a72a-a5a7ecf2bf88/buckets/21d2b0bc-e54c-4b64-a30b-89127b18b785/images/profile/pictures/default/f3b55335-f215-52e4-a93c-b43f5ef0e087?rule=pp-small ; Peugeot : Peugeot ; PEUGEOT : PEUGEOT ; 180000 km : 180000 ; Essence : 1 ; Manuelle : 1 ; Citadine : citadine ; Gris : gris ; Avec permis : avecpermis ; credit_card : credit_card ; false : false ; true : true ; rating_score : 1 ; rating_count : 1 ; u_car_brand : PEUGEOT ; u_car_model : 205 ; vehicle_upholstery : Tissu ; vehicle_vsp : Avec permis ; vehicle_available_payment_methods : credit_card ; is_import : false ; vehicle_is_eligible_p2p : 2 ; licence_plate_available : true</t>
        </is>
      </c>
      <c r="AG144" s="19" t="inlineStr">
        <is>
          <t>Voir</t>
        </is>
      </c>
      <c r="AH144" s="10" t="inlineStr">
        <is>
          <t>3236436226</t>
        </is>
      </c>
    </row>
    <row r="145">
      <c r="A145" s="10" t="inlineStr">
        <is>
          <t>Peugeot 205 GTI</t>
        </is>
      </c>
      <c r="B145" s="10" t="inlineStr">
        <is>
          <t>Peugeot 205 gti 1.9 130cv</t>
        </is>
      </c>
      <c r="C145" s="10" t="inlineStr">
        <is>
          <t>En vente</t>
        </is>
      </c>
      <c r="D145" s="18" t="n">
        <v>46253</v>
      </c>
      <c r="E145" s="18" t="n">
        <v>46253</v>
      </c>
      <c r="F145" s="18" t="n">
        <v>46296</v>
      </c>
      <c r="G145" s="18" t="n"/>
      <c r="H145" s="17">
        <f>IF(OR(ISNUMBER(D145),ISNUMBER(E145)),IF(ISNUMBER(G145),G145,F145)-IF(ISNUMBER(D145),D145,E145),"")</f>
        <v/>
      </c>
      <c r="I145" s="12" t="n">
        <v>22490</v>
      </c>
      <c r="J145" s="12" t="n">
        <v>22490</v>
      </c>
      <c r="K145" s="13">
        <f>IF(AND(ISNUMBER(I145),ISNUMBER(J145),I145&gt;0),1-J145/I145,"")</f>
        <v/>
      </c>
      <c r="L145" s="16" t="n">
        <v>0</v>
      </c>
      <c r="M145" s="15" t="n">
        <v>182000</v>
      </c>
      <c r="N145" s="16" t="n">
        <v>1988</v>
      </c>
      <c r="O145" s="10" t="inlineStr">
        <is>
          <t>1</t>
        </is>
      </c>
      <c r="P145" s="10" t="inlineStr">
        <is>
          <t>1</t>
        </is>
      </c>
      <c r="Q145" s="16" t="n">
        <v>130</v>
      </c>
      <c r="R145" s="16" t="n"/>
      <c r="S145" s="10" t="inlineStr">
        <is>
          <t>blanc</t>
        </is>
      </c>
      <c r="T145" s="16" t="n">
        <v>4</v>
      </c>
      <c r="U145" s="10" t="n"/>
      <c r="V145" s="10" t="n"/>
      <c r="W145" s="10" t="inlineStr">
        <is>
          <t>Particulier</t>
        </is>
      </c>
      <c r="X145" s="10" t="inlineStr">
        <is>
          <t>Agde</t>
        </is>
      </c>
      <c r="Y145" s="10" t="inlineStr">
        <is>
          <t>34300</t>
        </is>
      </c>
      <c r="Z145" s="10" t="inlineStr">
        <is>
          <t>Hérault</t>
        </is>
      </c>
      <c r="AA145" s="10" t="inlineStr">
        <is>
          <t>Languedoc-Roussillon</t>
        </is>
      </c>
      <c r="AB145" s="16" t="n"/>
      <c r="AC145" s="16" t="n"/>
      <c r="AD145" s="10" t="inlineStr">
        <is>
          <t>Oui</t>
        </is>
      </c>
      <c r="AE145" s="10" t="n"/>
      <c r="AF145" s="10" t="inlineStr">
        <is>
          <t>1 : 1 ; 2 : 2 ; 4 : 4 ; 19 : 19 ; 205 : 205 ; 1988 : 1988 ; 22990 : 22990 ; https://img.leboncoin.fr/api/v1/tenants/9a6387a1-6259-4f2c-a887-7e67f23dd4cb/domains/20bda58f-d650-462e-a72a-a5a7ecf2bf88/buckets/21d2b0bc-e54c-4b64-a30b-89127b18b785/images/profile/pictures/fd48ee23-1f26-503d-af52-e83a40380f20?rule=pp-small : https://img.leboncoin.fr/api/v1/tenants/9a6387a1-6259-4f2c-a887-7e67f23dd4cb/domains/20bda58f-d650-462e-a72a-a5a7ecf2bf88/buckets/21d2b0bc-e54c-4b64-a30b-89127b18b785/images/profile/pictures/fd48ee23-1f26-503d-af52-e83a40380f20?rule=pp-small ; Peugeot : Peugeot ; PEUGEOT : PEUGEOT ; 182000 km : 182000 ; Essence : 1 ; Manuelle : 1 ; Non : false ; 11/1998 : 11/1998 ; Bon état général : good_overall_condition ; Berline : berline ; Blanc : blanc ; 130 Ch : 130 ; Avec permis : avecpermis ; false : false ; true : true ; rating_score : 1 ; rating_count : 19 ; u_car_brand : PEUGEOT ; u_car_model : 205 ; vehicle_technical_inspection_valid : Non ; vehicle_damage : Bon état général ; vehicle_upholstery : Cuir partiel ; vehicle_vsp : Avec permis ; is_import : false ; old_price : 22990 ; vehicle_is_eligible_p2p : 2 ; licence_plate_available : true</t>
        </is>
      </c>
      <c r="AG145" s="19" t="inlineStr">
        <is>
          <t>Voir</t>
        </is>
      </c>
      <c r="AH145" s="10" t="inlineStr">
        <is>
          <t>3252631252</t>
        </is>
      </c>
    </row>
    <row r="146">
      <c r="A146" s="10" t="inlineStr">
        <is>
          <t>Peugeot 205 GTI</t>
        </is>
      </c>
      <c r="B146" s="10" t="inlineStr">
        <is>
          <t>205 gti</t>
        </is>
      </c>
      <c r="C146" s="10" t="inlineStr">
        <is>
          <t>En vente</t>
        </is>
      </c>
      <c r="D146" s="18" t="n">
        <v>46261</v>
      </c>
      <c r="E146" s="18" t="n">
        <v>46261</v>
      </c>
      <c r="F146" s="18" t="n">
        <v>46296</v>
      </c>
      <c r="G146" s="18" t="n"/>
      <c r="H146" s="17">
        <f>IF(OR(ISNUMBER(D146),ISNUMBER(E146)),IF(ISNUMBER(G146),G146,F146)-IF(ISNUMBER(D146),D146,E146),"")</f>
        <v/>
      </c>
      <c r="I146" s="12" t="n">
        <v>20000</v>
      </c>
      <c r="J146" s="12" t="n">
        <v>20000</v>
      </c>
      <c r="K146" s="13">
        <f>IF(AND(ISNUMBER(I146),ISNUMBER(J146),I146&gt;0),1-J146/I146,"")</f>
        <v/>
      </c>
      <c r="L146" s="16" t="n">
        <v>0</v>
      </c>
      <c r="M146" s="15" t="n">
        <v>187636</v>
      </c>
      <c r="N146" s="16" t="n">
        <v>1985</v>
      </c>
      <c r="O146" s="10" t="inlineStr">
        <is>
          <t>1</t>
        </is>
      </c>
      <c r="P146" s="10" t="inlineStr">
        <is>
          <t>1</t>
        </is>
      </c>
      <c r="Q146" s="16" t="n"/>
      <c r="R146" s="16" t="n"/>
      <c r="S146" s="10" t="inlineStr">
        <is>
          <t>gris</t>
        </is>
      </c>
      <c r="T146" s="16" t="n">
        <v>3</v>
      </c>
      <c r="U146" s="10" t="n"/>
      <c r="V146" s="10" t="n"/>
      <c r="W146" s="10" t="inlineStr">
        <is>
          <t>Particulier</t>
        </is>
      </c>
      <c r="X146" s="10" t="inlineStr">
        <is>
          <t>Rabastens</t>
        </is>
      </c>
      <c r="Y146" s="10" t="inlineStr">
        <is>
          <t>81800</t>
        </is>
      </c>
      <c r="Z146" s="10" t="inlineStr">
        <is>
          <t>Tarn</t>
        </is>
      </c>
      <c r="AA146" s="10" t="inlineStr">
        <is>
          <t>Midi-Pyrénées</t>
        </is>
      </c>
      <c r="AB146" s="16" t="n"/>
      <c r="AC146" s="16" t="n"/>
      <c r="AD146" s="10" t="n"/>
      <c r="AE146" s="10" t="n"/>
      <c r="AF146" s="10" t="inlineStr">
        <is>
          <t>2 : 2 ; 3 : 3 ; 5 : 5 ; 163 : 163 ; 205 : 205 ; 1985 : 1985 ; 0.99 : 0.99 ; https://img.leboncoin.fr/api/v1/tenants/9a6387a1-6259-4f2c-a887-7e67f23dd4cb/domains/20bda58f-d650-462e-a72a-a5a7ecf2bf88/buckets/21d2b0bc-e54c-4b64-a30b-89127b18b785/images/profile/pictures/default/78418a51-ff98-511f-b76a-0b9e4defa94d?rule=pp-small : https://img.leboncoin.fr/api/v1/tenants/9a6387a1-6259-4f2c-a887-7e67f23dd4cb/domains/20bda58f-d650-462e-a72a-a5a7ecf2bf88/buckets/21d2b0bc-e54c-4b64-a30b-89127b18b785/images/profile/pictures/default/78418a51-ff98-511f-b76a-0b9e4defa94d?rule=pp-small ; Peugeot : Peugeot ; PEUGEOT : PEUGEOT ; 187636 km : 187636 ; Essence : 1 ; Manuelle : 1 ; 09/1985 : 09/1985 ; Excellent état (proche du neuf) : excellent_condition ; Berline : berline ; Gris : gris ; Avec permis : avecpermis ; credit_card : credit_card ; false : false ; https://autoviza.fr/report/report?uid=c5852850-e653-484f-b469-f2483fad4ca4 : https://autoviza.fr/report/report?uid=c5852850-e653-484f-b469-f2483fad4ca4 ; visible : visible ; true : true ; rating_score : 0.99 ; rating_count : 163 ; u_car_brand : PEUGEOT ; u_car_model : 205 ; vehicle_damage : Excellent état (proche du neuf) ; vehicle_upholstery : Tissu ; vehicle_maintenance : Véhicule non fumeur ; vehicle_vsp : Avec permis ; vehicle_available_payment_methods : credit_card ; is_import : false ; vehicle_is_eligible_p2p : 2 ; vehicle_history_report_public_url : https://autoviza.fr/report/report?uid=c5852850-e653-484f-b469-f2483fad4ca4 ; vehicle_history_report_status : visible ; licence_plate_available : true</t>
        </is>
      </c>
      <c r="AG146" s="19" t="inlineStr">
        <is>
          <t>Voir</t>
        </is>
      </c>
      <c r="AH146" s="10" t="inlineStr">
        <is>
          <t>3257729524</t>
        </is>
      </c>
    </row>
    <row r="147">
      <c r="A147" s="10" t="inlineStr">
        <is>
          <t>Peugeot 205 GTI</t>
        </is>
      </c>
      <c r="B147" s="10" t="inlineStr">
        <is>
          <t>205 gti</t>
        </is>
      </c>
      <c r="C147" s="10" t="inlineStr">
        <is>
          <t>En vente</t>
        </is>
      </c>
      <c r="D147" s="18" t="n">
        <v>46263</v>
      </c>
      <c r="E147" s="18" t="n">
        <v>46263</v>
      </c>
      <c r="F147" s="18" t="n">
        <v>46296</v>
      </c>
      <c r="G147" s="18" t="n"/>
      <c r="H147" s="17">
        <f>IF(OR(ISNUMBER(D147),ISNUMBER(E147)),IF(ISNUMBER(G147),G147,F147)-IF(ISNUMBER(D147),D147,E147),"")</f>
        <v/>
      </c>
      <c r="I147" s="12" t="n">
        <v>17000</v>
      </c>
      <c r="J147" s="12" t="n">
        <v>17000</v>
      </c>
      <c r="K147" s="13">
        <f>IF(AND(ISNUMBER(I147),ISNUMBER(J147),I147&gt;0),1-J147/I147,"")</f>
        <v/>
      </c>
      <c r="L147" s="16" t="n">
        <v>0</v>
      </c>
      <c r="M147" s="15" t="n">
        <v>200000</v>
      </c>
      <c r="N147" s="16" t="n">
        <v>1985</v>
      </c>
      <c r="O147" s="10" t="inlineStr">
        <is>
          <t>1</t>
        </is>
      </c>
      <c r="P147" s="10" t="inlineStr">
        <is>
          <t>1</t>
        </is>
      </c>
      <c r="Q147" s="16" t="n">
        <v>130</v>
      </c>
      <c r="R147" s="16" t="n"/>
      <c r="S147" s="10" t="inlineStr">
        <is>
          <t>blanc</t>
        </is>
      </c>
      <c r="T147" s="16" t="n">
        <v>3</v>
      </c>
      <c r="U147" s="10" t="n"/>
      <c r="V147" s="10" t="n"/>
      <c r="W147" s="10" t="inlineStr">
        <is>
          <t>Particulier</t>
        </is>
      </c>
      <c r="X147" s="10" t="inlineStr">
        <is>
          <t>Les Fins</t>
        </is>
      </c>
      <c r="Y147" s="10" t="inlineStr">
        <is>
          <t>25500</t>
        </is>
      </c>
      <c r="Z147" s="10" t="inlineStr">
        <is>
          <t>Doubs</t>
        </is>
      </c>
      <c r="AA147" s="10" t="inlineStr">
        <is>
          <t>Franche-Comté</t>
        </is>
      </c>
      <c r="AB147" s="16" t="n"/>
      <c r="AC147" s="16" t="n"/>
      <c r="AD147" s="10" t="n"/>
      <c r="AE147" s="10" t="n"/>
      <c r="AF147" s="10" t="inlineStr">
        <is>
          <t>2 : 2 ; 3 : 3 ; 4 : 4 ; 205 : 205 ; 1985 : 1985 ; https://img.leboncoin.fr/api/v1/tenants/9a6387a1-6259-4f2c-a887-7e67f23dd4cb/domains/20bda58f-d650-462e-a72a-a5a7ecf2bf88/buckets/21d2b0bc-e54c-4b64-a30b-89127b18b785/images/profile/pictures/default/54430c28-7c9f-5401-ad55-6ad2af331c37?rule=pp-small : https://img.leboncoin.fr/api/v1/tenants/9a6387a1-6259-4f2c-a887-7e67f23dd4cb/domains/20bda58f-d650-462e-a72a-a5a7ecf2bf88/buckets/21d2b0bc-e54c-4b64-a30b-89127b18b785/images/profile/pictures/default/54430c28-7c9f-5401-ad55-6ad2af331c37?rule=pp-small ; Peugeot : Peugeot ; PEUGEOT : PEUGEOT ; 200000 km : 200000 ; Essence : 1 ; Manuelle : 1 ; Citadine : citadine ; Blanc : blanc ; 130 Ch : 130 ; Avec permis : avecpermis ; credit_card : credit_card ; false : false ; true : true ; u_car_brand : PEUGEOT ; u_car_model : 205 ; vehicle_vsp : Avec permis ; vehicle_available_payment_methods : credit_card ; is_import : false ; vehicle_is_eligible_p2p : 2 ; licence_plate_available : true</t>
        </is>
      </c>
      <c r="AG147" s="19" t="inlineStr">
        <is>
          <t>Voir</t>
        </is>
      </c>
      <c r="AH147" s="10" t="inlineStr">
        <is>
          <t>3259144220</t>
        </is>
      </c>
    </row>
    <row r="148">
      <c r="A148" s="10" t="inlineStr">
        <is>
          <t>Peugeot 205 GTI</t>
        </is>
      </c>
      <c r="B148" s="10" t="inlineStr">
        <is>
          <t>205 gti</t>
        </is>
      </c>
      <c r="C148" s="10" t="inlineStr">
        <is>
          <t>En vente</t>
        </is>
      </c>
      <c r="D148" s="18" t="n">
        <v>46268</v>
      </c>
      <c r="E148" s="18" t="n">
        <v>46268</v>
      </c>
      <c r="F148" s="18" t="n">
        <v>46296</v>
      </c>
      <c r="G148" s="18" t="n"/>
      <c r="H148" s="17">
        <f>IF(OR(ISNUMBER(D148),ISNUMBER(E148)),IF(ISNUMBER(G148),G148,F148)-IF(ISNUMBER(D148),D148,E148),"")</f>
        <v/>
      </c>
      <c r="I148" s="12" t="n">
        <v>10000</v>
      </c>
      <c r="J148" s="12" t="n">
        <v>10000</v>
      </c>
      <c r="K148" s="13">
        <f>IF(AND(ISNUMBER(I148),ISNUMBER(J148),I148&gt;0),1-J148/I148,"")</f>
        <v/>
      </c>
      <c r="L148" s="16" t="n">
        <v>0</v>
      </c>
      <c r="M148" s="15" t="n">
        <v>210000</v>
      </c>
      <c r="N148" s="16" t="n">
        <v>1991</v>
      </c>
      <c r="O148" s="10" t="inlineStr">
        <is>
          <t>1</t>
        </is>
      </c>
      <c r="P148" s="10" t="inlineStr">
        <is>
          <t>1</t>
        </is>
      </c>
      <c r="Q148" s="16" t="n">
        <v>60</v>
      </c>
      <c r="R148" s="16" t="n">
        <v>5</v>
      </c>
      <c r="S148" s="10" t="inlineStr">
        <is>
          <t>autre</t>
        </is>
      </c>
      <c r="T148" s="16" t="n">
        <v>3</v>
      </c>
      <c r="U148" s="10" t="n"/>
      <c r="V148" s="10" t="n"/>
      <c r="W148" s="10" t="inlineStr">
        <is>
          <t>Particulier</t>
        </is>
      </c>
      <c r="X148" s="10" t="inlineStr">
        <is>
          <t>Anet</t>
        </is>
      </c>
      <c r="Y148" s="10" t="inlineStr">
        <is>
          <t>28260</t>
        </is>
      </c>
      <c r="Z148" s="10" t="inlineStr">
        <is>
          <t>Eure-et-Loir</t>
        </is>
      </c>
      <c r="AA148" s="10" t="inlineStr">
        <is>
          <t>Centre</t>
        </is>
      </c>
      <c r="AB148" s="16" t="n"/>
      <c r="AC148" s="16" t="n"/>
      <c r="AD148" s="10" t="n"/>
      <c r="AE148" s="10" t="n"/>
      <c r="AF148" s="10" t="inlineStr">
        <is>
          <t>1 : 1 ; 2 : 2 ; 3 : 3 ; 9 : 9 ; 205 : 205 ; 1991 : 1991 ; https://img.leboncoin.fr/api/v1/tenants/9a6387a1-6259-4f2c-a887-7e67f23dd4cb/domains/20bda58f-d650-462e-a72a-a5a7ecf2bf88/buckets/21d2b0bc-e54c-4b64-a30b-89127b18b785/images/profile/pictures/default/513b982b-a491-5fba-812f-5624c2b4531d?rule=pp-small : https://img.leboncoin.fr/api/v1/tenants/9a6387a1-6259-4f2c-a887-7e67f23dd4cb/domains/20bda58f-d650-462e-a72a-a5a7ecf2bf88/buckets/21d2b0bc-e54c-4b64-a30b-89127b18b785/images/profile/pictures/default/513b982b-a491-5fba-812f-5624c2b4531d?rule=pp-small ; Peugeot : Peugeot ; PEUGEOT : PEUGEOT ; 210000 km : 210000 ; Essence : 1 ; Manuelle : 1 ; 02/1991 : 02/1991 ; Berline : berline ; Autre : autre ; 5 Cv : 5 ; 60 Ch : 60 ; Avec permis : avecpermis ; credit_card : credit_card ; false : false ; true : true ; rating_score : 1 ; rating_count : 9 ; u_car_brand : PEUGEOT ; u_car_model : 205 ; vehicle_vsp : Avec permis ; vehicle_available_payment_methods : credit_card ; is_import : false ; vehicle_is_eligible_p2p : 2 ; licence_plate_available : true</t>
        </is>
      </c>
      <c r="AG148" s="19" t="inlineStr">
        <is>
          <t>Voir</t>
        </is>
      </c>
      <c r="AH148" s="10" t="inlineStr">
        <is>
          <t>3262353989</t>
        </is>
      </c>
    </row>
    <row r="149">
      <c r="A149" s="10" t="inlineStr">
        <is>
          <t>Peugeot 205 GTI</t>
        </is>
      </c>
      <c r="B149" s="10" t="inlineStr">
        <is>
          <t>Peugeot 205 gti 1,6</t>
        </is>
      </c>
      <c r="C149" s="10" t="inlineStr">
        <is>
          <t>En vente</t>
        </is>
      </c>
      <c r="D149" s="18" t="n">
        <v>46271</v>
      </c>
      <c r="E149" s="18" t="n">
        <v>46271</v>
      </c>
      <c r="F149" s="18" t="n">
        <v>46296</v>
      </c>
      <c r="G149" s="18" t="n"/>
      <c r="H149" s="17">
        <f>IF(OR(ISNUMBER(D149),ISNUMBER(E149)),IF(ISNUMBER(G149),G149,F149)-IF(ISNUMBER(D149),D149,E149),"")</f>
        <v/>
      </c>
      <c r="I149" s="12" t="n">
        <v>23900</v>
      </c>
      <c r="J149" s="12" t="n">
        <v>23900</v>
      </c>
      <c r="K149" s="13">
        <f>IF(AND(ISNUMBER(I149),ISNUMBER(J149),I149&gt;0),1-J149/I149,"")</f>
        <v/>
      </c>
      <c r="L149" s="16" t="n">
        <v>0</v>
      </c>
      <c r="M149" s="15" t="n">
        <v>153000</v>
      </c>
      <c r="N149" s="16" t="n">
        <v>1986</v>
      </c>
      <c r="O149" s="10" t="inlineStr">
        <is>
          <t>1</t>
        </is>
      </c>
      <c r="P149" s="10" t="inlineStr">
        <is>
          <t>1</t>
        </is>
      </c>
      <c r="Q149" s="16" t="n">
        <v>115</v>
      </c>
      <c r="R149" s="16" t="n">
        <v>8</v>
      </c>
      <c r="S149" s="10" t="inlineStr">
        <is>
          <t>gris</t>
        </is>
      </c>
      <c r="T149" s="16" t="n">
        <v>3</v>
      </c>
      <c r="U149" s="10" t="n"/>
      <c r="V149" s="10" t="n"/>
      <c r="W149" s="10" t="inlineStr">
        <is>
          <t>Pro</t>
        </is>
      </c>
      <c r="X149" s="10" t="inlineStr">
        <is>
          <t>Veigné</t>
        </is>
      </c>
      <c r="Y149" s="10" t="inlineStr">
        <is>
          <t>37250</t>
        </is>
      </c>
      <c r="Z149" s="10" t="inlineStr">
        <is>
          <t>Indre-et-Loire</t>
        </is>
      </c>
      <c r="AA149" s="10" t="inlineStr">
        <is>
          <t>Centre</t>
        </is>
      </c>
      <c r="AB149" s="16" t="n"/>
      <c r="AC149" s="16" t="n"/>
      <c r="AD149" s="10" t="n"/>
      <c r="AE149" s="10" t="n"/>
      <c r="AF149" s="10" t="inlineStr">
        <is>
          <t>0 : 0 ; 1 : 1 ; 3 : 3 ; 5 : 5 ; 7 : 7 ; 205 : 205 ; 1986 : 1986 ; 8456 : 8456 ; Peugeot : Peugeot ; PEUGEOT : PEUGEOT ; 153000 km : 153000 ; Essence : 1 ; Manuelle : 1 ; Oui : true ; 07/1986 : 07/1986 ; Excellent état (proche du neuf) : excellent_condition ; Berline : berline ; Gris : gris ; 8 Cv : 8 ; 115 Ch : 115 ; Avec permis : avecpermis ; Non : 1 ; false : false ; https://autoviza.fr/report/report?uid=50369e10-6ead-4397-9ad6-96832a26e4a6 : https://autoviza.fr/report/report?uid=50369e10-6ead-4397-9ad6-96832a26e4a6 ; visible : visible ; Non renseignée : non_renseignee ; true : true ; activity_sector : 1 ; u_car_brand : PEUGEOT ; u_car_model : 205 ; vehicle_technical_inspection_valid : Oui ; vehicle_damage : Excellent état (proche du neuf) ; vehicle_upholstery : Velours ; vehicle_maintenance : Réparations utiles déjà faites ; vehicle_vsp : Avec permis ; car_contract : Non ; recent_used_vehicle : false ; vehicle_commercial_warranty : Non ; vehicle_manufacturer_warranty : Non ; custom_ref : 8456 ; is_import : false ; vehicle_history_report_public_url : https://autoviza.fr/report/report?uid=50369e10-6ead-4397-9ad6-96832a26e4a6 ; vehicle_history_report_status : visible ; vehicle_history_teaser_critair : 0 ; vehicle_history_teaser_owners : 7 ; vehicle_history_teaser_expertises : false ; vehicle_history_teaser_special_uses : false ; vehicle_history_teaser_atypical_operations : false ; vehicle_history_teaser_importations : false ; spare_parts_availability : Non renseignée ; licence_plate_available : true</t>
        </is>
      </c>
      <c r="AG149" s="19" t="inlineStr">
        <is>
          <t>Voir</t>
        </is>
      </c>
      <c r="AH149" s="10" t="inlineStr">
        <is>
          <t>3264569173</t>
        </is>
      </c>
    </row>
    <row r="150">
      <c r="A150" s="10" t="inlineStr">
        <is>
          <t>Peugeot 205 GTI</t>
        </is>
      </c>
      <c r="B150" s="10" t="inlineStr">
        <is>
          <t>205 gti</t>
        </is>
      </c>
      <c r="C150" s="10" t="inlineStr">
        <is>
          <t>En vente</t>
        </is>
      </c>
      <c r="D150" s="18" t="n">
        <v>46272</v>
      </c>
      <c r="E150" s="18" t="n">
        <v>46272</v>
      </c>
      <c r="F150" s="18" t="n">
        <v>46296</v>
      </c>
      <c r="G150" s="18" t="n"/>
      <c r="H150" s="17">
        <f>IF(OR(ISNUMBER(D150),ISNUMBER(E150)),IF(ISNUMBER(G150),G150,F150)-IF(ISNUMBER(D150),D150,E150),"")</f>
        <v/>
      </c>
      <c r="I150" s="12" t="n">
        <v>15000</v>
      </c>
      <c r="J150" s="12" t="n">
        <v>15000</v>
      </c>
      <c r="K150" s="13">
        <f>IF(AND(ISNUMBER(I150),ISNUMBER(J150),I150&gt;0),1-J150/I150,"")</f>
        <v/>
      </c>
      <c r="L150" s="16" t="n">
        <v>0</v>
      </c>
      <c r="M150" s="15" t="n">
        <v>194000</v>
      </c>
      <c r="N150" s="16" t="n">
        <v>1989</v>
      </c>
      <c r="O150" s="10" t="inlineStr">
        <is>
          <t>1</t>
        </is>
      </c>
      <c r="P150" s="10" t="inlineStr">
        <is>
          <t>1</t>
        </is>
      </c>
      <c r="Q150" s="16" t="n">
        <v>60</v>
      </c>
      <c r="R150" s="16" t="n">
        <v>5</v>
      </c>
      <c r="S150" s="10" t="inlineStr">
        <is>
          <t>autre</t>
        </is>
      </c>
      <c r="T150" s="16" t="n">
        <v>3</v>
      </c>
      <c r="U150" s="10" t="n"/>
      <c r="V150" s="10" t="n"/>
      <c r="W150" s="10" t="inlineStr">
        <is>
          <t>Particulier</t>
        </is>
      </c>
      <c r="X150" s="10" t="inlineStr">
        <is>
          <t>Montpellier</t>
        </is>
      </c>
      <c r="Y150" s="10" t="inlineStr">
        <is>
          <t>34000</t>
        </is>
      </c>
      <c r="Z150" s="10" t="inlineStr">
        <is>
          <t>Hérault</t>
        </is>
      </c>
      <c r="AA150" s="10" t="inlineStr">
        <is>
          <t>Languedoc-Roussillon</t>
        </is>
      </c>
      <c r="AB150" s="16" t="n"/>
      <c r="AC150" s="16" t="n"/>
      <c r="AD150" s="10" t="n"/>
      <c r="AE150" s="10" t="n"/>
      <c r="AF150" s="10" t="inlineStr">
        <is>
          <t>1 : 1 ; 2 : 2 ; 3 : 3 ; 10 : 10 ; 205 : 205 ; 1989 : 1989 ; https://img.leboncoin.fr/api/v1/tenants/9a6387a1-6259-4f2c-a887-7e67f23dd4cb/domains/20bda58f-d650-462e-a72a-a5a7ecf2bf88/buckets/21d2b0bc-e54c-4b64-a30b-89127b18b785/images/profile/pictures/default/fee2ccb7-0508-56f0-80d6-5a6bc66e8572?rule=pp-small : https://img.leboncoin.fr/api/v1/tenants/9a6387a1-6259-4f2c-a887-7e67f23dd4cb/domains/20bda58f-d650-462e-a72a-a5a7ecf2bf88/buckets/21d2b0bc-e54c-4b64-a30b-89127b18b785/images/profile/pictures/default/fee2ccb7-0508-56f0-80d6-5a6bc66e8572?rule=pp-small ; Peugeot : Peugeot ; PEUGEOT : PEUGEOT ; 194000 km : 194000 ; Essence : 1 ; Manuelle : 1 ; 04/1989 : 04/1989 ; Berline : berline ; Autre : autre ; 5 Cv : 5 ; 60 Ch : 60 ; Avec permis : avecpermis ; credit_card : credit_card ; false : false ; true : true ; rating_score : 1 ; rating_count : 10 ; u_car_brand : PEUGEOT ; u_car_model : 205 ; vehicle_vsp : Avec permis ; vehicle_available_payment_methods : credit_card ; is_import : false ; vehicle_is_eligible_p2p : 2 ; licence_plate_available : true</t>
        </is>
      </c>
      <c r="AG150" s="19" t="inlineStr">
        <is>
          <t>Voir</t>
        </is>
      </c>
      <c r="AH150" s="10" t="inlineStr">
        <is>
          <t>3265038164</t>
        </is>
      </c>
    </row>
    <row r="151">
      <c r="A151" s="10" t="inlineStr">
        <is>
          <t>Peugeot 205 GTI</t>
        </is>
      </c>
      <c r="B151" s="10" t="inlineStr">
        <is>
          <t>205 gti</t>
        </is>
      </c>
      <c r="C151" s="10" t="inlineStr">
        <is>
          <t>En vente</t>
        </is>
      </c>
      <c r="D151" s="18" t="n">
        <v>46277</v>
      </c>
      <c r="E151" s="18" t="n">
        <v>46277</v>
      </c>
      <c r="F151" s="18" t="n">
        <v>46296</v>
      </c>
      <c r="G151" s="18" t="n"/>
      <c r="H151" s="17">
        <f>IF(OR(ISNUMBER(D151),ISNUMBER(E151)),IF(ISNUMBER(G151),G151,F151)-IF(ISNUMBER(D151),D151,E151),"")</f>
        <v/>
      </c>
      <c r="I151" s="12" t="n">
        <v>9999</v>
      </c>
      <c r="J151" s="12" t="n">
        <v>9999</v>
      </c>
      <c r="K151" s="13">
        <f>IF(AND(ISNUMBER(I151),ISNUMBER(J151),I151&gt;0),1-J151/I151,"")</f>
        <v/>
      </c>
      <c r="L151" s="16" t="n">
        <v>0</v>
      </c>
      <c r="M151" s="15" t="n">
        <v>105650</v>
      </c>
      <c r="N151" s="16" t="n">
        <v>1993</v>
      </c>
      <c r="O151" s="10" t="inlineStr">
        <is>
          <t>1</t>
        </is>
      </c>
      <c r="P151" s="10" t="inlineStr">
        <is>
          <t>1</t>
        </is>
      </c>
      <c r="Q151" s="16" t="n">
        <v>130</v>
      </c>
      <c r="R151" s="16" t="n">
        <v>9</v>
      </c>
      <c r="S151" s="10" t="inlineStr">
        <is>
          <t>vert</t>
        </is>
      </c>
      <c r="T151" s="16" t="n">
        <v>3</v>
      </c>
      <c r="U151" s="10" t="n"/>
      <c r="V151" s="10" t="n"/>
      <c r="W151" s="10" t="inlineStr">
        <is>
          <t>Particulier</t>
        </is>
      </c>
      <c r="X151" s="10" t="inlineStr">
        <is>
          <t>Lambres-lez-Douai</t>
        </is>
      </c>
      <c r="Y151" s="10" t="inlineStr">
        <is>
          <t>59552</t>
        </is>
      </c>
      <c r="Z151" s="10" t="inlineStr">
        <is>
          <t>Nord</t>
        </is>
      </c>
      <c r="AA151" s="10" t="inlineStr">
        <is>
          <t>Nord-Pas-de-Calais</t>
        </is>
      </c>
      <c r="AB151" s="16" t="n"/>
      <c r="AC151" s="16" t="n"/>
      <c r="AD151" s="10" t="n"/>
      <c r="AE151" s="10" t="n"/>
      <c r="AF151" s="10" t="inlineStr">
        <is>
          <t>1 : 1 ; 2 : 2 ; 3 : 3 ; 205 : 205 ; 1993 : 1993 ; https://img.leboncoin.fr/api/v1/tenants/9a6387a1-6259-4f2c-a887-7e67f23dd4cb/domains/20bda58f-d650-462e-a72a-a5a7ecf2bf88/buckets/21d2b0bc-e54c-4b64-a30b-89127b18b785/images/profile/pictures/default/db1e62bf-b670-582f-bf2b-46e36a9e5c91?rule=pp-small : https://img.leboncoin.fr/api/v1/tenants/9a6387a1-6259-4f2c-a887-7e67f23dd4cb/domains/20bda58f-d650-462e-a72a-a5a7ecf2bf88/buckets/21d2b0bc-e54c-4b64-a30b-89127b18b785/images/profile/pictures/default/db1e62bf-b670-582f-bf2b-46e36a9e5c91?rule=pp-small ; Peugeot : Peugeot ; PEUGEOT : PEUGEOT ; 105650 km : 105650 ; Essence : 1 ; Manuelle : 1 ; 10/1993 : 10/1993 ; Bon état général : good_overall_condition ; Berline : berline ; Vert : vert ; 9 Cv : 9 ; 130 Ch : 130 ; Avec permis : avecpermis ; credit_card : credit_card ; false : false ; https://autoviza.fr/report/report?uid=992288d1-a13c-4f9a-9df6-a68f06523721 : https://autoviza.fr/report/report?uid=992288d1-a13c-4f9a-9df6-a68f06523721 ; visible : visible ; true : true ; rating_score : 1 ; rating_count : 2 ; u_car_brand : PEUGEOT ; u_car_model : 205 ; vehicle_damage : Bon état général ; vehicle_upholstery : Tissu ; vehicle_maintenance : Factures disponibles ; vehicle_vsp : Avec permis ; vehicle_available_payment_methods : credit_card ; is_import : false ; vehicle_is_eligible_p2p : 2 ; vehicle_history_report_public_url : https://autoviza.fr/report/report?uid=992288d1-a13c-4f9a-9df6-a68f06523721 ; vehicle_history_report_status : visible ; licence_plate_available : true</t>
        </is>
      </c>
      <c r="AG151" s="19" t="inlineStr">
        <is>
          <t>Voir</t>
        </is>
      </c>
      <c r="AH151" s="10" t="inlineStr">
        <is>
          <t>3267921242</t>
        </is>
      </c>
    </row>
    <row r="152">
      <c r="A152" s="10" t="inlineStr">
        <is>
          <t>Peugeot 205 GTI</t>
        </is>
      </c>
      <c r="B152" s="10" t="inlineStr">
        <is>
          <t>205 gti 1.6 105</t>
        </is>
      </c>
      <c r="C152" s="10" t="inlineStr">
        <is>
          <t>En vente</t>
        </is>
      </c>
      <c r="D152" s="18" t="n">
        <v>46280</v>
      </c>
      <c r="E152" s="18" t="n">
        <v>46280</v>
      </c>
      <c r="F152" s="18" t="n">
        <v>46296</v>
      </c>
      <c r="G152" s="18" t="n"/>
      <c r="H152" s="17">
        <f>IF(OR(ISNUMBER(D152),ISNUMBER(E152)),IF(ISNUMBER(G152),G152,F152)-IF(ISNUMBER(D152),D152,E152),"")</f>
        <v/>
      </c>
      <c r="I152" s="12" t="n">
        <v>20000</v>
      </c>
      <c r="J152" s="12" t="n">
        <v>20000</v>
      </c>
      <c r="K152" s="13">
        <f>IF(AND(ISNUMBER(I152),ISNUMBER(J152),I152&gt;0),1-J152/I152,"")</f>
        <v/>
      </c>
      <c r="L152" s="16" t="n">
        <v>0</v>
      </c>
      <c r="M152" s="15" t="n">
        <v>213600</v>
      </c>
      <c r="N152" s="16" t="n">
        <v>1985</v>
      </c>
      <c r="O152" s="10" t="inlineStr">
        <is>
          <t>1</t>
        </is>
      </c>
      <c r="P152" s="10" t="inlineStr">
        <is>
          <t>1</t>
        </is>
      </c>
      <c r="Q152" s="16" t="n"/>
      <c r="R152" s="16" t="n"/>
      <c r="S152" s="10" t="n"/>
      <c r="T152" s="16" t="n"/>
      <c r="U152" s="10" t="n"/>
      <c r="V152" s="10" t="n"/>
      <c r="W152" s="10" t="inlineStr">
        <is>
          <t>Particulier</t>
        </is>
      </c>
      <c r="X152" s="10" t="inlineStr">
        <is>
          <t>Morlaix</t>
        </is>
      </c>
      <c r="Y152" s="10" t="inlineStr">
        <is>
          <t>29600</t>
        </is>
      </c>
      <c r="Z152" s="10" t="inlineStr">
        <is>
          <t>Finistère</t>
        </is>
      </c>
      <c r="AA152" s="10" t="inlineStr">
        <is>
          <t>Bretagne</t>
        </is>
      </c>
      <c r="AB152" s="16" t="n"/>
      <c r="AC152" s="16" t="n"/>
      <c r="AD152" s="10" t="n"/>
      <c r="AE152" s="10" t="n"/>
      <c r="AF152" s="10" t="inlineStr">
        <is>
          <t>1 : 1 ; 2 : 2 ; 45 : 45 ; 205 : 205 ; 1985 : 1985 ; https://img.leboncoin.fr/api/v1/tenants/9a6387a1-6259-4f2c-a887-7e67f23dd4cb/domains/20bda58f-d650-462e-a72a-a5a7ecf2bf88/buckets/21d2b0bc-e54c-4b64-a30b-89127b18b785/images/profile/pictures/582e347a-289c-570b-80a2-cd99a3ac4c0b?rule=pp-small : https://img.leboncoin.fr/api/v1/tenants/9a6387a1-6259-4f2c-a887-7e67f23dd4cb/domains/20bda58f-d650-462e-a72a-a5a7ecf2bf88/buckets/21d2b0bc-e54c-4b64-a30b-89127b18b785/images/profile/pictures/582e347a-289c-570b-80a2-cd99a3ac4c0b?rule=pp-small ; Peugeot : Peugeot ; PEUGEOT : PEUGEOT ; 213600 km : 213600 ; Essence : 1 ; Manuelle : 1 ; Avec permis : avecpermis ; credit_card : credit_card ; false : false ; true : true ; rating_score : 1 ; rating_count : 45 ; u_car_brand : PEUGEOT ; u_car_model : 205 ; vehicle_vsp : Avec permis ; vehicle_available_payment_methods : credit_card ; is_import : false ; vehicle_is_eligible_p2p : 2 ; licence_plate_available : true</t>
        </is>
      </c>
      <c r="AG152" s="19" t="inlineStr">
        <is>
          <t>Voir</t>
        </is>
      </c>
      <c r="AH152" s="10" t="inlineStr">
        <is>
          <t>3270139360</t>
        </is>
      </c>
    </row>
    <row r="153">
      <c r="A153" s="10" t="inlineStr">
        <is>
          <t>Peugeot 205 GTI</t>
        </is>
      </c>
      <c r="B153" s="10" t="inlineStr">
        <is>
          <t>Peugeot 205 gti</t>
        </is>
      </c>
      <c r="C153" s="10" t="inlineStr">
        <is>
          <t>En vente</t>
        </is>
      </c>
      <c r="D153" s="18" t="n">
        <v>46281</v>
      </c>
      <c r="E153" s="18" t="n">
        <v>46281</v>
      </c>
      <c r="F153" s="18" t="n">
        <v>46296</v>
      </c>
      <c r="G153" s="18" t="n"/>
      <c r="H153" s="17">
        <f>IF(OR(ISNUMBER(D153),ISNUMBER(E153)),IF(ISNUMBER(G153),G153,F153)-IF(ISNUMBER(D153),D153,E153),"")</f>
        <v/>
      </c>
      <c r="I153" s="12" t="n">
        <v>15000</v>
      </c>
      <c r="J153" s="12" t="n">
        <v>15000</v>
      </c>
      <c r="K153" s="13">
        <f>IF(AND(ISNUMBER(I153),ISNUMBER(J153),I153&gt;0),1-J153/I153,"")</f>
        <v/>
      </c>
      <c r="L153" s="16" t="n">
        <v>0</v>
      </c>
      <c r="M153" s="15" t="n">
        <v>224400</v>
      </c>
      <c r="N153" s="16" t="n">
        <v>1986</v>
      </c>
      <c r="O153" s="10" t="inlineStr">
        <is>
          <t>1</t>
        </is>
      </c>
      <c r="P153" s="10" t="inlineStr">
        <is>
          <t>1</t>
        </is>
      </c>
      <c r="Q153" s="16" t="n">
        <v>115</v>
      </c>
      <c r="R153" s="16" t="n">
        <v>7</v>
      </c>
      <c r="S153" s="10" t="inlineStr">
        <is>
          <t>blanc</t>
        </is>
      </c>
      <c r="T153" s="16" t="n">
        <v>3</v>
      </c>
      <c r="U153" s="10" t="n"/>
      <c r="V153" s="10" t="n"/>
      <c r="W153" s="10" t="inlineStr">
        <is>
          <t>Particulier</t>
        </is>
      </c>
      <c r="X153" s="10" t="inlineStr">
        <is>
          <t>Plan-d'Aups-Sainte-Baume</t>
        </is>
      </c>
      <c r="Y153" s="10" t="inlineStr">
        <is>
          <t>83640</t>
        </is>
      </c>
      <c r="Z153" s="10" t="inlineStr">
        <is>
          <t>Var</t>
        </is>
      </c>
      <c r="AA153" s="10" t="inlineStr">
        <is>
          <t>Provence-Alpes-Côte d'Azur</t>
        </is>
      </c>
      <c r="AB153" s="16" t="n"/>
      <c r="AC153" s="16" t="n"/>
      <c r="AD153" s="10" t="n"/>
      <c r="AE153" s="10" t="n"/>
      <c r="AF153" s="10" t="inlineStr">
        <is>
          <t>1 : 1 ; 2 : 2 ; 3 : 3 ; 5 : 5 ; 6 : 6 ; 205 : 205 ; 1986 : 1986 ; https://img.leboncoin.fr/api/v1/tenants/9a6387a1-6259-4f2c-a887-7e67f23dd4cb/domains/20bda58f-d650-462e-a72a-a5a7ecf2bf88/buckets/21d2b0bc-e54c-4b64-a30b-89127b18b785/images/profile/pictures/default/878de0e5-6df0-5842-b7c8-0817f2d003c0?rule=pp-small : https://img.leboncoin.fr/api/v1/tenants/9a6387a1-6259-4f2c-a887-7e67f23dd4cb/domains/20bda58f-d650-462e-a72a-a5a7ecf2bf88/buckets/21d2b0bc-e54c-4b64-a30b-89127b18b785/images/profile/pictures/default/878de0e5-6df0-5842-b7c8-0817f2d003c0?rule=pp-small ; Peugeot : Peugeot ; PEUGEOT : PEUGEOT ; 224400 km : 224400 ; Essence : 1 ; Manuelle : 1 ; Non : false ; Traces d’usure normales : normal_wear_and_tear ; Berline : berline ; Blanc : blanc ; 7 Cv : 7 ; 115 Ch : 115 ; Avec permis : avecpermis ; credit_card : credit_card ; false : false ; true : true ; rating_score : 1 ; rating_count : 6 ; u_car_brand : PEUGEOT ; u_car_model : 205 ; vehicle_technical_inspection_valid : Non ; vehicle_damage : Traces d’usure normales ; vehicle_upholstery : Tissu ; vehicle_vsp : Avec permis ; vehicle_available_payment_methods : credit_card ; is_import : false ; vehicle_is_eligible_p2p : 2 ; licence_plate_available : true</t>
        </is>
      </c>
      <c r="AG153" s="19" t="inlineStr">
        <is>
          <t>Voir</t>
        </is>
      </c>
      <c r="AH153" s="10" t="inlineStr">
        <is>
          <t>3271015511</t>
        </is>
      </c>
    </row>
    <row r="154">
      <c r="A154" s="10" t="inlineStr">
        <is>
          <t>Peugeot 205 GTI</t>
        </is>
      </c>
      <c r="B154" s="10" t="inlineStr">
        <is>
          <t>Peugeot 205 gti 1.9</t>
        </is>
      </c>
      <c r="C154" s="10" t="inlineStr">
        <is>
          <t>En vente</t>
        </is>
      </c>
      <c r="D154" s="18" t="n">
        <v>46281</v>
      </c>
      <c r="E154" s="18" t="n">
        <v>46281</v>
      </c>
      <c r="F154" s="18" t="n">
        <v>46296</v>
      </c>
      <c r="G154" s="18" t="n"/>
      <c r="H154" s="17">
        <f>IF(OR(ISNUMBER(D154),ISNUMBER(E154)),IF(ISNUMBER(G154),G154,F154)-IF(ISNUMBER(D154),D154,E154),"")</f>
        <v/>
      </c>
      <c r="I154" s="12" t="n">
        <v>29800</v>
      </c>
      <c r="J154" s="12" t="n">
        <v>29800</v>
      </c>
      <c r="K154" s="13">
        <f>IF(AND(ISNUMBER(I154),ISNUMBER(J154),I154&gt;0),1-J154/I154,"")</f>
        <v/>
      </c>
      <c r="L154" s="16" t="n">
        <v>0</v>
      </c>
      <c r="M154" s="15" t="n">
        <v>140394</v>
      </c>
      <c r="N154" s="16" t="n">
        <v>1987</v>
      </c>
      <c r="O154" s="10" t="inlineStr">
        <is>
          <t>1</t>
        </is>
      </c>
      <c r="P154" s="10" t="inlineStr">
        <is>
          <t>1</t>
        </is>
      </c>
      <c r="Q154" s="16" t="n">
        <v>130</v>
      </c>
      <c r="R154" s="16" t="n"/>
      <c r="S154" s="10" t="inlineStr">
        <is>
          <t>rouge</t>
        </is>
      </c>
      <c r="T154" s="16" t="n">
        <v>3</v>
      </c>
      <c r="U154" s="10" t="n"/>
      <c r="V154" s="10" t="n"/>
      <c r="W154" s="10" t="inlineStr">
        <is>
          <t>Particulier</t>
        </is>
      </c>
      <c r="X154" s="10" t="inlineStr">
        <is>
          <t>Brive-la-Gaillarde</t>
        </is>
      </c>
      <c r="Y154" s="10" t="inlineStr">
        <is>
          <t>19100</t>
        </is>
      </c>
      <c r="Z154" s="10" t="inlineStr">
        <is>
          <t>Corrèze</t>
        </is>
      </c>
      <c r="AA154" s="10" t="inlineStr">
        <is>
          <t>Limousin</t>
        </is>
      </c>
      <c r="AB154" s="16" t="n"/>
      <c r="AC154" s="16" t="n"/>
      <c r="AD154" s="10" t="n"/>
      <c r="AE154" s="10" t="n"/>
      <c r="AF154" s="10" t="inlineStr">
        <is>
          <t>1 : 1 ; 2 : 2 ; 3 : 3 ; 4 : 4 ; 205 : 205 ; 1987 : 1987 ; https://img.leboncoin.fr/api/v1/tenants/9a6387a1-6259-4f2c-a887-7e67f23dd4cb/domains/20bda58f-d650-462e-a72a-a5a7ecf2bf88/buckets/21d2b0bc-e54c-4b64-a30b-89127b18b785/images/profile/pictures/default/ab2b1871-2587-5857-97db-9d5e58c1cf90?rule=pp-small : https://img.leboncoin.fr/api/v1/tenants/9a6387a1-6259-4f2c-a887-7e67f23dd4cb/domains/20bda58f-d650-462e-a72a-a5a7ecf2bf88/buckets/21d2b0bc-e54c-4b64-a30b-89127b18b785/images/profile/pictures/default/ab2b1871-2587-5857-97db-9d5e58c1cf90?rule=pp-small ; Peugeot : Peugeot ; PEUGEOT : PEUGEOT ; 140394 km : 140394 ; Essence : 1 ; Manuelle : 1 ; 07/1987 : 07/1987 ; Non endommagé : undamaged ; Berline : berline ; Rouge : rouge ; 130 Ch : 130 ; Avec permis : avecpermis ; false : false ; true : true ; rating_score : 1 ; rating_count : 3 ; u_car_brand : PEUGEOT ; u_car_model : 205 ; vehicle_damage : Non endommagé ; vehicle_vsp : Avec permis ; is_import : false ; vehicle_is_eligible_p2p : 2 ; licence_plate_available : true</t>
        </is>
      </c>
      <c r="AG154" s="19" t="inlineStr">
        <is>
          <t>Voir</t>
        </is>
      </c>
      <c r="AH154" s="10" t="inlineStr">
        <is>
          <t>3271061636</t>
        </is>
      </c>
    </row>
    <row r="155">
      <c r="A155" s="10" t="inlineStr">
        <is>
          <t>Peugeot 205 GTI</t>
        </is>
      </c>
      <c r="B155" s="10" t="inlineStr">
        <is>
          <t>205 gti</t>
        </is>
      </c>
      <c r="C155" s="10" t="inlineStr">
        <is>
          <t>En vente</t>
        </is>
      </c>
      <c r="D155" s="18" t="n">
        <v>46282</v>
      </c>
      <c r="E155" s="18" t="n">
        <v>46282</v>
      </c>
      <c r="F155" s="18" t="n">
        <v>46296</v>
      </c>
      <c r="G155" s="18" t="n"/>
      <c r="H155" s="17">
        <f>IF(OR(ISNUMBER(D155),ISNUMBER(E155)),IF(ISNUMBER(G155),G155,F155)-IF(ISNUMBER(D155),D155,E155),"")</f>
        <v/>
      </c>
      <c r="I155" s="12" t="n">
        <v>17000</v>
      </c>
      <c r="J155" s="12" t="n">
        <v>17000</v>
      </c>
      <c r="K155" s="13">
        <f>IF(AND(ISNUMBER(I155),ISNUMBER(J155),I155&gt;0),1-J155/I155,"")</f>
        <v/>
      </c>
      <c r="L155" s="16" t="n">
        <v>0</v>
      </c>
      <c r="M155" s="15" t="n">
        <v>170000</v>
      </c>
      <c r="N155" s="16" t="n">
        <v>1984</v>
      </c>
      <c r="O155" s="10" t="inlineStr">
        <is>
          <t>1</t>
        </is>
      </c>
      <c r="P155" s="10" t="inlineStr">
        <is>
          <t>1</t>
        </is>
      </c>
      <c r="Q155" s="16" t="n">
        <v>105</v>
      </c>
      <c r="R155" s="16" t="n">
        <v>6</v>
      </c>
      <c r="S155" s="10" t="inlineStr">
        <is>
          <t>rouge</t>
        </is>
      </c>
      <c r="T155" s="16" t="n">
        <v>3</v>
      </c>
      <c r="U155" s="10" t="n"/>
      <c r="V155" s="10" t="inlineStr">
        <is>
          <t>6</t>
        </is>
      </c>
      <c r="W155" s="10" t="inlineStr">
        <is>
          <t>Particulier</t>
        </is>
      </c>
      <c r="X155" s="10" t="inlineStr">
        <is>
          <t>Ligueil</t>
        </is>
      </c>
      <c r="Y155" s="10" t="inlineStr">
        <is>
          <t>37240</t>
        </is>
      </c>
      <c r="Z155" s="10" t="inlineStr">
        <is>
          <t>Indre-et-Loire</t>
        </is>
      </c>
      <c r="AA155" s="10" t="inlineStr">
        <is>
          <t>Centre</t>
        </is>
      </c>
      <c r="AB155" s="16" t="n"/>
      <c r="AC155" s="16" t="n"/>
      <c r="AD155" s="10" t="n"/>
      <c r="AE155" s="10" t="n"/>
      <c r="AF155" s="10" t="inlineStr">
        <is>
          <t>1 : 1 ; 2 : 2 ; 3 : 3 ; 5 : 5 ; 15 : 15 ; 205 : 205 ; 1984 : 1984 ; https://img.leboncoin.fr/api/v1/tenants/9a6387a1-6259-4f2c-a887-7e67f23dd4cb/domains/20bda58f-d650-462e-a72a-a5a7ecf2bf88/buckets/21d2b0bc-e54c-4b64-a30b-89127b18b785/images/profile/pictures/default/1f3e4303-62d7-5185-9dbf-b109b1148634?rule=pp-small : https://img.leboncoin.fr/api/v1/tenants/9a6387a1-6259-4f2c-a887-7e67f23dd4cb/domains/20bda58f-d650-462e-a72a-a5a7ecf2bf88/buckets/21d2b0bc-e54c-4b64-a30b-89127b18b785/images/profile/pictures/default/1f3e4303-62d7-5185-9dbf-b109b1148634?rule=pp-small ; Peugeot : Peugeot ; PEUGEOT : PEUGEOT ; 170000 km : 170000 ; Essence : 1 ; Manuelle : 1 ; 10/1984 : 10/1984 ; Excellent état (proche du neuf) : excellent_condition ; Autre : autre ; Rouge : rouge ; Non classé : 6 ; 6 Cv : 6 ; 105 Ch : 105 ; Avec permis : avecpermis ; credit_card : credit_card ; false : false ; https://autoviza.fr/report/report?uid=509038f2-1385-48bc-b14e-31c5dd8a5daa : https://autoviza.fr/report/report?uid=509038f2-1385-48bc-b14e-31c5dd8a5daa ; visible : visible ; true : true ; rating_score : 1 ; rating_count : 15 ; u_car_brand : PEUGEOT ; u_car_model : 205 ; vehicle_damage : Excellent état (proche du neuf) ; vehicle_upholstery : Tissu ; vehicle_maintenance : Réparations utiles déjà faites ; vehicle_interior_specs : Jantes en alliage, Siège arrière rabattable, Sièges sport ; vehicle_vsp : Avec permis ; vehicle_available_payment_methods : credit_card ; is_import : false ; vehicle_is_eligible_p2p : 2 ; vehicle_history_report_public_url : https://autoviza.fr/report/report?uid=509038f2-1385-48bc-b14e-31c5dd8a5daa ; vehicle_history_report_status : visible ; licence_plate_available : true</t>
        </is>
      </c>
      <c r="AG155" s="19" t="inlineStr">
        <is>
          <t>Voir</t>
        </is>
      </c>
      <c r="AH155" s="10" t="inlineStr">
        <is>
          <t>3271423566</t>
        </is>
      </c>
    </row>
    <row r="156">
      <c r="A156" s="10" t="inlineStr">
        <is>
          <t>Peugeot 205 GTI</t>
        </is>
      </c>
      <c r="B156" s="10" t="inlineStr">
        <is>
          <t>205 Gti</t>
        </is>
      </c>
      <c r="C156" s="10" t="inlineStr">
        <is>
          <t>En vente</t>
        </is>
      </c>
      <c r="D156" s="18" t="n">
        <v>46283</v>
      </c>
      <c r="E156" s="18" t="n">
        <v>46283</v>
      </c>
      <c r="F156" s="18" t="n">
        <v>46296</v>
      </c>
      <c r="G156" s="18" t="n"/>
      <c r="H156" s="17">
        <f>IF(OR(ISNUMBER(D156),ISNUMBER(E156)),IF(ISNUMBER(G156),G156,F156)-IF(ISNUMBER(D156),D156,E156),"")</f>
        <v/>
      </c>
      <c r="I156" s="12" t="n">
        <v>18800</v>
      </c>
      <c r="J156" s="12" t="n">
        <v>18800</v>
      </c>
      <c r="K156" s="13">
        <f>IF(AND(ISNUMBER(I156),ISNUMBER(J156),I156&gt;0),1-J156/I156,"")</f>
        <v/>
      </c>
      <c r="L156" s="16" t="n">
        <v>0</v>
      </c>
      <c r="M156" s="15" t="n">
        <v>222159</v>
      </c>
      <c r="N156" s="16" t="n">
        <v>1985</v>
      </c>
      <c r="O156" s="10" t="inlineStr">
        <is>
          <t>1</t>
        </is>
      </c>
      <c r="P156" s="10" t="inlineStr">
        <is>
          <t>1</t>
        </is>
      </c>
      <c r="Q156" s="16" t="n"/>
      <c r="R156" s="16" t="n"/>
      <c r="S156" s="10" t="n"/>
      <c r="T156" s="16" t="n"/>
      <c r="U156" s="10" t="n"/>
      <c r="V156" s="10" t="n"/>
      <c r="W156" s="10" t="inlineStr">
        <is>
          <t>Particulier</t>
        </is>
      </c>
      <c r="X156" s="10" t="inlineStr">
        <is>
          <t>Saint-Chamond</t>
        </is>
      </c>
      <c r="Y156" s="10" t="inlineStr">
        <is>
          <t>42400</t>
        </is>
      </c>
      <c r="Z156" s="10" t="inlineStr">
        <is>
          <t>Loire</t>
        </is>
      </c>
      <c r="AA156" s="10" t="inlineStr">
        <is>
          <t>Rhône-Alpes</t>
        </is>
      </c>
      <c r="AB156" s="16" t="n"/>
      <c r="AC156" s="16" t="n"/>
      <c r="AD156" s="10" t="n"/>
      <c r="AE156" s="10" t="n"/>
      <c r="AF156" s="10" t="inlineStr">
        <is>
          <t>2 : 2 ; 205 : 205 ; 1985 : 1985 ; https://img.leboncoin.fr/api/v1/tenants/9a6387a1-6259-4f2c-a887-7e67f23dd4cb/domains/20bda58f-d650-462e-a72a-a5a7ecf2bf88/buckets/21d2b0bc-e54c-4b64-a30b-89127b18b785/images/profile/pictures/default/5c3e7cb3-20b0-5bc9-95a9-1dcedc03496b?rule=pp-small : https://img.leboncoin.fr/api/v1/tenants/9a6387a1-6259-4f2c-a887-7e67f23dd4cb/domains/20bda58f-d650-462e-a72a-a5a7ecf2bf88/buckets/21d2b0bc-e54c-4b64-a30b-89127b18b785/images/profile/pictures/default/5c3e7cb3-20b0-5bc9-95a9-1dcedc03496b?rule=pp-small ; Peugeot : Peugeot ; PEUGEOT : PEUGEOT ; 222159 km : 222159 ; Essence : 1 ; Manuelle : 1 ; 12/1985 : 12/1985 ; Avec permis : avecpermis ; credit_card : credit_card ; false : false ; https://autoviza.fr/report/report?uid=21a4d15a-ac79-43cc-8d4f-1f948e48fabf : https://autoviza.fr/report/report?uid=21a4d15a-ac79-43cc-8d4f-1f948e48fabf ; visible : visible ; true : true ; u_car_brand : PEUGEOT ; u_car_model : 205 ; vehicle_vsp : Avec permis ; vehicle_available_payment_methods : credit_card ; is_import : false ; vehicle_is_eligible_p2p : 2 ; vehicle_history_report_public_url : https://autoviza.fr/report/report?uid=21a4d15a-ac79-43cc-8d4f-1f948e48fabf ; vehicle_history_report_status : visible ; licence_plate_available : true</t>
        </is>
      </c>
      <c r="AG156" s="19" t="inlineStr">
        <is>
          <t>Voir</t>
        </is>
      </c>
      <c r="AH156" s="10" t="inlineStr">
        <is>
          <t>3272026247</t>
        </is>
      </c>
    </row>
    <row r="157">
      <c r="A157" s="10" t="inlineStr">
        <is>
          <t>Peugeot 205 GTI</t>
        </is>
      </c>
      <c r="B157" s="10" t="inlineStr">
        <is>
          <t>205 gti 1.9</t>
        </is>
      </c>
      <c r="C157" s="10" t="inlineStr">
        <is>
          <t>En vente</t>
        </is>
      </c>
      <c r="D157" s="18" t="n">
        <v>46285</v>
      </c>
      <c r="E157" s="18" t="n">
        <v>46285</v>
      </c>
      <c r="F157" s="18" t="n">
        <v>46296</v>
      </c>
      <c r="G157" s="18" t="n"/>
      <c r="H157" s="17">
        <f>IF(OR(ISNUMBER(D157),ISNUMBER(E157)),IF(ISNUMBER(G157),G157,F157)-IF(ISNUMBER(D157),D157,E157),"")</f>
        <v/>
      </c>
      <c r="I157" s="12" t="n">
        <v>22000</v>
      </c>
      <c r="J157" s="12" t="n">
        <v>22000</v>
      </c>
      <c r="K157" s="13">
        <f>IF(AND(ISNUMBER(I157),ISNUMBER(J157),I157&gt;0),1-J157/I157,"")</f>
        <v/>
      </c>
      <c r="L157" s="16" t="n">
        <v>0</v>
      </c>
      <c r="M157" s="15" t="n">
        <v>282000</v>
      </c>
      <c r="N157" s="16" t="n">
        <v>1991</v>
      </c>
      <c r="O157" s="10" t="inlineStr">
        <is>
          <t>1</t>
        </is>
      </c>
      <c r="P157" s="10" t="inlineStr">
        <is>
          <t>1</t>
        </is>
      </c>
      <c r="Q157" s="16" t="n">
        <v>130</v>
      </c>
      <c r="R157" s="16" t="n">
        <v>9</v>
      </c>
      <c r="S157" s="10" t="inlineStr">
        <is>
          <t>autre</t>
        </is>
      </c>
      <c r="T157" s="16" t="n">
        <v>3</v>
      </c>
      <c r="U157" s="10" t="n"/>
      <c r="V157" s="10" t="n"/>
      <c r="W157" s="10" t="inlineStr">
        <is>
          <t>Particulier</t>
        </is>
      </c>
      <c r="X157" s="10" t="inlineStr">
        <is>
          <t>Champagnole</t>
        </is>
      </c>
      <c r="Y157" s="10" t="inlineStr">
        <is>
          <t>39300</t>
        </is>
      </c>
      <c r="Z157" s="10" t="inlineStr">
        <is>
          <t>Jura</t>
        </is>
      </c>
      <c r="AA157" s="10" t="inlineStr">
        <is>
          <t>Franche-Comté</t>
        </is>
      </c>
      <c r="AB157" s="16" t="n"/>
      <c r="AC157" s="16" t="n"/>
      <c r="AD157" s="10" t="n"/>
      <c r="AE157" s="10" t="n"/>
      <c r="AF157" s="10" t="inlineStr">
        <is>
          <t>1 : 1 ; 2 : 2 ; 3 : 3 ; 18 : 18 ; 205 : 205 ; 1991 : 1991 ; https://img.leboncoin.fr/api/v1/tenants/9a6387a1-6259-4f2c-a887-7e67f23dd4cb/domains/20bda58f-d650-462e-a72a-a5a7ecf2bf88/buckets/21d2b0bc-e54c-4b64-a30b-89127b18b785/images/profile/pictures/default/9d233a30-99d7-52a4-b17d-e2f5056dd34b?rule=pp-small : https://img.leboncoin.fr/api/v1/tenants/9a6387a1-6259-4f2c-a887-7e67f23dd4cb/domains/20bda58f-d650-462e-a72a-a5a7ecf2bf88/buckets/21d2b0bc-e54c-4b64-a30b-89127b18b785/images/profile/pictures/default/9d233a30-99d7-52a4-b17d-e2f5056dd34b?rule=pp-small ; Peugeot : Peugeot ; PEUGEOT : PEUGEOT ; 282000 km : 282000 ; Essence : 1 ; Manuelle : 1 ; Non : false ; 01/1991 : 01/1991 ; Berline : berline ; Autre : autre ; 9 Cv : 9 ; 130 Ch : 130 ; Avec permis : avecpermis ; false : false ; https://autoviza.fr/report/report?uid=0519f17a-c39e-4dc6-bb1d-b7cec374a9c0 : https://autoviza.fr/report/report?uid=0519f17a-c39e-4dc6-bb1d-b7cec374a9c0 ; true : true ; rating_score : 1 ; rating_count : 18 ; u_car_brand : PEUGEOT ; u_car_model : 205 ; vehicle_technical_inspection_valid : Non ; vehicle_vsp : Avec permis ; is_import : false ; vehicle_is_eligible_p2p : 2 ; vehicle_history_report_public_url : https://autoviza.fr/report/report?uid=0519f17a-c39e-4dc6-bb1d-b7cec374a9c0 ; licence_plate_available : true</t>
        </is>
      </c>
      <c r="AG157" s="19" t="inlineStr">
        <is>
          <t>Voir</t>
        </is>
      </c>
      <c r="AH157" s="10" t="inlineStr">
        <is>
          <t>3273035594</t>
        </is>
      </c>
    </row>
    <row r="158">
      <c r="A158" s="10" t="inlineStr">
        <is>
          <t>Peugeot 205 GTI</t>
        </is>
      </c>
      <c r="B158" s="10" t="inlineStr">
        <is>
          <t>Peugeot 205 GTI</t>
        </is>
      </c>
      <c r="C158" s="10" t="inlineStr">
        <is>
          <t>En vente</t>
        </is>
      </c>
      <c r="D158" s="18" t="n">
        <v>46285</v>
      </c>
      <c r="E158" s="18" t="n">
        <v>46285</v>
      </c>
      <c r="F158" s="18" t="n">
        <v>46296</v>
      </c>
      <c r="G158" s="18" t="n"/>
      <c r="H158" s="17">
        <f>IF(OR(ISNUMBER(D158),ISNUMBER(E158)),IF(ISNUMBER(G158),G158,F158)-IF(ISNUMBER(D158),D158,E158),"")</f>
        <v/>
      </c>
      <c r="I158" s="12" t="n">
        <v>13500</v>
      </c>
      <c r="J158" s="12" t="n">
        <v>13500</v>
      </c>
      <c r="K158" s="13">
        <f>IF(AND(ISNUMBER(I158),ISNUMBER(J158),I158&gt;0),1-J158/I158,"")</f>
        <v/>
      </c>
      <c r="L158" s="16" t="n">
        <v>0</v>
      </c>
      <c r="M158" s="15" t="n">
        <v>189700</v>
      </c>
      <c r="N158" s="16" t="n">
        <v>1989</v>
      </c>
      <c r="O158" s="10" t="inlineStr">
        <is>
          <t>1</t>
        </is>
      </c>
      <c r="P158" s="10" t="inlineStr">
        <is>
          <t>1</t>
        </is>
      </c>
      <c r="Q158" s="16" t="n"/>
      <c r="R158" s="16" t="n">
        <v>8</v>
      </c>
      <c r="S158" s="10" t="n"/>
      <c r="T158" s="16" t="n">
        <v>3</v>
      </c>
      <c r="U158" s="10" t="n"/>
      <c r="V158" s="10" t="n"/>
      <c r="W158" s="10" t="inlineStr">
        <is>
          <t>Particulier</t>
        </is>
      </c>
      <c r="X158" s="10" t="inlineStr">
        <is>
          <t>Colombier-Fontaine</t>
        </is>
      </c>
      <c r="Y158" s="10" t="inlineStr">
        <is>
          <t>25260</t>
        </is>
      </c>
      <c r="Z158" s="10" t="inlineStr">
        <is>
          <t>Doubs</t>
        </is>
      </c>
      <c r="AA158" s="10" t="inlineStr">
        <is>
          <t>Franche-Comté</t>
        </is>
      </c>
      <c r="AB158" s="16" t="n"/>
      <c r="AC158" s="16" t="n"/>
      <c r="AD158" s="10" t="n"/>
      <c r="AE158" s="10" t="n"/>
      <c r="AF158" s="10" t="inlineStr">
        <is>
          <t>2 : 2 ; 3 : 3 ; 5 : 5 ; 105 : 105 ; 205 : 205 ; 1989 : 1989 ; 0.99 : 0.99 ; https://img.leboncoin.fr/api/v1/tenants/9a6387a1-6259-4f2c-a887-7e67f23dd4cb/domains/20bda58f-d650-462e-a72a-a5a7ecf2bf88/buckets/21d2b0bc-e54c-4b64-a30b-89127b18b785/images/profile/pictures/default/00c1bf40-7185-5aea-8914-b890b2582941?rule=pp-small : https://img.leboncoin.fr/api/v1/tenants/9a6387a1-6259-4f2c-a887-7e67f23dd4cb/domains/20bda58f-d650-462e-a72a-a5a7ecf2bf88/buckets/21d2b0bc-e54c-4b64-a30b-89127b18b785/images/profile/pictures/default/00c1bf40-7185-5aea-8914-b890b2582941?rule=pp-small ; Peugeot : Peugeot ; PEUGEOT : PEUGEOT ; 189700 km : 189700 ; Essence : 1 ; Manuelle : 1 ; Oui : true ; 06/1989 : 06/1989 ; Berline : berline ; 8 Cv : 8 ; Avec permis : avecpermis ; credit_card : credit_card ; false : false ; true : true ; rating_score : 0.99 ; rating_count : 105 ; u_car_brand : PEUGEOT ; u_car_model : 205 ; vehicle_technical_inspection_valid : Oui ; vehicle_vsp : Avec permis ; vehicle_available_payment_methods : credit_card ; is_import : false ; vehicle_is_eligible_p2p : 2 ; licence_plate_available : true</t>
        </is>
      </c>
      <c r="AG158" s="19" t="inlineStr">
        <is>
          <t>Voir</t>
        </is>
      </c>
      <c r="AH158" s="10" t="inlineStr">
        <is>
          <t>3273223439</t>
        </is>
      </c>
    </row>
    <row r="159">
      <c r="A159" s="10" t="inlineStr">
        <is>
          <t>Peugeot 205 GTI</t>
        </is>
      </c>
      <c r="B159" s="10" t="inlineStr">
        <is>
          <t>205 gti 1l6</t>
        </is>
      </c>
      <c r="C159" s="10" t="inlineStr">
        <is>
          <t>En vente</t>
        </is>
      </c>
      <c r="D159" s="18" t="n">
        <v>46285</v>
      </c>
      <c r="E159" s="18" t="n">
        <v>46285</v>
      </c>
      <c r="F159" s="18" t="n">
        <v>46296</v>
      </c>
      <c r="G159" s="18" t="n"/>
      <c r="H159" s="17">
        <f>IF(OR(ISNUMBER(D159),ISNUMBER(E159)),IF(ISNUMBER(G159),G159,F159)-IF(ISNUMBER(D159),D159,E159),"")</f>
        <v/>
      </c>
      <c r="I159" s="12" t="n">
        <v>14500</v>
      </c>
      <c r="J159" s="12" t="n">
        <v>14500</v>
      </c>
      <c r="K159" s="13">
        <f>IF(AND(ISNUMBER(I159),ISNUMBER(J159),I159&gt;0),1-J159/I159,"")</f>
        <v/>
      </c>
      <c r="L159" s="16" t="n">
        <v>0</v>
      </c>
      <c r="M159" s="15" t="n">
        <v>282000</v>
      </c>
      <c r="N159" s="16" t="n">
        <v>1986</v>
      </c>
      <c r="O159" s="10" t="inlineStr">
        <is>
          <t>1</t>
        </is>
      </c>
      <c r="P159" s="10" t="inlineStr">
        <is>
          <t>1</t>
        </is>
      </c>
      <c r="Q159" s="16" t="n"/>
      <c r="R159" s="16" t="n"/>
      <c r="S159" s="10" t="inlineStr">
        <is>
          <t>gris</t>
        </is>
      </c>
      <c r="T159" s="16" t="n">
        <v>3</v>
      </c>
      <c r="U159" s="10" t="n"/>
      <c r="V159" s="10" t="n"/>
      <c r="W159" s="10" t="inlineStr">
        <is>
          <t>Particulier</t>
        </is>
      </c>
      <c r="X159" s="10" t="inlineStr">
        <is>
          <t>Montaigu-Vendée</t>
        </is>
      </c>
      <c r="Y159" s="10" t="inlineStr">
        <is>
          <t>85600</t>
        </is>
      </c>
      <c r="Z159" s="10" t="inlineStr">
        <is>
          <t>Vendée</t>
        </is>
      </c>
      <c r="AA159" s="10" t="inlineStr">
        <is>
          <t>Pays de la Loire</t>
        </is>
      </c>
      <c r="AB159" s="16" t="n"/>
      <c r="AC159" s="16" t="n"/>
      <c r="AD159" s="10" t="n"/>
      <c r="AE159" s="10" t="n"/>
      <c r="AF159" s="10" t="inlineStr">
        <is>
          <t>2 : 2 ; 3 : 3 ; 5 : 5 ; 205 : 205 ; 1986 : 1986 ; 0.2 : 0.2 ; https://img.leboncoin.fr/api/v1/tenants/9a6387a1-6259-4f2c-a887-7e67f23dd4cb/domains/20bda58f-d650-462e-a72a-a5a7ecf2bf88/buckets/21d2b0bc-e54c-4b64-a30b-89127b18b785/images/profile/pictures/default/4021277d-de4d-5b49-b2b9-f99c3a8b4b7a?rule=pp-small : https://img.leboncoin.fr/api/v1/tenants/9a6387a1-6259-4f2c-a887-7e67f23dd4cb/domains/20bda58f-d650-462e-a72a-a5a7ecf2bf88/buckets/21d2b0bc-e54c-4b64-a30b-89127b18b785/images/profile/pictures/default/4021277d-de4d-5b49-b2b9-f99c3a8b4b7a?rule=pp-small ; Peugeot : Peugeot ; PEUGEOT : PEUGEOT ; 282000 km : 282000 ; Essence : 1 ; Manuelle : 1 ; Citadine : citadine ; Gris : gris ; Avec permis : avecpermis ; credit_card : credit_card ; false : false ; true : true ; rating_score : 0.2 ; rating_count : 2 ; u_car_brand : PEUGEOT ; u_car_model : 205 ; vehicle_vsp : Avec permis ; vehicle_available_payment_methods : credit_card ; is_import : false ; vehicle_is_eligible_p2p : 2 ; licence_plate_available : true</t>
        </is>
      </c>
      <c r="AG159" s="19" t="inlineStr">
        <is>
          <t>Voir</t>
        </is>
      </c>
      <c r="AH159" s="10" t="inlineStr">
        <is>
          <t>3273415437</t>
        </is>
      </c>
    </row>
    <row r="160">
      <c r="A160" s="10" t="inlineStr">
        <is>
          <t>Peugeot 205 GTI</t>
        </is>
      </c>
      <c r="B160" s="10" t="inlineStr">
        <is>
          <t>205 gti 115 1,6</t>
        </is>
      </c>
      <c r="C160" s="10" t="inlineStr">
        <is>
          <t>En vente</t>
        </is>
      </c>
      <c r="D160" s="18" t="n">
        <v>46285</v>
      </c>
      <c r="E160" s="18" t="n">
        <v>46285</v>
      </c>
      <c r="F160" s="18" t="n">
        <v>46296</v>
      </c>
      <c r="G160" s="18" t="n"/>
      <c r="H160" s="17">
        <f>IF(OR(ISNUMBER(D160),ISNUMBER(E160)),IF(ISNUMBER(G160),G160,F160)-IF(ISNUMBER(D160),D160,E160),"")</f>
        <v/>
      </c>
      <c r="I160" s="12" t="n">
        <v>14900</v>
      </c>
      <c r="J160" s="12" t="n">
        <v>14900</v>
      </c>
      <c r="K160" s="13">
        <f>IF(AND(ISNUMBER(I160),ISNUMBER(J160),I160&gt;0),1-J160/I160,"")</f>
        <v/>
      </c>
      <c r="L160" s="16" t="n">
        <v>0</v>
      </c>
      <c r="M160" s="15" t="n">
        <v>141000</v>
      </c>
      <c r="N160" s="16" t="n">
        <v>1990</v>
      </c>
      <c r="O160" s="10" t="inlineStr">
        <is>
          <t>1</t>
        </is>
      </c>
      <c r="P160" s="10" t="inlineStr">
        <is>
          <t>1</t>
        </is>
      </c>
      <c r="Q160" s="16" t="n">
        <v>60</v>
      </c>
      <c r="R160" s="16" t="n">
        <v>5</v>
      </c>
      <c r="S160" s="10" t="inlineStr">
        <is>
          <t>gris</t>
        </is>
      </c>
      <c r="T160" s="16" t="n">
        <v>3</v>
      </c>
      <c r="U160" s="10" t="n"/>
      <c r="V160" s="10" t="n"/>
      <c r="W160" s="10" t="inlineStr">
        <is>
          <t>Particulier</t>
        </is>
      </c>
      <c r="X160" s="10" t="inlineStr">
        <is>
          <t>Villefranche-de-Lauragais</t>
        </is>
      </c>
      <c r="Y160" s="10" t="inlineStr">
        <is>
          <t>31290</t>
        </is>
      </c>
      <c r="Z160" s="10" t="inlineStr">
        <is>
          <t>Haute-Garonne</t>
        </is>
      </c>
      <c r="AA160" s="10" t="inlineStr">
        <is>
          <t>Midi-Pyrénées</t>
        </is>
      </c>
      <c r="AB160" s="16" t="n"/>
      <c r="AC160" s="16" t="n"/>
      <c r="AD160" s="10" t="n"/>
      <c r="AE160" s="10" t="n"/>
      <c r="AF160" s="10" t="inlineStr">
        <is>
          <t>1 : 1 ; 2 : 2 ; 3 : 3 ; 11 : 11 ; 205 : 205 ; 1990 : 1990 ; https://img.leboncoin.fr/api/v1/tenants/9a6387a1-6259-4f2c-a887-7e67f23dd4cb/domains/20bda58f-d650-462e-a72a-a5a7ecf2bf88/buckets/21d2b0bc-e54c-4b64-a30b-89127b18b785/images/profile/pictures/default/469dcf8d-44fb-5cfc-a479-0e16c5df9811?rule=pp-small : https://img.leboncoin.fr/api/v1/tenants/9a6387a1-6259-4f2c-a887-7e67f23dd4cb/domains/20bda58f-d650-462e-a72a-a5a7ecf2bf88/buckets/21d2b0bc-e54c-4b64-a30b-89127b18b785/images/profile/pictures/default/469dcf8d-44fb-5cfc-a479-0e16c5df9811?rule=pp-small ; Peugeot : Peugeot ; PEUGEOT : PEUGEOT ; 141000 km : 141000 ; Essence : 1 ; Manuelle : 1 ; Base : PEUGEOT_205_Base ; Oui : true ; 07/1990 : 07/1990 ; Bon état général : good_overall_condition ; Berline : berline ; Gris : gris ; 5 Cv : 5 ; 60 Ch : 60 ; Avec permis : avecpermis ; credit_card : credit_card ; false : false ; https://autoviza.fr/report/report?uid=204c674a-4dbb-4f59-a8c0-8e53de8f0f17 : https://autoviza.fr/report/report?uid=204c674a-4dbb-4f59-a8c0-8e53de8f0f17 ; visible : visible ; true : true ; rating_score : 1 ; rating_count : 11 ; u_car_brand : PEUGEOT ; u_car_model : 205 ; u_car_finition : Base ; vehicle_technical_inspection_valid : Oui ; vehicle_damage : Bon état général ; vehicle_upholstery : Tissu ; vehicle_maintenance : Factures disponibles, Véhicule non fumeur ; vehicle_vsp : Avec permis ; vehicle_available_payment_methods : credit_card ; is_import : false ; vehicle_is_eligible_p2p : 2 ; vehicle_history_report_public_url : https://autoviza.fr/report/report?uid=204c674a-4dbb-4f59-a8c0-8e53de8f0f17 ; vehicle_history_report_status : visible ; licence_plate_available : true</t>
        </is>
      </c>
      <c r="AG160" s="19" t="inlineStr">
        <is>
          <t>Voir</t>
        </is>
      </c>
      <c r="AH160" s="10" t="inlineStr">
        <is>
          <t>3273551701</t>
        </is>
      </c>
    </row>
    <row r="161">
      <c r="A161" s="10" t="inlineStr">
        <is>
          <t>Peugeot 205 GTI</t>
        </is>
      </c>
      <c r="B161" s="10" t="inlineStr">
        <is>
          <t>205 gti mi16</t>
        </is>
      </c>
      <c r="C161" s="10" t="inlineStr">
        <is>
          <t>En vente</t>
        </is>
      </c>
      <c r="D161" s="18" t="n">
        <v>46286</v>
      </c>
      <c r="E161" s="18" t="n">
        <v>46286</v>
      </c>
      <c r="F161" s="18" t="n">
        <v>46296</v>
      </c>
      <c r="G161" s="18" t="n"/>
      <c r="H161" s="17">
        <f>IF(OR(ISNUMBER(D161),ISNUMBER(E161)),IF(ISNUMBER(G161),G161,F161)-IF(ISNUMBER(D161),D161,E161),"")</f>
        <v/>
      </c>
      <c r="I161" s="12" t="n">
        <v>18000</v>
      </c>
      <c r="J161" s="12" t="n">
        <v>18000</v>
      </c>
      <c r="K161" s="13">
        <f>IF(AND(ISNUMBER(I161),ISNUMBER(J161),I161&gt;0),1-J161/I161,"")</f>
        <v/>
      </c>
      <c r="L161" s="16" t="n">
        <v>0</v>
      </c>
      <c r="M161" s="15" t="n">
        <v>201600</v>
      </c>
      <c r="N161" s="16" t="n">
        <v>1992</v>
      </c>
      <c r="O161" s="10" t="inlineStr">
        <is>
          <t>1</t>
        </is>
      </c>
      <c r="P161" s="10" t="inlineStr">
        <is>
          <t>1</t>
        </is>
      </c>
      <c r="Q161" s="16" t="n"/>
      <c r="R161" s="16" t="n"/>
      <c r="S161" s="10" t="inlineStr">
        <is>
          <t>vert</t>
        </is>
      </c>
      <c r="T161" s="16" t="n">
        <v>3</v>
      </c>
      <c r="U161" s="10" t="n"/>
      <c r="V161" s="10" t="inlineStr">
        <is>
          <t>6</t>
        </is>
      </c>
      <c r="W161" s="10" t="inlineStr">
        <is>
          <t>Particulier</t>
        </is>
      </c>
      <c r="X161" s="10" t="inlineStr">
        <is>
          <t>Morlaix</t>
        </is>
      </c>
      <c r="Y161" s="10" t="inlineStr">
        <is>
          <t>29600</t>
        </is>
      </c>
      <c r="Z161" s="10" t="inlineStr">
        <is>
          <t>Finistère</t>
        </is>
      </c>
      <c r="AA161" s="10" t="inlineStr">
        <is>
          <t>Bretagne</t>
        </is>
      </c>
      <c r="AB161" s="16" t="n"/>
      <c r="AC161" s="16" t="n"/>
      <c r="AD161" s="10" t="n"/>
      <c r="AE161" s="10" t="n"/>
      <c r="AF161" s="10" t="inlineStr">
        <is>
          <t>2 : 2 ; 3 : 3 ; 5 : 5 ; 205 : 205 ; 1992 : 1992 ; 2028 : 2028 ; https://img.leboncoin.fr/api/v1/tenants/9a6387a1-6259-4f2c-a887-7e67f23dd4cb/domains/20bda58f-d650-462e-a72a-a5a7ecf2bf88/buckets/21d2b0bc-e54c-4b64-a30b-89127b18b785/images/profile/pictures/ab1106be-29c6-5fd3-a710-7b13d47ec4b0?rule=pp-small : https://img.leboncoin.fr/api/v1/tenants/9a6387a1-6259-4f2c-a887-7e67f23dd4cb/domains/20bda58f-d650-462e-a72a-a5a7ecf2bf88/buckets/21d2b0bc-e54c-4b64-a30b-89127b18b785/images/profile/pictures/ab1106be-29c6-5fd3-a710-7b13d47ec4b0?rule=pp-small ; Peugeot : Peugeot ; PEUGEOT : PEUGEOT ; 201600 km : 201600 ; Essence : 1 ; Manuelle : 1 ; Oui : true ; 05/1992 : 05/1992 ; Réparations mineures à prévoir : minor_repairs_needed ; Coupé : coupe ; Vert : vert ; Non classé : 6 ; Avec permis : avecpermis ; credit_card : credit_card ; false : false ; https://autoviza.fr/report/report?uid=4d07c7a7-3639-4c21-8132-1c1d9f42e390 : https://autoviza.fr/report/report?uid=4d07c7a7-3639-4c21-8132-1c1d9f42e390 ; visible : visible ; true : true ; u_car_brand : PEUGEOT ; u_car_model : 205 ; vehicle_technical_inspection_valid : Oui ; vehicle_technical_inspection_a : 2028 ; vehicle_damage : Réparations mineures à prévoir ; vehicle_upholstery : Tout cuir ; vehicle_vsp : Avec permis ; vehicle_available_payment_methods : credit_card ; is_import : false ; vehicle_is_eligible_p2p : 2 ; vehicle_history_report_public_url : https://autoviza.fr/report/report?uid=4d07c7a7-3639-4c21-8132-1c1d9f42e390 ; vehicle_history_report_status : visible ; licence_plate_available : true</t>
        </is>
      </c>
      <c r="AG161" s="19" t="inlineStr">
        <is>
          <t>Voir</t>
        </is>
      </c>
      <c r="AH161" s="10" t="inlineStr">
        <is>
          <t>3273983702</t>
        </is>
      </c>
    </row>
    <row r="162">
      <c r="A162" s="10" t="inlineStr">
        <is>
          <t>Peugeot 205 GTI</t>
        </is>
      </c>
      <c r="B162" s="10" t="inlineStr">
        <is>
          <t>205 GTI 1,9 130cv</t>
        </is>
      </c>
      <c r="C162" s="10" t="inlineStr">
        <is>
          <t>En vente</t>
        </is>
      </c>
      <c r="D162" s="18" t="n">
        <v>46286</v>
      </c>
      <c r="E162" s="18" t="n">
        <v>46286</v>
      </c>
      <c r="F162" s="18" t="n">
        <v>46296</v>
      </c>
      <c r="G162" s="18" t="n"/>
      <c r="H162" s="17">
        <f>IF(OR(ISNUMBER(D162),ISNUMBER(E162)),IF(ISNUMBER(G162),G162,F162)-IF(ISNUMBER(D162),D162,E162),"")</f>
        <v/>
      </c>
      <c r="I162" s="12" t="n">
        <v>25000</v>
      </c>
      <c r="J162" s="12" t="n">
        <v>25000</v>
      </c>
      <c r="K162" s="13">
        <f>IF(AND(ISNUMBER(I162),ISNUMBER(J162),I162&gt;0),1-J162/I162,"")</f>
        <v/>
      </c>
      <c r="L162" s="16" t="n">
        <v>0</v>
      </c>
      <c r="M162" s="15" t="n">
        <v>82230</v>
      </c>
      <c r="N162" s="16" t="n">
        <v>1987</v>
      </c>
      <c r="O162" s="10" t="inlineStr">
        <is>
          <t>1</t>
        </is>
      </c>
      <c r="P162" s="10" t="inlineStr">
        <is>
          <t>1</t>
        </is>
      </c>
      <c r="Q162" s="16" t="n">
        <v>130</v>
      </c>
      <c r="R162" s="16" t="n">
        <v>9</v>
      </c>
      <c r="S162" s="10" t="inlineStr">
        <is>
          <t>gris</t>
        </is>
      </c>
      <c r="T162" s="16" t="n">
        <v>3</v>
      </c>
      <c r="U162" s="10" t="n"/>
      <c r="V162" s="10" t="inlineStr">
        <is>
          <t>6</t>
        </is>
      </c>
      <c r="W162" s="10" t="inlineStr">
        <is>
          <t>Pro</t>
        </is>
      </c>
      <c r="X162" s="10" t="inlineStr">
        <is>
          <t>Pégomas</t>
        </is>
      </c>
      <c r="Y162" s="10" t="inlineStr">
        <is>
          <t>06580</t>
        </is>
      </c>
      <c r="Z162" s="10" t="inlineStr">
        <is>
          <t>Alpes-Maritimes</t>
        </is>
      </c>
      <c r="AA162" s="10" t="inlineStr">
        <is>
          <t>Provence-Alpes-Côte d'Azur</t>
        </is>
      </c>
      <c r="AB162" s="16" t="n"/>
      <c r="AC162" s="16" t="n"/>
      <c r="AD162" s="10" t="n"/>
      <c r="AE162" s="10" t="n"/>
      <c r="AF162" s="10" t="inlineStr">
        <is>
          <t>0 : 0 ; 1 : 1 ; 3 : 3 ; 5 : 5 ; 6 : 6 ; 205 : 205 ; 1987 : 1987 ; 2027 : 2027 ; Peugeot : Peugeot ; PEUGEOT : PEUGEOT ; 82230 km : 82230 ; Essence : 1 ; Manuelle : 1 ; Oui : true ; 12/1987 : 12/1987 ; Excellent état (proche du neuf) : excellent_condition ; Citadine : citadine ; Gris : gris ; Non classé : 6 ; 9 Cv : 9 ; 130 Ch : 130 ; Avec permis : avecpermis ; Non : 1 ; false : false ; https://autoviza.fr/report/report?uid=da176fda-5f54-494f-9660-959afc20df32 : https://autoviza.fr/report/report?uid=da176fda-5f54-494f-9660-959afc20df32 ; visible : visible ; true : true ; Non renseignée : non_renseignee ; activity_sector : 1 ; u_car_brand : PEUGEOT ; u_car_model : 205 ; vehicle_technical_inspection_valid : Oui ; vehicle_technical_inspection_a : 2027 ; vehicle_damage : Excellent état (proche du neuf) ; vehicle_upholstery : Cuir partiel ; vehicle_maintenance : Factures disponibles, Réparations utiles déjà faites, Véhicule non fumeur ; vehicle_interior_specs : Jantes en alliage, Roue de secours, Siège arrière rabattable, Sièges sport, Toit ouvrant / Toit panoramique ; vehicle_vsp : Avec permis ; car_contract : Non ; recent_used_vehicle : false ; vehicle_commercial_warranty : Non ; vehicle_manufacturer_warranty : Non ; is_import : false ; vehicle_history_report_public_url : https://autoviza.fr/report/report?uid=da176fda-5f54-494f-9660-959afc20df32 ; vehicle_history_report_status : visible ; vehicle_history_teaser_critair : 0 ; vehicle_history_teaser_owners : 6 ; vehicle_history_teaser_expertises : false ; vehicle_history_teaser_special_uses : false ; vehicle_history_teaser_atypical_operations : true ; vehicle_history_teaser_importations : false ; spare_parts_availability : Non renseignée ; licence_plate_available : true</t>
        </is>
      </c>
      <c r="AG162" s="19" t="inlineStr">
        <is>
          <t>Voir</t>
        </is>
      </c>
      <c r="AH162" s="10" t="inlineStr">
        <is>
          <t>3274091200</t>
        </is>
      </c>
    </row>
    <row r="163">
      <c r="A163" s="10" t="inlineStr">
        <is>
          <t>Peugeot 205 GTI</t>
        </is>
      </c>
      <c r="B163" s="10" t="inlineStr">
        <is>
          <t>205 gti 1.6 105</t>
        </is>
      </c>
      <c r="C163" s="10" t="inlineStr">
        <is>
          <t>En vente</t>
        </is>
      </c>
      <c r="D163" s="18" t="n">
        <v>46287</v>
      </c>
      <c r="E163" s="18" t="n">
        <v>46287</v>
      </c>
      <c r="F163" s="18" t="n">
        <v>46296</v>
      </c>
      <c r="G163" s="18" t="n"/>
      <c r="H163" s="17">
        <f>IF(OR(ISNUMBER(D163),ISNUMBER(E163)),IF(ISNUMBER(G163),G163,F163)-IF(ISNUMBER(D163),D163,E163),"")</f>
        <v/>
      </c>
      <c r="I163" s="12" t="n">
        <v>5500</v>
      </c>
      <c r="J163" s="12" t="n">
        <v>5500</v>
      </c>
      <c r="K163" s="13">
        <f>IF(AND(ISNUMBER(I163),ISNUMBER(J163),I163&gt;0),1-J163/I163,"")</f>
        <v/>
      </c>
      <c r="L163" s="16" t="n">
        <v>0</v>
      </c>
      <c r="M163" s="15" t="n">
        <v>136000</v>
      </c>
      <c r="N163" s="16" t="n">
        <v>1985</v>
      </c>
      <c r="O163" s="10" t="inlineStr">
        <is>
          <t>1</t>
        </is>
      </c>
      <c r="P163" s="10" t="inlineStr">
        <is>
          <t>1</t>
        </is>
      </c>
      <c r="Q163" s="16" t="n">
        <v>105</v>
      </c>
      <c r="R163" s="16" t="n">
        <v>8</v>
      </c>
      <c r="S163" s="10" t="n"/>
      <c r="T163" s="16" t="n">
        <v>3</v>
      </c>
      <c r="U163" s="10" t="n"/>
      <c r="V163" s="10" t="n"/>
      <c r="W163" s="10" t="inlineStr">
        <is>
          <t>Pro</t>
        </is>
      </c>
      <c r="X163" s="10" t="inlineStr">
        <is>
          <t>Saint-Flour</t>
        </is>
      </c>
      <c r="Y163" s="10" t="inlineStr">
        <is>
          <t>15100</t>
        </is>
      </c>
      <c r="Z163" s="10" t="inlineStr">
        <is>
          <t>Cantal</t>
        </is>
      </c>
      <c r="AA163" s="10" t="inlineStr">
        <is>
          <t>Auvergne</t>
        </is>
      </c>
      <c r="AB163" s="16" t="n"/>
      <c r="AC163" s="16" t="n"/>
      <c r="AD163" s="10" t="n"/>
      <c r="AE163" s="10" t="n"/>
      <c r="AF163" s="10" t="inlineStr">
        <is>
          <t>1 : 1 ; 3 : 3 ; 4 : 4 ; 205 : 205 ; 1985 : 1985 ; Peugeot : Peugeot ; PEUGEOT : PEUGEOT ; 136000 km : 136000 ; Essence : 1 ; Manuelle : 1 ; 09/1985 : 09/1985 ; 8 Cv : 8 ; 105 Ch : 105 ; Avec permis : avecpermis ; false : false ; Non : false ; Non renseignée : non_renseignee ; activity_sector : 1 ; u_car_brand : PEUGEOT ; u_car_model : 205 ; vehicle_vsp : Avec permis ; recent_used_vehicle : false ; vehicle_commercial_warranty : Non ; vehicle_manufacturer_warranty : Non ; is_import : false ; spare_parts_availability : Non renseignée</t>
        </is>
      </c>
      <c r="AG163" s="19" t="inlineStr">
        <is>
          <t>Voir</t>
        </is>
      </c>
      <c r="AH163" s="10" t="inlineStr">
        <is>
          <t>3274510816</t>
        </is>
      </c>
    </row>
    <row r="164">
      <c r="A164" s="10" t="inlineStr">
        <is>
          <t>Peugeot 205 GTI</t>
        </is>
      </c>
      <c r="B164" s="10" t="inlineStr">
        <is>
          <t>205 gti 1,6l</t>
        </is>
      </c>
      <c r="C164" s="10" t="inlineStr">
        <is>
          <t>En vente</t>
        </is>
      </c>
      <c r="D164" s="18" t="n">
        <v>46287</v>
      </c>
      <c r="E164" s="18" t="n">
        <v>46287</v>
      </c>
      <c r="F164" s="18" t="n">
        <v>46296</v>
      </c>
      <c r="G164" s="18" t="n"/>
      <c r="H164" s="17">
        <f>IF(OR(ISNUMBER(D164),ISNUMBER(E164)),IF(ISNUMBER(G164),G164,F164)-IF(ISNUMBER(D164),D164,E164),"")</f>
        <v/>
      </c>
      <c r="I164" s="12" t="n">
        <v>20000</v>
      </c>
      <c r="J164" s="12" t="n">
        <v>20000</v>
      </c>
      <c r="K164" s="13">
        <f>IF(AND(ISNUMBER(I164),ISNUMBER(J164),I164&gt;0),1-J164/I164,"")</f>
        <v/>
      </c>
      <c r="L164" s="16" t="n">
        <v>0</v>
      </c>
      <c r="M164" s="15" t="n">
        <v>153000</v>
      </c>
      <c r="N164" s="16" t="n">
        <v>1989</v>
      </c>
      <c r="O164" s="10" t="inlineStr">
        <is>
          <t>1</t>
        </is>
      </c>
      <c r="P164" s="10" t="inlineStr">
        <is>
          <t>1</t>
        </is>
      </c>
      <c r="Q164" s="16" t="n">
        <v>115</v>
      </c>
      <c r="R164" s="16" t="n">
        <v>8</v>
      </c>
      <c r="S164" s="10" t="inlineStr">
        <is>
          <t>noir</t>
        </is>
      </c>
      <c r="T164" s="16" t="n">
        <v>3</v>
      </c>
      <c r="U164" s="10" t="n"/>
      <c r="V164" s="10" t="n"/>
      <c r="W164" s="10" t="inlineStr">
        <is>
          <t>Particulier</t>
        </is>
      </c>
      <c r="X164" s="10" t="inlineStr">
        <is>
          <t>Bertincourt</t>
        </is>
      </c>
      <c r="Y164" s="10" t="inlineStr">
        <is>
          <t>62124</t>
        </is>
      </c>
      <c r="Z164" s="10" t="inlineStr">
        <is>
          <t>Pas-de-Calais</t>
        </is>
      </c>
      <c r="AA164" s="10" t="inlineStr">
        <is>
          <t>Nord-Pas-de-Calais</t>
        </is>
      </c>
      <c r="AB164" s="16" t="n"/>
      <c r="AC164" s="16" t="n"/>
      <c r="AD164" s="10" t="n"/>
      <c r="AE164" s="10" t="n"/>
      <c r="AF164" s="10" t="inlineStr">
        <is>
          <t>2 : 2 ; 3 : 3 ; 4 : 4 ; 205 : 205 ; 1989 : 1989 ; https://img.leboncoin.fr/api/v1/tenants/9a6387a1-6259-4f2c-a887-7e67f23dd4cb/domains/20bda58f-d650-462e-a72a-a5a7ecf2bf88/buckets/21d2b0bc-e54c-4b64-a30b-89127b18b785/images/profile/pictures/default/20413fad-f22c-5b7d-9a37-9f1bcffe44dc?rule=pp-small : https://img.leboncoin.fr/api/v1/tenants/9a6387a1-6259-4f2c-a887-7e67f23dd4cb/domains/20bda58f-d650-462e-a72a-a5a7ecf2bf88/buckets/21d2b0bc-e54c-4b64-a30b-89127b18b785/images/profile/pictures/default/20413fad-f22c-5b7d-9a37-9f1bcffe44dc?rule=pp-small ; Peugeot : Peugeot ; PEUGEOT : PEUGEOT ; 153000 km : 153000 ; Essence : 1 ; Manuelle : 1 ; Oui : true ; 01/1989 : 01/1989 ; Excellent état (proche du neuf) : excellent_condition ; Berline : berline ; Noir : noir ; 8 Cv : 8 ; 115 Ch : 115 ; Avec permis : avecpermis ; credit_card : credit_card ; false : false ; true : true ; u_car_brand : PEUGEOT ; u_car_model : 205 ; vehicle_technical_inspection_valid : Oui ; vehicle_damage : Excellent état (proche du neuf) ; vehicle_upholstery : Tissu ; vehicle_vsp : Avec permis ; vehicle_available_payment_methods : credit_card ; is_import : false ; vehicle_is_eligible_p2p : 2 ; licence_plate_available : true</t>
        </is>
      </c>
      <c r="AG164" s="19" t="inlineStr">
        <is>
          <t>Voir</t>
        </is>
      </c>
      <c r="AH164" s="10" t="inlineStr">
        <is>
          <t>3274519093</t>
        </is>
      </c>
    </row>
    <row r="165">
      <c r="A165" s="10" t="inlineStr">
        <is>
          <t>Peugeot 205 GTI</t>
        </is>
      </c>
      <c r="B165" s="10" t="inlineStr">
        <is>
          <t>205 gti</t>
        </is>
      </c>
      <c r="C165" s="10" t="inlineStr">
        <is>
          <t>En vente</t>
        </is>
      </c>
      <c r="D165" s="18" t="n">
        <v>46287</v>
      </c>
      <c r="E165" s="18" t="n">
        <v>46287</v>
      </c>
      <c r="F165" s="18" t="n">
        <v>46296</v>
      </c>
      <c r="G165" s="18" t="n"/>
      <c r="H165" s="17">
        <f>IF(OR(ISNUMBER(D165),ISNUMBER(E165)),IF(ISNUMBER(G165),G165,F165)-IF(ISNUMBER(D165),D165,E165),"")</f>
        <v/>
      </c>
      <c r="I165" s="12" t="n">
        <v>6000</v>
      </c>
      <c r="J165" s="12" t="n">
        <v>6000</v>
      </c>
      <c r="K165" s="13">
        <f>IF(AND(ISNUMBER(I165),ISNUMBER(J165),I165&gt;0),1-J165/I165,"")</f>
        <v/>
      </c>
      <c r="L165" s="16" t="n">
        <v>0</v>
      </c>
      <c r="M165" s="15" t="n">
        <v>170000</v>
      </c>
      <c r="N165" s="16" t="n">
        <v>1985</v>
      </c>
      <c r="O165" s="10" t="inlineStr">
        <is>
          <t>1</t>
        </is>
      </c>
      <c r="P165" s="10" t="inlineStr">
        <is>
          <t>1</t>
        </is>
      </c>
      <c r="Q165" s="16" t="n">
        <v>105</v>
      </c>
      <c r="R165" s="16" t="n"/>
      <c r="S165" s="10" t="n"/>
      <c r="T165" s="16" t="n"/>
      <c r="U165" s="10" t="n"/>
      <c r="V165" s="10" t="n"/>
      <c r="W165" s="10" t="inlineStr">
        <is>
          <t>Particulier</t>
        </is>
      </c>
      <c r="X165" s="10" t="inlineStr">
        <is>
          <t>Rignac</t>
        </is>
      </c>
      <c r="Y165" s="10" t="inlineStr">
        <is>
          <t>12390</t>
        </is>
      </c>
      <c r="Z165" s="10" t="inlineStr">
        <is>
          <t>Aveyron</t>
        </is>
      </c>
      <c r="AA165" s="10" t="inlineStr">
        <is>
          <t>Midi-Pyrénées</t>
        </is>
      </c>
      <c r="AB165" s="16" t="n"/>
      <c r="AC165" s="16" t="n"/>
      <c r="AD165" s="10" t="n"/>
      <c r="AE165" s="10" t="n"/>
      <c r="AF165" s="10" t="inlineStr">
        <is>
          <t>2 : 2 ; 106 : 106 ; 205 : 205 ; 1985 : 1985 ; 0.98 : 0.98 ; Peugeot : Peugeot ; PEUGEOT : PEUGEOT ; 170000 km : 170000 ; Essence : 1 ; Manuelle : 1 ; 105 Ch : 105 ; Avec permis : avecpermis ; credit_card : credit_card ; false : false ; true : true ; rating_score : 0.98 ; rating_count : 106 ; u_car_brand : PEUGEOT ; u_car_model : 205 ; vehicle_vsp : Avec permis ; vehicle_available_payment_methods : credit_card ; is_import : false ; vehicle_is_eligible_p2p : 2 ; licence_plate_available : true</t>
        </is>
      </c>
      <c r="AG165" s="19" t="inlineStr">
        <is>
          <t>Voir</t>
        </is>
      </c>
      <c r="AH165" s="10" t="inlineStr">
        <is>
          <t>3274885691</t>
        </is>
      </c>
    </row>
    <row r="166">
      <c r="A166" s="10" t="inlineStr">
        <is>
          <t>Peugeot 205 GTI</t>
        </is>
      </c>
      <c r="B166" s="10" t="inlineStr">
        <is>
          <t>205 gti 1.9</t>
        </is>
      </c>
      <c r="C166" s="10" t="inlineStr">
        <is>
          <t>En vente</t>
        </is>
      </c>
      <c r="D166" s="18" t="n">
        <v>46290</v>
      </c>
      <c r="E166" s="18" t="n">
        <v>46290</v>
      </c>
      <c r="F166" s="18" t="n">
        <v>46296</v>
      </c>
      <c r="G166" s="18" t="n"/>
      <c r="H166" s="17">
        <f>IF(OR(ISNUMBER(D166),ISNUMBER(E166)),IF(ISNUMBER(G166),G166,F166)-IF(ISNUMBER(D166),D166,E166),"")</f>
        <v/>
      </c>
      <c r="I166" s="12" t="n">
        <v>20900</v>
      </c>
      <c r="J166" s="12" t="n">
        <v>20900</v>
      </c>
      <c r="K166" s="13">
        <f>IF(AND(ISNUMBER(I166),ISNUMBER(J166),I166&gt;0),1-J166/I166,"")</f>
        <v/>
      </c>
      <c r="L166" s="16" t="n">
        <v>0</v>
      </c>
      <c r="M166" s="15" t="n">
        <v>214000</v>
      </c>
      <c r="N166" s="16" t="n">
        <v>1989</v>
      </c>
      <c r="O166" s="10" t="inlineStr">
        <is>
          <t>1</t>
        </is>
      </c>
      <c r="P166" s="10" t="inlineStr">
        <is>
          <t>1</t>
        </is>
      </c>
      <c r="Q166" s="16" t="n">
        <v>130</v>
      </c>
      <c r="R166" s="16" t="n">
        <v>9</v>
      </c>
      <c r="S166" s="10" t="inlineStr">
        <is>
          <t>blanc</t>
        </is>
      </c>
      <c r="T166" s="16" t="n">
        <v>3</v>
      </c>
      <c r="U166" s="10" t="n"/>
      <c r="V166" s="10" t="n"/>
      <c r="W166" s="10" t="inlineStr">
        <is>
          <t>Particulier</t>
        </is>
      </c>
      <c r="X166" s="10" t="inlineStr">
        <is>
          <t>Quimper</t>
        </is>
      </c>
      <c r="Y166" s="10" t="inlineStr">
        <is>
          <t>29000</t>
        </is>
      </c>
      <c r="Z166" s="10" t="inlineStr">
        <is>
          <t>Finistère</t>
        </is>
      </c>
      <c r="AA166" s="10" t="inlineStr">
        <is>
          <t>Bretagne</t>
        </is>
      </c>
      <c r="AB166" s="16" t="n"/>
      <c r="AC166" s="16" t="n"/>
      <c r="AD166" s="10" t="n"/>
      <c r="AE166" s="10" t="n"/>
      <c r="AF166" s="10" t="inlineStr">
        <is>
          <t>1 : 1 ; 2 : 2 ; 3 : 3 ; 132 : 132 ; 205 : 205 ; 1989 : 1989 ; 2028 : 2028 ; 0.99 : 0.99 ; https://img.leboncoin.fr/api/v1/tenants/9a6387a1-6259-4f2c-a887-7e67f23dd4cb/domains/20bda58f-d650-462e-a72a-a5a7ecf2bf88/buckets/21d2b0bc-e54c-4b64-a30b-89127b18b785/images/profile/pictures/default/58a17416-3dd3-58fc-b9e2-bb6741a1216b?rule=pp-small : https://img.leboncoin.fr/api/v1/tenants/9a6387a1-6259-4f2c-a887-7e67f23dd4cb/domains/20bda58f-d650-462e-a72a-a5a7ecf2bf88/buckets/21d2b0bc-e54c-4b64-a30b-89127b18b785/images/profile/pictures/default/58a17416-3dd3-58fc-b9e2-bb6741a1216b?rule=pp-small ; Peugeot : Peugeot ; PEUGEOT : PEUGEOT ; 214000 km : 214000 ; Essence : 1 ; Manuelle : 1 ; Oui : true ; 10/1989 : 10/1989 ; Berline : berline ; Blanc : blanc ; 9 Cv : 9 ; 130 Ch : 130 ; Avec permis : avecpermis ; false : false ; true : true ; rating_score : 0.99 ; rating_count : 132 ; u_car_brand : PEUGEOT ; u_car_model : 205 ; vehicle_technical_inspection_valid : Oui ; vehicle_technical_inspection_a : 2028 ; vehicle_vsp : Avec permis ; is_import : false ; vehicle_is_eligible_p2p : 2 ; licence_plate_available : true</t>
        </is>
      </c>
      <c r="AG166" s="19" t="inlineStr">
        <is>
          <t>Voir</t>
        </is>
      </c>
      <c r="AH166" s="10" t="inlineStr">
        <is>
          <t>3276172426</t>
        </is>
      </c>
    </row>
    <row r="167">
      <c r="A167" s="10" t="inlineStr">
        <is>
          <t>Peugeot 205 GTI</t>
        </is>
      </c>
      <c r="B167" s="10" t="inlineStr">
        <is>
          <t>205 gti</t>
        </is>
      </c>
      <c r="C167" s="10" t="inlineStr">
        <is>
          <t>En vente</t>
        </is>
      </c>
      <c r="D167" s="18" t="n">
        <v>46290</v>
      </c>
      <c r="E167" s="18" t="n">
        <v>46290</v>
      </c>
      <c r="F167" s="18" t="n">
        <v>46296</v>
      </c>
      <c r="G167" s="18" t="n"/>
      <c r="H167" s="17">
        <f>IF(OR(ISNUMBER(D167),ISNUMBER(E167)),IF(ISNUMBER(G167),G167,F167)-IF(ISNUMBER(D167),D167,E167),"")</f>
        <v/>
      </c>
      <c r="I167" s="12" t="n">
        <v>14500</v>
      </c>
      <c r="J167" s="12" t="n">
        <v>14500</v>
      </c>
      <c r="K167" s="13">
        <f>IF(AND(ISNUMBER(I167),ISNUMBER(J167),I167&gt;0),1-J167/I167,"")</f>
        <v/>
      </c>
      <c r="L167" s="16" t="n">
        <v>0</v>
      </c>
      <c r="M167" s="15" t="n">
        <v>245000</v>
      </c>
      <c r="N167" s="16" t="n">
        <v>1987</v>
      </c>
      <c r="O167" s="10" t="inlineStr">
        <is>
          <t>1</t>
        </is>
      </c>
      <c r="P167" s="10" t="inlineStr">
        <is>
          <t>1</t>
        </is>
      </c>
      <c r="Q167" s="16" t="n"/>
      <c r="R167" s="16" t="n"/>
      <c r="S167" s="10" t="n"/>
      <c r="T167" s="16" t="n"/>
      <c r="U167" s="10" t="n"/>
      <c r="V167" s="10" t="n"/>
      <c r="W167" s="10" t="inlineStr">
        <is>
          <t>Particulier</t>
        </is>
      </c>
      <c r="X167" s="10" t="inlineStr">
        <is>
          <t>Saint-Prest</t>
        </is>
      </c>
      <c r="Y167" s="10" t="inlineStr">
        <is>
          <t>28300</t>
        </is>
      </c>
      <c r="Z167" s="10" t="inlineStr">
        <is>
          <t>Eure-et-Loir</t>
        </is>
      </c>
      <c r="AA167" s="10" t="inlineStr">
        <is>
          <t>Centre</t>
        </is>
      </c>
      <c r="AB167" s="16" t="n"/>
      <c r="AC167" s="16" t="n"/>
      <c r="AD167" s="10" t="n"/>
      <c r="AE167" s="10" t="n"/>
      <c r="AF167" s="10" t="inlineStr">
        <is>
          <t>2 : 2 ; 205 : 205 ; 1987 : 1987 ; https://img.leboncoin.fr/api/v1/tenants/9a6387a1-6259-4f2c-a887-7e67f23dd4cb/domains/20bda58f-d650-462e-a72a-a5a7ecf2bf88/buckets/21d2b0bc-e54c-4b64-a30b-89127b18b785/images/profile/pictures/default/d6e42847-5ad6-5e19-97d8-08dae81e9cba?rule=pp-small : https://img.leboncoin.fr/api/v1/tenants/9a6387a1-6259-4f2c-a887-7e67f23dd4cb/domains/20bda58f-d650-462e-a72a-a5a7ecf2bf88/buckets/21d2b0bc-e54c-4b64-a30b-89127b18b785/images/profile/pictures/default/d6e42847-5ad6-5e19-97d8-08dae81e9cba?rule=pp-small ; Peugeot : Peugeot ; PEUGEOT : PEUGEOT ; 245000 km : 245000 ; Essence : 1 ; Manuelle : 1 ; 10/1987 : 10/1987 ; Avec permis : avecpermis ; credit_card : credit_card ; false : false ; true : true ; u_car_brand : PEUGEOT ; u_car_model : 205 ; vehicle_vsp : Avec permis ; vehicle_available_payment_methods : credit_card ; is_import : false ; vehicle_is_eligible_p2p : 2 ; licence_plate_available : true</t>
        </is>
      </c>
      <c r="AG167" s="19" t="inlineStr">
        <is>
          <t>Voir</t>
        </is>
      </c>
      <c r="AH167" s="10" t="inlineStr">
        <is>
          <t>3276591709</t>
        </is>
      </c>
    </row>
    <row r="168">
      <c r="A168" s="10" t="inlineStr">
        <is>
          <t>Peugeot 205 GTI</t>
        </is>
      </c>
      <c r="B168" s="10" t="inlineStr">
        <is>
          <t>Peugeot 205 gti</t>
        </is>
      </c>
      <c r="C168" s="10" t="inlineStr">
        <is>
          <t>En vente</t>
        </is>
      </c>
      <c r="D168" s="18" t="n">
        <v>46293</v>
      </c>
      <c r="E168" s="18" t="n">
        <v>46293</v>
      </c>
      <c r="F168" s="18" t="n">
        <v>46296</v>
      </c>
      <c r="G168" s="18" t="n"/>
      <c r="H168" s="17">
        <f>IF(OR(ISNUMBER(D168),ISNUMBER(E168)),IF(ISNUMBER(G168),G168,F168)-IF(ISNUMBER(D168),D168,E168),"")</f>
        <v/>
      </c>
      <c r="I168" s="12" t="n">
        <v>12000</v>
      </c>
      <c r="J168" s="12" t="n">
        <v>12000</v>
      </c>
      <c r="K168" s="13">
        <f>IF(AND(ISNUMBER(I168),ISNUMBER(J168),I168&gt;0),1-J168/I168,"")</f>
        <v/>
      </c>
      <c r="L168" s="16" t="n">
        <v>0</v>
      </c>
      <c r="M168" s="15" t="n">
        <v>211000</v>
      </c>
      <c r="N168" s="16" t="n">
        <v>1986</v>
      </c>
      <c r="O168" s="10" t="inlineStr">
        <is>
          <t>1</t>
        </is>
      </c>
      <c r="P168" s="10" t="inlineStr">
        <is>
          <t>1</t>
        </is>
      </c>
      <c r="Q168" s="16" t="n"/>
      <c r="R168" s="16" t="n">
        <v>8</v>
      </c>
      <c r="S168" s="10" t="inlineStr">
        <is>
          <t>noir</t>
        </is>
      </c>
      <c r="T168" s="16" t="n">
        <v>3</v>
      </c>
      <c r="U168" s="10" t="n"/>
      <c r="V168" s="10" t="inlineStr">
        <is>
          <t>6</t>
        </is>
      </c>
      <c r="W168" s="10" t="inlineStr">
        <is>
          <t>Particulier</t>
        </is>
      </c>
      <c r="X168" s="10" t="inlineStr">
        <is>
          <t>Bully</t>
        </is>
      </c>
      <c r="Y168" s="10" t="inlineStr">
        <is>
          <t>76270</t>
        </is>
      </c>
      <c r="Z168" s="10" t="inlineStr">
        <is>
          <t>Seine-Maritime</t>
        </is>
      </c>
      <c r="AA168" s="10" t="inlineStr">
        <is>
          <t>Haute-Normandie</t>
        </is>
      </c>
      <c r="AB168" s="16" t="n"/>
      <c r="AC168" s="16" t="n"/>
      <c r="AD168" s="10" t="n"/>
      <c r="AE168" s="10" t="n"/>
      <c r="AF168" s="10" t="inlineStr">
        <is>
          <t>2 : 2 ; 3 : 3 ; 5 : 5 ; 205 : 205 ; 1986 : 1986 ; 2028 : 2028 ; https://img.leboncoin.fr/api/v1/tenants/9a6387a1-6259-4f2c-a887-7e67f23dd4cb/domains/20bda58f-d650-462e-a72a-a5a7ecf2bf88/buckets/21d2b0bc-e54c-4b64-a30b-89127b18b785/images/profile/pictures/default/ef303ebc-f626-5564-8dbd-13d889096bee?rule=pp-small : https://img.leboncoin.fr/api/v1/tenants/9a6387a1-6259-4f2c-a887-7e67f23dd4cb/domains/20bda58f-d650-462e-a72a-a5a7ecf2bf88/buckets/21d2b0bc-e54c-4b64-a30b-89127b18b785/images/profile/pictures/default/ef303ebc-f626-5564-8dbd-13d889096bee?rule=pp-small ; Peugeot : Peugeot ; PEUGEOT : PEUGEOT ; 211000 km : 211000 ; Essence : 1 ; Manuelle : 1 ; Oui : true ; 06/1986 : 06/1986 ; Réparations mineures à prévoir : minor_repairs_needed ; Citadine : citadine ; Noir : noir ; Non classé : 6 ; 8 Cv : 8 ; Avec permis : avecpermis ; credit_card : credit_card ; false : false ; true : true ; u_car_brand : PEUGEOT ; u_car_model : 205 ; vehicle_technical_inspection_valid : Oui ; vehicle_technical_inspection_a : 2028 ; vehicle_damage : Réparations mineures à prévoir ; vehicle_upholstery : Cuir partiel ; vehicle_interior_specs : Toit ouvrant / Toit panoramique ; vehicle_vsp : Avec permis ; vehicle_available_payment_methods : credit_card ; is_import : false ; vehicle_is_eligible_p2p : 2 ; licence_plate_available : true</t>
        </is>
      </c>
      <c r="AG168" s="19" t="inlineStr">
        <is>
          <t>Voir</t>
        </is>
      </c>
      <c r="AH168" s="10" t="inlineStr">
        <is>
          <t>3278135099</t>
        </is>
      </c>
    </row>
    <row r="169">
      <c r="A169" s="10" t="inlineStr">
        <is>
          <t>Peugeot 205 GTI</t>
        </is>
      </c>
      <c r="B169" s="10" t="inlineStr">
        <is>
          <t>205 GTI 1.6 l</t>
        </is>
      </c>
      <c r="C169" s="10" t="inlineStr">
        <is>
          <t>En vente</t>
        </is>
      </c>
      <c r="D169" s="18" t="n">
        <v>46293</v>
      </c>
      <c r="E169" s="18" t="n">
        <v>46293</v>
      </c>
      <c r="F169" s="18" t="n">
        <v>46296</v>
      </c>
      <c r="G169" s="18" t="n"/>
      <c r="H169" s="17">
        <f>IF(OR(ISNUMBER(D169),ISNUMBER(E169)),IF(ISNUMBER(G169),G169,F169)-IF(ISNUMBER(D169),D169,E169),"")</f>
        <v/>
      </c>
      <c r="I169" s="12" t="n">
        <v>18000</v>
      </c>
      <c r="J169" s="12" t="n">
        <v>18000</v>
      </c>
      <c r="K169" s="13">
        <f>IF(AND(ISNUMBER(I169),ISNUMBER(J169),I169&gt;0),1-J169/I169,"")</f>
        <v/>
      </c>
      <c r="L169" s="16" t="n">
        <v>0</v>
      </c>
      <c r="M169" s="15" t="n">
        <v>124097</v>
      </c>
      <c r="N169" s="16" t="n">
        <v>1991</v>
      </c>
      <c r="O169" s="10" t="inlineStr">
        <is>
          <t>1</t>
        </is>
      </c>
      <c r="P169" s="10" t="inlineStr">
        <is>
          <t>1</t>
        </is>
      </c>
      <c r="Q169" s="16" t="n">
        <v>60</v>
      </c>
      <c r="R169" s="16" t="n">
        <v>5</v>
      </c>
      <c r="S169" s="10" t="inlineStr">
        <is>
          <t>vert</t>
        </is>
      </c>
      <c r="T169" s="16" t="n">
        <v>3</v>
      </c>
      <c r="U169" s="10" t="n"/>
      <c r="V169" s="10" t="n"/>
      <c r="W169" s="10" t="inlineStr">
        <is>
          <t>Particulier</t>
        </is>
      </c>
      <c r="X169" s="10" t="inlineStr">
        <is>
          <t>Lapte</t>
        </is>
      </c>
      <c r="Y169" s="10" t="inlineStr">
        <is>
          <t>43200</t>
        </is>
      </c>
      <c r="Z169" s="10" t="inlineStr">
        <is>
          <t>Haute-Loire</t>
        </is>
      </c>
      <c r="AA169" s="10" t="inlineStr">
        <is>
          <t>Auvergne</t>
        </is>
      </c>
      <c r="AB169" s="16" t="n"/>
      <c r="AC169" s="16" t="n"/>
      <c r="AD169" s="10" t="n"/>
      <c r="AE169" s="10" t="n"/>
      <c r="AF169" s="10" t="inlineStr">
        <is>
          <t>0 : 0 ; 2 : 2 ; 3 : 3 ; 4 : 4 ; 205 : 205 ; 1991 : 1991 ; https://img.leboncoin.fr/api/v1/tenants/9a6387a1-6259-4f2c-a887-7e67f23dd4cb/domains/20bda58f-d650-462e-a72a-a5a7ecf2bf88/buckets/21d2b0bc-e54c-4b64-a30b-89127b18b785/images/profile/pictures/default/8233d037-7867-5bd3-a650-a6b21d79bb5a?rule=pp-small : https://img.leboncoin.fr/api/v1/tenants/9a6387a1-6259-4f2c-a887-7e67f23dd4cb/domains/20bda58f-d650-462e-a72a-a5a7ecf2bf88/buckets/21d2b0bc-e54c-4b64-a30b-89127b18b785/images/profile/pictures/default/8233d037-7867-5bd3-a650-a6b21d79bb5a?rule=pp-small ; Peugeot : Peugeot ; PEUGEOT : PEUGEOT ; 124097 km : 124097 ; Essence : 1 ; Manuelle : 1 ; Oui : true ; 12/1991 : 12/1991 ; Bon état général : good_overall_condition ; Berline : berline ; Vert : vert ; 5 Cv : 5 ; 60 Ch : 60 ; Avec permis : avecpermis ; credit_card : credit_card ; false : false ; https://autoviza.fr/report/report?uid=40bced90-af88-4e59-945e-ef688b735cf2 : https://autoviza.fr/report/report?uid=40bced90-af88-4e59-945e-ef688b735cf2 ; true : true ; u_car_brand : PEUGEOT ; u_car_model : 205 ; vehicle_technical_inspection_valid : Oui ; vehicle_damage : Bon état général ; vehicle_upholstery : Tout cuir ; vehicle_vsp : Avec permis ; vehicle_available_payment_methods : credit_card ; is_import : false ; vehicle_is_eligible_p2p : 2 ; vehicle_history_report_public_url : https://autoviza.fr/report/report?uid=40bced90-af88-4e59-945e-ef688b735cf2 ; vehicle_history_teaser_critair : 0 ; vehicle_history_teaser_owners : 3 ; vehicle_history_teaser_expertises : false ; vehicle_history_teaser_special_uses : false ; vehicle_history_teaser_atypical_operations : false ; vehicle_history_teaser_importations : false ; licence_plate_available : true</t>
        </is>
      </c>
      <c r="AG169" s="19" t="inlineStr">
        <is>
          <t>Voir</t>
        </is>
      </c>
      <c r="AH169" s="10" t="inlineStr">
        <is>
          <t>3278574221</t>
        </is>
      </c>
    </row>
    <row r="170">
      <c r="A170" s="10" t="inlineStr">
        <is>
          <t>Peugeot 205 GTI</t>
        </is>
      </c>
      <c r="B170" s="10" t="inlineStr">
        <is>
          <t>Peugeot 205 gti</t>
        </is>
      </c>
      <c r="C170" s="10" t="inlineStr">
        <is>
          <t>En vente</t>
        </is>
      </c>
      <c r="D170" s="18" t="n">
        <v>46294</v>
      </c>
      <c r="E170" s="18" t="n">
        <v>46294</v>
      </c>
      <c r="F170" s="18" t="n">
        <v>46296</v>
      </c>
      <c r="G170" s="18" t="n"/>
      <c r="H170" s="17">
        <f>IF(OR(ISNUMBER(D170),ISNUMBER(E170)),IF(ISNUMBER(G170),G170,F170)-IF(ISNUMBER(D170),D170,E170),"")</f>
        <v/>
      </c>
      <c r="I170" s="12" t="n">
        <v>18000</v>
      </c>
      <c r="J170" s="12" t="n">
        <v>18000</v>
      </c>
      <c r="K170" s="13">
        <f>IF(AND(ISNUMBER(I170),ISNUMBER(J170),I170&gt;0),1-J170/I170,"")</f>
        <v/>
      </c>
      <c r="L170" s="16" t="n">
        <v>0</v>
      </c>
      <c r="M170" s="15" t="n">
        <v>151000</v>
      </c>
      <c r="N170" s="16" t="n">
        <v>1989</v>
      </c>
      <c r="O170" s="10" t="inlineStr">
        <is>
          <t>1</t>
        </is>
      </c>
      <c r="P170" s="10" t="inlineStr">
        <is>
          <t>1</t>
        </is>
      </c>
      <c r="Q170" s="16" t="n">
        <v>115</v>
      </c>
      <c r="R170" s="16" t="n">
        <v>8</v>
      </c>
      <c r="S170" s="10" t="inlineStr">
        <is>
          <t>rouge</t>
        </is>
      </c>
      <c r="T170" s="16" t="n">
        <v>3</v>
      </c>
      <c r="U170" s="10" t="n"/>
      <c r="V170" s="10" t="n"/>
      <c r="W170" s="10" t="inlineStr">
        <is>
          <t>Particulier</t>
        </is>
      </c>
      <c r="X170" s="10" t="inlineStr">
        <is>
          <t>Thonon-les-Bains</t>
        </is>
      </c>
      <c r="Y170" s="10" t="inlineStr">
        <is>
          <t>74200</t>
        </is>
      </c>
      <c r="Z170" s="10" t="inlineStr">
        <is>
          <t>Haute-Savoie</t>
        </is>
      </c>
      <c r="AA170" s="10" t="inlineStr">
        <is>
          <t>Rhône-Alpes</t>
        </is>
      </c>
      <c r="AB170" s="16" t="n"/>
      <c r="AC170" s="16" t="n"/>
      <c r="AD170" s="10" t="n"/>
      <c r="AE170" s="10" t="n"/>
      <c r="AF170" s="10" t="inlineStr">
        <is>
          <t>1 : 1 ; 2 : 2 ; 3 : 3 ; 5 : 5 ; 45 : 45 ; 205 : 205 ; 1989 : 1989 ; https://img.leboncoin.fr/api/v1/tenants/9a6387a1-6259-4f2c-a887-7e67f23dd4cb/domains/20bda58f-d650-462e-a72a-a5a7ecf2bf88/buckets/21d2b0bc-e54c-4b64-a30b-89127b18b785/images/profile/pictures/default/82bcfcae-14b6-5bad-b42b-61774de6a3c2?rule=pp-small : https://img.leboncoin.fr/api/v1/tenants/9a6387a1-6259-4f2c-a887-7e67f23dd4cb/domains/20bda58f-d650-462e-a72a-a5a7ecf2bf88/buckets/21d2b0bc-e54c-4b64-a30b-89127b18b785/images/profile/pictures/default/82bcfcae-14b6-5bad-b42b-61774de6a3c2?rule=pp-small ; Peugeot : Peugeot ; PEUGEOT : PEUGEOT ; 151000 km : 151000 ; Essence : 1 ; Manuelle : 1 ; 11/1989 : 11/1989 ; Berline : berline ; Rouge : rouge ; 8 Cv : 8 ; 115 Ch : 115 ; Avec permis : avecpermis ; credit_card : credit_card ; false : false ; https://autoviza.fr/report/report?uid=80e4c83d-70f7-4d02-860d-5890b648f0c4 : https://autoviza.fr/report/report?uid=80e4c83d-70f7-4d02-860d-5890b648f0c4 ; visible : visible ; true : true ; rating_score : 1 ; rating_count : 45 ; u_car_brand : PEUGEOT ; u_car_model : 205 ; vehicle_vsp : Avec permis ; vehicle_available_payment_methods : credit_card ; is_import : false ; vehicle_is_eligible_p2p : 2 ; vehicle_history_report_public_url : https://autoviza.fr/report/report?uid=80e4c83d-70f7-4d02-860d-5890b648f0c4 ; vehicle_history_report_status : visible ; licence_plate_available : true</t>
        </is>
      </c>
      <c r="AG170" s="19" t="inlineStr">
        <is>
          <t>Voir</t>
        </is>
      </c>
      <c r="AH170" s="10" t="inlineStr">
        <is>
          <t>3278855920</t>
        </is>
      </c>
    </row>
    <row r="171">
      <c r="A171" s="10" t="inlineStr">
        <is>
          <t>Peugeot 205 GTI</t>
        </is>
      </c>
      <c r="B171" s="10" t="inlineStr">
        <is>
          <t>Vend Peugeot 205 Gti</t>
        </is>
      </c>
      <c r="C171" s="10" t="inlineStr">
        <is>
          <t>En vente</t>
        </is>
      </c>
      <c r="D171" s="18" t="n">
        <v>46294</v>
      </c>
      <c r="E171" s="18" t="n">
        <v>46294</v>
      </c>
      <c r="F171" s="18" t="n">
        <v>46296</v>
      </c>
      <c r="G171" s="18" t="n"/>
      <c r="H171" s="17">
        <f>IF(OR(ISNUMBER(D171),ISNUMBER(E171)),IF(ISNUMBER(G171),G171,F171)-IF(ISNUMBER(D171),D171,E171),"")</f>
        <v/>
      </c>
      <c r="I171" s="12" t="n">
        <v>20000</v>
      </c>
      <c r="J171" s="12" t="n">
        <v>20000</v>
      </c>
      <c r="K171" s="13">
        <f>IF(AND(ISNUMBER(I171),ISNUMBER(J171),I171&gt;0),1-J171/I171,"")</f>
        <v/>
      </c>
      <c r="L171" s="16" t="n">
        <v>0</v>
      </c>
      <c r="M171" s="15" t="n">
        <v>226000</v>
      </c>
      <c r="N171" s="16" t="n">
        <v>1991</v>
      </c>
      <c r="O171" s="10" t="inlineStr">
        <is>
          <t>1</t>
        </is>
      </c>
      <c r="P171" s="10" t="inlineStr">
        <is>
          <t>1</t>
        </is>
      </c>
      <c r="Q171" s="16" t="n">
        <v>115</v>
      </c>
      <c r="R171" s="16" t="n">
        <v>5</v>
      </c>
      <c r="S171" s="10" t="inlineStr">
        <is>
          <t>vert</t>
        </is>
      </c>
      <c r="T171" s="16" t="n">
        <v>3</v>
      </c>
      <c r="U171" s="10" t="n"/>
      <c r="V171" s="10" t="n"/>
      <c r="W171" s="10" t="inlineStr">
        <is>
          <t>Particulier</t>
        </is>
      </c>
      <c r="X171" s="10" t="inlineStr">
        <is>
          <t>Lembach</t>
        </is>
      </c>
      <c r="Y171" s="10" t="inlineStr">
        <is>
          <t>67510</t>
        </is>
      </c>
      <c r="Z171" s="10" t="inlineStr">
        <is>
          <t>Bas-Rhin</t>
        </is>
      </c>
      <c r="AA171" s="10" t="inlineStr">
        <is>
          <t>Alsace</t>
        </is>
      </c>
      <c r="AB171" s="16" t="n"/>
      <c r="AC171" s="16" t="n"/>
      <c r="AD171" s="10" t="n"/>
      <c r="AE171" s="10" t="n"/>
      <c r="AF171" s="10" t="inlineStr">
        <is>
          <t>1 : 1 ; 2 : 2 ; 3 : 3 ; 205 : 205 ; 1991 : 1991 ; https://img.leboncoin.fr/api/v1/tenants/9a6387a1-6259-4f2c-a887-7e67f23dd4cb/domains/20bda58f-d650-462e-a72a-a5a7ecf2bf88/buckets/21d2b0bc-e54c-4b64-a30b-89127b18b785/images/profile/pictures/default/b08a740a-f96e-56a5-a192-b77ec18c2423?rule=pp-small : https://img.leboncoin.fr/api/v1/tenants/9a6387a1-6259-4f2c-a887-7e67f23dd4cb/domains/20bda58f-d650-462e-a72a-a5a7ecf2bf88/buckets/21d2b0bc-e54c-4b64-a30b-89127b18b785/images/profile/pictures/default/b08a740a-f96e-56a5-a192-b77ec18c2423?rule=pp-small ; Peugeot : Peugeot ; PEUGEOT : PEUGEOT ; 226000 km : 226000 ; Essence : 1 ; Manuelle : 1 ; 07/1991 : 07/1991 ; Excellent état (proche du neuf) : excellent_condition ; Berline : berline ; Vert : vert ; 5 Cv : 5 ; 115 Ch : 115 ; Avec permis : avecpermis ; credit_card : credit_card ; false : false ; true : true ; u_car_brand : PEUGEOT ; u_car_model : 205 ; vehicle_damage : Excellent état (proche du neuf) ; vehicle_upholstery : Tout cuir ; vehicle_maintenance : Carnet d'entretien disponible, Factures disponibles ; vehicle_interior_specs : Toit ouvrant / Toit panoramique ; vehicle_vsp : Avec permis ; vehicle_available_payment_methods : credit_card ; is_import : false ; vehicle_is_eligible_p2p : 2 ; licence_plate_available : true</t>
        </is>
      </c>
      <c r="AG171" s="19" t="inlineStr">
        <is>
          <t>Voir</t>
        </is>
      </c>
      <c r="AH171" s="10" t="inlineStr">
        <is>
          <t>3279074639</t>
        </is>
      </c>
    </row>
    <row r="172">
      <c r="A172" s="10" t="inlineStr">
        <is>
          <t>Peugeot 205 GTI</t>
        </is>
      </c>
      <c r="B172" s="10" t="inlineStr">
        <is>
          <t>Peugeot 205 GTI</t>
        </is>
      </c>
      <c r="C172" s="10" t="inlineStr">
        <is>
          <t>En vente</t>
        </is>
      </c>
      <c r="D172" s="18" t="n">
        <v>46294</v>
      </c>
      <c r="E172" s="18" t="n">
        <v>46294</v>
      </c>
      <c r="F172" s="18" t="n">
        <v>46296</v>
      </c>
      <c r="G172" s="18" t="n"/>
      <c r="H172" s="17">
        <f>IF(OR(ISNUMBER(D172),ISNUMBER(E172)),IF(ISNUMBER(G172),G172,F172)-IF(ISNUMBER(D172),D172,E172),"")</f>
        <v/>
      </c>
      <c r="I172" s="12" t="n">
        <v>26500</v>
      </c>
      <c r="J172" s="12" t="n">
        <v>26500</v>
      </c>
      <c r="K172" s="13">
        <f>IF(AND(ISNUMBER(I172),ISNUMBER(J172),I172&gt;0),1-J172/I172,"")</f>
        <v/>
      </c>
      <c r="L172" s="16" t="n">
        <v>0</v>
      </c>
      <c r="M172" s="15" t="n">
        <v>300000</v>
      </c>
      <c r="N172" s="16" t="n">
        <v>1987</v>
      </c>
      <c r="O172" s="10" t="inlineStr">
        <is>
          <t>1</t>
        </is>
      </c>
      <c r="P172" s="10" t="inlineStr">
        <is>
          <t>1</t>
        </is>
      </c>
      <c r="Q172" s="16" t="n">
        <v>130</v>
      </c>
      <c r="R172" s="16" t="n">
        <v>9</v>
      </c>
      <c r="S172" s="10" t="inlineStr">
        <is>
          <t>gris</t>
        </is>
      </c>
      <c r="T172" s="16" t="n">
        <v>3</v>
      </c>
      <c r="U172" s="10" t="n"/>
      <c r="V172" s="10" t="inlineStr">
        <is>
          <t>6</t>
        </is>
      </c>
      <c r="W172" s="10" t="inlineStr">
        <is>
          <t>Particulier</t>
        </is>
      </c>
      <c r="X172" s="10" t="inlineStr">
        <is>
          <t>Bouchemaine</t>
        </is>
      </c>
      <c r="Y172" s="10" t="inlineStr">
        <is>
          <t>49080</t>
        </is>
      </c>
      <c r="Z172" s="10" t="inlineStr">
        <is>
          <t>Maine-et-Loire</t>
        </is>
      </c>
      <c r="AA172" s="10" t="inlineStr">
        <is>
          <t>Pays de la Loire</t>
        </is>
      </c>
      <c r="AB172" s="16" t="n"/>
      <c r="AC172" s="16" t="n"/>
      <c r="AD172" s="10" t="n"/>
      <c r="AE172" s="10" t="n"/>
      <c r="AF172" s="10" t="inlineStr">
        <is>
          <t>2 : 2 ; 3 : 3 ; 5 : 5 ; 205 : 205 ; 1987 : 1987 ; 0.97 : 0.97 ; https://img.leboncoin.fr/api/v1/tenants/9a6387a1-6259-4f2c-a887-7e67f23dd4cb/domains/20bda58f-d650-462e-a72a-a5a7ecf2bf88/buckets/21d2b0bc-e54c-4b64-a30b-89127b18b785/images/profile/pictures/default/c231903c-902a-5595-b6bb-9498fdcab7a9?rule=pp-small : https://img.leboncoin.fr/api/v1/tenants/9a6387a1-6259-4f2c-a887-7e67f23dd4cb/domains/20bda58f-d650-462e-a72a-a5a7ecf2bf88/buckets/21d2b0bc-e54c-4b64-a30b-89127b18b785/images/profile/pictures/default/c231903c-902a-5595-b6bb-9498fdcab7a9?rule=pp-small ; Peugeot : Peugeot ; PEUGEOT : PEUGEOT ; 300000 km : 300000 ; Essence : 1 ; Manuelle : 1 ; Non : false ; 10/1987 : 10/1987 ; Excellent état (proche du neuf) : excellent_condition ; Coupé : coupe ; Gris : gris ; Non classé : 6 ; 9 Cv : 9 ; 130 Ch : 130 ; Avec permis : avecpermis ; false : false ; true : true ; rating_score : 0.97 ; rating_count : 3 ; u_car_brand : PEUGEOT ; u_car_model : 205 ; vehicle_technical_inspection_valid : Non ; vehicle_damage : Excellent état (proche du neuf) ; vehicle_upholstery : Cuir partiel ; vehicle_maintenance : Réparations utiles déjà faites ; vehicle_vsp : Avec permis ; is_import : false ; vehicle_is_eligible_p2p : 2 ; licence_plate_available : true</t>
        </is>
      </c>
      <c r="AG172" s="19" t="inlineStr">
        <is>
          <t>Voir</t>
        </is>
      </c>
      <c r="AH172" s="10" t="inlineStr">
        <is>
          <t>3279249484</t>
        </is>
      </c>
    </row>
    <row r="173">
      <c r="A173" s="10" t="inlineStr">
        <is>
          <t>Peugeot 205 GTI</t>
        </is>
      </c>
      <c r="B173" s="10" t="inlineStr">
        <is>
          <t>205 gti dimma</t>
        </is>
      </c>
      <c r="C173" s="10" t="inlineStr">
        <is>
          <t>En vente</t>
        </is>
      </c>
      <c r="D173" s="18" t="n">
        <v>46295</v>
      </c>
      <c r="E173" s="18" t="n">
        <v>46295</v>
      </c>
      <c r="F173" s="18" t="n">
        <v>46296</v>
      </c>
      <c r="G173" s="18" t="n"/>
      <c r="H173" s="17">
        <f>IF(OR(ISNUMBER(D173),ISNUMBER(E173)),IF(ISNUMBER(G173),G173,F173)-IF(ISNUMBER(D173),D173,E173),"")</f>
        <v/>
      </c>
      <c r="I173" s="12" t="n">
        <v>15000</v>
      </c>
      <c r="J173" s="12" t="n">
        <v>15000</v>
      </c>
      <c r="K173" s="13">
        <f>IF(AND(ISNUMBER(I173),ISNUMBER(J173),I173&gt;0),1-J173/I173,"")</f>
        <v/>
      </c>
      <c r="L173" s="16" t="n">
        <v>0</v>
      </c>
      <c r="M173" s="15" t="n">
        <v>75000</v>
      </c>
      <c r="N173" s="16" t="n">
        <v>1987</v>
      </c>
      <c r="O173" s="10" t="inlineStr">
        <is>
          <t>1</t>
        </is>
      </c>
      <c r="P173" s="10" t="inlineStr">
        <is>
          <t>1</t>
        </is>
      </c>
      <c r="Q173" s="16" t="n"/>
      <c r="R173" s="16" t="n"/>
      <c r="S173" s="10" t="n"/>
      <c r="T173" s="16" t="n"/>
      <c r="U173" s="10" t="n"/>
      <c r="V173" s="10" t="n"/>
      <c r="W173" s="10" t="inlineStr">
        <is>
          <t>Particulier</t>
        </is>
      </c>
      <c r="X173" s="10" t="inlineStr">
        <is>
          <t>Pardies</t>
        </is>
      </c>
      <c r="Y173" s="10" t="inlineStr">
        <is>
          <t>64150</t>
        </is>
      </c>
      <c r="Z173" s="10" t="inlineStr">
        <is>
          <t>Pyrénées-Atlantiques</t>
        </is>
      </c>
      <c r="AA173" s="10" t="inlineStr">
        <is>
          <t>Aquitaine</t>
        </is>
      </c>
      <c r="AB173" s="16" t="n"/>
      <c r="AC173" s="16" t="n"/>
      <c r="AD173" s="10" t="n"/>
      <c r="AE173" s="10" t="n"/>
      <c r="AF173" s="10" t="inlineStr">
        <is>
          <t>1 : 1 ; 2 : 2 ; 205 : 205 ; 1987 : 1987 ; https://img.leboncoin.fr/api/v1/tenants/9a6387a1-6259-4f2c-a887-7e67f23dd4cb/domains/20bda58f-d650-462e-a72a-a5a7ecf2bf88/buckets/21d2b0bc-e54c-4b64-a30b-89127b18b785/images/profile/pictures/default/de092123-3aed-5ec8-8adb-b92fa877b5ad?rule=pp-small : https://img.leboncoin.fr/api/v1/tenants/9a6387a1-6259-4f2c-a887-7e67f23dd4cb/domains/20bda58f-d650-462e-a72a-a5a7ecf2bf88/buckets/21d2b0bc-e54c-4b64-a30b-89127b18b785/images/profile/pictures/default/de092123-3aed-5ec8-8adb-b92fa877b5ad?rule=pp-small ; Peugeot : Peugeot ; PEUGEOT : PEUGEOT ; 75000 km : 75000 ; Essence : 1 ; Manuelle : 1 ; Avec permis : avecpermis ; credit_card : credit_card ; false : false ; true : true ; rating_score : 1 ; rating_count : 1 ; u_car_brand : PEUGEOT ; u_car_model : 205 ; vehicle_vsp : Avec permis ; vehicle_available_payment_methods : credit_card ; is_import : false ; vehicle_is_eligible_p2p : 2 ; licence_plate_available : true</t>
        </is>
      </c>
      <c r="AG173" s="19" t="inlineStr">
        <is>
          <t>Voir</t>
        </is>
      </c>
      <c r="AH173" s="10" t="inlineStr">
        <is>
          <t>3279375431</t>
        </is>
      </c>
    </row>
    <row r="174">
      <c r="A174" s="10" t="inlineStr">
        <is>
          <t>Peugeot 205 GTI</t>
        </is>
      </c>
      <c r="B174" s="10" t="inlineStr">
        <is>
          <t>205 gti 1.9l</t>
        </is>
      </c>
      <c r="C174" s="10" t="inlineStr">
        <is>
          <t>En vente</t>
        </is>
      </c>
      <c r="D174" s="18" t="n">
        <v>46295</v>
      </c>
      <c r="E174" s="18" t="n">
        <v>46295</v>
      </c>
      <c r="F174" s="18" t="n">
        <v>46296</v>
      </c>
      <c r="G174" s="18" t="n"/>
      <c r="H174" s="17">
        <f>IF(OR(ISNUMBER(D174),ISNUMBER(E174)),IF(ISNUMBER(G174),G174,F174)-IF(ISNUMBER(D174),D174,E174),"")</f>
        <v/>
      </c>
      <c r="I174" s="12" t="n">
        <v>20000</v>
      </c>
      <c r="J174" s="12" t="n">
        <v>20000</v>
      </c>
      <c r="K174" s="13">
        <f>IF(AND(ISNUMBER(I174),ISNUMBER(J174),I174&gt;0),1-J174/I174,"")</f>
        <v/>
      </c>
      <c r="L174" s="16" t="n">
        <v>0</v>
      </c>
      <c r="M174" s="15" t="n">
        <v>234461</v>
      </c>
      <c r="N174" s="16" t="n">
        <v>1992</v>
      </c>
      <c r="O174" s="10" t="inlineStr">
        <is>
          <t>1</t>
        </is>
      </c>
      <c r="P174" s="10" t="inlineStr">
        <is>
          <t>1</t>
        </is>
      </c>
      <c r="Q174" s="16" t="n">
        <v>130</v>
      </c>
      <c r="R174" s="16" t="n">
        <v>9</v>
      </c>
      <c r="S174" s="10" t="inlineStr">
        <is>
          <t>rouge</t>
        </is>
      </c>
      <c r="T174" s="16" t="n">
        <v>3</v>
      </c>
      <c r="U174" s="10" t="n"/>
      <c r="V174" s="10" t="n"/>
      <c r="W174" s="10" t="inlineStr">
        <is>
          <t>Particulier</t>
        </is>
      </c>
      <c r="X174" s="10" t="inlineStr">
        <is>
          <t>Fougères</t>
        </is>
      </c>
      <c r="Y174" s="10" t="inlineStr">
        <is>
          <t>35300</t>
        </is>
      </c>
      <c r="Z174" s="10" t="inlineStr">
        <is>
          <t>Ille-et-Vilaine</t>
        </is>
      </c>
      <c r="AA174" s="10" t="inlineStr">
        <is>
          <t>Bretagne</t>
        </is>
      </c>
      <c r="AB174" s="16" t="n"/>
      <c r="AC174" s="16" t="n"/>
      <c r="AD174" s="10" t="n"/>
      <c r="AE174" s="10" t="n"/>
      <c r="AF174" s="10" t="inlineStr">
        <is>
          <t>1 : 1 ; 2 : 2 ; 3 : 3 ; 5 : 5 ; 12 : 12 ; 205 : 205 ; 1992 : 1992 ; https://img.leboncoin.fr/api/v1/tenants/9a6387a1-6259-4f2c-a887-7e67f23dd4cb/domains/20bda58f-d650-462e-a72a-a5a7ecf2bf88/buckets/21d2b0bc-e54c-4b64-a30b-89127b18b785/images/profile/pictures/default/5114767d-d12c-5746-954b-b67a223e9969?rule=pp-small : https://img.leboncoin.fr/api/v1/tenants/9a6387a1-6259-4f2c-a887-7e67f23dd4cb/domains/20bda58f-d650-462e-a72a-a5a7ecf2bf88/buckets/21d2b0bc-e54c-4b64-a30b-89127b18b785/images/profile/pictures/default/5114767d-d12c-5746-954b-b67a223e9969?rule=pp-small ; Peugeot : Peugeot ; PEUGEOT : PEUGEOT ; 234461 km : 234461 ; Essence : 1 ; Manuelle : 1 ; Oui : true ; 06/1992 : 06/1992 ; Berline : berline ; Rouge : rouge ; 9 Cv : 9 ; 130 Ch : 130 ; Avec permis : avecpermis ; credit_card : credit_card ; false : false ; true : true ; rating_score : 1 ; rating_count : 12 ; u_car_brand : PEUGEOT ; u_car_model : 205 ; vehicle_technical_inspection_valid : Oui ; vehicle_upholstery : Cuir partiel ; vehicle_vsp : Avec permis ; vehicle_available_payment_methods : credit_card ; is_import : false ; vehicle_is_eligible_p2p : 2 ; licence_plate_available : true</t>
        </is>
      </c>
      <c r="AG174" s="19" t="inlineStr">
        <is>
          <t>Voir</t>
        </is>
      </c>
      <c r="AH174" s="10" t="inlineStr">
        <is>
          <t>3279615676</t>
        </is>
      </c>
    </row>
    <row r="175">
      <c r="A175" s="10" t="inlineStr">
        <is>
          <t>Peugeot 205 GTI</t>
        </is>
      </c>
      <c r="B175" s="10" t="inlineStr">
        <is>
          <t>205 gti 1,9l 130ch</t>
        </is>
      </c>
      <c r="C175" s="10" t="inlineStr">
        <is>
          <t>En vente</t>
        </is>
      </c>
      <c r="D175" s="18" t="n">
        <v>46295</v>
      </c>
      <c r="E175" s="18" t="n">
        <v>46295</v>
      </c>
      <c r="F175" s="18" t="n">
        <v>46296</v>
      </c>
      <c r="G175" s="18" t="n"/>
      <c r="H175" s="17">
        <f>IF(OR(ISNUMBER(D175),ISNUMBER(E175)),IF(ISNUMBER(G175),G175,F175)-IF(ISNUMBER(D175),D175,E175),"")</f>
        <v/>
      </c>
      <c r="I175" s="12" t="n">
        <v>22500</v>
      </c>
      <c r="J175" s="12" t="n">
        <v>22500</v>
      </c>
      <c r="K175" s="13">
        <f>IF(AND(ISNUMBER(I175),ISNUMBER(J175),I175&gt;0),1-J175/I175,"")</f>
        <v/>
      </c>
      <c r="L175" s="16" t="n">
        <v>0</v>
      </c>
      <c r="M175" s="15" t="n">
        <v>189000</v>
      </c>
      <c r="N175" s="16" t="n">
        <v>1989</v>
      </c>
      <c r="O175" s="10" t="inlineStr">
        <is>
          <t>1</t>
        </is>
      </c>
      <c r="P175" s="10" t="inlineStr">
        <is>
          <t>1</t>
        </is>
      </c>
      <c r="Q175" s="16" t="n">
        <v>60</v>
      </c>
      <c r="R175" s="16" t="n">
        <v>5</v>
      </c>
      <c r="S175" s="10" t="inlineStr">
        <is>
          <t>autre</t>
        </is>
      </c>
      <c r="T175" s="16" t="n">
        <v>3</v>
      </c>
      <c r="U175" s="10" t="n"/>
      <c r="V175" s="10" t="n"/>
      <c r="W175" s="10" t="inlineStr">
        <is>
          <t>Particulier</t>
        </is>
      </c>
      <c r="X175" s="10" t="inlineStr">
        <is>
          <t>Lille</t>
        </is>
      </c>
      <c r="Y175" s="10" t="inlineStr">
        <is>
          <t>59000</t>
        </is>
      </c>
      <c r="Z175" s="10" t="inlineStr">
        <is>
          <t>Nord</t>
        </is>
      </c>
      <c r="AA175" s="10" t="inlineStr">
        <is>
          <t>Nord-Pas-de-Calais</t>
        </is>
      </c>
      <c r="AB175" s="16" t="n"/>
      <c r="AC175" s="16" t="n"/>
      <c r="AD175" s="10" t="n"/>
      <c r="AE175" s="10" t="n"/>
      <c r="AF175" s="10" t="inlineStr">
        <is>
          <t>1 : 1 ; 2 : 2 ; 3 : 3 ; 38 : 38 ; 205 : 205 ; 1989 : 1989 ; 0.99 : 0.99 ; https://img.leboncoin.fr/api/v1/tenants/9a6387a1-6259-4f2c-a887-7e67f23dd4cb/domains/20bda58f-d650-462e-a72a-a5a7ecf2bf88/buckets/21d2b0bc-e54c-4b64-a30b-89127b18b785/images/profile/pictures/default/4f14a9a3-b442-5a9f-90eb-8b2e2deb2126?rule=pp-small : https://img.leboncoin.fr/api/v1/tenants/9a6387a1-6259-4f2c-a887-7e67f23dd4cb/domains/20bda58f-d650-462e-a72a-a5a7ecf2bf88/buckets/21d2b0bc-e54c-4b64-a30b-89127b18b785/images/profile/pictures/default/4f14a9a3-b442-5a9f-90eb-8b2e2deb2126?rule=pp-small ; Peugeot : Peugeot ; PEUGEOT : PEUGEOT ; 189000 km : 189000 ; Essence : 1 ; Manuelle : 1 ; 01/1989 : 01/1989 ; Berline : berline ; Autre : autre ; 5 Cv : 5 ; 60 Ch : 60 ; Avec permis : avecpermis ; false : false ; https://autoviza.fr/report/report?uid=833b2703-fb55-45b7-9b5a-01621fd647eb : https://autoviza.fr/report/report?uid=833b2703-fb55-45b7-9b5a-01621fd647eb ; true : true ; rating_score : 0.99 ; rating_count : 38 ; u_car_brand : PEUGEOT ; u_car_model : 205 ; vehicle_vsp : Avec permis ; is_import : false ; vehicle_is_eligible_p2p : 2 ; vehicle_history_report_public_url : https://autoviza.fr/report/report?uid=833b2703-fb55-45b7-9b5a-01621fd647eb ; licence_plate_available : true</t>
        </is>
      </c>
      <c r="AG175" s="19" t="inlineStr">
        <is>
          <t>Voir</t>
        </is>
      </c>
      <c r="AH175" s="10" t="inlineStr">
        <is>
          <t>3279816006</t>
        </is>
      </c>
    </row>
    <row r="176">
      <c r="A176" s="10" t="inlineStr">
        <is>
          <t>Peugeot 205 GTI</t>
        </is>
      </c>
      <c r="B176" s="10" t="inlineStr">
        <is>
          <t>205 gti</t>
        </is>
      </c>
      <c r="C176" s="10" t="inlineStr">
        <is>
          <t>En vente</t>
        </is>
      </c>
      <c r="D176" s="18" t="n">
        <v>46296</v>
      </c>
      <c r="E176" s="18" t="n">
        <v>46296</v>
      </c>
      <c r="F176" s="18" t="n">
        <v>46296</v>
      </c>
      <c r="G176" s="18" t="n"/>
      <c r="H176" s="17">
        <f>IF(OR(ISNUMBER(D176),ISNUMBER(E176)),IF(ISNUMBER(G176),G176,F176)-IF(ISNUMBER(D176),D176,E176),"")</f>
        <v/>
      </c>
      <c r="I176" s="12" t="n">
        <v>31000</v>
      </c>
      <c r="J176" s="12" t="n">
        <v>31000</v>
      </c>
      <c r="K176" s="13">
        <f>IF(AND(ISNUMBER(I176),ISNUMBER(J176),I176&gt;0),1-J176/I176,"")</f>
        <v/>
      </c>
      <c r="L176" s="16" t="n">
        <v>0</v>
      </c>
      <c r="M176" s="15" t="n">
        <v>135000</v>
      </c>
      <c r="N176" s="16" t="n">
        <v>1988</v>
      </c>
      <c r="O176" s="10" t="inlineStr">
        <is>
          <t>1</t>
        </is>
      </c>
      <c r="P176" s="10" t="inlineStr">
        <is>
          <t>1</t>
        </is>
      </c>
      <c r="Q176" s="16" t="n">
        <v>130</v>
      </c>
      <c r="R176" s="16" t="n">
        <v>9</v>
      </c>
      <c r="S176" s="10" t="inlineStr">
        <is>
          <t>blanc</t>
        </is>
      </c>
      <c r="T176" s="16" t="n">
        <v>3</v>
      </c>
      <c r="U176" s="10" t="n"/>
      <c r="V176" s="10" t="inlineStr">
        <is>
          <t>6</t>
        </is>
      </c>
      <c r="W176" s="10" t="inlineStr">
        <is>
          <t>Particulier</t>
        </is>
      </c>
      <c r="X176" s="10" t="inlineStr">
        <is>
          <t>Châtel</t>
        </is>
      </c>
      <c r="Y176" s="10" t="inlineStr">
        <is>
          <t>74390</t>
        </is>
      </c>
      <c r="Z176" s="10" t="inlineStr">
        <is>
          <t>Haute-Savoie</t>
        </is>
      </c>
      <c r="AA176" s="10" t="inlineStr">
        <is>
          <t>Rhône-Alpes</t>
        </is>
      </c>
      <c r="AB176" s="16" t="n"/>
      <c r="AC176" s="16" t="n"/>
      <c r="AD176" s="10" t="n"/>
      <c r="AE176" s="10" t="n"/>
      <c r="AF176" s="10" t="inlineStr">
        <is>
          <t>1 : 1 ; 2 : 2 ; 3 : 3 ; 4 : 4 ; 6 : 6 ; 205 : 205 ; 1988 : 1988 ; https://img.leboncoin.fr/api/v1/tenants/9a6387a1-6259-4f2c-a887-7e67f23dd4cb/domains/20bda58f-d650-462e-a72a-a5a7ecf2bf88/buckets/21d2b0bc-e54c-4b64-a30b-89127b18b785/images/profile/pictures/6829ebd4-40b3-5104-8575-02bb990f174b?rule=pp-small : https://img.leboncoin.fr/api/v1/tenants/9a6387a1-6259-4f2c-a887-7e67f23dd4cb/domains/20bda58f-d650-462e-a72a-a5a7ecf2bf88/buckets/21d2b0bc-e54c-4b64-a30b-89127b18b785/images/profile/pictures/6829ebd4-40b3-5104-8575-02bb990f174b?rule=pp-small ; Peugeot : Peugeot ; PEUGEOT : PEUGEOT ; 135000 km : 135000 ; Essence : 1 ; Manuelle : 1 ; Oui : true ; 12/1988 : 12/1988 ; Excellent état (proche du neuf) : excellent_condition ; Blanc : blanc ; Non classé : 6 ; 9 Cv : 9 ; 130 Ch : 130 ; Avec permis : avecpermis ; false : false ; true : true ; rating_score : 1 ; rating_count : 6 ; u_car_brand : PEUGEOT ; u_car_model : 205 ; vehicle_technical_inspection_valid : Oui ; vehicle_damage : Excellent état (proche du neuf) ; vehicle_maintenance : Véhicule non fumeur, Réparations utiles déjà faites ; vehicle_vsp : Avec permis ; is_import : false ; vehicle_is_eligible_p2p : 2 ; licence_plate_available : true</t>
        </is>
      </c>
      <c r="AG176" s="19" t="inlineStr">
        <is>
          <t>Voir</t>
        </is>
      </c>
      <c r="AH176" s="10" t="inlineStr">
        <is>
          <t>3280078944</t>
        </is>
      </c>
    </row>
    <row r="177">
      <c r="A177" s="10" t="inlineStr">
        <is>
          <t>Peugeot 205 GTI</t>
        </is>
      </c>
      <c r="B177" s="10" t="inlineStr">
        <is>
          <t>205 gti 1.6 115 Rouge</t>
        </is>
      </c>
      <c r="C177" s="10" t="inlineStr">
        <is>
          <t>En vente</t>
        </is>
      </c>
      <c r="D177" s="18" t="n">
        <v>46296</v>
      </c>
      <c r="E177" s="18" t="n">
        <v>46296</v>
      </c>
      <c r="F177" s="18" t="n">
        <v>46296</v>
      </c>
      <c r="G177" s="18" t="n"/>
      <c r="H177" s="17">
        <f>IF(OR(ISNUMBER(D177),ISNUMBER(E177)),IF(ISNUMBER(G177),G177,F177)-IF(ISNUMBER(D177),D177,E177),"")</f>
        <v/>
      </c>
      <c r="I177" s="12" t="n">
        <v>15500</v>
      </c>
      <c r="J177" s="12" t="n">
        <v>15500</v>
      </c>
      <c r="K177" s="13">
        <f>IF(AND(ISNUMBER(I177),ISNUMBER(J177),I177&gt;0),1-J177/I177,"")</f>
        <v/>
      </c>
      <c r="L177" s="16" t="n">
        <v>0</v>
      </c>
      <c r="M177" s="15" t="n">
        <v>223000</v>
      </c>
      <c r="N177" s="16" t="n">
        <v>1989</v>
      </c>
      <c r="O177" s="10" t="inlineStr">
        <is>
          <t>1</t>
        </is>
      </c>
      <c r="P177" s="10" t="inlineStr">
        <is>
          <t>1</t>
        </is>
      </c>
      <c r="Q177" s="16" t="n">
        <v>115</v>
      </c>
      <c r="R177" s="16" t="n">
        <v>8</v>
      </c>
      <c r="S177" s="10" t="inlineStr">
        <is>
          <t>rouge</t>
        </is>
      </c>
      <c r="T177" s="16" t="n">
        <v>3</v>
      </c>
      <c r="U177" s="10" t="n"/>
      <c r="V177" s="10" t="n"/>
      <c r="W177" s="10" t="inlineStr">
        <is>
          <t>Particulier</t>
        </is>
      </c>
      <c r="X177" s="10" t="inlineStr">
        <is>
          <t>Levier</t>
        </is>
      </c>
      <c r="Y177" s="10" t="inlineStr">
        <is>
          <t>25270</t>
        </is>
      </c>
      <c r="Z177" s="10" t="inlineStr">
        <is>
          <t>Doubs</t>
        </is>
      </c>
      <c r="AA177" s="10" t="inlineStr">
        <is>
          <t>Franche-Comté</t>
        </is>
      </c>
      <c r="AB177" s="16" t="n"/>
      <c r="AC177" s="16" t="n"/>
      <c r="AD177" s="10" t="n"/>
      <c r="AE177" s="10" t="n"/>
      <c r="AF177" s="10" t="inlineStr">
        <is>
          <t>1 : 1 ; 2 : 2 ; 3 : 3 ; 10 : 10 ; 205 : 205 ; 1989 : 1989 ; 0.96 : 0.96 ; https://img.leboncoin.fr/api/v1/tenants/9a6387a1-6259-4f2c-a887-7e67f23dd4cb/domains/20bda58f-d650-462e-a72a-a5a7ecf2bf88/buckets/21d2b0bc-e54c-4b64-a30b-89127b18b785/images/profile/pictures/default/76129dbd-fb3b-5038-908a-dea5a4a3d873?rule=pp-small : https://img.leboncoin.fr/api/v1/tenants/9a6387a1-6259-4f2c-a887-7e67f23dd4cb/domains/20bda58f-d650-462e-a72a-a5a7ecf2bf88/buckets/21d2b0bc-e54c-4b64-a30b-89127b18b785/images/profile/pictures/default/76129dbd-fb3b-5038-908a-dea5a4a3d873?rule=pp-small ; Peugeot : Peugeot ; PEUGEOT : PEUGEOT ; 223000 km : 223000 ; Essence : 1 ; Manuelle : 1 ; Non : false ; 03/1989 : 03/1989 ; Berline : berline ; Rouge : rouge ; 8 Cv : 8 ; 115 Ch : 115 ; Avec permis : avecpermis ; credit_card : credit_card ; false : false ; true : true ; rating_score : 0.96 ; rating_count : 10 ; u_car_brand : PEUGEOT ; u_car_model : 205 ; vehicle_technical_inspection_valid : Non ; vehicle_upholstery : Tissu ; vehicle_vsp : Avec permis ; vehicle_available_payment_methods : credit_card ; is_import : false ; vehicle_is_eligible_p2p : 2 ; licence_plate_available : true</t>
        </is>
      </c>
      <c r="AG177" s="19" t="inlineStr">
        <is>
          <t>Voir</t>
        </is>
      </c>
      <c r="AH177" s="10" t="inlineStr">
        <is>
          <t>3280278211</t>
        </is>
      </c>
    </row>
    <row r="178">
      <c r="A178" s="10" t="inlineStr">
        <is>
          <t>Peugeot 206 RC</t>
        </is>
      </c>
      <c r="B178" s="10" t="inlineStr">
        <is>
          <t>206 rc</t>
        </is>
      </c>
      <c r="C178" s="10" t="inlineStr">
        <is>
          <t>En vente</t>
        </is>
      </c>
      <c r="D178" s="18" t="n">
        <v>46272</v>
      </c>
      <c r="E178" s="18" t="n">
        <v>46296</v>
      </c>
      <c r="F178" s="18" t="n">
        <v>46296</v>
      </c>
      <c r="G178" s="18" t="n"/>
      <c r="H178" s="17">
        <f>IF(OR(ISNUMBER(D178),ISNUMBER(E178)),IF(ISNUMBER(G178),G178,F178)-IF(ISNUMBER(D178),D178,E178),"")</f>
        <v/>
      </c>
      <c r="I178" s="12" t="n">
        <v>17900</v>
      </c>
      <c r="J178" s="12" t="n">
        <v>17900</v>
      </c>
      <c r="K178" s="13">
        <f>IF(AND(ISNUMBER(I178),ISNUMBER(J178),I178&gt;0),1-J178/I178,"")</f>
        <v/>
      </c>
      <c r="L178" s="16" t="n">
        <v>0</v>
      </c>
      <c r="M178" s="15" t="n">
        <v>74000</v>
      </c>
      <c r="N178" s="16" t="n">
        <v>2006</v>
      </c>
      <c r="O178" s="10" t="inlineStr">
        <is>
          <t>1</t>
        </is>
      </c>
      <c r="P178" s="10" t="inlineStr">
        <is>
          <t>1</t>
        </is>
      </c>
      <c r="Q178" s="16" t="n"/>
      <c r="R178" s="16" t="n"/>
      <c r="S178" s="10" t="n"/>
      <c r="T178" s="16" t="n"/>
      <c r="U178" s="10" t="n"/>
      <c r="V178" s="10" t="n"/>
      <c r="W178" s="10" t="inlineStr">
        <is>
          <t>Particulier</t>
        </is>
      </c>
      <c r="X178" s="10" t="inlineStr">
        <is>
          <t>Troyes</t>
        </is>
      </c>
      <c r="Y178" s="10" t="inlineStr">
        <is>
          <t>10000</t>
        </is>
      </c>
      <c r="Z178" s="10" t="inlineStr">
        <is>
          <t>Aube</t>
        </is>
      </c>
      <c r="AA178" s="10" t="inlineStr">
        <is>
          <t>Champagne-Ardenne</t>
        </is>
      </c>
      <c r="AB178" s="16" t="n"/>
      <c r="AC178" s="16" t="n"/>
      <c r="AD178" s="10" t="n"/>
      <c r="AE178" s="10" t="n"/>
      <c r="AF178" s="10" t="inlineStr">
        <is>
          <t>2 : 2 ; 66 : 66 ; 206 : 206 ; 2006 : 2006 ; 23900 : 23900 ; 0.99 : 0.99 ; https://img.leboncoin.fr/api/v1/tenants/9a6387a1-6259-4f2c-a887-7e67f23dd4cb/domains/20bda58f-d650-462e-a72a-a5a7ecf2bf88/buckets/21d2b0bc-e54c-4b64-a30b-89127b18b785/images/profile/pictures/default/b6c6827f-016a-59d3-95d9-36b359181a83?rule=pp-small : https://img.leboncoin.fr/api/v1/tenants/9a6387a1-6259-4f2c-a887-7e67f23dd4cb/domains/20bda58f-d650-462e-a72a-a5a7ecf2bf88/buckets/21d2b0bc-e54c-4b64-a30b-89127b18b785/images/profile/pictures/default/b6c6827f-016a-59d3-95d9-36b359181a83?rule=pp-small ; Peugeot : Peugeot ; PEUGEOT : PEUGEOT ; 74000 km : 74000 ; Essence : 1 ; Manuelle : 1 ; 02/2006 : 02/2006 ; Avec permis : avecpermis ; credit_card : credit_card ; false : false ; https://autoviza.fr/report/report?uid=1ae21e5d-2e6a-4f17-b1bd-231aa3b78881 : https://autoviza.fr/report/report?uid=1ae21e5d-2e6a-4f17-b1bd-231aa3b78881 ; visible : visible ; rating_score : 0.99 ; rating_count : 66 ; u_car_brand : PEUGEOT ; u_car_model : 206 ; vehicle_vsp : Avec permis ; vehicle_available_payment_methods : credit_card ; is_import : false ; old_price : 23900 ; vehicle_is_eligible_p2p : 2 ; vehicle_history_report_public_url : https://autoviza.fr/report/report?uid=1ae21e5d-2e6a-4f17-b1bd-231aa3b78881 ; vehicle_history_report_status : visible</t>
        </is>
      </c>
      <c r="AG178" s="19" t="inlineStr">
        <is>
          <t>Voir</t>
        </is>
      </c>
      <c r="AH178" s="10" t="inlineStr">
        <is>
          <t>2988747124</t>
        </is>
      </c>
    </row>
    <row r="179">
      <c r="A179" s="10" t="inlineStr">
        <is>
          <t>Peugeot 206 RC</t>
        </is>
      </c>
      <c r="B179" s="10" t="inlineStr">
        <is>
          <t>206 rc</t>
        </is>
      </c>
      <c r="C179" s="10" t="inlineStr">
        <is>
          <t>En vente</t>
        </is>
      </c>
      <c r="D179" s="18" t="n">
        <v>46268</v>
      </c>
      <c r="E179" s="18" t="n">
        <v>46296</v>
      </c>
      <c r="F179" s="18" t="n">
        <v>46296</v>
      </c>
      <c r="G179" s="18" t="n"/>
      <c r="H179" s="17">
        <f>IF(OR(ISNUMBER(D179),ISNUMBER(E179)),IF(ISNUMBER(G179),G179,F179)-IF(ISNUMBER(D179),D179,E179),"")</f>
        <v/>
      </c>
      <c r="I179" s="12" t="n">
        <v>11000</v>
      </c>
      <c r="J179" s="12" t="n">
        <v>11000</v>
      </c>
      <c r="K179" s="13">
        <f>IF(AND(ISNUMBER(I179),ISNUMBER(J179),I179&gt;0),1-J179/I179,"")</f>
        <v/>
      </c>
      <c r="L179" s="16" t="n">
        <v>0</v>
      </c>
      <c r="M179" s="15" t="n">
        <v>138000</v>
      </c>
      <c r="N179" s="16" t="n">
        <v>2003</v>
      </c>
      <c r="O179" s="10" t="inlineStr">
        <is>
          <t>1</t>
        </is>
      </c>
      <c r="P179" s="10" t="inlineStr">
        <is>
          <t>1</t>
        </is>
      </c>
      <c r="Q179" s="16" t="n">
        <v>180</v>
      </c>
      <c r="R179" s="16" t="n">
        <v>11</v>
      </c>
      <c r="S179" s="10" t="inlineStr">
        <is>
          <t>bleu</t>
        </is>
      </c>
      <c r="T179" s="16" t="n">
        <v>3</v>
      </c>
      <c r="U179" s="10" t="n"/>
      <c r="V179" s="10" t="n"/>
      <c r="W179" s="10" t="inlineStr">
        <is>
          <t>Particulier</t>
        </is>
      </c>
      <c r="X179" s="10" t="inlineStr">
        <is>
          <t>Valserhône</t>
        </is>
      </c>
      <c r="Y179" s="10" t="inlineStr">
        <is>
          <t>01200</t>
        </is>
      </c>
      <c r="Z179" s="10" t="inlineStr">
        <is>
          <t>Ain</t>
        </is>
      </c>
      <c r="AA179" s="10" t="inlineStr">
        <is>
          <t>Rhône-Alpes</t>
        </is>
      </c>
      <c r="AB179" s="16" t="n"/>
      <c r="AC179" s="16" t="n"/>
      <c r="AD179" s="10" t="n"/>
      <c r="AE179" s="10" t="n"/>
      <c r="AF179" s="10" t="inlineStr">
        <is>
          <t>2 : 2 ; 3 : 3 ; 4 : 4 ; 15 : 15 ; 206 : 206 ; 2003 : 2003 ; 719174 : 719174 ; 0.97 : 0.97 ; https://img.leboncoin.fr/api/v1/tenants/9a6387a1-6259-4f2c-a887-7e67f23dd4cb/domains/20bda58f-d650-462e-a72a-a5a7ecf2bf88/buckets/21d2b0bc-e54c-4b64-a30b-89127b18b785/images/profile/pictures/default/e1a6e176-817c-5398-8d0e-69a7a4c09adc?rule=pp-small : https://img.leboncoin.fr/api/v1/tenants/9a6387a1-6259-4f2c-a887-7e67f23dd4cb/domains/20bda58f-d650-462e-a72a-a5a7ecf2bf88/buckets/21d2b0bc-e54c-4b64-a30b-89127b18b785/images/profile/pictures/default/e1a6e176-817c-5398-8d0e-69a7a4c09adc?rule=pp-small ; Peugeot : Peugeot ; PEUGEOT : PEUGEOT ; 138000 km : 138000 ; Essence : 1 ; Manuelle : 1 ; Oui : true ; 03/2003 : 03/2003 ; Traces d’usure normales : normal_wear_and_tear ; Coupé : coupe ; Bleu : bleu ; 11 Cv : 11 ; 180 Ch : 180 ; Avec permis : avecpermis ; credit_card : credit_card ; false : false ; true : true ; rating_score : 0.97 ; rating_count : 15 ; u_car_brand : PEUGEOT ; u_car_model : 206 ; vehicle_technical_inspection_valid : Oui ; vehicle_damage : Traces d’usure normales ; vehicle_upholstery : Alcantara ; vehicle_maintenance : Réparations utiles déjà faites ; vehicle_vsp : Avec permis ; vehicle_available_payment_methods : credit_card ; is_import : false ; vehicle_is_eligible_p2p : 2 ; argus_object_id : 719174 ; licence_plate_available : true</t>
        </is>
      </c>
      <c r="AG179" s="19" t="inlineStr">
        <is>
          <t>Voir</t>
        </is>
      </c>
      <c r="AH179" s="10" t="inlineStr">
        <is>
          <t>3123040394</t>
        </is>
      </c>
    </row>
    <row r="180">
      <c r="A180" s="10" t="inlineStr">
        <is>
          <t>Peugeot 206 RC</t>
        </is>
      </c>
      <c r="B180" s="10" t="inlineStr">
        <is>
          <t>206 rc f2014</t>
        </is>
      </c>
      <c r="C180" s="10" t="inlineStr">
        <is>
          <t>En vente</t>
        </is>
      </c>
      <c r="D180" s="18" t="n">
        <v>46263</v>
      </c>
      <c r="E180" s="18" t="n">
        <v>46296</v>
      </c>
      <c r="F180" s="18" t="n">
        <v>46296</v>
      </c>
      <c r="G180" s="18" t="n"/>
      <c r="H180" s="17">
        <f>IF(OR(ISNUMBER(D180),ISNUMBER(E180)),IF(ISNUMBER(G180),G180,F180)-IF(ISNUMBER(D180),D180,E180),"")</f>
        <v/>
      </c>
      <c r="I180" s="12" t="n">
        <v>18500</v>
      </c>
      <c r="J180" s="12" t="n">
        <v>18500</v>
      </c>
      <c r="K180" s="13">
        <f>IF(AND(ISNUMBER(I180),ISNUMBER(J180),I180&gt;0),1-J180/I180,"")</f>
        <v/>
      </c>
      <c r="L180" s="16" t="n">
        <v>0</v>
      </c>
      <c r="M180" s="15" t="n">
        <v>240000</v>
      </c>
      <c r="N180" s="16" t="n">
        <v>2003</v>
      </c>
      <c r="O180" s="10" t="inlineStr">
        <is>
          <t>1</t>
        </is>
      </c>
      <c r="P180" s="10" t="inlineStr">
        <is>
          <t>1</t>
        </is>
      </c>
      <c r="Q180" s="16" t="n">
        <v>180</v>
      </c>
      <c r="R180" s="16" t="n">
        <v>11</v>
      </c>
      <c r="S180" s="10" t="inlineStr">
        <is>
          <t>autre</t>
        </is>
      </c>
      <c r="T180" s="16" t="n">
        <v>3</v>
      </c>
      <c r="U180" s="10" t="n"/>
      <c r="V180" s="10" t="n"/>
      <c r="W180" s="10" t="inlineStr">
        <is>
          <t>Particulier</t>
        </is>
      </c>
      <c r="X180" s="10" t="inlineStr">
        <is>
          <t>Blesle</t>
        </is>
      </c>
      <c r="Y180" s="10" t="inlineStr">
        <is>
          <t>43450</t>
        </is>
      </c>
      <c r="Z180" s="10" t="inlineStr">
        <is>
          <t>Haute-Loire</t>
        </is>
      </c>
      <c r="AA180" s="10" t="inlineStr">
        <is>
          <t>Auvergne</t>
        </is>
      </c>
      <c r="AB180" s="16" t="n"/>
      <c r="AC180" s="16" t="n"/>
      <c r="AD180" s="10" t="n"/>
      <c r="AE180" s="10" t="n"/>
      <c r="AF180" s="10" t="inlineStr">
        <is>
          <t>1 : 1 ; 2 : 2 ; 3 : 3 ; 5 : 5 ; 9 : 9 ; 206 : 206 ; 2003 : 2003 ; 19000 : 19000 ; 719068 : 719068 ; https://img.leboncoin.fr/api/v1/tenants/9a6387a1-6259-4f2c-a887-7e67f23dd4cb/domains/20bda58f-d650-462e-a72a-a5a7ecf2bf88/buckets/21d2b0bc-e54c-4b64-a30b-89127b18b785/images/profile/pictures/default/e88bdd71-3804-55bd-8c1d-37f2f55295b9?rule=pp-small : https://img.leboncoin.fr/api/v1/tenants/9a6387a1-6259-4f2c-a887-7e67f23dd4cb/domains/20bda58f-d650-462e-a72a-a5a7ecf2bf88/buckets/21d2b0bc-e54c-4b64-a30b-89127b18b785/images/profile/pictures/default/e88bdd71-3804-55bd-8c1d-37f2f55295b9?rule=pp-small ; Peugeot : Peugeot ; PEUGEOT : PEUGEOT ; 240000 km : 240000 ; Essence : 1 ; Manuelle : 1 ; 12/2003 : 12/2003 ; Berline : berline ; Autre : autre ; 11 Cv : 11 ; 180 Ch : 180 ; Avec permis : avecpermis ; credit_card : credit_card ; false : false ; https://autoviza.fr/report/report?uid=fc5495a4-de5e-4c62-8a63-c5e668b55090 : https://autoviza.fr/report/report?uid=fc5495a4-de5e-4c62-8a63-c5e668b55090 ; true : true ; rating_score : 1 ; rating_count : 9 ; u_car_brand : PEUGEOT ; u_car_model : 206 ; vehicle_vsp : Avec permis ; vehicle_available_payment_methods : credit_card ; is_import : false ; old_price : 19000 ; vehicle_is_eligible_p2p : 2 ; vehicle_history_report_public_url : https://autoviza.fr/report/report?uid=fc5495a4-de5e-4c62-8a63-c5e668b55090 ; argus_object_id : 719068 ; licence_plate_available : true</t>
        </is>
      </c>
      <c r="AG180" s="19" t="inlineStr">
        <is>
          <t>Voir</t>
        </is>
      </c>
      <c r="AH180" s="10" t="inlineStr">
        <is>
          <t>3151025653</t>
        </is>
      </c>
    </row>
    <row r="181">
      <c r="A181" s="10" t="inlineStr">
        <is>
          <t>Peugeot 206 RC</t>
        </is>
      </c>
      <c r="B181" s="10" t="inlineStr">
        <is>
          <t>Peugeot 206 RC</t>
        </is>
      </c>
      <c r="C181" s="10" t="inlineStr">
        <is>
          <t>En vente</t>
        </is>
      </c>
      <c r="D181" s="18" t="n">
        <v>46270</v>
      </c>
      <c r="E181" s="18" t="n">
        <v>46296</v>
      </c>
      <c r="F181" s="18" t="n">
        <v>46296</v>
      </c>
      <c r="G181" s="18" t="n"/>
      <c r="H181" s="17">
        <f>IF(OR(ISNUMBER(D181),ISNUMBER(E181)),IF(ISNUMBER(G181),G181,F181)-IF(ISNUMBER(D181),D181,E181),"")</f>
        <v/>
      </c>
      <c r="I181" s="12" t="n">
        <v>10500</v>
      </c>
      <c r="J181" s="12" t="n">
        <v>10500</v>
      </c>
      <c r="K181" s="13">
        <f>IF(AND(ISNUMBER(I181),ISNUMBER(J181),I181&gt;0),1-J181/I181,"")</f>
        <v/>
      </c>
      <c r="L181" s="16" t="n">
        <v>0</v>
      </c>
      <c r="M181" s="15" t="n">
        <v>114000</v>
      </c>
      <c r="N181" s="16" t="n">
        <v>2003</v>
      </c>
      <c r="O181" s="10" t="inlineStr">
        <is>
          <t>1</t>
        </is>
      </c>
      <c r="P181" s="10" t="inlineStr">
        <is>
          <t>1</t>
        </is>
      </c>
      <c r="Q181" s="16" t="n">
        <v>177</v>
      </c>
      <c r="R181" s="16" t="n">
        <v>11</v>
      </c>
      <c r="S181" s="10" t="inlineStr">
        <is>
          <t>gris</t>
        </is>
      </c>
      <c r="T181" s="16" t="n">
        <v>3</v>
      </c>
      <c r="U181" s="10" t="n"/>
      <c r="V181" s="10" t="n"/>
      <c r="W181" s="10" t="inlineStr">
        <is>
          <t>Particulier</t>
        </is>
      </c>
      <c r="X181" s="10" t="inlineStr">
        <is>
          <t>Tagnon</t>
        </is>
      </c>
      <c r="Y181" s="10" t="inlineStr">
        <is>
          <t>08300</t>
        </is>
      </c>
      <c r="Z181" s="10" t="inlineStr">
        <is>
          <t>Ardennes</t>
        </is>
      </c>
      <c r="AA181" s="10" t="inlineStr">
        <is>
          <t>Champagne-Ardenne</t>
        </is>
      </c>
      <c r="AB181" s="16" t="n"/>
      <c r="AC181" s="16" t="n"/>
      <c r="AD181" s="10" t="n"/>
      <c r="AE181" s="10" t="n"/>
      <c r="AF181" s="10" t="inlineStr">
        <is>
          <t>1 : 1 ; 2 : 2 ; 3 : 3 ; 5 : 5 ; 206 : 206 ; 2003 : 2003 ; 11500 : 11500 ; 719174 : 719174 ; https://img.leboncoin.fr/api/v1/tenants/9a6387a1-6259-4f2c-a887-7e67f23dd4cb/domains/20bda58f-d650-462e-a72a-a5a7ecf2bf88/buckets/21d2b0bc-e54c-4b64-a30b-89127b18b785/images/profile/pictures/default/1d9c459c-676a-5784-ac86-9bb2d2cf5bcb?rule=pp-small : https://img.leboncoin.fr/api/v1/tenants/9a6387a1-6259-4f2c-a887-7e67f23dd4cb/domains/20bda58f-d650-462e-a72a-a5a7ecf2bf88/buckets/21d2b0bc-e54c-4b64-a30b-89127b18b785/images/profile/pictures/default/1d9c459c-676a-5784-ac86-9bb2d2cf5bcb?rule=pp-small ; Peugeot : Peugeot ; PEUGEOT : PEUGEOT ; 114000 km : 114000 ; Essence : 1 ; Manuelle : 1 ; 11/2003 : 11/2003 ; Bon état général : good_overall_condition ; Berline : berline ; Gris : gris ; 11 Cv : 11 ; 177 Ch : 177 ; Avec permis : avecpermis ; credit_card : credit_card ; false : false ; https://autoviza.fr/report/report?uid=f436f9b2-4c6b-450e-b015-ba78ec954684 : https://autoviza.fr/report/report?uid=f436f9b2-4c6b-450e-b015-ba78ec954684 ; true : true ; rating_score : 1 ; rating_count : 1 ; u_car_brand : PEUGEOT ; u_car_model : 206 ; vehicle_damage : Bon état général ; vehicle_upholstery : Cuir partiel, Alcantara ; vehicle_vsp : Avec permis ; vehicle_available_payment_methods : credit_card ; is_import : false ; old_price : 11500 ; vehicle_is_eligible_p2p : 2 ; vehicle_history_report_public_url : https://autoviza.fr/report/report?uid=f436f9b2-4c6b-450e-b015-ba78ec954684 ; argus_object_id : 719174 ; licence_plate_available : true</t>
        </is>
      </c>
      <c r="AG181" s="19" t="inlineStr">
        <is>
          <t>Voir</t>
        </is>
      </c>
      <c r="AH181" s="10" t="inlineStr">
        <is>
          <t>3193819824</t>
        </is>
      </c>
    </row>
    <row r="182">
      <c r="A182" s="10" t="inlineStr">
        <is>
          <t>Peugeot 206 RC</t>
        </is>
      </c>
      <c r="B182" s="10" t="inlineStr">
        <is>
          <t>Peugeot 206 RC</t>
        </is>
      </c>
      <c r="C182" s="10" t="inlineStr">
        <is>
          <t>En vente</t>
        </is>
      </c>
      <c r="D182" s="18" t="n">
        <v>46286</v>
      </c>
      <c r="E182" s="18" t="n">
        <v>46296</v>
      </c>
      <c r="F182" s="18" t="n">
        <v>46296</v>
      </c>
      <c r="G182" s="18" t="n"/>
      <c r="H182" s="17">
        <f>IF(OR(ISNUMBER(D182),ISNUMBER(E182)),IF(ISNUMBER(G182),G182,F182)-IF(ISNUMBER(D182),D182,E182),"")</f>
        <v/>
      </c>
      <c r="I182" s="12" t="n">
        <v>9500</v>
      </c>
      <c r="J182" s="12" t="n">
        <v>9500</v>
      </c>
      <c r="K182" s="13">
        <f>IF(AND(ISNUMBER(I182),ISNUMBER(J182),I182&gt;0),1-J182/I182,"")</f>
        <v/>
      </c>
      <c r="L182" s="16" t="n">
        <v>0</v>
      </c>
      <c r="M182" s="15" t="n">
        <v>152000</v>
      </c>
      <c r="N182" s="16" t="n">
        <v>2003</v>
      </c>
      <c r="O182" s="10" t="inlineStr">
        <is>
          <t>1</t>
        </is>
      </c>
      <c r="P182" s="10" t="inlineStr">
        <is>
          <t>1</t>
        </is>
      </c>
      <c r="Q182" s="16" t="n">
        <v>180</v>
      </c>
      <c r="R182" s="16" t="n">
        <v>11</v>
      </c>
      <c r="S182" s="10" t="inlineStr">
        <is>
          <t>gris</t>
        </is>
      </c>
      <c r="T182" s="16" t="n">
        <v>3</v>
      </c>
      <c r="U182" s="10" t="n"/>
      <c r="V182" s="10" t="n"/>
      <c r="W182" s="10" t="inlineStr">
        <is>
          <t>Particulier</t>
        </is>
      </c>
      <c r="X182" s="10" t="inlineStr">
        <is>
          <t>Thaon-les-Vosges</t>
        </is>
      </c>
      <c r="Y182" s="10" t="inlineStr">
        <is>
          <t>88150</t>
        </is>
      </c>
      <c r="Z182" s="10" t="inlineStr">
        <is>
          <t>Vosges</t>
        </is>
      </c>
      <c r="AA182" s="10" t="inlineStr">
        <is>
          <t>Lorraine</t>
        </is>
      </c>
      <c r="AB182" s="16" t="n"/>
      <c r="AC182" s="16" t="n"/>
      <c r="AD182" s="10" t="n"/>
      <c r="AE182" s="10" t="n"/>
      <c r="AF182" s="10" t="inlineStr">
        <is>
          <t>2 : 2 ; 3 : 3 ; 5 : 5 ; 206 : 206 ; 2003 : 2003 ; https://img.leboncoin.fr/api/v1/tenants/9a6387a1-6259-4f2c-a887-7e67f23dd4cb/domains/20bda58f-d650-462e-a72a-a5a7ecf2bf88/buckets/21d2b0bc-e54c-4b64-a30b-89127b18b785/images/profile/pictures/default/e70cc143-a9c7-554b-8b96-c1aace527677?rule=pp-small : https://img.leboncoin.fr/api/v1/tenants/9a6387a1-6259-4f2c-a887-7e67f23dd4cb/domains/20bda58f-d650-462e-a72a-a5a7ecf2bf88/buckets/21d2b0bc-e54c-4b64-a30b-89127b18b785/images/profile/pictures/default/e70cc143-a9c7-554b-8b96-c1aace527677?rule=pp-small ; Peugeot : Peugeot ; PEUGEOT : PEUGEOT ; 152000 km : 152000 ; Essence : 1 ; Manuelle : 1 ; 08/2003 : 08/2003 ; Traces d’usure normales : normal_wear_and_tear ; Berline : berline ; Gris : gris ; 11 Cv : 11 ; 180 Ch : 180 ; Avec permis : avecpermis ; credit_card : credit_card ; false : false ; true : true ; u_car_brand : PEUGEOT ; u_car_model : 206 ; vehicle_damage : Traces d’usure normales ; vehicle_upholstery : Alcantara, Cuir partiel ; vehicle_interior_specs : Alarme antivol, Climatisation, Jantes en alliage, Phares anti-brouillard, Rétroviseurs rabattables électriquement, Sièges sport ; vehicle_vsp : Avec permis ; vehicle_available_payment_methods : credit_card ; is_import : false ; vehicle_is_eligible_p2p : 2 ; licence_plate_available : true</t>
        </is>
      </c>
      <c r="AG182" s="19" t="inlineStr">
        <is>
          <t>Voir</t>
        </is>
      </c>
      <c r="AH182" s="10" t="inlineStr">
        <is>
          <t>3202654340</t>
        </is>
      </c>
    </row>
    <row r="183">
      <c r="A183" s="10" t="inlineStr">
        <is>
          <t>Peugeot 206 RC</t>
        </is>
      </c>
      <c r="B183" s="10" t="inlineStr">
        <is>
          <t>Peugeot 206 rc</t>
        </is>
      </c>
      <c r="C183" s="10" t="inlineStr">
        <is>
          <t>En vente</t>
        </is>
      </c>
      <c r="D183" s="18" t="n">
        <v>46268</v>
      </c>
      <c r="E183" s="18" t="n">
        <v>46296</v>
      </c>
      <c r="F183" s="18" t="n">
        <v>46296</v>
      </c>
      <c r="G183" s="18" t="n"/>
      <c r="H183" s="17">
        <f>IF(OR(ISNUMBER(D183),ISNUMBER(E183)),IF(ISNUMBER(G183),G183,F183)-IF(ISNUMBER(D183),D183,E183),"")</f>
        <v/>
      </c>
      <c r="I183" s="12" t="n">
        <v>8800</v>
      </c>
      <c r="J183" s="12" t="n">
        <v>8800</v>
      </c>
      <c r="K183" s="13">
        <f>IF(AND(ISNUMBER(I183),ISNUMBER(J183),I183&gt;0),1-J183/I183,"")</f>
        <v/>
      </c>
      <c r="L183" s="16" t="n">
        <v>0</v>
      </c>
      <c r="M183" s="15" t="n">
        <v>197500</v>
      </c>
      <c r="N183" s="16" t="n">
        <v>2003</v>
      </c>
      <c r="O183" s="10" t="inlineStr">
        <is>
          <t>1</t>
        </is>
      </c>
      <c r="P183" s="10" t="inlineStr">
        <is>
          <t>1</t>
        </is>
      </c>
      <c r="Q183" s="16" t="n">
        <v>180</v>
      </c>
      <c r="R183" s="16" t="n">
        <v>11</v>
      </c>
      <c r="S183" s="10" t="inlineStr">
        <is>
          <t>bleu</t>
        </is>
      </c>
      <c r="T183" s="16" t="n">
        <v>3</v>
      </c>
      <c r="U183" s="10" t="n"/>
      <c r="V183" s="10" t="n"/>
      <c r="W183" s="10" t="inlineStr">
        <is>
          <t>Particulier</t>
        </is>
      </c>
      <c r="X183" s="10" t="inlineStr">
        <is>
          <t>Saint-Amand-Montrond</t>
        </is>
      </c>
      <c r="Y183" s="10" t="inlineStr">
        <is>
          <t>18200</t>
        </is>
      </c>
      <c r="Z183" s="10" t="inlineStr">
        <is>
          <t>Cher</t>
        </is>
      </c>
      <c r="AA183" s="10" t="inlineStr">
        <is>
          <t>Centre</t>
        </is>
      </c>
      <c r="AB183" s="16" t="n"/>
      <c r="AC183" s="16" t="n"/>
      <c r="AD183" s="10" t="n"/>
      <c r="AE183" s="10" t="n"/>
      <c r="AF183" s="10" t="inlineStr">
        <is>
          <t>2 : 2 ; 3 : 3 ; 4 : 4 ; 36 : 36 ; 206 : 206 ; 2003 : 2003 ; 2026 : 2026 ; 9000 : 9000 ; 0.98 : 0.98 ; https://img.leboncoin.fr/api/v1/tenants/9a6387a1-6259-4f2c-a887-7e67f23dd4cb/domains/20bda58f-d650-462e-a72a-a5a7ecf2bf88/buckets/21d2b0bc-e54c-4b64-a30b-89127b18b785/images/profile/pictures/f3492b98-a40e-5985-9d27-d2be9b2ca6e4?rule=pp-small : https://img.leboncoin.fr/api/v1/tenants/9a6387a1-6259-4f2c-a887-7e67f23dd4cb/domains/20bda58f-d650-462e-a72a-a5a7ecf2bf88/buckets/21d2b0bc-e54c-4b64-a30b-89127b18b785/images/profile/pictures/f3492b98-a40e-5985-9d27-d2be9b2ca6e4?rule=pp-small ; Peugeot : Peugeot ; PEUGEOT : PEUGEOT ; 197500 km : 197500 ; Essence : 1 ; Manuelle : 1 ; Oui : true ; 07/2003 : 07/2003 ; Bon état général : good_overall_condition ; Berline : berline ; Bleu : bleu ; 11 Cv : 11 ; 180 Ch : 180 ; Avec permis : avecpermis ; credit_card : credit_card ; false : false ; true : true ; rating_score : 0.98 ; rating_count : 36 ; u_car_brand : PEUGEOT ; u_car_model : 206 ; vehicle_technical_inspection_valid : Oui ; vehicle_technical_inspection_a : 2026 ; vehicle_damage : Bon état général ; vehicle_upholstery : Alcantara ; vehicle_maintenance : Carnet d'entretien disponible, Véhicule non fumeur, Factures disponibles, Réparations utiles déjà faites ; vehicle_vsp : Avec permis ; vehicle_available_payment_methods : credit_card ; is_import : false ; old_price : 9000 ; vehicle_is_eligible_p2p : 2 ; licence_plate_available : true</t>
        </is>
      </c>
      <c r="AG183" s="19" t="inlineStr">
        <is>
          <t>Voir</t>
        </is>
      </c>
      <c r="AH183" s="10" t="inlineStr">
        <is>
          <t>3227695185</t>
        </is>
      </c>
    </row>
    <row r="184">
      <c r="A184" s="10" t="inlineStr">
        <is>
          <t>Peugeot 206 RC</t>
        </is>
      </c>
      <c r="B184" s="10" t="inlineStr">
        <is>
          <t>PEUGEOT 206 2.0e 180 RC / LIGNE A CLAPET / COURROIE OK</t>
        </is>
      </c>
      <c r="C184" s="10" t="inlineStr">
        <is>
          <t>En vente</t>
        </is>
      </c>
      <c r="D184" s="18" t="n">
        <v>46220</v>
      </c>
      <c r="E184" s="18" t="n">
        <v>46296</v>
      </c>
      <c r="F184" s="18" t="n">
        <v>46296</v>
      </c>
      <c r="G184" s="18" t="n"/>
      <c r="H184" s="17">
        <f>IF(OR(ISNUMBER(D184),ISNUMBER(E184)),IF(ISNUMBER(G184),G184,F184)-IF(ISNUMBER(D184),D184,E184),"")</f>
        <v/>
      </c>
      <c r="I184" s="12" t="n">
        <v>9990</v>
      </c>
      <c r="J184" s="12" t="n">
        <v>9990</v>
      </c>
      <c r="K184" s="13">
        <f>IF(AND(ISNUMBER(I184),ISNUMBER(J184),I184&gt;0),1-J184/I184,"")</f>
        <v/>
      </c>
      <c r="L184" s="16" t="n">
        <v>0</v>
      </c>
      <c r="M184" s="15" t="n">
        <v>150000</v>
      </c>
      <c r="N184" s="16" t="n">
        <v>2004</v>
      </c>
      <c r="O184" s="10" t="inlineStr">
        <is>
          <t>1</t>
        </is>
      </c>
      <c r="P184" s="10" t="inlineStr">
        <is>
          <t>1</t>
        </is>
      </c>
      <c r="Q184" s="16" t="n">
        <v>177</v>
      </c>
      <c r="R184" s="16" t="n">
        <v>11</v>
      </c>
      <c r="S184" s="10" t="inlineStr">
        <is>
          <t>gris</t>
        </is>
      </c>
      <c r="T184" s="16" t="n">
        <v>3</v>
      </c>
      <c r="U184" s="10" t="n"/>
      <c r="V184" s="10" t="n"/>
      <c r="W184" s="10" t="inlineStr">
        <is>
          <t>Pro</t>
        </is>
      </c>
      <c r="X184" s="10" t="inlineStr">
        <is>
          <t>Lyon</t>
        </is>
      </c>
      <c r="Y184" s="10" t="inlineStr">
        <is>
          <t>69008</t>
        </is>
      </c>
      <c r="Z184" s="10" t="inlineStr">
        <is>
          <t>Rhône</t>
        </is>
      </c>
      <c r="AA184" s="10" t="inlineStr">
        <is>
          <t>Rhône-Alpes</t>
        </is>
      </c>
      <c r="AB184" s="16" t="n"/>
      <c r="AC184" s="16" t="n"/>
      <c r="AD184" s="10" t="inlineStr">
        <is>
          <t>Oui</t>
        </is>
      </c>
      <c r="AE184" s="10" t="n"/>
      <c r="AF184" s="10" t="inlineStr">
        <is>
          <t>1 : 1 ; 3 : 3 ; 4 : 4 ; 206 : 206 ; 2004 : 2004 ; 34394 : 34394 ; 719247 : 719247 ; Peugeot : Peugeot ; PEUGEOT : PEUGEOT ; 150000 km : 150000 ; Essence : 1 ; Manuelle : 1 ; RC : PEUGEOT_206_RC ; 206 2.0 16v RC 3p : 206 2.0 16v RC 3p ; 02/2004 : 02/2004 ; Gris : gris ; 11 Cv : 11 ; 177 Ch : 177 ; false : false ; true : true ; https://img.leboncoin.fr/api/v1/lbcpb1/images/c9/f9/32/c9f93200-87cd-4b0d-b9f0-7bc807505c8d?rule=bo-thumb : https://img.leboncoin.fr/api/v1/lbcpb1/images/c9/f9/32/c9f93200-87cd-4b0d-b9f0-7bc807505c8d?rule=bo-thumb ; TransakAuto Lyon : TransakAuto Lyon ; VO23842854 : VO23842854 ; https://autoviza.fr/report/report?uid=10f75f84-6210-445e-b967-31af60d8e218 : https://autoviza.fr/report/report?uid=10f75f84-6210-445e-b967-31af60d8e218 ; visible : visible ; Non renseignée : non_renseignee ; activity_sector : 1 ; u_car_brand : PEUGEOT ; u_car_model : 206 ; u_car_finition : RC ; u_car_version : 206 2.0 16v RC 3p ; vehicle_interior_specs : Allumage automatique des phares, Climatisation, Jantes en alliage, Ordinateur de bord, Phares anti-brouillard, Rétroviseurs rabattables électriquement, Sièges en cuir ; recent_used_vehicle : false ; has_visibility_option : true ; store_logo : https://img.leboncoin.fr/api/v1/lbcpb1/images/c9/f9/32/c9f93200-87cd-4b0d-b9f0-7bc807505c8d?rule=bo-thumb ; store_name : TransakAuto Lyon ; online_store_id : 34394 ; custom_ref : VO23842854 ; is_import : true ; vehicle_history_report_public_url : https://autoviza.fr/report/report?uid=10f75f84-6210-445e-b967-31af60d8e218 ; vehicle_history_report_status : visible ; argus_object_id : 719247 ; spare_parts_availability : Non renseignée ; licence_plate_available : true</t>
        </is>
      </c>
      <c r="AG184" s="19" t="inlineStr">
        <is>
          <t>Voir</t>
        </is>
      </c>
      <c r="AH184" s="10" t="inlineStr">
        <is>
          <t>3234323904</t>
        </is>
      </c>
    </row>
    <row r="185">
      <c r="A185" s="10" t="inlineStr">
        <is>
          <t>Peugeot 206 RC</t>
        </is>
      </c>
      <c r="B185" s="10" t="inlineStr">
        <is>
          <t>Peugeot 206 2.0 177ch RC - SUIVI COMPLET - DISTRIBUTION OK - BLUETOOTH</t>
        </is>
      </c>
      <c r="C185" s="10" t="inlineStr">
        <is>
          <t>En vente</t>
        </is>
      </c>
      <c r="D185" s="18" t="n">
        <v>46245</v>
      </c>
      <c r="E185" s="18" t="n">
        <v>46296</v>
      </c>
      <c r="F185" s="18" t="n">
        <v>46296</v>
      </c>
      <c r="G185" s="18" t="n"/>
      <c r="H185" s="17">
        <f>IF(OR(ISNUMBER(D185),ISNUMBER(E185)),IF(ISNUMBER(G185),G185,F185)-IF(ISNUMBER(D185),D185,E185),"")</f>
        <v/>
      </c>
      <c r="I185" s="12" t="n">
        <v>13990</v>
      </c>
      <c r="J185" s="12" t="n">
        <v>13990</v>
      </c>
      <c r="K185" s="13">
        <f>IF(AND(ISNUMBER(I185),ISNUMBER(J185),I185&gt;0),1-J185/I185,"")</f>
        <v/>
      </c>
      <c r="L185" s="16" t="n">
        <v>0</v>
      </c>
      <c r="M185" s="15" t="n">
        <v>67500</v>
      </c>
      <c r="N185" s="16" t="n">
        <v>2006</v>
      </c>
      <c r="O185" s="10" t="inlineStr">
        <is>
          <t>1</t>
        </is>
      </c>
      <c r="P185" s="10" t="inlineStr">
        <is>
          <t>1</t>
        </is>
      </c>
      <c r="Q185" s="16" t="n">
        <v>177</v>
      </c>
      <c r="R185" s="16" t="n">
        <v>11</v>
      </c>
      <c r="S185" s="10" t="inlineStr">
        <is>
          <t>bleu</t>
        </is>
      </c>
      <c r="T185" s="16" t="n">
        <v>3</v>
      </c>
      <c r="U185" s="10" t="n"/>
      <c r="V185" s="10" t="n"/>
      <c r="W185" s="10" t="inlineStr">
        <is>
          <t>Pro</t>
        </is>
      </c>
      <c r="X185" s="10" t="inlineStr">
        <is>
          <t>La Ciotat</t>
        </is>
      </c>
      <c r="Y185" s="10" t="inlineStr">
        <is>
          <t>13600</t>
        </is>
      </c>
      <c r="Z185" s="10" t="inlineStr">
        <is>
          <t>Bouches-du-Rhône</t>
        </is>
      </c>
      <c r="AA185" s="10" t="inlineStr">
        <is>
          <t>Provence-Alpes-Côte d'Azur</t>
        </is>
      </c>
      <c r="AB185" s="16" t="n"/>
      <c r="AC185" s="16" t="n"/>
      <c r="AD185" s="10" t="n"/>
      <c r="AE185" s="10" t="n"/>
      <c r="AF185" s="10" t="inlineStr">
        <is>
          <t>1 : 1 ; 3 : 3 ; 5 : 5 ; 206 : 206 ; 2006 : 2006 ; 14990 : 14990 ; 878054 : 878054 ; 7284465 : 7284465 ; Peugeot : Peugeot ; PEUGEOT : PEUGEOT ; 67500 km : 67500 ; Essence : 1 ; Manuelle : 1 ; RC : PEUGEOT_206_RC ; 206 2.0 16v RC 3p : 206 2.0 16v RC 3p ; 02/2006 : 02/2006 ; Berline : berline ; Bleu : bleu ; 11 Cv : 11 ; 177 Ch : 177 ; false : false ; true : true ; https://img.leboncoin.fr/api/v1/lbcpb1/images/f9/9f/b5/f99fb5bf-c23a-4905-b5a3-05abc007cdc6?rule=bo-thumb : https://img.leboncoin.fr/api/v1/lbcpb1/images/f9/9f/b5/f99fb5bf-c23a-4905-b5a3-05abc007cdc6?rule=bo-thumb ; VROOM MARKET LA CIOTAT : VROOM MARKET LA CIOTAT ; https://autoviza.fr/report/report?uid=d598ca52-9af7-4b9d-a1d3-8a9c7f7cdc02 : https://autoviza.fr/report/report?uid=d598ca52-9af7-4b9d-a1d3-8a9c7f7cdc02 ; visible : visible ; Non renseignée : non_renseignee ; activity_sector : 1 ; u_car_brand : PEUGEOT ; u_car_model : 206 ; u_car_finition : RC ; u_car_version : 206 2.0 16v RC 3p ; vehicle_maintenance : Carnet d'entretien disponible ; vehicle_interior_specs : Bluetooth, Climatisation, Essuie-glaces automatiques, Jantes en alliage, Sièges sport ; recent_used_vehicle : false ; has_visibility_option : true ; store_logo : https://img.leboncoin.fr/api/v1/lbcpb1/images/f9/9f/b5/f99fb5bf-c23a-4905-b5a3-05abc007cdc6?rule=bo-thumb ; store_name : VROOM MARKET LA CIOTAT ; online_store_id : 7284465 ; is_import : true ; old_price : 14990 ; vehicle_history_report_public_url : https://autoviza.fr/report/report?uid=d598ca52-9af7-4b9d-a1d3-8a9c7f7cdc02 ; vehicle_history_report_status : visible ; argus_object_id : 878054 ; spare_parts_availability : Non renseignée ; licence_plate_available : true</t>
        </is>
      </c>
      <c r="AG185" s="19" t="inlineStr">
        <is>
          <t>Voir</t>
        </is>
      </c>
      <c r="AH185" s="10" t="inlineStr">
        <is>
          <t>3248463615</t>
        </is>
      </c>
    </row>
    <row r="186">
      <c r="A186" s="10" t="inlineStr">
        <is>
          <t>Peugeot 206 RC</t>
        </is>
      </c>
      <c r="B186" s="10" t="inlineStr">
        <is>
          <t>206 rc</t>
        </is>
      </c>
      <c r="C186" s="10" t="inlineStr">
        <is>
          <t>En vente</t>
        </is>
      </c>
      <c r="D186" s="18" t="n">
        <v>46250</v>
      </c>
      <c r="E186" s="18" t="n">
        <v>46296</v>
      </c>
      <c r="F186" s="18" t="n">
        <v>46296</v>
      </c>
      <c r="G186" s="18" t="n"/>
      <c r="H186" s="17">
        <f>IF(OR(ISNUMBER(D186),ISNUMBER(E186)),IF(ISNUMBER(G186),G186,F186)-IF(ISNUMBER(D186),D186,E186),"")</f>
        <v/>
      </c>
      <c r="I186" s="12" t="n">
        <v>6200</v>
      </c>
      <c r="J186" s="12" t="n">
        <v>6200</v>
      </c>
      <c r="K186" s="13">
        <f>IF(AND(ISNUMBER(I186),ISNUMBER(J186),I186&gt;0),1-J186/I186,"")</f>
        <v/>
      </c>
      <c r="L186" s="16" t="n">
        <v>0</v>
      </c>
      <c r="M186" s="15" t="n">
        <v>215500</v>
      </c>
      <c r="N186" s="16" t="n">
        <v>2005</v>
      </c>
      <c r="O186" s="10" t="inlineStr">
        <is>
          <t>1</t>
        </is>
      </c>
      <c r="P186" s="10" t="inlineStr">
        <is>
          <t>1</t>
        </is>
      </c>
      <c r="Q186" s="16" t="n">
        <v>180</v>
      </c>
      <c r="R186" s="16" t="n">
        <v>11</v>
      </c>
      <c r="S186" s="10" t="inlineStr">
        <is>
          <t>noir</t>
        </is>
      </c>
      <c r="T186" s="16" t="n">
        <v>3</v>
      </c>
      <c r="U186" s="10" t="n"/>
      <c r="V186" s="10" t="n"/>
      <c r="W186" s="10" t="inlineStr">
        <is>
          <t>Particulier</t>
        </is>
      </c>
      <c r="X186" s="10" t="inlineStr">
        <is>
          <t>Coulonges-sur-Sarthe</t>
        </is>
      </c>
      <c r="Y186" s="10" t="inlineStr">
        <is>
          <t>61170</t>
        </is>
      </c>
      <c r="Z186" s="10" t="inlineStr">
        <is>
          <t>Orne</t>
        </is>
      </c>
      <c r="AA186" s="10" t="inlineStr">
        <is>
          <t>Basse-Normandie</t>
        </is>
      </c>
      <c r="AB186" s="16" t="n"/>
      <c r="AC186" s="16" t="n"/>
      <c r="AD186" s="10" t="n"/>
      <c r="AE186" s="10" t="n"/>
      <c r="AF186" s="10" t="inlineStr">
        <is>
          <t>1 : 1 ; 2 : 2 ; 3 : 3 ; 5 : 5 ; 206 : 206 ; 2005 : 2005 ; 6800 : 6800 ; 719247 : 719247 ; https://img.leboncoin.fr/api/v1/tenants/9a6387a1-6259-4f2c-a887-7e67f23dd4cb/domains/20bda58f-d650-462e-a72a-a5a7ecf2bf88/buckets/21d2b0bc-e54c-4b64-a30b-89127b18b785/images/profile/pictures/default/31ad5f70-e368-5760-9c6c-d10f5a5ebcd1?rule=pp-small : https://img.leboncoin.fr/api/v1/tenants/9a6387a1-6259-4f2c-a887-7e67f23dd4cb/domains/20bda58f-d650-462e-a72a-a5a7ecf2bf88/buckets/21d2b0bc-e54c-4b64-a30b-89127b18b785/images/profile/pictures/default/31ad5f70-e368-5760-9c6c-d10f5a5ebcd1?rule=pp-small ; Peugeot : Peugeot ; PEUGEOT : PEUGEOT ; 215500 km : 215500 ; Essence : 1 ; Manuelle : 1 ; RC : PEUGEOT_206_RC ; RC_206 2.0 16v RC 3p : RC_206 2.0 16v RC 3p ; 01/2005 : 01/2005 ; Berline : berline ; Noir : noir ; 11 Cv : 11 ; 180 Ch : 180 ; Avec permis : avecpermis ; credit_card : credit_card ; false : false ; https://autoviza.fr/report/report?uid=2202f7ad-88ea-495c-9948-bcaf34da6d35 : https://autoviza.fr/report/report?uid=2202f7ad-88ea-495c-9948-bcaf34da6d35 ; visible : visible ; true : true ; rating_score : 1 ; rating_count : 3 ; u_car_brand : PEUGEOT ; u_car_model : 206 ; u_car_finition : RC ; u_car_version : RC_206 2.0 16v RC 3p ; vehicle_upholstery : Alcantara ; vehicle_vsp : Avec permis ; vehicle_available_payment_methods : credit_card ; is_import : false ; old_price : 6800 ; vehicle_is_eligible_p2p : 2 ; vehicle_history_report_public_url : https://autoviza.fr/report/report?uid=2202f7ad-88ea-495c-9948-bcaf34da6d35 ; vehicle_history_report_status : visible ; argus_object_id : 719247 ; licence_plate_available : true</t>
        </is>
      </c>
      <c r="AG186" s="19" t="inlineStr">
        <is>
          <t>Voir</t>
        </is>
      </c>
      <c r="AH186" s="10" t="inlineStr">
        <is>
          <t>3251217335</t>
        </is>
      </c>
    </row>
    <row r="187">
      <c r="A187" s="10" t="inlineStr">
        <is>
          <t>Peugeot 206 RC</t>
        </is>
      </c>
      <c r="B187" s="10" t="inlineStr">
        <is>
          <t>206 rc</t>
        </is>
      </c>
      <c r="C187" s="10" t="inlineStr">
        <is>
          <t>En vente</t>
        </is>
      </c>
      <c r="D187" s="18" t="n"/>
      <c r="E187" s="18" t="n">
        <v>46296</v>
      </c>
      <c r="F187" s="18" t="n">
        <v>46296</v>
      </c>
      <c r="G187" s="18" t="n"/>
      <c r="H187" s="17">
        <f>IF(OR(ISNUMBER(D187),ISNUMBER(E187)),IF(ISNUMBER(G187),G187,F187)-IF(ISNUMBER(D187),D187,E187),"")</f>
        <v/>
      </c>
      <c r="I187" s="12" t="n">
        <v>11500</v>
      </c>
      <c r="J187" s="12" t="n">
        <v>11500</v>
      </c>
      <c r="K187" s="13">
        <f>IF(AND(ISNUMBER(I187),ISNUMBER(J187),I187&gt;0),1-J187/I187,"")</f>
        <v/>
      </c>
      <c r="L187" s="16" t="n">
        <v>0</v>
      </c>
      <c r="M187" s="15" t="n">
        <v>118200</v>
      </c>
      <c r="N187" s="16" t="n"/>
      <c r="O187" s="10" t="n"/>
      <c r="P187" s="10" t="n"/>
      <c r="Q187" s="16" t="n"/>
      <c r="R187" s="16" t="n"/>
      <c r="S187" s="10" t="n"/>
      <c r="T187" s="16" t="n"/>
      <c r="U187" s="10" t="n"/>
      <c r="V187" s="10" t="n"/>
      <c r="W187" s="10" t="n"/>
      <c r="X187" s="10" t="inlineStr">
        <is>
          <t>Montaigu-Vendée</t>
        </is>
      </c>
      <c r="Y187" s="10" t="n"/>
      <c r="Z187" s="10" t="n"/>
      <c r="AA187" s="10" t="n"/>
      <c r="AB187" s="16" t="n"/>
      <c r="AC187" s="16" t="n"/>
      <c r="AD187" s="10" t="n"/>
      <c r="AE187" s="10" t="n"/>
      <c r="AF187" s="10" t="n"/>
      <c r="AG187" s="19" t="inlineStr">
        <is>
          <t>Voir</t>
        </is>
      </c>
      <c r="AH187" s="10" t="inlineStr">
        <is>
          <t>3254206684</t>
        </is>
      </c>
    </row>
    <row r="188">
      <c r="A188" s="10" t="inlineStr">
        <is>
          <t>Peugeot 206 RC</t>
        </is>
      </c>
      <c r="B188" s="10" t="inlineStr">
        <is>
          <t>206 rc</t>
        </is>
      </c>
      <c r="C188" s="10" t="inlineStr">
        <is>
          <t>En vente</t>
        </is>
      </c>
      <c r="D188" s="18" t="n">
        <v>46259</v>
      </c>
      <c r="E188" s="18" t="n">
        <v>46296</v>
      </c>
      <c r="F188" s="18" t="n">
        <v>46296</v>
      </c>
      <c r="G188" s="18" t="n"/>
      <c r="H188" s="17">
        <f>IF(OR(ISNUMBER(D188),ISNUMBER(E188)),IF(ISNUMBER(G188),G188,F188)-IF(ISNUMBER(D188),D188,E188),"")</f>
        <v/>
      </c>
      <c r="I188" s="12" t="n">
        <v>7000</v>
      </c>
      <c r="J188" s="12" t="n">
        <v>7000</v>
      </c>
      <c r="K188" s="13">
        <f>IF(AND(ISNUMBER(I188),ISNUMBER(J188),I188&gt;0),1-J188/I188,"")</f>
        <v/>
      </c>
      <c r="L188" s="16" t="n">
        <v>0</v>
      </c>
      <c r="M188" s="15" t="n">
        <v>215000</v>
      </c>
      <c r="N188" s="16" t="n">
        <v>2003</v>
      </c>
      <c r="O188" s="10" t="inlineStr">
        <is>
          <t>1</t>
        </is>
      </c>
      <c r="P188" s="10" t="inlineStr">
        <is>
          <t>1</t>
        </is>
      </c>
      <c r="Q188" s="16" t="n">
        <v>180</v>
      </c>
      <c r="R188" s="16" t="n">
        <v>11</v>
      </c>
      <c r="S188" s="10" t="inlineStr">
        <is>
          <t>autre</t>
        </is>
      </c>
      <c r="T188" s="16" t="n">
        <v>3</v>
      </c>
      <c r="U188" s="10" t="n"/>
      <c r="V188" s="10" t="n"/>
      <c r="W188" s="10" t="inlineStr">
        <is>
          <t>Particulier</t>
        </is>
      </c>
      <c r="X188" s="10" t="inlineStr">
        <is>
          <t>Sanary-sur-Mer</t>
        </is>
      </c>
      <c r="Y188" s="10" t="inlineStr">
        <is>
          <t>83110</t>
        </is>
      </c>
      <c r="Z188" s="10" t="inlineStr">
        <is>
          <t>Var</t>
        </is>
      </c>
      <c r="AA188" s="10" t="inlineStr">
        <is>
          <t>Provence-Alpes-Côte d'Azur</t>
        </is>
      </c>
      <c r="AB188" s="16" t="n"/>
      <c r="AC188" s="16" t="n"/>
      <c r="AD188" s="10" t="n"/>
      <c r="AE188" s="10" t="n"/>
      <c r="AF188" s="10" t="inlineStr">
        <is>
          <t>2 : 2 ; 3 : 3 ; 5 : 5 ; 206 : 206 ; 2003 : 2003 ; https://img.leboncoin.fr/api/v1/tenants/9a6387a1-6259-4f2c-a887-7e67f23dd4cb/domains/20bda58f-d650-462e-a72a-a5a7ecf2bf88/buckets/21d2b0bc-e54c-4b64-a30b-89127b18b785/images/profile/pictures/default/66d4d003-6161-5fb5-aa8e-a3b64577a71c?rule=pp-small : https://img.leboncoin.fr/api/v1/tenants/9a6387a1-6259-4f2c-a887-7e67f23dd4cb/domains/20bda58f-d650-462e-a72a-a5a7ecf2bf88/buckets/21d2b0bc-e54c-4b64-a30b-89127b18b785/images/profile/pictures/default/66d4d003-6161-5fb5-aa8e-a3b64577a71c?rule=pp-small ; Peugeot : Peugeot ; PEUGEOT : PEUGEOT ; 215000 km : 215000 ; Essence : 1 ; Manuelle : 1 ; 08/2003 : 08/2003 ; Berline : berline ; Autre : autre ; 11 Cv : 11 ; 180 Ch : 180 ; Avec permis : avecpermis ; credit_card : credit_card ; false : false ; true : true ; u_car_brand : PEUGEOT ; u_car_model : 206 ; vehicle_vsp : Avec permis ; vehicle_available_payment_methods : credit_card ; is_import : false ; vehicle_is_eligible_p2p : 2 ; licence_plate_available : true</t>
        </is>
      </c>
      <c r="AG188" s="19" t="inlineStr">
        <is>
          <t>Voir</t>
        </is>
      </c>
      <c r="AH188" s="10" t="inlineStr">
        <is>
          <t>3256639318</t>
        </is>
      </c>
    </row>
    <row r="189">
      <c r="A189" s="10" t="inlineStr">
        <is>
          <t>Peugeot 206 RC</t>
        </is>
      </c>
      <c r="B189" s="10" t="inlineStr">
        <is>
          <t>Peugeot 206 RC</t>
        </is>
      </c>
      <c r="C189" s="10" t="inlineStr">
        <is>
          <t>En vente</t>
        </is>
      </c>
      <c r="D189" s="18" t="n">
        <v>46262</v>
      </c>
      <c r="E189" s="18" t="n">
        <v>46262</v>
      </c>
      <c r="F189" s="18" t="n">
        <v>46296</v>
      </c>
      <c r="G189" s="18" t="n"/>
      <c r="H189" s="17">
        <f>IF(OR(ISNUMBER(D189),ISNUMBER(E189)),IF(ISNUMBER(G189),G189,F189)-IF(ISNUMBER(D189),D189,E189),"")</f>
        <v/>
      </c>
      <c r="I189" s="12" t="n">
        <v>15500</v>
      </c>
      <c r="J189" s="12" t="n">
        <v>15500</v>
      </c>
      <c r="K189" s="13">
        <f>IF(AND(ISNUMBER(I189),ISNUMBER(J189),I189&gt;0),1-J189/I189,"")</f>
        <v/>
      </c>
      <c r="L189" s="16" t="n">
        <v>0</v>
      </c>
      <c r="M189" s="15" t="n">
        <v>82300</v>
      </c>
      <c r="N189" s="16" t="n">
        <v>2003</v>
      </c>
      <c r="O189" s="10" t="inlineStr">
        <is>
          <t>1</t>
        </is>
      </c>
      <c r="P189" s="10" t="inlineStr">
        <is>
          <t>1</t>
        </is>
      </c>
      <c r="Q189" s="16" t="n">
        <v>180</v>
      </c>
      <c r="R189" s="16" t="n">
        <v>11</v>
      </c>
      <c r="S189" s="10" t="inlineStr">
        <is>
          <t>bleu</t>
        </is>
      </c>
      <c r="T189" s="16" t="n">
        <v>3</v>
      </c>
      <c r="U189" s="10" t="n"/>
      <c r="V189" s="10" t="n"/>
      <c r="W189" s="10" t="inlineStr">
        <is>
          <t>Particulier</t>
        </is>
      </c>
      <c r="X189" s="10" t="inlineStr">
        <is>
          <t>La Gaude</t>
        </is>
      </c>
      <c r="Y189" s="10" t="inlineStr">
        <is>
          <t>06610</t>
        </is>
      </c>
      <c r="Z189" s="10" t="inlineStr">
        <is>
          <t>Alpes-Maritimes</t>
        </is>
      </c>
      <c r="AA189" s="10" t="inlineStr">
        <is>
          <t>Provence-Alpes-Côte d'Azur</t>
        </is>
      </c>
      <c r="AB189" s="16" t="n"/>
      <c r="AC189" s="16" t="n"/>
      <c r="AD189" s="10" t="n"/>
      <c r="AE189" s="10" t="n"/>
      <c r="AF189" s="10" t="inlineStr">
        <is>
          <t>2 : 2 ; 3 : 3 ; 5 : 5 ; 21 : 21 ; 206 : 206 ; 2003 : 2003 ; 0.99 : 0.99 ; https://img.leboncoin.fr/api/v1/tenants/9a6387a1-6259-4f2c-a887-7e67f23dd4cb/domains/20bda58f-d650-462e-a72a-a5a7ecf2bf88/buckets/21d2b0bc-e54c-4b64-a30b-89127b18b785/images/profile/pictures/default/853adef2-9871-5ec1-a1aa-eb1793149465?rule=pp-small : https://img.leboncoin.fr/api/v1/tenants/9a6387a1-6259-4f2c-a887-7e67f23dd4cb/domains/20bda58f-d650-462e-a72a-a5a7ecf2bf88/buckets/21d2b0bc-e54c-4b64-a30b-89127b18b785/images/profile/pictures/default/853adef2-9871-5ec1-a1aa-eb1793149465?rule=pp-small ; Peugeot : Peugeot ; PEUGEOT : PEUGEOT ; 82300 km : 82300 ; Essence : 1 ; Manuelle : 1 ; 07/2003 : 07/2003 ; Berline : berline ; Bleu : bleu ; 11 Cv : 11 ; 180 Ch : 180 ; Avec permis : avecpermis ; credit_card : credit_card ; false : false ; true : true ; rating_score : 0.99 ; rating_count : 21 ; u_car_brand : PEUGEOT ; u_car_model : 206 ; vehicle_vsp : Avec permis ; vehicle_available_payment_methods : credit_card ; is_import : false ; vehicle_is_eligible_p2p : 2 ; licence_plate_available : true</t>
        </is>
      </c>
      <c r="AG189" s="19" t="inlineStr">
        <is>
          <t>Voir</t>
        </is>
      </c>
      <c r="AH189" s="10" t="inlineStr">
        <is>
          <t>3258113450</t>
        </is>
      </c>
    </row>
    <row r="190">
      <c r="A190" s="10" t="inlineStr">
        <is>
          <t>Peugeot 206 RC</t>
        </is>
      </c>
      <c r="B190" s="10" t="inlineStr">
        <is>
          <t>206 rc</t>
        </is>
      </c>
      <c r="C190" s="10" t="inlineStr">
        <is>
          <t>En vente</t>
        </is>
      </c>
      <c r="D190" s="18" t="n">
        <v>46262</v>
      </c>
      <c r="E190" s="18" t="n">
        <v>46296</v>
      </c>
      <c r="F190" s="18" t="n">
        <v>46296</v>
      </c>
      <c r="G190" s="18" t="n"/>
      <c r="H190" s="17">
        <f>IF(OR(ISNUMBER(D190),ISNUMBER(E190)),IF(ISNUMBER(G190),G190,F190)-IF(ISNUMBER(D190),D190,E190),"")</f>
        <v/>
      </c>
      <c r="I190" s="12" t="n">
        <v>16300</v>
      </c>
      <c r="J190" s="12" t="n">
        <v>16300</v>
      </c>
      <c r="K190" s="13">
        <f>IF(AND(ISNUMBER(I190),ISNUMBER(J190),I190&gt;0),1-J190/I190,"")</f>
        <v/>
      </c>
      <c r="L190" s="16" t="n">
        <v>0</v>
      </c>
      <c r="M190" s="15" t="n">
        <v>60600</v>
      </c>
      <c r="N190" s="16" t="n">
        <v>2004</v>
      </c>
      <c r="O190" s="10" t="inlineStr">
        <is>
          <t>1</t>
        </is>
      </c>
      <c r="P190" s="10" t="inlineStr">
        <is>
          <t>1</t>
        </is>
      </c>
      <c r="Q190" s="16" t="n">
        <v>180</v>
      </c>
      <c r="R190" s="16" t="n">
        <v>11</v>
      </c>
      <c r="S190" s="10" t="inlineStr">
        <is>
          <t>noir</t>
        </is>
      </c>
      <c r="T190" s="16" t="n">
        <v>3</v>
      </c>
      <c r="U190" s="10" t="n"/>
      <c r="V190" s="10" t="n"/>
      <c r="W190" s="10" t="inlineStr">
        <is>
          <t>Particulier</t>
        </is>
      </c>
      <c r="X190" s="10" t="inlineStr">
        <is>
          <t>Épernay</t>
        </is>
      </c>
      <c r="Y190" s="10" t="inlineStr">
        <is>
          <t>51200</t>
        </is>
      </c>
      <c r="Z190" s="10" t="inlineStr">
        <is>
          <t>Marne</t>
        </is>
      </c>
      <c r="AA190" s="10" t="inlineStr">
        <is>
          <t>Champagne-Ardenne</t>
        </is>
      </c>
      <c r="AB190" s="16" t="n"/>
      <c r="AC190" s="16" t="n"/>
      <c r="AD190" s="10" t="n"/>
      <c r="AE190" s="10" t="n"/>
      <c r="AF190" s="10" t="inlineStr">
        <is>
          <t>2 : 2 ; 3 : 3 ; 5 : 5 ; 206 : 206 ; 2004 : 2004 ; 719174 : 719174 ; https://img.leboncoin.fr/api/v1/tenants/9a6387a1-6259-4f2c-a887-7e67f23dd4cb/domains/20bda58f-d650-462e-a72a-a5a7ecf2bf88/buckets/21d2b0bc-e54c-4b64-a30b-89127b18b785/images/profile/pictures/default/7f895b2c-f089-5b00-94b2-249789c43d2c?rule=pp-small : https://img.leboncoin.fr/api/v1/tenants/9a6387a1-6259-4f2c-a887-7e67f23dd4cb/domains/20bda58f-d650-462e-a72a-a5a7ecf2bf88/buckets/21d2b0bc-e54c-4b64-a30b-89127b18b785/images/profile/pictures/default/7f895b2c-f089-5b00-94b2-249789c43d2c?rule=pp-small ; Peugeot : Peugeot ; PEUGEOT : PEUGEOT ; 60600 km : 60600 ; Essence : 1 ; Manuelle : 1 ; RC : PEUGEOT_206_RC ; 206 2.0 16v RC 3p : 206 2.0 16v RC 3p ; 11/2004 : 11/2004 ; Excellent état (proche du neuf) : excellent_condition ; Berline : berline ; Noir : noir ; 11 Cv : 11 ; 180 Ch : 180 ; Avec permis : avecpermis ; credit_card : credit_card ; false : false ; true : true ; u_car_brand : PEUGEOT ; u_car_model : 206 ; u_car_finition : RC ; u_car_version : 206 2.0 16v RC 3p ; vehicle_damage : Excellent état (proche du neuf) ; vehicle_upholstery : Alcantara ; vehicle_maintenance : Véhicule non fumeur ; vehicle_interior_specs : Allumage automatique des phares, Climatisation, Essuie-glaces automatiques, Jantes en alliage, Ordinateur de bord, Phares anti-brouillard, Sièges sport, Volant réglable en hauteur, Volant réglable en profondeur ; vehicle_vsp : Avec permis ; vehicle_available_payment_methods : credit_card ; is_import : false ; vehicle_is_eligible_p2p : 2 ; argus_object_id : 719174 ; licence_plate_available : true</t>
        </is>
      </c>
      <c r="AG190" s="19" t="inlineStr">
        <is>
          <t>Voir</t>
        </is>
      </c>
      <c r="AH190" s="10" t="inlineStr">
        <is>
          <t>3258422146</t>
        </is>
      </c>
    </row>
    <row r="191">
      <c r="A191" s="10" t="inlineStr">
        <is>
          <t>Peugeot 206 RC</t>
        </is>
      </c>
      <c r="B191" s="10" t="inlineStr">
        <is>
          <t>206 rc</t>
        </is>
      </c>
      <c r="C191" s="10" t="inlineStr">
        <is>
          <t>En vente</t>
        </is>
      </c>
      <c r="D191" s="18" t="n">
        <v>46263</v>
      </c>
      <c r="E191" s="18" t="n">
        <v>46296</v>
      </c>
      <c r="F191" s="18" t="n">
        <v>46296</v>
      </c>
      <c r="G191" s="18" t="n"/>
      <c r="H191" s="17">
        <f>IF(OR(ISNUMBER(D191),ISNUMBER(E191)),IF(ISNUMBER(G191),G191,F191)-IF(ISNUMBER(D191),D191,E191),"")</f>
        <v/>
      </c>
      <c r="I191" s="12" t="n">
        <v>7500</v>
      </c>
      <c r="J191" s="12" t="n">
        <v>7500</v>
      </c>
      <c r="K191" s="13">
        <f>IF(AND(ISNUMBER(I191),ISNUMBER(J191),I191&gt;0),1-J191/I191,"")</f>
        <v/>
      </c>
      <c r="L191" s="16" t="n">
        <v>0</v>
      </c>
      <c r="M191" s="15" t="n">
        <v>220000</v>
      </c>
      <c r="N191" s="16" t="n">
        <v>2003</v>
      </c>
      <c r="O191" s="10" t="inlineStr">
        <is>
          <t>1</t>
        </is>
      </c>
      <c r="P191" s="10" t="inlineStr">
        <is>
          <t>1</t>
        </is>
      </c>
      <c r="Q191" s="16" t="n">
        <v>180</v>
      </c>
      <c r="R191" s="16" t="n">
        <v>11</v>
      </c>
      <c r="S191" s="10" t="inlineStr">
        <is>
          <t>noir</t>
        </is>
      </c>
      <c r="T191" s="16" t="n">
        <v>3</v>
      </c>
      <c r="U191" s="10" t="n"/>
      <c r="V191" s="10" t="n"/>
      <c r="W191" s="10" t="inlineStr">
        <is>
          <t>Particulier</t>
        </is>
      </c>
      <c r="X191" s="10" t="inlineStr">
        <is>
          <t>Les Grandes-Ventes</t>
        </is>
      </c>
      <c r="Y191" s="10" t="inlineStr">
        <is>
          <t>76950</t>
        </is>
      </c>
      <c r="Z191" s="10" t="inlineStr">
        <is>
          <t>Seine-Maritime</t>
        </is>
      </c>
      <c r="AA191" s="10" t="inlineStr">
        <is>
          <t>Haute-Normandie</t>
        </is>
      </c>
      <c r="AB191" s="16" t="n"/>
      <c r="AC191" s="16" t="n"/>
      <c r="AD191" s="10" t="n"/>
      <c r="AE191" s="10" t="n"/>
      <c r="AF191" s="10" t="inlineStr">
        <is>
          <t>2 : 2 ; 3 : 3 ; 4 : 4 ; 19 : 19 ; 206 : 206 ; 2003 : 2003 ; 0.99 : 0.99 ; https://img.leboncoin.fr/api/v1/tenants/9a6387a1-6259-4f2c-a887-7e67f23dd4cb/domains/20bda58f-d650-462e-a72a-a5a7ecf2bf88/buckets/21d2b0bc-e54c-4b64-a30b-89127b18b785/images/profile/pictures/default/582fb977-0eda-5eb1-9e12-11c38dd9f44f?rule=pp-small : https://img.leboncoin.fr/api/v1/tenants/9a6387a1-6259-4f2c-a887-7e67f23dd4cb/domains/20bda58f-d650-462e-a72a-a5a7ecf2bf88/buckets/21d2b0bc-e54c-4b64-a30b-89127b18b785/images/profile/pictures/default/582fb977-0eda-5eb1-9e12-11c38dd9f44f?rule=pp-small ; Peugeot : Peugeot ; PEUGEOT : PEUGEOT ; 220000 km : 220000 ; Essence : 1 ; Manuelle : 1 ; 10/2003 : 10/2003 ; Bon état général : good_overall_condition ; Berline : berline ; Noir : noir ; 11 Cv : 11 ; 180 Ch : 180 ; Avec permis : avecpermis ; credit_card : credit_card ; false : false ; https://autoviza.fr/report/report?uid=51098a5f-cec9-4aa7-a78d-58ab6ee0a25c : https://autoviza.fr/report/report?uid=51098a5f-cec9-4aa7-a78d-58ab6ee0a25c ; visible : visible ; true : true ; rating_score : 0.99 ; rating_count : 19 ; u_car_brand : PEUGEOT ; u_car_model : 206 ; vehicle_damage : Bon état général ; vehicle_upholstery : Alcantara ; vehicle_maintenance : Véhicule non fumeur ; vehicle_interior_specs : Allumage automatique des phares, Climatisation, Essuie-glaces automatiques, Phares anti-brouillard, Rétroviseurs dégivrants, Rétroviseurs rabattables électriquement ; vehicle_vsp : Avec permis ; vehicle_available_payment_methods : credit_card ; is_import : false ; vehicle_is_eligible_p2p : 2 ; vehicle_history_report_public_url : https://autoviza.fr/report/report?uid=51098a5f-cec9-4aa7-a78d-58ab6ee0a25c ; vehicle_history_report_status : visible ; licence_plate_available : true</t>
        </is>
      </c>
      <c r="AG191" s="19" t="inlineStr">
        <is>
          <t>Voir</t>
        </is>
      </c>
      <c r="AH191" s="10" t="inlineStr">
        <is>
          <t>3259064609</t>
        </is>
      </c>
    </row>
    <row r="192">
      <c r="A192" s="10" t="inlineStr">
        <is>
          <t>Peugeot 206 RC</t>
        </is>
      </c>
      <c r="B192" s="10" t="inlineStr">
        <is>
          <t>206 rc 180</t>
        </is>
      </c>
      <c r="C192" s="10" t="inlineStr">
        <is>
          <t>En vente</t>
        </is>
      </c>
      <c r="D192" s="18" t="n">
        <v>46269</v>
      </c>
      <c r="E192" s="18" t="n">
        <v>46296</v>
      </c>
      <c r="F192" s="18" t="n">
        <v>46296</v>
      </c>
      <c r="G192" s="18" t="n"/>
      <c r="H192" s="17">
        <f>IF(OR(ISNUMBER(D192),ISNUMBER(E192)),IF(ISNUMBER(G192),G192,F192)-IF(ISNUMBER(D192),D192,E192),"")</f>
        <v/>
      </c>
      <c r="I192" s="12" t="n">
        <v>11000</v>
      </c>
      <c r="J192" s="12" t="n">
        <v>11000</v>
      </c>
      <c r="K192" s="13">
        <f>IF(AND(ISNUMBER(I192),ISNUMBER(J192),I192&gt;0),1-J192/I192,"")</f>
        <v/>
      </c>
      <c r="L192" s="16" t="n">
        <v>0</v>
      </c>
      <c r="M192" s="15" t="n">
        <v>154500</v>
      </c>
      <c r="N192" s="16" t="n">
        <v>2004</v>
      </c>
      <c r="O192" s="10" t="inlineStr">
        <is>
          <t>1</t>
        </is>
      </c>
      <c r="P192" s="10" t="inlineStr">
        <is>
          <t>1</t>
        </is>
      </c>
      <c r="Q192" s="16" t="n">
        <v>180</v>
      </c>
      <c r="R192" s="16" t="n">
        <v>11</v>
      </c>
      <c r="S192" s="10" t="inlineStr">
        <is>
          <t>noir</t>
        </is>
      </c>
      <c r="T192" s="16" t="n">
        <v>3</v>
      </c>
      <c r="U192" s="10" t="n"/>
      <c r="V192" s="10" t="n"/>
      <c r="W192" s="10" t="inlineStr">
        <is>
          <t>Particulier</t>
        </is>
      </c>
      <c r="X192" s="10" t="inlineStr">
        <is>
          <t>Champagnole</t>
        </is>
      </c>
      <c r="Y192" s="10" t="inlineStr">
        <is>
          <t>39300</t>
        </is>
      </c>
      <c r="Z192" s="10" t="inlineStr">
        <is>
          <t>Jura</t>
        </is>
      </c>
      <c r="AA192" s="10" t="inlineStr">
        <is>
          <t>Franche-Comté</t>
        </is>
      </c>
      <c r="AB192" s="16" t="n"/>
      <c r="AC192" s="16" t="n"/>
      <c r="AD192" s="10" t="n"/>
      <c r="AE192" s="10" t="n"/>
      <c r="AF192" s="10" t="inlineStr">
        <is>
          <t>1 : 1 ; 2 : 2 ; 3 : 3 ; 5 : 5 ; 21 : 21 ; 206 : 206 ; 2004 : 2004 ; 2028 : 2028 ; 719174 : 719174 ; https://img.leboncoin.fr/api/v1/tenants/9a6387a1-6259-4f2c-a887-7e67f23dd4cb/domains/20bda58f-d650-462e-a72a-a5a7ecf2bf88/buckets/21d2b0bc-e54c-4b64-a30b-89127b18b785/images/profile/pictures/default/396c4020-9b5e-55fb-8817-e25499b8feba?rule=pp-small : https://img.leboncoin.fr/api/v1/tenants/9a6387a1-6259-4f2c-a887-7e67f23dd4cb/domains/20bda58f-d650-462e-a72a-a5a7ecf2bf88/buckets/21d2b0bc-e54c-4b64-a30b-89127b18b785/images/profile/pictures/default/396c4020-9b5e-55fb-8817-e25499b8feba?rule=pp-small ; Peugeot : Peugeot ; PEUGEOT : PEUGEOT ; 154500 km : 154500 ; Essence : 1 ; Manuelle : 1 ; RC : PEUGEOT_206_RC ; 206 2.0 16v RC 3p : 206 2.0 16v RC 3p ; Oui : true ; 08/2004 : 08/2004 ; Bon état général : good_overall_condition ; Berline : berline ; Noir : noir ; 11 Cv : 11 ; 180 Ch : 180 ; Avec permis : avecpermis ; credit_card : credit_card ; false : false ; https://autoviza.fr/report/report?uid=2e411940-07ba-44f4-834d-218e6debcbba : https://autoviza.fr/report/report?uid=2e411940-07ba-44f4-834d-218e6debcbba ; true : true ; rating_score : 1 ; rating_count : 21 ; u_car_brand : PEUGEOT ; u_car_model : 206 ; u_car_finition : RC ; u_car_version : 206 2.0 16v RC 3p ; vehicle_technical_inspection_valid : Oui ; vehicle_technical_inspection_a : 2028 ; vehicle_damage : Bon état général ; vehicle_upholstery : Alcantara ; vehicle_maintenance : Réparations utiles déjà faites, Factures disponibles, Véhicule non fumeur ; vehicle_interior_specs : Alarme antivol, Allumage automatique des phares, Bluetooth, Chargeurs USB, Climatisation, Essuie-glaces automatiques, Jantes en alliage, Phares anti-brouillard, Rétroviseurs dégivrants, Rétroviseurs rabattables électriquement, Sièges sport, Vitres surteintées à l'arrière, Volant réglable en hauteur, Volant réglable en profondeur ; vehicle_vsp : Avec permis ; vehicle_available_payment_methods : credit_card ; is_import : false ; vehicle_is_eligible_p2p : 2 ; vehicle_history_report_public_url : https://autoviza.fr/report/report?uid=2e411940-07ba-44f4-834d-218e6debcbba ; argus_object_id : 719174 ; licence_plate_available : true</t>
        </is>
      </c>
      <c r="AG192" s="19" t="inlineStr">
        <is>
          <t>Voir</t>
        </is>
      </c>
      <c r="AH192" s="10" t="inlineStr">
        <is>
          <t>3262442354</t>
        </is>
      </c>
    </row>
    <row r="193">
      <c r="A193" s="10" t="inlineStr">
        <is>
          <t>Peugeot 206 RC</t>
        </is>
      </c>
      <c r="B193" s="10" t="inlineStr">
        <is>
          <t>206 rc</t>
        </is>
      </c>
      <c r="C193" s="10" t="inlineStr">
        <is>
          <t>En vente</t>
        </is>
      </c>
      <c r="D193" s="18" t="n">
        <v>46271</v>
      </c>
      <c r="E193" s="18" t="n">
        <v>46296</v>
      </c>
      <c r="F193" s="18" t="n">
        <v>46296</v>
      </c>
      <c r="G193" s="18" t="n"/>
      <c r="H193" s="17">
        <f>IF(OR(ISNUMBER(D193),ISNUMBER(E193)),IF(ISNUMBER(G193),G193,F193)-IF(ISNUMBER(D193),D193,E193),"")</f>
        <v/>
      </c>
      <c r="I193" s="12" t="n">
        <v>12000</v>
      </c>
      <c r="J193" s="12" t="n">
        <v>12000</v>
      </c>
      <c r="K193" s="13">
        <f>IF(AND(ISNUMBER(I193),ISNUMBER(J193),I193&gt;0),1-J193/I193,"")</f>
        <v/>
      </c>
      <c r="L193" s="16" t="n">
        <v>0</v>
      </c>
      <c r="M193" s="15" t="n">
        <v>123000</v>
      </c>
      <c r="N193" s="16" t="n">
        <v>2005</v>
      </c>
      <c r="O193" s="10" t="inlineStr">
        <is>
          <t>1</t>
        </is>
      </c>
      <c r="P193" s="10" t="inlineStr">
        <is>
          <t>1</t>
        </is>
      </c>
      <c r="Q193" s="16" t="n">
        <v>180</v>
      </c>
      <c r="R193" s="16" t="n">
        <v>11</v>
      </c>
      <c r="S193" s="10" t="inlineStr">
        <is>
          <t>bleu</t>
        </is>
      </c>
      <c r="T193" s="16" t="n">
        <v>3</v>
      </c>
      <c r="U193" s="10" t="n"/>
      <c r="V193" s="10" t="n"/>
      <c r="W193" s="10" t="inlineStr">
        <is>
          <t>Particulier</t>
        </is>
      </c>
      <c r="X193" s="10" t="inlineStr">
        <is>
          <t>Figeac</t>
        </is>
      </c>
      <c r="Y193" s="10" t="inlineStr">
        <is>
          <t>46100</t>
        </is>
      </c>
      <c r="Z193" s="10" t="inlineStr">
        <is>
          <t>Lot</t>
        </is>
      </c>
      <c r="AA193" s="10" t="inlineStr">
        <is>
          <t>Midi-Pyrénées</t>
        </is>
      </c>
      <c r="AB193" s="16" t="n"/>
      <c r="AC193" s="16" t="n"/>
      <c r="AD193" s="10" t="n"/>
      <c r="AE193" s="10" t="n"/>
      <c r="AF193" s="10" t="inlineStr">
        <is>
          <t>2 : 2 ; 3 : 3 ; 5 : 5 ; 31 : 31 ; 206 : 206 ; 2005 : 2005 ; 719247 : 719247 ; 0.99 : 0.99 ; https://img.leboncoin.fr/api/v1/tenants/9a6387a1-6259-4f2c-a887-7e67f23dd4cb/domains/20bda58f-d650-462e-a72a-a5a7ecf2bf88/buckets/21d2b0bc-e54c-4b64-a30b-89127b18b785/images/profile/pictures/default/757684e8-d78f-58ab-ae73-3fc4c3f84080?rule=pp-small : https://img.leboncoin.fr/api/v1/tenants/9a6387a1-6259-4f2c-a887-7e67f23dd4cb/domains/20bda58f-d650-462e-a72a-a5a7ecf2bf88/buckets/21d2b0bc-e54c-4b64-a30b-89127b18b785/images/profile/pictures/default/757684e8-d78f-58ab-ae73-3fc4c3f84080?rule=pp-small ; Peugeot : Peugeot ; PEUGEOT : PEUGEOT ; 123000 km : 123000 ; Essence : 1 ; Manuelle : 1 ; RC : PEUGEOT_206_RC ; 206 2.0 16v RC 3p : 206 2.0 16v RC 3p ; 12/2005 : 12/2005 ; Bon état général : good_overall_condition ; Berline : berline ; Bleu : bleu ; 11 Cv : 11 ; 180 Ch : 180 ; Avec permis : avecpermis ; credit_card : credit_card ; false : false ; true : true ; rating_score : 0.99 ; rating_count : 31 ; u_car_brand : PEUGEOT ; u_car_model : 206 ; u_car_finition : RC ; u_car_version : 206 2.0 16v RC 3p ; vehicle_damage : Bon état général ; vehicle_upholstery : Tout cuir, Alcantara ; vehicle_maintenance : Factures disponibles ; vehicle_vsp : Avec permis ; vehicle_available_payment_methods : credit_card ; is_import : false ; vehicle_is_eligible_p2p : 2 ; argus_object_id : 719247 ; licence_plate_available : true</t>
        </is>
      </c>
      <c r="AG193" s="19" t="inlineStr">
        <is>
          <t>Voir</t>
        </is>
      </c>
      <c r="AH193" s="10" t="inlineStr">
        <is>
          <t>3264412764</t>
        </is>
      </c>
    </row>
    <row r="194">
      <c r="A194" s="10" t="inlineStr">
        <is>
          <t>Peugeot 206 RC</t>
        </is>
      </c>
      <c r="B194" s="10" t="inlineStr">
        <is>
          <t>206 rc</t>
        </is>
      </c>
      <c r="C194" s="10" t="inlineStr">
        <is>
          <t>En vente</t>
        </is>
      </c>
      <c r="D194" s="18" t="n">
        <v>46272</v>
      </c>
      <c r="E194" s="18" t="n">
        <v>46296</v>
      </c>
      <c r="F194" s="18" t="n">
        <v>46296</v>
      </c>
      <c r="G194" s="18" t="n"/>
      <c r="H194" s="17">
        <f>IF(OR(ISNUMBER(D194),ISNUMBER(E194)),IF(ISNUMBER(G194),G194,F194)-IF(ISNUMBER(D194),D194,E194),"")</f>
        <v/>
      </c>
      <c r="I194" s="12" t="n">
        <v>11000</v>
      </c>
      <c r="J194" s="12" t="n">
        <v>11000</v>
      </c>
      <c r="K194" s="13">
        <f>IF(AND(ISNUMBER(I194),ISNUMBER(J194),I194&gt;0),1-J194/I194,"")</f>
        <v/>
      </c>
      <c r="L194" s="16" t="n">
        <v>0</v>
      </c>
      <c r="M194" s="15" t="n">
        <v>147000</v>
      </c>
      <c r="N194" s="16" t="n">
        <v>2005</v>
      </c>
      <c r="O194" s="10" t="inlineStr">
        <is>
          <t>1</t>
        </is>
      </c>
      <c r="P194" s="10" t="inlineStr">
        <is>
          <t>1</t>
        </is>
      </c>
      <c r="Q194" s="16" t="n">
        <v>180</v>
      </c>
      <c r="R194" s="16" t="n">
        <v>11</v>
      </c>
      <c r="S194" s="10" t="inlineStr">
        <is>
          <t>gris</t>
        </is>
      </c>
      <c r="T194" s="16" t="n">
        <v>3</v>
      </c>
      <c r="U194" s="10" t="n"/>
      <c r="V194" s="10" t="n"/>
      <c r="W194" s="10" t="inlineStr">
        <is>
          <t>Particulier</t>
        </is>
      </c>
      <c r="X194" s="10" t="inlineStr">
        <is>
          <t>Caen</t>
        </is>
      </c>
      <c r="Y194" s="10" t="inlineStr">
        <is>
          <t>14000</t>
        </is>
      </c>
      <c r="Z194" s="10" t="inlineStr">
        <is>
          <t>Calvados</t>
        </is>
      </c>
      <c r="AA194" s="10" t="inlineStr">
        <is>
          <t>Basse-Normandie</t>
        </is>
      </c>
      <c r="AB194" s="16" t="n"/>
      <c r="AC194" s="16" t="n"/>
      <c r="AD194" s="10" t="n"/>
      <c r="AE194" s="10" t="n"/>
      <c r="AF194" s="10" t="inlineStr">
        <is>
          <t>2 : 2 ; 3 : 3 ; 5 : 5 ; 46 : 46 ; 206 : 206 ; 2005 : 2005 ; 719247 : 719247 ; 0.98 : 0.98 ; Peugeot : Peugeot ; PEUGEOT : PEUGEOT ; 147000 km : 147000 ; Essence : 1 ; Manuelle : 1 ; RC : PEUGEOT_206_RC ; 206 2.0 16v RC 3p : 206 2.0 16v RC 3p ; 09/2005 : 09/2005 ; Bon état général : good_overall_condition ; Berline : berline ; Gris : gris ; 11 Cv : 11 ; 180 Ch : 180 ; Avec permis : avecpermis ; credit_card : credit_card ; false : false ; true : true ; rating_score : 0.98 ; rating_count : 46 ; u_car_brand : PEUGEOT ; u_car_model : 206 ; u_car_finition : RC ; u_car_version : 206 2.0 16v RC 3p ; vehicle_damage : Bon état général ; vehicle_upholstery : Alcantara ; vehicle_maintenance : Véhicule non fumeur, Factures disponibles ; vehicle_interior_specs : Allumage automatique des phares, Bluetooth, Climatisation ; vehicle_vsp : Avec permis ; vehicle_available_payment_methods : credit_card ; is_import : false ; vehicle_is_eligible_p2p : 2 ; argus_object_id : 719247 ; licence_plate_available : true</t>
        </is>
      </c>
      <c r="AG194" s="19" t="inlineStr">
        <is>
          <t>Voir</t>
        </is>
      </c>
      <c r="AH194" s="10" t="inlineStr">
        <is>
          <t>3265358347</t>
        </is>
      </c>
    </row>
    <row r="195">
      <c r="A195" s="10" t="inlineStr">
        <is>
          <t>Peugeot 206 RC</t>
        </is>
      </c>
      <c r="B195" s="10" t="inlineStr">
        <is>
          <t>206 RC Rouge Aden</t>
        </is>
      </c>
      <c r="C195" s="10" t="inlineStr">
        <is>
          <t>En vente</t>
        </is>
      </c>
      <c r="D195" s="18" t="n">
        <v>46272</v>
      </c>
      <c r="E195" s="18" t="n">
        <v>46296</v>
      </c>
      <c r="F195" s="18" t="n">
        <v>46296</v>
      </c>
      <c r="G195" s="18" t="n"/>
      <c r="H195" s="17">
        <f>IF(OR(ISNUMBER(D195),ISNUMBER(E195)),IF(ISNUMBER(G195),G195,F195)-IF(ISNUMBER(D195),D195,E195),"")</f>
        <v/>
      </c>
      <c r="I195" s="12" t="n">
        <v>13990</v>
      </c>
      <c r="J195" s="12" t="n">
        <v>13990</v>
      </c>
      <c r="K195" s="13">
        <f>IF(AND(ISNUMBER(I195),ISNUMBER(J195),I195&gt;0),1-J195/I195,"")</f>
        <v/>
      </c>
      <c r="L195" s="16" t="n">
        <v>0</v>
      </c>
      <c r="M195" s="15" t="n">
        <v>98842</v>
      </c>
      <c r="N195" s="16" t="n">
        <v>2005</v>
      </c>
      <c r="O195" s="10" t="inlineStr">
        <is>
          <t>1</t>
        </is>
      </c>
      <c r="P195" s="10" t="inlineStr">
        <is>
          <t>1</t>
        </is>
      </c>
      <c r="Q195" s="16" t="n">
        <v>177</v>
      </c>
      <c r="R195" s="16" t="n">
        <v>11</v>
      </c>
      <c r="S195" s="10" t="inlineStr">
        <is>
          <t>rouge</t>
        </is>
      </c>
      <c r="T195" s="16" t="n">
        <v>3</v>
      </c>
      <c r="U195" s="10" t="n"/>
      <c r="V195" s="10" t="inlineStr">
        <is>
          <t>6</t>
        </is>
      </c>
      <c r="W195" s="10" t="inlineStr">
        <is>
          <t>Particulier</t>
        </is>
      </c>
      <c r="X195" s="10" t="inlineStr">
        <is>
          <t>Souleuvre en Bocage</t>
        </is>
      </c>
      <c r="Y195" s="10" t="inlineStr">
        <is>
          <t>14350</t>
        </is>
      </c>
      <c r="Z195" s="10" t="inlineStr">
        <is>
          <t>Calvados</t>
        </is>
      </c>
      <c r="AA195" s="10" t="inlineStr">
        <is>
          <t>Basse-Normandie</t>
        </is>
      </c>
      <c r="AB195" s="16" t="n"/>
      <c r="AC195" s="16" t="n"/>
      <c r="AD195" s="10" t="n"/>
      <c r="AE195" s="10" t="n"/>
      <c r="AF195" s="10" t="inlineStr">
        <is>
          <t>2 : 2 ; 3 : 3 ; 4 : 4 ; 6 : 6 ; 206 : 206 ; 2005 : 2005 ; 2028 : 2028 ; 0.97 : 0.97 ; https://img.leboncoin.fr/api/v1/tenants/9a6387a1-6259-4f2c-a887-7e67f23dd4cb/domains/20bda58f-d650-462e-a72a-a5a7ecf2bf88/buckets/21d2b0bc-e54c-4b64-a30b-89127b18b785/images/profile/pictures/default/438b60b1-322a-5e1a-9de8-a80556db2c20?rule=pp-small : https://img.leboncoin.fr/api/v1/tenants/9a6387a1-6259-4f2c-a887-7e67f23dd4cb/domains/20bda58f-d650-462e-a72a-a5a7ecf2bf88/buckets/21d2b0bc-e54c-4b64-a30b-89127b18b785/images/profile/pictures/default/438b60b1-322a-5e1a-9de8-a80556db2c20?rule=pp-small ; Peugeot : Peugeot ; PEUGEOT : PEUGEOT ; 98842 km : 98842 ; Essence : 1 ; Manuelle : 1 ; Oui : true ; 10/2005 : 10/2005 ; Traces d’usure normales : normal_wear_and_tear ; Citadine : citadine ; Rouge : rouge ; Euro 3 : euro3 ; Non classé : 6 ; 11 Cv : 11 ; 177 Ch : 177 ; Avec permis : avecpermis ; credit_card : credit_card ; false : false ; https://autoviza.fr/report/report?uid=9c9b0526-88e0-45e8-bba7-9086ae73dcd4 : https://autoviza.fr/report/report?uid=9c9b0526-88e0-45e8-bba7-9086ae73dcd4 ; visible : visible ; true : true ; rating_score : 0.97 ; rating_count : 6 ; u_car_brand : PEUGEOT ; u_car_model : 206 ; vehicle_technical_inspection_valid : Oui ; vehicle_technical_inspection_a : 2028 ; vehicle_damage : Traces d’usure normales ; vehicle_upholstery : Alcantara ; vehicle_maintenance : Carnet d'entretien disponible, Factures disponibles ; vehicle_interior_specs : Allumage automatique des phares, Climatisation, Essuie-glaces automatiques, Jantes en alliage, Phares anti-brouillard, Sièges chauffants, Sièges sport, Suspension sport / adaptative, Système audio haut de gamme, Volant réglable en hauteur ; vehicle_euro_emissions_standard : Euro 3 ; vehicle_vsp : Avec permis ; vehicle_available_payment_methods : credit_card ; is_import : false ; vehicle_is_eligible_p2p : 2 ; vehicle_history_report_public_url : https://autoviza.fr/report/report?uid=9c9b0526-88e0-45e8-bba7-9086ae73dcd4 ; vehicle_history_report_status : visible ; licence_plate_available : true</t>
        </is>
      </c>
      <c r="AG195" s="19" t="inlineStr">
        <is>
          <t>Voir</t>
        </is>
      </c>
      <c r="AH195" s="10" t="inlineStr">
        <is>
          <t>3265384769</t>
        </is>
      </c>
    </row>
    <row r="196">
      <c r="A196" s="10" t="inlineStr">
        <is>
          <t>Peugeot 206 RC</t>
        </is>
      </c>
      <c r="B196" s="10" t="inlineStr">
        <is>
          <t>Peugeot 206 RC - Rouge Aden - 180cv</t>
        </is>
      </c>
      <c r="C196" s="10" t="inlineStr">
        <is>
          <t>En vente</t>
        </is>
      </c>
      <c r="D196" s="18" t="n">
        <v>46276</v>
      </c>
      <c r="E196" s="18" t="n">
        <v>46296</v>
      </c>
      <c r="F196" s="18" t="n">
        <v>46296</v>
      </c>
      <c r="G196" s="18" t="n"/>
      <c r="H196" s="17">
        <f>IF(OR(ISNUMBER(D196),ISNUMBER(E196)),IF(ISNUMBER(G196),G196,F196)-IF(ISNUMBER(D196),D196,E196),"")</f>
        <v/>
      </c>
      <c r="I196" s="12" t="n">
        <v>12500</v>
      </c>
      <c r="J196" s="12" t="n">
        <v>12500</v>
      </c>
      <c r="K196" s="13">
        <f>IF(AND(ISNUMBER(I196),ISNUMBER(J196),I196&gt;0),1-J196/I196,"")</f>
        <v/>
      </c>
      <c r="L196" s="16" t="n">
        <v>0</v>
      </c>
      <c r="M196" s="15" t="n">
        <v>131500</v>
      </c>
      <c r="N196" s="16" t="n">
        <v>2004</v>
      </c>
      <c r="O196" s="10" t="inlineStr">
        <is>
          <t>1</t>
        </is>
      </c>
      <c r="P196" s="10" t="inlineStr">
        <is>
          <t>1</t>
        </is>
      </c>
      <c r="Q196" s="16" t="n">
        <v>180</v>
      </c>
      <c r="R196" s="16" t="n">
        <v>11</v>
      </c>
      <c r="S196" s="10" t="inlineStr">
        <is>
          <t>rouge</t>
        </is>
      </c>
      <c r="T196" s="16" t="n">
        <v>3</v>
      </c>
      <c r="U196" s="10" t="n"/>
      <c r="V196" s="10" t="inlineStr">
        <is>
          <t>1</t>
        </is>
      </c>
      <c r="W196" s="10" t="inlineStr">
        <is>
          <t>Particulier</t>
        </is>
      </c>
      <c r="X196" s="10" t="inlineStr">
        <is>
          <t>Molsheim</t>
        </is>
      </c>
      <c r="Y196" s="10" t="inlineStr">
        <is>
          <t>67120</t>
        </is>
      </c>
      <c r="Z196" s="10" t="inlineStr">
        <is>
          <t>Bas-Rhin</t>
        </is>
      </c>
      <c r="AA196" s="10" t="inlineStr">
        <is>
          <t>Alsace</t>
        </is>
      </c>
      <c r="AB196" s="16" t="n"/>
      <c r="AC196" s="16" t="n"/>
      <c r="AD196" s="10" t="n"/>
      <c r="AE196" s="10" t="n"/>
      <c r="AF196" s="10" t="inlineStr">
        <is>
          <t>1 : 1 ; 2 : 2 ; 3 : 3 ; 5 : 5 ; 206 : 206 ; 2004 : 2004 ; 2028 : 2028 ; 719247 : 719247 ; https://img.leboncoin.fr/api/v1/tenants/9a6387a1-6259-4f2c-a887-7e67f23dd4cb/domains/20bda58f-d650-462e-a72a-a5a7ecf2bf88/buckets/21d2b0bc-e54c-4b64-a30b-89127b18b785/images/profile/pictures/default/fdf8c126-d803-5132-be01-506c19e1c7a7?rule=pp-small : https://img.leboncoin.fr/api/v1/tenants/9a6387a1-6259-4f2c-a887-7e67f23dd4cb/domains/20bda58f-d650-462e-a72a-a5a7ecf2bf88/buckets/21d2b0bc-e54c-4b64-a30b-89127b18b785/images/profile/pictures/default/fdf8c126-d803-5132-be01-506c19e1c7a7?rule=pp-small ; Peugeot : Peugeot ; PEUGEOT : PEUGEOT ; 131500 km : 131500 ; Essence : 1 ; Manuelle : 1 ; RC : PEUGEOT_206_RC ; RC_206 2.0 16v RC 3p : RC_206 2.0 16v RC 3p ; Oui : true ; 03/2004 : 03/2004 ; Bon état général : good_overall_condition ; Berline : berline ; Rouge : rouge ; 11 Cv : 11 ; 180 Ch : 180 ; Avec permis : avecpermis ; credit_card : credit_card ; false : false ; hidden : hidden ; true : true ; rating_score : 1 ; rating_count : 1 ; u_car_brand : PEUGEOT ; u_car_model : 206 ; u_car_finition : RC ; u_car_version : RC_206 2.0 16v RC 3p ; vehicle_technical_inspection_valid : Oui ; vehicle_technical_inspection_a : 2028 ; vehicle_damage : Bon état général ; vehicle_upholstery : Alcantara ; vehicle_interior_specs : Climatisation, Essuie-glaces automatiques, Rétroviseurs rabattables électriquement, Sièges chauffants ; vehicle_vsp : Avec permis ; vehicle_available_payment_methods : credit_card ; is_import : false ; vehicle_is_eligible_p2p : 2 ; vehicle_history_report_status : hidden ; argus_object_id : 719247 ; licence_plate_available : true</t>
        </is>
      </c>
      <c r="AG196" s="19" t="inlineStr">
        <is>
          <t>Voir</t>
        </is>
      </c>
      <c r="AH196" s="10" t="inlineStr">
        <is>
          <t>3267576253</t>
        </is>
      </c>
    </row>
    <row r="197">
      <c r="A197" s="10" t="inlineStr">
        <is>
          <t>Peugeot 206 RC</t>
        </is>
      </c>
      <c r="B197" s="10" t="inlineStr">
        <is>
          <t>Peugeot 206 rc</t>
        </is>
      </c>
      <c r="C197" s="10" t="inlineStr">
        <is>
          <t>En vente</t>
        </is>
      </c>
      <c r="D197" s="18" t="n">
        <v>46278</v>
      </c>
      <c r="E197" s="18" t="n">
        <v>46296</v>
      </c>
      <c r="F197" s="18" t="n">
        <v>46296</v>
      </c>
      <c r="G197" s="18" t="n"/>
      <c r="H197" s="17">
        <f>IF(OR(ISNUMBER(D197),ISNUMBER(E197)),IF(ISNUMBER(G197),G197,F197)-IF(ISNUMBER(D197),D197,E197),"")</f>
        <v/>
      </c>
      <c r="I197" s="12" t="n">
        <v>12700</v>
      </c>
      <c r="J197" s="12" t="n">
        <v>12700</v>
      </c>
      <c r="K197" s="13">
        <f>IF(AND(ISNUMBER(I197),ISNUMBER(J197),I197&gt;0),1-J197/I197,"")</f>
        <v/>
      </c>
      <c r="L197" s="16" t="n">
        <v>0</v>
      </c>
      <c r="M197" s="15" t="n">
        <v>123000</v>
      </c>
      <c r="N197" s="16" t="n">
        <v>2004</v>
      </c>
      <c r="O197" s="10" t="inlineStr">
        <is>
          <t>1</t>
        </is>
      </c>
      <c r="P197" s="10" t="inlineStr">
        <is>
          <t>1</t>
        </is>
      </c>
      <c r="Q197" s="16" t="n">
        <v>180</v>
      </c>
      <c r="R197" s="16" t="n">
        <v>11</v>
      </c>
      <c r="S197" s="10" t="inlineStr">
        <is>
          <t>autre</t>
        </is>
      </c>
      <c r="T197" s="16" t="n">
        <v>3</v>
      </c>
      <c r="U197" s="10" t="n"/>
      <c r="V197" s="10" t="inlineStr">
        <is>
          <t>6</t>
        </is>
      </c>
      <c r="W197" s="10" t="inlineStr">
        <is>
          <t>Particulier</t>
        </is>
      </c>
      <c r="X197" s="10" t="inlineStr">
        <is>
          <t>Lantenne-Vertière</t>
        </is>
      </c>
      <c r="Y197" s="10" t="inlineStr">
        <is>
          <t>25170</t>
        </is>
      </c>
      <c r="Z197" s="10" t="inlineStr">
        <is>
          <t>Doubs</t>
        </is>
      </c>
      <c r="AA197" s="10" t="inlineStr">
        <is>
          <t>Franche-Comté</t>
        </is>
      </c>
      <c r="AB197" s="16" t="n"/>
      <c r="AC197" s="16" t="n"/>
      <c r="AD197" s="10" t="n"/>
      <c r="AE197" s="10" t="n"/>
      <c r="AF197" s="10" t="inlineStr">
        <is>
          <t>1 : 1 ; 2 : 2 ; 3 : 3 ; 5 : 5 ; 24 : 24 ; 206 : 206 ; 2004 : 2004 ; 743521 : 743521 ; https://img.leboncoin.fr/api/v1/tenants/9a6387a1-6259-4f2c-a887-7e67f23dd4cb/domains/20bda58f-d650-462e-a72a-a5a7ecf2bf88/buckets/21d2b0bc-e54c-4b64-a30b-89127b18b785/images/profile/pictures/9111eaf5-73ec-5333-b245-5b92e311f037?rule=pp-small : https://img.leboncoin.fr/api/v1/tenants/9a6387a1-6259-4f2c-a887-7e67f23dd4cb/domains/20bda58f-d650-462e-a72a-a5a7ecf2bf88/buckets/21d2b0bc-e54c-4b64-a30b-89127b18b785/images/profile/pictures/9111eaf5-73ec-5333-b245-5b92e311f037?rule=pp-small ; Peugeot : Peugeot ; PEUGEOT : PEUGEOT ; 123000 km : 123000 ; Essence : 1 ; Manuelle : 1 ; RC : PEUGEOT_206_RC ; RC_206 2.0 16v RC 3p : RC_206 2.0 16v RC 3p ; 08/2004 : 08/2004 ; Bon état général : good_overall_condition ; Berline : berline ; Autre : autre ; Non classé : 6 ; 11 Cv : 11 ; 180 Ch : 180 ; Avec permis : avecpermis ; credit_card : credit_card ; false : false ; https://autoviza.fr/report/report?uid=daf61b7d-fd72-47f3-aa10-4ac009b39776 : https://autoviza.fr/report/report?uid=daf61b7d-fd72-47f3-aa10-4ac009b39776 ; true : true ; rating_score : 1 ; rating_count : 24 ; u_car_brand : PEUGEOT ; u_car_model : 206 ; u_car_finition : RC ; u_car_version : RC_206 2.0 16v RC 3p ; vehicle_damage : Bon état général ; vehicle_maintenance : Carnet d'entretien disponible, Factures disponibles, Réparations utiles déjà faites ; vehicle_vsp : Avec permis ; vehicle_available_payment_methods : credit_card ; is_import : false ; vehicle_is_eligible_p2p : 2 ; vehicle_history_report_public_url : https://autoviza.fr/report/report?uid=daf61b7d-fd72-47f3-aa10-4ac009b39776 ; argus_object_id : 743521 ; licence_plate_available : true</t>
        </is>
      </c>
      <c r="AG197" s="19" t="inlineStr">
        <is>
          <t>Voir</t>
        </is>
      </c>
      <c r="AH197" s="10" t="inlineStr">
        <is>
          <t>3268704461</t>
        </is>
      </c>
    </row>
    <row r="198">
      <c r="A198" s="10" t="inlineStr">
        <is>
          <t>Peugeot 206 RC</t>
        </is>
      </c>
      <c r="B198" s="10" t="inlineStr">
        <is>
          <t>Peugeot 206 RC 2.0 177ch</t>
        </is>
      </c>
      <c r="C198" s="10" t="inlineStr">
        <is>
          <t>En vente</t>
        </is>
      </c>
      <c r="D198" s="18" t="n">
        <v>46278</v>
      </c>
      <c r="E198" s="18" t="n">
        <v>46296</v>
      </c>
      <c r="F198" s="18" t="n">
        <v>46296</v>
      </c>
      <c r="G198" s="18" t="n"/>
      <c r="H198" s="17">
        <f>IF(OR(ISNUMBER(D198),ISNUMBER(E198)),IF(ISNUMBER(G198),G198,F198)-IF(ISNUMBER(D198),D198,E198),"")</f>
        <v/>
      </c>
      <c r="I198" s="12" t="n">
        <v>9800</v>
      </c>
      <c r="J198" s="12" t="n">
        <v>9800</v>
      </c>
      <c r="K198" s="13">
        <f>IF(AND(ISNUMBER(I198),ISNUMBER(J198),I198&gt;0),1-J198/I198,"")</f>
        <v/>
      </c>
      <c r="L198" s="16" t="n">
        <v>0</v>
      </c>
      <c r="M198" s="15" t="n">
        <v>165500</v>
      </c>
      <c r="N198" s="16" t="n">
        <v>2003</v>
      </c>
      <c r="O198" s="10" t="inlineStr">
        <is>
          <t>1</t>
        </is>
      </c>
      <c r="P198" s="10" t="inlineStr">
        <is>
          <t>1</t>
        </is>
      </c>
      <c r="Q198" s="16" t="n">
        <v>130</v>
      </c>
      <c r="R198" s="16" t="n">
        <v>11</v>
      </c>
      <c r="S198" s="10" t="inlineStr">
        <is>
          <t>gris</t>
        </is>
      </c>
      <c r="T198" s="16" t="n">
        <v>3</v>
      </c>
      <c r="U198" s="10" t="n"/>
      <c r="V198" s="10" t="n"/>
      <c r="W198" s="10" t="inlineStr">
        <is>
          <t>Particulier</t>
        </is>
      </c>
      <c r="X198" s="10" t="inlineStr">
        <is>
          <t>Châteaudun</t>
        </is>
      </c>
      <c r="Y198" s="10" t="inlineStr">
        <is>
          <t>28200</t>
        </is>
      </c>
      <c r="Z198" s="10" t="inlineStr">
        <is>
          <t>Eure-et-Loir</t>
        </is>
      </c>
      <c r="AA198" s="10" t="inlineStr">
        <is>
          <t>Centre</t>
        </is>
      </c>
      <c r="AB198" s="16" t="n"/>
      <c r="AC198" s="16" t="n"/>
      <c r="AD198" s="10" t="n"/>
      <c r="AE198" s="10" t="n"/>
      <c r="AF198" s="10" t="inlineStr">
        <is>
          <t>1 : 1 ; 2 : 2 ; 3 : 3 ; 4 : 4 ; 23 : 23 ; 206 : 206 ; 2003 : 2003 ; 2028 : 2028 ; https://img.leboncoin.fr/api/v1/tenants/9a6387a1-6259-4f2c-a887-7e67f23dd4cb/domains/20bda58f-d650-462e-a72a-a5a7ecf2bf88/buckets/21d2b0bc-e54c-4b64-a30b-89127b18b785/images/profile/pictures/default/b512af6a-e105-569c-a50c-8d45b7c40b29?rule=pp-small : https://img.leboncoin.fr/api/v1/tenants/9a6387a1-6259-4f2c-a887-7e67f23dd4cb/domains/20bda58f-d650-462e-a72a-a5a7ecf2bf88/buckets/21d2b0bc-e54c-4b64-a30b-89127b18b785/images/profile/pictures/default/b512af6a-e105-569c-a50c-8d45b7c40b29?rule=pp-small ; Peugeot : Peugeot ; PEUGEOT : PEUGEOT ; 165500 km : 165500 ; Essence : 1 ; Manuelle : 1 ; Oui : true ; 10/2003 : 10/2003 ; Bon état général : good_overall_condition ; Berline : berline ; Gris : gris ; 11 Cv : 11 ; 130 Ch : 130 ; Avec permis : avecpermis ; credit_card : credit_card ; false : false ; true : true ; rating_score : 1 ; rating_count : 23 ; u_car_brand : PEUGEOT ; u_car_model : 206 ; vehicle_technical_inspection_valid : Oui ; vehicle_technical_inspection_a : 2028 ; vehicle_damage : Bon état général ; vehicle_upholstery : Alcantara ; vehicle_maintenance : Factures disponibles, Réparations utiles déjà faites, Véhicule non fumeur ; vehicle_interior_specs : Allumage automatique des phares, Attelage de remorque, Climatisation, Essuie-glaces automatiques, Jantes en alliage, Ordinateur de bord, Pare-brise chauffant, Phares anti-brouillard, Rétroviseurs dégivrants, Rétroviseurs rabattables électriquement, Siège arrière rabattable, Siège réglable en hauteur, Sièges en cuir, Sièges sport, Volant réglable en hauteur ; vehicle_vsp : Avec permis ; vehicle_available_payment_methods : credit_card ; is_import : false ; vehicle_is_eligible_p2p : 2 ; licence_plate_available : true</t>
        </is>
      </c>
      <c r="AG198" s="19" t="inlineStr">
        <is>
          <t>Voir</t>
        </is>
      </c>
      <c r="AH198" s="10" t="inlineStr">
        <is>
          <t>3269057716</t>
        </is>
      </c>
    </row>
    <row r="199">
      <c r="A199" s="10" t="inlineStr">
        <is>
          <t>Peugeot 206 RC</t>
        </is>
      </c>
      <c r="B199" s="10" t="inlineStr">
        <is>
          <t>206 rc</t>
        </is>
      </c>
      <c r="C199" s="10" t="inlineStr">
        <is>
          <t>En vente</t>
        </is>
      </c>
      <c r="D199" s="18" t="n">
        <v>46281</v>
      </c>
      <c r="E199" s="18" t="n">
        <v>46296</v>
      </c>
      <c r="F199" s="18" t="n">
        <v>46296</v>
      </c>
      <c r="G199" s="18" t="n"/>
      <c r="H199" s="17">
        <f>IF(OR(ISNUMBER(D199),ISNUMBER(E199)),IF(ISNUMBER(G199),G199,F199)-IF(ISNUMBER(D199),D199,E199),"")</f>
        <v/>
      </c>
      <c r="I199" s="12" t="n">
        <v>11500</v>
      </c>
      <c r="J199" s="12" t="n">
        <v>11500</v>
      </c>
      <c r="K199" s="13">
        <f>IF(AND(ISNUMBER(I199),ISNUMBER(J199),I199&gt;0),1-J199/I199,"")</f>
        <v/>
      </c>
      <c r="L199" s="16" t="n">
        <v>0</v>
      </c>
      <c r="M199" s="15" t="n">
        <v>120000</v>
      </c>
      <c r="N199" s="16" t="n">
        <v>2005</v>
      </c>
      <c r="O199" s="10" t="inlineStr">
        <is>
          <t>1</t>
        </is>
      </c>
      <c r="P199" s="10" t="inlineStr">
        <is>
          <t>1</t>
        </is>
      </c>
      <c r="Q199" s="16" t="n">
        <v>180</v>
      </c>
      <c r="R199" s="16" t="n">
        <v>11</v>
      </c>
      <c r="S199" s="10" t="inlineStr">
        <is>
          <t>autre</t>
        </is>
      </c>
      <c r="T199" s="16" t="n">
        <v>3</v>
      </c>
      <c r="U199" s="10" t="n"/>
      <c r="V199" s="10" t="n"/>
      <c r="W199" s="10" t="inlineStr">
        <is>
          <t>Particulier</t>
        </is>
      </c>
      <c r="X199" s="10" t="inlineStr">
        <is>
          <t>Béziers</t>
        </is>
      </c>
      <c r="Y199" s="10" t="inlineStr">
        <is>
          <t>34500</t>
        </is>
      </c>
      <c r="Z199" s="10" t="inlineStr">
        <is>
          <t>Hérault</t>
        </is>
      </c>
      <c r="AA199" s="10" t="inlineStr">
        <is>
          <t>Languedoc-Roussillon</t>
        </is>
      </c>
      <c r="AB199" s="16" t="n"/>
      <c r="AC199" s="16" t="n"/>
      <c r="AD199" s="10" t="n"/>
      <c r="AE199" s="10" t="n"/>
      <c r="AF199" s="10" t="inlineStr">
        <is>
          <t>2 : 2 ; 3 : 3 ; 5 : 5 ; 206 : 206 ; 2005 : 2005 ; 743521 : 743521 ; https://img.leboncoin.fr/api/v1/tenants/9a6387a1-6259-4f2c-a887-7e67f23dd4cb/domains/20bda58f-d650-462e-a72a-a5a7ecf2bf88/buckets/21d2b0bc-e54c-4b64-a30b-89127b18b785/images/profile/pictures/default/6b51dde8-a84d-56cf-a80f-b8c4512d5ed9?rule=pp-small : https://img.leboncoin.fr/api/v1/tenants/9a6387a1-6259-4f2c-a887-7e67f23dd4cb/domains/20bda58f-d650-462e-a72a-a5a7ecf2bf88/buckets/21d2b0bc-e54c-4b64-a30b-89127b18b785/images/profile/pictures/default/6b51dde8-a84d-56cf-a80f-b8c4512d5ed9?rule=pp-small ; Peugeot : Peugeot ; PEUGEOT : PEUGEOT ; 120000 km : 120000 ; Essence : 1 ; Manuelle : 1 ; RC : PEUGEOT_206_RC ; 206 2.0 16v RC 3p : 206 2.0 16v RC 3p ; Oui : true ; 10/2005 : 10/2005 ; Bon état général : good_overall_condition ; Berline : berline ; Autre : autre ; 11 Cv : 11 ; 180 Ch : 180 ; Avec permis : avecpermis ; credit_card : credit_card ; false : false ; true : true ; u_car_brand : PEUGEOT ; u_car_model : 206 ; u_car_finition : RC ; u_car_version : 206 2.0 16v RC 3p ; vehicle_technical_inspection_valid : Oui ; vehicle_damage : Bon état général ; vehicle_vsp : Avec permis ; vehicle_available_payment_methods : credit_card ; is_import : false ; vehicle_is_eligible_p2p : 2 ; argus_object_id : 743521 ; licence_plate_available : true</t>
        </is>
      </c>
      <c r="AG199" s="19" t="inlineStr">
        <is>
          <t>Voir</t>
        </is>
      </c>
      <c r="AH199" s="10" t="inlineStr">
        <is>
          <t>3270523427</t>
        </is>
      </c>
    </row>
    <row r="200">
      <c r="A200" s="10" t="inlineStr">
        <is>
          <t>Peugeot 206 RC</t>
        </is>
      </c>
      <c r="B200" s="10" t="inlineStr">
        <is>
          <t>Peugeot 206 rc 2.0 180</t>
        </is>
      </c>
      <c r="C200" s="10" t="inlineStr">
        <is>
          <t>En vente</t>
        </is>
      </c>
      <c r="D200" s="18" t="n">
        <v>46281</v>
      </c>
      <c r="E200" s="18" t="n">
        <v>46296</v>
      </c>
      <c r="F200" s="18" t="n">
        <v>46296</v>
      </c>
      <c r="G200" s="18" t="n"/>
      <c r="H200" s="17">
        <f>IF(OR(ISNUMBER(D200),ISNUMBER(E200)),IF(ISNUMBER(G200),G200,F200)-IF(ISNUMBER(D200),D200,E200),"")</f>
        <v/>
      </c>
      <c r="I200" s="12" t="n">
        <v>13990</v>
      </c>
      <c r="J200" s="12" t="n">
        <v>13990</v>
      </c>
      <c r="K200" s="13">
        <f>IF(AND(ISNUMBER(I200),ISNUMBER(J200),I200&gt;0),1-J200/I200,"")</f>
        <v/>
      </c>
      <c r="L200" s="16" t="n">
        <v>0</v>
      </c>
      <c r="M200" s="15" t="n">
        <v>125800</v>
      </c>
      <c r="N200" s="16" t="n">
        <v>2004</v>
      </c>
      <c r="O200" s="10" t="inlineStr">
        <is>
          <t>1</t>
        </is>
      </c>
      <c r="P200" s="10" t="inlineStr">
        <is>
          <t>1</t>
        </is>
      </c>
      <c r="Q200" s="16" t="n">
        <v>180</v>
      </c>
      <c r="R200" s="16" t="n">
        <v>11</v>
      </c>
      <c r="S200" s="10" t="inlineStr">
        <is>
          <t>rouge</t>
        </is>
      </c>
      <c r="T200" s="16" t="n">
        <v>3</v>
      </c>
      <c r="U200" s="10" t="n"/>
      <c r="V200" s="10" t="n"/>
      <c r="W200" s="10" t="inlineStr">
        <is>
          <t>Particulier</t>
        </is>
      </c>
      <c r="X200" s="10" t="inlineStr">
        <is>
          <t>Saint-Féliu-d'Avall</t>
        </is>
      </c>
      <c r="Y200" s="10" t="inlineStr">
        <is>
          <t>66170</t>
        </is>
      </c>
      <c r="Z200" s="10" t="inlineStr">
        <is>
          <t>Pyrénées-Orientales</t>
        </is>
      </c>
      <c r="AA200" s="10" t="inlineStr">
        <is>
          <t>Languedoc-Roussillon</t>
        </is>
      </c>
      <c r="AB200" s="16" t="n"/>
      <c r="AC200" s="16" t="n"/>
      <c r="AD200" s="10" t="n"/>
      <c r="AE200" s="10" t="n"/>
      <c r="AF200" s="10" t="inlineStr">
        <is>
          <t>2 : 2 ; 3 : 3 ; 5 : 5 ; 22 : 22 ; 206 : 206 ; 2004 : 2004 ; 2028 : 2028 ; 719174 : 719174 ; 0.99 : 0.99 ; https://img.leboncoin.fr/api/v1/tenants/9a6387a1-6259-4f2c-a887-7e67f23dd4cb/domains/20bda58f-d650-462e-a72a-a5a7ecf2bf88/buckets/21d2b0bc-e54c-4b64-a30b-89127b18b785/images/profile/pictures/default/a1902b84-a75e-53b2-9599-04c59ece0745?rule=pp-small : https://img.leboncoin.fr/api/v1/tenants/9a6387a1-6259-4f2c-a887-7e67f23dd4cb/domains/20bda58f-d650-462e-a72a-a5a7ecf2bf88/buckets/21d2b0bc-e54c-4b64-a30b-89127b18b785/images/profile/pictures/default/a1902b84-a75e-53b2-9599-04c59ece0745?rule=pp-small ; Peugeot : Peugeot ; PEUGEOT : PEUGEOT ; 125800 km : 125800 ; Essence : 1 ; Manuelle : 1 ; RC : PEUGEOT_206_RC ; 206 2.0 16v RC 3p : 206 2.0 16v RC 3p ; Oui : true ; 09/2004 : 09/2004 ; Bon état général : good_overall_condition ; Berline : berline ; Rouge : rouge ; Euro 6 : euro6 ; 11 Cv : 11 ; 180 Ch : 180 ; Avec permis : avecpermis ; credit_card : credit_card ; false : false ; https://autoviza.fr/report/report?uid=c6cf2cc1-6784-41c1-8ad3-97cbf1cfc1f8 : https://autoviza.fr/report/report?uid=c6cf2cc1-6784-41c1-8ad3-97cbf1cfc1f8 ; true : true ; rating_score : 0.99 ; rating_count : 22 ; u_car_brand : PEUGEOT ; u_car_model : 206 ; u_car_finition : RC ; u_car_version : 206 2.0 16v RC 3p ; vehicle_technical_inspection_valid : Oui ; vehicle_technical_inspection_a : 2028 ; vehicle_damage : Bon état général ; vehicle_upholstery : Tissu ; vehicle_maintenance : Carnet d'entretien disponible, Factures disponibles ; vehicle_interior_specs : Climatisation, Essuie-glaces automatiques, Jantes en alliage, Ordinateur de bord, Phares anti-brouillard, Sièges sport ; vehicle_euro_emissions_standard : Euro 6 ; vehicle_vsp : Avec permis ; vehicle_available_payment_methods : credit_card ; is_import : false ; vehicle_is_eligible_p2p : 2 ; vehicle_history_report_public_url : https://autoviza.fr/report/report?uid=c6cf2cc1-6784-41c1-8ad3-97cbf1cfc1f8 ; argus_object_id : 719174 ; licence_plate_available : true</t>
        </is>
      </c>
      <c r="AG200" s="19" t="inlineStr">
        <is>
          <t>Voir</t>
        </is>
      </c>
      <c r="AH200" s="10" t="inlineStr">
        <is>
          <t>3270650631</t>
        </is>
      </c>
    </row>
    <row r="201">
      <c r="A201" s="10" t="inlineStr">
        <is>
          <t>Peugeot 206 RC</t>
        </is>
      </c>
      <c r="B201" s="10" t="inlineStr">
        <is>
          <t>Peugeot 206 rc</t>
        </is>
      </c>
      <c r="C201" s="10" t="inlineStr">
        <is>
          <t>En vente</t>
        </is>
      </c>
      <c r="D201" s="18" t="n">
        <v>46281</v>
      </c>
      <c r="E201" s="18" t="n">
        <v>46296</v>
      </c>
      <c r="F201" s="18" t="n">
        <v>46296</v>
      </c>
      <c r="G201" s="18" t="n"/>
      <c r="H201" s="17">
        <f>IF(OR(ISNUMBER(D201),ISNUMBER(E201)),IF(ISNUMBER(G201),G201,F201)-IF(ISNUMBER(D201),D201,E201),"")</f>
        <v/>
      </c>
      <c r="I201" s="12" t="n">
        <v>7800</v>
      </c>
      <c r="J201" s="12" t="n">
        <v>7800</v>
      </c>
      <c r="K201" s="13">
        <f>IF(AND(ISNUMBER(I201),ISNUMBER(J201),I201&gt;0),1-J201/I201,"")</f>
        <v/>
      </c>
      <c r="L201" s="16" t="n">
        <v>0</v>
      </c>
      <c r="M201" s="15" t="n">
        <v>197000</v>
      </c>
      <c r="N201" s="16" t="n">
        <v>2003</v>
      </c>
      <c r="O201" s="10" t="inlineStr">
        <is>
          <t>1</t>
        </is>
      </c>
      <c r="P201" s="10" t="inlineStr">
        <is>
          <t>1</t>
        </is>
      </c>
      <c r="Q201" s="16" t="n">
        <v>180</v>
      </c>
      <c r="R201" s="16" t="n">
        <v>11</v>
      </c>
      <c r="S201" s="10" t="inlineStr">
        <is>
          <t>noir</t>
        </is>
      </c>
      <c r="T201" s="16" t="n">
        <v>3</v>
      </c>
      <c r="U201" s="10" t="n"/>
      <c r="V201" s="10" t="n"/>
      <c r="W201" s="10" t="inlineStr">
        <is>
          <t>Particulier</t>
        </is>
      </c>
      <c r="X201" s="10" t="inlineStr">
        <is>
          <t>Lavelanet</t>
        </is>
      </c>
      <c r="Y201" s="10" t="inlineStr">
        <is>
          <t>09300</t>
        </is>
      </c>
      <c r="Z201" s="10" t="inlineStr">
        <is>
          <t>Ariège</t>
        </is>
      </c>
      <c r="AA201" s="10" t="inlineStr">
        <is>
          <t>Midi-Pyrénées</t>
        </is>
      </c>
      <c r="AB201" s="16" t="n"/>
      <c r="AC201" s="16" t="n"/>
      <c r="AD201" s="10" t="n"/>
      <c r="AE201" s="10" t="n"/>
      <c r="AF201" s="10" t="inlineStr">
        <is>
          <t>1 : 1 ; 2 : 2 ; 3 : 3 ; 5 : 5 ; 206 : 206 ; 2003 : 2003 ; https://img.leboncoin.fr/api/v1/tenants/9a6387a1-6259-4f2c-a887-7e67f23dd4cb/domains/20bda58f-d650-462e-a72a-a5a7ecf2bf88/buckets/21d2b0bc-e54c-4b64-a30b-89127b18b785/images/profile/pictures/default/f094c311-36b1-577a-b026-d87fbbe4e1e7?rule=pp-small : https://img.leboncoin.fr/api/v1/tenants/9a6387a1-6259-4f2c-a887-7e67f23dd4cb/domains/20bda58f-d650-462e-a72a-a5a7ecf2bf88/buckets/21d2b0bc-e54c-4b64-a30b-89127b18b785/images/profile/pictures/default/f094c311-36b1-577a-b026-d87fbbe4e1e7?rule=pp-small ; Peugeot : Peugeot ; PEUGEOT : PEUGEOT ; 197000 km : 197000 ; Essence : 1 ; Manuelle : 1 ; 07/2003 : 07/2003 ; Excellent état (proche du neuf) : excellent_condition ; Berline : berline ; Noir : noir ; 11 Cv : 11 ; 180 Ch : 180 ; Avec permis : avecpermis ; credit_card : credit_card ; false : false ; true : true ; rating_score : 1 ; rating_count : 3 ; u_car_brand : PEUGEOT ; u_car_model : 206 ; vehicle_damage : Excellent état (proche du neuf) ; vehicle_vsp : Avec permis ; vehicle_available_payment_methods : credit_card ; is_import : false ; vehicle_is_eligible_p2p : 2 ; licence_plate_available : true</t>
        </is>
      </c>
      <c r="AG201" s="19" t="inlineStr">
        <is>
          <t>Voir</t>
        </is>
      </c>
      <c r="AH201" s="10" t="inlineStr">
        <is>
          <t>3271026847</t>
        </is>
      </c>
    </row>
    <row r="202">
      <c r="A202" s="10" t="inlineStr">
        <is>
          <t>Peugeot 206 RC</t>
        </is>
      </c>
      <c r="B202" s="10" t="inlineStr">
        <is>
          <t>206 rc</t>
        </is>
      </c>
      <c r="C202" s="10" t="inlineStr">
        <is>
          <t>En vente</t>
        </is>
      </c>
      <c r="D202" s="18" t="n">
        <v>46282</v>
      </c>
      <c r="E202" s="18" t="n">
        <v>46296</v>
      </c>
      <c r="F202" s="18" t="n">
        <v>46296</v>
      </c>
      <c r="G202" s="18" t="n"/>
      <c r="H202" s="17">
        <f>IF(OR(ISNUMBER(D202),ISNUMBER(E202)),IF(ISNUMBER(G202),G202,F202)-IF(ISNUMBER(D202),D202,E202),"")</f>
        <v/>
      </c>
      <c r="I202" s="12" t="n">
        <v>7000</v>
      </c>
      <c r="J202" s="12" t="n">
        <v>7000</v>
      </c>
      <c r="K202" s="13">
        <f>IF(AND(ISNUMBER(I202),ISNUMBER(J202),I202&gt;0),1-J202/I202,"")</f>
        <v/>
      </c>
      <c r="L202" s="16" t="n">
        <v>0</v>
      </c>
      <c r="M202" s="15" t="n">
        <v>254000</v>
      </c>
      <c r="N202" s="16" t="n">
        <v>2003</v>
      </c>
      <c r="O202" s="10" t="inlineStr">
        <is>
          <t>1</t>
        </is>
      </c>
      <c r="P202" s="10" t="inlineStr">
        <is>
          <t>1</t>
        </is>
      </c>
      <c r="Q202" s="16" t="n">
        <v>180</v>
      </c>
      <c r="R202" s="16" t="n">
        <v>11</v>
      </c>
      <c r="S202" s="10" t="inlineStr">
        <is>
          <t>bleu</t>
        </is>
      </c>
      <c r="T202" s="16" t="n">
        <v>3</v>
      </c>
      <c r="U202" s="10" t="n"/>
      <c r="V202" s="10" t="n"/>
      <c r="W202" s="10" t="inlineStr">
        <is>
          <t>Particulier</t>
        </is>
      </c>
      <c r="X202" s="10" t="inlineStr">
        <is>
          <t>Montpellier</t>
        </is>
      </c>
      <c r="Y202" s="10" t="inlineStr">
        <is>
          <t>34000</t>
        </is>
      </c>
      <c r="Z202" s="10" t="inlineStr">
        <is>
          <t>Hérault</t>
        </is>
      </c>
      <c r="AA202" s="10" t="inlineStr">
        <is>
          <t>Languedoc-Roussillon</t>
        </is>
      </c>
      <c r="AB202" s="16" t="n"/>
      <c r="AC202" s="16" t="n"/>
      <c r="AD202" s="10" t="n"/>
      <c r="AE202" s="10" t="n"/>
      <c r="AF202" s="10" t="inlineStr">
        <is>
          <t>1 : 1 ; 2 : 2 ; 3 : 3 ; 5 : 5 ; 206 : 206 ; 2003 : 2003 ; https://img.leboncoin.fr/api/v1/tenants/9a6387a1-6259-4f2c-a887-7e67f23dd4cb/domains/20bda58f-d650-462e-a72a-a5a7ecf2bf88/buckets/21d2b0bc-e54c-4b64-a30b-89127b18b785/images/profile/pictures/default/5350d77f-4490-5d04-9a7d-ca410ef51047?rule=pp-small : https://img.leboncoin.fr/api/v1/tenants/9a6387a1-6259-4f2c-a887-7e67f23dd4cb/domains/20bda58f-d650-462e-a72a-a5a7ecf2bf88/buckets/21d2b0bc-e54c-4b64-a30b-89127b18b785/images/profile/pictures/default/5350d77f-4490-5d04-9a7d-ca410ef51047?rule=pp-small ; Peugeot : Peugeot ; PEUGEOT : PEUGEOT ; 254000 km : 254000 ; Essence : 1 ; Manuelle : 1 ; 11/2003 : 11/2003 ; Berline : berline ; Bleu : bleu ; 11 Cv : 11 ; 180 Ch : 180 ; Avec permis : avecpermis ; credit_card : credit_card ; false : false ; true : true ; rating_score : 1 ; rating_count : 2 ; u_car_brand : PEUGEOT ; u_car_model : 206 ; vehicle_vsp : Avec permis ; vehicle_available_payment_methods : credit_card ; is_import : false ; vehicle_is_eligible_p2p : 2 ; licence_plate_available : true</t>
        </is>
      </c>
      <c r="AG202" s="19" t="inlineStr">
        <is>
          <t>Voir</t>
        </is>
      </c>
      <c r="AH202" s="10" t="inlineStr">
        <is>
          <t>3271661241</t>
        </is>
      </c>
    </row>
    <row r="203">
      <c r="A203" s="10" t="inlineStr">
        <is>
          <t>Peugeot 206 RC</t>
        </is>
      </c>
      <c r="B203" s="10" t="inlineStr">
        <is>
          <t>206 rc</t>
        </is>
      </c>
      <c r="C203" s="10" t="inlineStr">
        <is>
          <t>En vente</t>
        </is>
      </c>
      <c r="D203" s="18" t="n">
        <v>46285</v>
      </c>
      <c r="E203" s="18" t="n">
        <v>46296</v>
      </c>
      <c r="F203" s="18" t="n">
        <v>46296</v>
      </c>
      <c r="G203" s="18" t="n"/>
      <c r="H203" s="17">
        <f>IF(OR(ISNUMBER(D203),ISNUMBER(E203)),IF(ISNUMBER(G203),G203,F203)-IF(ISNUMBER(D203),D203,E203),"")</f>
        <v/>
      </c>
      <c r="I203" s="12" t="n">
        <v>5900</v>
      </c>
      <c r="J203" s="12" t="n">
        <v>5900</v>
      </c>
      <c r="K203" s="13">
        <f>IF(AND(ISNUMBER(I203),ISNUMBER(J203),I203&gt;0),1-J203/I203,"")</f>
        <v/>
      </c>
      <c r="L203" s="16" t="n">
        <v>0</v>
      </c>
      <c r="M203" s="15" t="n">
        <v>159000</v>
      </c>
      <c r="N203" s="16" t="n">
        <v>2003</v>
      </c>
      <c r="O203" s="10" t="inlineStr">
        <is>
          <t>1</t>
        </is>
      </c>
      <c r="P203" s="10" t="inlineStr">
        <is>
          <t>1</t>
        </is>
      </c>
      <c r="Q203" s="16" t="n">
        <v>180</v>
      </c>
      <c r="R203" s="16" t="n">
        <v>11</v>
      </c>
      <c r="S203" s="10" t="inlineStr">
        <is>
          <t>autre</t>
        </is>
      </c>
      <c r="T203" s="16" t="n">
        <v>3</v>
      </c>
      <c r="U203" s="10" t="n"/>
      <c r="V203" s="10" t="n"/>
      <c r="W203" s="10" t="inlineStr">
        <is>
          <t>Particulier</t>
        </is>
      </c>
      <c r="X203" s="10" t="inlineStr">
        <is>
          <t>Tulle</t>
        </is>
      </c>
      <c r="Y203" s="10" t="inlineStr">
        <is>
          <t>19000</t>
        </is>
      </c>
      <c r="Z203" s="10" t="inlineStr">
        <is>
          <t>Corrèze</t>
        </is>
      </c>
      <c r="AA203" s="10" t="inlineStr">
        <is>
          <t>Limousin</t>
        </is>
      </c>
      <c r="AB203" s="16" t="n"/>
      <c r="AC203" s="16" t="n"/>
      <c r="AD203" s="10" t="n"/>
      <c r="AE203" s="10" t="n"/>
      <c r="AF203" s="10" t="inlineStr">
        <is>
          <t>2 : 2 ; 3 : 3 ; 5 : 5 ; 8 : 8 ; 206 : 206 ; 2003 : 2003 ; 719068 : 719068 ; 0.99 : 0.99 ; https://img.leboncoin.fr/api/v1/tenants/9a6387a1-6259-4f2c-a887-7e67f23dd4cb/domains/20bda58f-d650-462e-a72a-a5a7ecf2bf88/buckets/21d2b0bc-e54c-4b64-a30b-89127b18b785/images/profile/pictures/default/fa1aeff8-15bf-54a3-a7b7-b8965a5e131e?rule=pp-small : https://img.leboncoin.fr/api/v1/tenants/9a6387a1-6259-4f2c-a887-7e67f23dd4cb/domains/20bda58f-d650-462e-a72a-a5a7ecf2bf88/buckets/21d2b0bc-e54c-4b64-a30b-89127b18b785/images/profile/pictures/default/fa1aeff8-15bf-54a3-a7b7-b8965a5e131e?rule=pp-small ; Peugeot : Peugeot ; PEUGEOT : PEUGEOT ; 159000 km : 159000 ; Essence : 1 ; Manuelle : 1 ; RC : PEUGEOT_206_RC ; 206 2.0 16v  RC 3p : 206 2.0 16v  RC 3p ; 08/2003 : 08/2003 ; Berline : berline ; Autre : autre ; 11 Cv : 11 ; 180 Ch : 180 ; Avec permis : avecpermis ; credit_card : credit_card ; false : false ; https://autoviza.fr/report/report?uid=292669f3-8623-4838-bc73-562233575dca : https://autoviza.fr/report/report?uid=292669f3-8623-4838-bc73-562233575dca ; true : true ; rating_score : 0.99 ; rating_count : 8 ; u_car_brand : PEUGEOT ; u_car_model : 206 ; u_car_finition : RC ; u_car_version : 206 2.0 16v  RC 3p ; vehicle_vsp : Avec permis ; vehicle_available_payment_methods : credit_card ; is_import : false ; vehicle_is_eligible_p2p : 2 ; vehicle_history_report_public_url : https://autoviza.fr/report/report?uid=292669f3-8623-4838-bc73-562233575dca ; argus_object_id : 719068 ; licence_plate_available : true</t>
        </is>
      </c>
      <c r="AG203" s="19" t="inlineStr">
        <is>
          <t>Voir</t>
        </is>
      </c>
      <c r="AH203" s="10" t="inlineStr">
        <is>
          <t>3273170431</t>
        </is>
      </c>
    </row>
    <row r="204">
      <c r="A204" s="10" t="inlineStr">
        <is>
          <t>Peugeot 206 RC</t>
        </is>
      </c>
      <c r="B204" s="10" t="inlineStr">
        <is>
          <t>Peugeot 206 Rc</t>
        </is>
      </c>
      <c r="C204" s="10" t="inlineStr">
        <is>
          <t>En vente</t>
        </is>
      </c>
      <c r="D204" s="18" t="n">
        <v>46288</v>
      </c>
      <c r="E204" s="18" t="n">
        <v>46296</v>
      </c>
      <c r="F204" s="18" t="n">
        <v>46296</v>
      </c>
      <c r="G204" s="18" t="n"/>
      <c r="H204" s="17">
        <f>IF(OR(ISNUMBER(D204),ISNUMBER(E204)),IF(ISNUMBER(G204),G204,F204)-IF(ISNUMBER(D204),D204,E204),"")</f>
        <v/>
      </c>
      <c r="I204" s="12" t="n">
        <v>8000</v>
      </c>
      <c r="J204" s="12" t="n">
        <v>8000</v>
      </c>
      <c r="K204" s="13">
        <f>IF(AND(ISNUMBER(I204),ISNUMBER(J204),I204&gt;0),1-J204/I204,"")</f>
        <v/>
      </c>
      <c r="L204" s="16" t="n">
        <v>0</v>
      </c>
      <c r="M204" s="15" t="n">
        <v>222000</v>
      </c>
      <c r="N204" s="16" t="n">
        <v>2004</v>
      </c>
      <c r="O204" s="10" t="inlineStr">
        <is>
          <t>1</t>
        </is>
      </c>
      <c r="P204" s="10" t="inlineStr">
        <is>
          <t>1</t>
        </is>
      </c>
      <c r="Q204" s="16" t="n">
        <v>180</v>
      </c>
      <c r="R204" s="16" t="n">
        <v>11</v>
      </c>
      <c r="S204" s="10" t="inlineStr">
        <is>
          <t>rouge</t>
        </is>
      </c>
      <c r="T204" s="16" t="n">
        <v>3</v>
      </c>
      <c r="U204" s="10" t="n"/>
      <c r="V204" s="10" t="n"/>
      <c r="W204" s="10" t="inlineStr">
        <is>
          <t>Particulier</t>
        </is>
      </c>
      <c r="X204" s="10" t="inlineStr">
        <is>
          <t>Saint-Cyr-les-Vignes</t>
        </is>
      </c>
      <c r="Y204" s="10" t="inlineStr">
        <is>
          <t>42210</t>
        </is>
      </c>
      <c r="Z204" s="10" t="inlineStr">
        <is>
          <t>Loire</t>
        </is>
      </c>
      <c r="AA204" s="10" t="inlineStr">
        <is>
          <t>Rhône-Alpes</t>
        </is>
      </c>
      <c r="AB204" s="16" t="n"/>
      <c r="AC204" s="16" t="n"/>
      <c r="AD204" s="10" t="n"/>
      <c r="AE204" s="10" t="n"/>
      <c r="AF204" s="10" t="inlineStr">
        <is>
          <t>2 : 2 ; 3 : 3 ; 5 : 5 ; 25 : 25 ; 206 : 206 ; 2004 : 2004 ; 719068 : 719068 ; 0.99 : 0.99 ; https://img.leboncoin.fr/api/v1/tenants/9a6387a1-6259-4f2c-a887-7e67f23dd4cb/domains/20bda58f-d650-462e-a72a-a5a7ecf2bf88/buckets/21d2b0bc-e54c-4b64-a30b-89127b18b785/images/profile/pictures/default/ac5349ce-9d8d-5f42-9e5e-96b098cb6486?rule=pp-small : https://img.leboncoin.fr/api/v1/tenants/9a6387a1-6259-4f2c-a887-7e67f23dd4cb/domains/20bda58f-d650-462e-a72a-a5a7ecf2bf88/buckets/21d2b0bc-e54c-4b64-a30b-89127b18b785/images/profile/pictures/default/ac5349ce-9d8d-5f42-9e5e-96b098cb6486?rule=pp-small ; Peugeot : Peugeot ; PEUGEOT : PEUGEOT ; 222000 km : 222000 ; Essence : 1 ; Manuelle : 1 ; RC : PEUGEOT_206_RC ; 206 2.0 16v  RC 3p : 206 2.0 16v  RC 3p ; 04/2004 : 04/2004 ; Berline : berline ; Rouge : rouge ; 11 Cv : 11 ; 180 Ch : 180 ; Avec permis : avecpermis ; credit_card : credit_card ; false : false ; true : true ; rating_score : 0.99 ; rating_count : 25 ; u_car_brand : PEUGEOT ; u_car_model : 206 ; u_car_finition : RC ; u_car_version : 206 2.0 16v  RC 3p ; vehicle_vsp : Avec permis ; vehicle_available_payment_methods : credit_card ; is_import : false ; vehicle_is_eligible_p2p : 2 ; argus_object_id : 719068 ; licence_plate_available : true</t>
        </is>
      </c>
      <c r="AG204" s="19" t="inlineStr">
        <is>
          <t>Voir</t>
        </is>
      </c>
      <c r="AH204" s="10" t="inlineStr">
        <is>
          <t>3275009272</t>
        </is>
      </c>
    </row>
    <row r="205">
      <c r="A205" s="10" t="inlineStr">
        <is>
          <t>Peugeot 206 RC</t>
        </is>
      </c>
      <c r="B205" s="10" t="inlineStr">
        <is>
          <t>206 rc</t>
        </is>
      </c>
      <c r="C205" s="10" t="inlineStr">
        <is>
          <t>En vente</t>
        </is>
      </c>
      <c r="D205" s="18" t="n">
        <v>46288</v>
      </c>
      <c r="E205" s="18" t="n">
        <v>46296</v>
      </c>
      <c r="F205" s="18" t="n">
        <v>46296</v>
      </c>
      <c r="G205" s="18" t="n"/>
      <c r="H205" s="17">
        <f>IF(OR(ISNUMBER(D205),ISNUMBER(E205)),IF(ISNUMBER(G205),G205,F205)-IF(ISNUMBER(D205),D205,E205),"")</f>
        <v/>
      </c>
      <c r="I205" s="12" t="n">
        <v>7500</v>
      </c>
      <c r="J205" s="12" t="n">
        <v>7500</v>
      </c>
      <c r="K205" s="13">
        <f>IF(AND(ISNUMBER(I205),ISNUMBER(J205),I205&gt;0),1-J205/I205,"")</f>
        <v/>
      </c>
      <c r="L205" s="16" t="n">
        <v>0</v>
      </c>
      <c r="M205" s="15" t="n">
        <v>290000</v>
      </c>
      <c r="N205" s="16" t="n">
        <v>2005</v>
      </c>
      <c r="O205" s="10" t="inlineStr">
        <is>
          <t>1</t>
        </is>
      </c>
      <c r="P205" s="10" t="inlineStr">
        <is>
          <t>1</t>
        </is>
      </c>
      <c r="Q205" s="16" t="n">
        <v>180</v>
      </c>
      <c r="R205" s="16" t="n">
        <v>11</v>
      </c>
      <c r="S205" s="10" t="inlineStr">
        <is>
          <t>bleu</t>
        </is>
      </c>
      <c r="T205" s="16" t="n">
        <v>3</v>
      </c>
      <c r="U205" s="10" t="n"/>
      <c r="V205" s="10" t="n"/>
      <c r="W205" s="10" t="inlineStr">
        <is>
          <t>Particulier</t>
        </is>
      </c>
      <c r="X205" s="10" t="inlineStr">
        <is>
          <t>Perriers-sur-Andelle</t>
        </is>
      </c>
      <c r="Y205" s="10" t="inlineStr">
        <is>
          <t>27910</t>
        </is>
      </c>
      <c r="Z205" s="10" t="inlineStr">
        <is>
          <t>Eure</t>
        </is>
      </c>
      <c r="AA205" s="10" t="inlineStr">
        <is>
          <t>Haute-Normandie</t>
        </is>
      </c>
      <c r="AB205" s="16" t="n"/>
      <c r="AC205" s="16" t="n"/>
      <c r="AD205" s="10" t="n"/>
      <c r="AE205" s="10" t="n"/>
      <c r="AF205" s="10" t="inlineStr">
        <is>
          <t>1 : 1 ; 2 : 2 ; 3 : 3 ; 5 : 5 ; 19 : 19 ; 206 : 206 ; 2005 : 2005 ; 743521 : 743521 ; https://img.leboncoin.fr/api/v1/tenants/9a6387a1-6259-4f2c-a887-7e67f23dd4cb/domains/20bda58f-d650-462e-a72a-a5a7ecf2bf88/buckets/21d2b0bc-e54c-4b64-a30b-89127b18b785/images/profile/pictures/default/f4d5ec4c-a25d-5ba5-a604-2981039ee4ec?rule=pp-small : https://img.leboncoin.fr/api/v1/tenants/9a6387a1-6259-4f2c-a887-7e67f23dd4cb/domains/20bda58f-d650-462e-a72a-a5a7ecf2bf88/buckets/21d2b0bc-e54c-4b64-a30b-89127b18b785/images/profile/pictures/default/f4d5ec4c-a25d-5ba5-a604-2981039ee4ec?rule=pp-small ; Peugeot : Peugeot ; PEUGEOT : PEUGEOT ; 290000 km : 290000 ; Essence : 1 ; Manuelle : 1 ; RC : PEUGEOT_206_RC ; RC_206 2.0 16v RC 3p : RC_206 2.0 16v RC 3p ; 03/2005 : 03/2005 ; Berline : berline ; Bleu : bleu ; 11 Cv : 11 ; 180 Ch : 180 ; Avec permis : avecpermis ; credit_card : credit_card ; false : false ; true : true ; rating_score : 1 ; rating_count : 19 ; u_car_brand : PEUGEOT ; u_car_model : 206 ; u_car_finition : RC ; u_car_version : RC_206 2.0 16v RC 3p ; vehicle_maintenance : Factures disponibles ; vehicle_vsp : Avec permis ; vehicle_available_payment_methods : credit_card ; is_import : false ; vehicle_is_eligible_p2p : 2 ; argus_object_id : 743521 ; licence_plate_available : true</t>
        </is>
      </c>
      <c r="AG205" s="19" t="inlineStr">
        <is>
          <t>Voir</t>
        </is>
      </c>
      <c r="AH205" s="10" t="inlineStr">
        <is>
          <t>3275531733</t>
        </is>
      </c>
    </row>
    <row r="206">
      <c r="A206" s="10" t="inlineStr">
        <is>
          <t>Peugeot 206 RC</t>
        </is>
      </c>
      <c r="B206" s="10" t="inlineStr">
        <is>
          <t>206 rc</t>
        </is>
      </c>
      <c r="C206" s="10" t="inlineStr">
        <is>
          <t>En vente</t>
        </is>
      </c>
      <c r="D206" s="18" t="n">
        <v>46289</v>
      </c>
      <c r="E206" s="18" t="n">
        <v>46296</v>
      </c>
      <c r="F206" s="18" t="n">
        <v>46296</v>
      </c>
      <c r="G206" s="18" t="n"/>
      <c r="H206" s="17">
        <f>IF(OR(ISNUMBER(D206),ISNUMBER(E206)),IF(ISNUMBER(G206),G206,F206)-IF(ISNUMBER(D206),D206,E206),"")</f>
        <v/>
      </c>
      <c r="I206" s="12" t="n">
        <v>13499</v>
      </c>
      <c r="J206" s="12" t="n">
        <v>13499</v>
      </c>
      <c r="K206" s="13">
        <f>IF(AND(ISNUMBER(I206),ISNUMBER(J206),I206&gt;0),1-J206/I206,"")</f>
        <v/>
      </c>
      <c r="L206" s="16" t="n">
        <v>0</v>
      </c>
      <c r="M206" s="15" t="n">
        <v>128000</v>
      </c>
      <c r="N206" s="16" t="n">
        <v>2006</v>
      </c>
      <c r="O206" s="10" t="inlineStr">
        <is>
          <t>1</t>
        </is>
      </c>
      <c r="P206" s="10" t="inlineStr">
        <is>
          <t>1</t>
        </is>
      </c>
      <c r="Q206" s="16" t="n">
        <v>180</v>
      </c>
      <c r="R206" s="16" t="n">
        <v>11</v>
      </c>
      <c r="S206" s="10" t="inlineStr">
        <is>
          <t>noir</t>
        </is>
      </c>
      <c r="T206" s="16" t="n">
        <v>3</v>
      </c>
      <c r="U206" s="10" t="n"/>
      <c r="V206" s="10" t="n"/>
      <c r="W206" s="10" t="inlineStr">
        <is>
          <t>Particulier</t>
        </is>
      </c>
      <c r="X206" s="10" t="inlineStr">
        <is>
          <t>Saint-Hilaire-Saint-Mesmin</t>
        </is>
      </c>
      <c r="Y206" s="10" t="inlineStr">
        <is>
          <t>45160</t>
        </is>
      </c>
      <c r="Z206" s="10" t="inlineStr">
        <is>
          <t>Loiret</t>
        </is>
      </c>
      <c r="AA206" s="10" t="inlineStr">
        <is>
          <t>Centre</t>
        </is>
      </c>
      <c r="AB206" s="16" t="n"/>
      <c r="AC206" s="16" t="n"/>
      <c r="AD206" s="10" t="n"/>
      <c r="AE206" s="10" t="n"/>
      <c r="AF206" s="10" t="inlineStr">
        <is>
          <t>1 : 1 ; 2 : 2 ; 3 : 3 ; 5 : 5 ; 8 : 8 ; 206 : 206 ; 2006 : 2006 ; https://img.leboncoin.fr/api/v1/tenants/9a6387a1-6259-4f2c-a887-7e67f23dd4cb/domains/20bda58f-d650-462e-a72a-a5a7ecf2bf88/buckets/21d2b0bc-e54c-4b64-a30b-89127b18b785/images/profile/pictures/59273864-782b-54ac-a7b9-69d10f2d8d5c?rule=pp-small : https://img.leboncoin.fr/api/v1/tenants/9a6387a1-6259-4f2c-a887-7e67f23dd4cb/domains/20bda58f-d650-462e-a72a-a5a7ecf2bf88/buckets/21d2b0bc-e54c-4b64-a30b-89127b18b785/images/profile/pictures/59273864-782b-54ac-a7b9-69d10f2d8d5c?rule=pp-small ; Peugeot : Peugeot ; PEUGEOT : PEUGEOT ; 128000 km : 128000 ; Essence : 1 ; Manuelle : 1 ; Oui : true ; 02/2006 : 02/2006 ; Berline : berline ; Noir : noir ; 11 Cv : 11 ; 180 Ch : 180 ; Avec permis : avecpermis ; credit_card : credit_card ; false : false ; true : true ; rating_score : 1 ; rating_count : 8 ; u_car_brand : PEUGEOT ; u_car_model : 206 ; vehicle_technical_inspection_valid : Oui ; vehicle_vsp : Avec permis ; vehicle_available_payment_methods : credit_card ; is_import : false ; vehicle_is_eligible_p2p : 2 ; licence_plate_available : true</t>
        </is>
      </c>
      <c r="AG206" s="19" t="inlineStr">
        <is>
          <t>Voir</t>
        </is>
      </c>
      <c r="AH206" s="10" t="inlineStr">
        <is>
          <t>3276061576</t>
        </is>
      </c>
    </row>
    <row r="207">
      <c r="A207" s="10" t="inlineStr">
        <is>
          <t>Peugeot 206 RC</t>
        </is>
      </c>
      <c r="B207" s="10" t="inlineStr">
        <is>
          <t>206 rc line 1.6 110 cv</t>
        </is>
      </c>
      <c r="C207" s="10" t="inlineStr">
        <is>
          <t>En vente</t>
        </is>
      </c>
      <c r="D207" s="18" t="n"/>
      <c r="E207" s="18" t="n">
        <v>46296</v>
      </c>
      <c r="F207" s="18" t="n">
        <v>46296</v>
      </c>
      <c r="G207" s="18" t="n"/>
      <c r="H207" s="17">
        <f>IF(OR(ISNUMBER(D207),ISNUMBER(E207)),IF(ISNUMBER(G207),G207,F207)-IF(ISNUMBER(D207),D207,E207),"")</f>
        <v/>
      </c>
      <c r="I207" s="12" t="n">
        <v>6800</v>
      </c>
      <c r="J207" s="12" t="n">
        <v>6800</v>
      </c>
      <c r="K207" s="13">
        <f>IF(AND(ISNUMBER(I207),ISNUMBER(J207),I207&gt;0),1-J207/I207,"")</f>
        <v/>
      </c>
      <c r="L207" s="16" t="n">
        <v>0</v>
      </c>
      <c r="M207" s="15" t="n">
        <v>124000</v>
      </c>
      <c r="N207" s="16" t="n"/>
      <c r="O207" s="10" t="n"/>
      <c r="P207" s="10" t="n"/>
      <c r="Q207" s="16" t="n"/>
      <c r="R207" s="16" t="n"/>
      <c r="S207" s="10" t="n"/>
      <c r="T207" s="16" t="n"/>
      <c r="U207" s="10" t="n"/>
      <c r="V207" s="10" t="n"/>
      <c r="W207" s="10" t="n"/>
      <c r="X207" s="10" t="inlineStr">
        <is>
          <t>Cernay</t>
        </is>
      </c>
      <c r="Y207" s="10" t="n"/>
      <c r="Z207" s="10" t="n"/>
      <c r="AA207" s="10" t="n"/>
      <c r="AB207" s="16" t="n"/>
      <c r="AC207" s="16" t="n"/>
      <c r="AD207" s="10" t="n"/>
      <c r="AE207" s="10" t="n"/>
      <c r="AF207" s="10" t="n"/>
      <c r="AG207" s="19" t="inlineStr">
        <is>
          <t>Voir</t>
        </is>
      </c>
      <c r="AH207" s="10" t="inlineStr">
        <is>
          <t>3276929411</t>
        </is>
      </c>
    </row>
    <row r="208">
      <c r="A208" s="10" t="inlineStr">
        <is>
          <t>Peugeot 206 RC</t>
        </is>
      </c>
      <c r="B208" s="10" t="inlineStr">
        <is>
          <t>Peugeot 206 RC 2.0 177ch - Bleu Récif</t>
        </is>
      </c>
      <c r="C208" s="10" t="inlineStr">
        <is>
          <t>En vente</t>
        </is>
      </c>
      <c r="D208" s="18" t="n"/>
      <c r="E208" s="18" t="n">
        <v>46296</v>
      </c>
      <c r="F208" s="18" t="n">
        <v>46296</v>
      </c>
      <c r="G208" s="18" t="n"/>
      <c r="H208" s="17">
        <f>IF(OR(ISNUMBER(D208),ISNUMBER(E208)),IF(ISNUMBER(G208),G208,F208)-IF(ISNUMBER(D208),D208,E208),"")</f>
        <v/>
      </c>
      <c r="I208" s="12" t="n">
        <v>5300</v>
      </c>
      <c r="J208" s="12" t="n">
        <v>5300</v>
      </c>
      <c r="K208" s="13">
        <f>IF(AND(ISNUMBER(I208),ISNUMBER(J208),I208&gt;0),1-J208/I208,"")</f>
        <v/>
      </c>
      <c r="L208" s="16" t="n">
        <v>0</v>
      </c>
      <c r="M208" s="15" t="n">
        <v>234000</v>
      </c>
      <c r="N208" s="16" t="n"/>
      <c r="O208" s="10" t="n"/>
      <c r="P208" s="10" t="n"/>
      <c r="Q208" s="16" t="n"/>
      <c r="R208" s="16" t="n"/>
      <c r="S208" s="10" t="n"/>
      <c r="T208" s="16" t="n"/>
      <c r="U208" s="10" t="n"/>
      <c r="V208" s="10" t="n"/>
      <c r="W208" s="10" t="n"/>
      <c r="X208" s="10" t="inlineStr">
        <is>
          <t>Belley</t>
        </is>
      </c>
      <c r="Y208" s="10" t="n"/>
      <c r="Z208" s="10" t="n"/>
      <c r="AA208" s="10" t="n"/>
      <c r="AB208" s="16" t="n"/>
      <c r="AC208" s="16" t="n"/>
      <c r="AD208" s="10" t="n"/>
      <c r="AE208" s="10" t="n"/>
      <c r="AF208" s="10" t="n"/>
      <c r="AG208" s="19" t="inlineStr">
        <is>
          <t>Voir</t>
        </is>
      </c>
      <c r="AH208" s="10" t="inlineStr">
        <is>
          <t>3277073683</t>
        </is>
      </c>
    </row>
    <row r="209">
      <c r="A209" s="10" t="inlineStr">
        <is>
          <t>Peugeot 206 RC</t>
        </is>
      </c>
      <c r="B209" s="10" t="inlineStr">
        <is>
          <t>Peugeot 206 rc</t>
        </is>
      </c>
      <c r="C209" s="10" t="inlineStr">
        <is>
          <t>En vente</t>
        </is>
      </c>
      <c r="D209" s="18" t="n">
        <v>46292</v>
      </c>
      <c r="E209" s="18" t="n">
        <v>46296</v>
      </c>
      <c r="F209" s="18" t="n">
        <v>46296</v>
      </c>
      <c r="G209" s="18" t="n"/>
      <c r="H209" s="17">
        <f>IF(OR(ISNUMBER(D209),ISNUMBER(E209)),IF(ISNUMBER(G209),G209,F209)-IF(ISNUMBER(D209),D209,E209),"")</f>
        <v/>
      </c>
      <c r="I209" s="12" t="n">
        <v>11000</v>
      </c>
      <c r="J209" s="12" t="n">
        <v>11000</v>
      </c>
      <c r="K209" s="13">
        <f>IF(AND(ISNUMBER(I209),ISNUMBER(J209),I209&gt;0),1-J209/I209,"")</f>
        <v/>
      </c>
      <c r="L209" s="16" t="n">
        <v>0</v>
      </c>
      <c r="M209" s="15" t="n">
        <v>182000</v>
      </c>
      <c r="N209" s="16" t="n">
        <v>2003</v>
      </c>
      <c r="O209" s="10" t="inlineStr">
        <is>
          <t>1</t>
        </is>
      </c>
      <c r="P209" s="10" t="inlineStr">
        <is>
          <t>1</t>
        </is>
      </c>
      <c r="Q209" s="16" t="n">
        <v>180</v>
      </c>
      <c r="R209" s="16" t="n">
        <v>11</v>
      </c>
      <c r="S209" s="10" t="inlineStr">
        <is>
          <t>noir</t>
        </is>
      </c>
      <c r="T209" s="16" t="n">
        <v>3</v>
      </c>
      <c r="U209" s="10" t="n"/>
      <c r="V209" s="10" t="n"/>
      <c r="W209" s="10" t="inlineStr">
        <is>
          <t>Particulier</t>
        </is>
      </c>
      <c r="X209" s="10" t="inlineStr">
        <is>
          <t>Saint-Cyr-de-Favières</t>
        </is>
      </c>
      <c r="Y209" s="10" t="inlineStr">
        <is>
          <t>42123</t>
        </is>
      </c>
      <c r="Z209" s="10" t="inlineStr">
        <is>
          <t>Loire</t>
        </is>
      </c>
      <c r="AA209" s="10" t="inlineStr">
        <is>
          <t>Rhône-Alpes</t>
        </is>
      </c>
      <c r="AB209" s="16" t="n"/>
      <c r="AC209" s="16" t="n"/>
      <c r="AD209" s="10" t="n"/>
      <c r="AE209" s="10" t="n"/>
      <c r="AF209" s="10" t="inlineStr">
        <is>
          <t>1 : 1 ; 2 : 2 ; 3 : 3 ; 4 : 4 ; 5 : 5 ; 206 : 206 ; 2003 : 2003 ; https://img.leboncoin.fr/api/v1/tenants/9a6387a1-6259-4f2c-a887-7e67f23dd4cb/domains/20bda58f-d650-462e-a72a-a5a7ecf2bf88/buckets/21d2b0bc-e54c-4b64-a30b-89127b18b785/images/profile/pictures/default/dff579c6-f4fc-56ae-abda-42359ad6f490?rule=pp-small : https://img.leboncoin.fr/api/v1/tenants/9a6387a1-6259-4f2c-a887-7e67f23dd4cb/domains/20bda58f-d650-462e-a72a-a5a7ecf2bf88/buckets/21d2b0bc-e54c-4b64-a30b-89127b18b785/images/profile/pictures/default/dff579c6-f4fc-56ae-abda-42359ad6f490?rule=pp-small ; Peugeot : Peugeot ; PEUGEOT : PEUGEOT ; 182000 km : 182000 ; Essence : 1 ; Manuelle : 1 ; 08/2003 : 08/2003 ; Berline : berline ; Noir : noir ; 11 Cv : 11 ; 180 Ch : 180 ; Avec permis : avecpermis ; credit_card : credit_card ; false : false ; true : true ; rating_score : 1 ; rating_count : 4 ; u_car_brand : PEUGEOT ; u_car_model : 206 ; vehicle_vsp : Avec permis ; vehicle_available_payment_methods : credit_card ; is_import : false ; vehicle_is_eligible_p2p : 2 ; licence_plate_available : true</t>
        </is>
      </c>
      <c r="AG209" s="19" t="inlineStr">
        <is>
          <t>Voir</t>
        </is>
      </c>
      <c r="AH209" s="10" t="inlineStr">
        <is>
          <t>3277840482</t>
        </is>
      </c>
    </row>
    <row r="210">
      <c r="A210" s="10" t="inlineStr">
        <is>
          <t>Peugeot 206 RC</t>
        </is>
      </c>
      <c r="B210" s="10" t="inlineStr">
        <is>
          <t>206 rc</t>
        </is>
      </c>
      <c r="C210" s="10" t="inlineStr">
        <is>
          <t>En vente</t>
        </is>
      </c>
      <c r="D210" s="18" t="n">
        <v>46293</v>
      </c>
      <c r="E210" s="18" t="n">
        <v>46296</v>
      </c>
      <c r="F210" s="18" t="n">
        <v>46296</v>
      </c>
      <c r="G210" s="18" t="n"/>
      <c r="H210" s="17">
        <f>IF(OR(ISNUMBER(D210),ISNUMBER(E210)),IF(ISNUMBER(G210),G210,F210)-IF(ISNUMBER(D210),D210,E210),"")</f>
        <v/>
      </c>
      <c r="I210" s="12" t="n">
        <v>6000</v>
      </c>
      <c r="J210" s="12" t="n">
        <v>6000</v>
      </c>
      <c r="K210" s="13">
        <f>IF(AND(ISNUMBER(I210),ISNUMBER(J210),I210&gt;0),1-J210/I210,"")</f>
        <v/>
      </c>
      <c r="L210" s="16" t="n">
        <v>0</v>
      </c>
      <c r="M210" s="15" t="n">
        <v>291000</v>
      </c>
      <c r="N210" s="16" t="n">
        <v>2003</v>
      </c>
      <c r="O210" s="10" t="inlineStr">
        <is>
          <t>1</t>
        </is>
      </c>
      <c r="P210" s="10" t="inlineStr">
        <is>
          <t>1</t>
        </is>
      </c>
      <c r="Q210" s="16" t="n">
        <v>180</v>
      </c>
      <c r="R210" s="16" t="n">
        <v>11</v>
      </c>
      <c r="S210" s="10" t="inlineStr">
        <is>
          <t>noir</t>
        </is>
      </c>
      <c r="T210" s="16" t="n">
        <v>3</v>
      </c>
      <c r="U210" s="10" t="n"/>
      <c r="V210" s="10" t="n"/>
      <c r="W210" s="10" t="inlineStr">
        <is>
          <t>Particulier</t>
        </is>
      </c>
      <c r="X210" s="10" t="inlineStr">
        <is>
          <t>La Côte-Saint-André</t>
        </is>
      </c>
      <c r="Y210" s="10" t="inlineStr">
        <is>
          <t>38260</t>
        </is>
      </c>
      <c r="Z210" s="10" t="inlineStr">
        <is>
          <t>Isère</t>
        </is>
      </c>
      <c r="AA210" s="10" t="inlineStr">
        <is>
          <t>Rhône-Alpes</t>
        </is>
      </c>
      <c r="AB210" s="16" t="n"/>
      <c r="AC210" s="16" t="n"/>
      <c r="AD210" s="10" t="n"/>
      <c r="AE210" s="10" t="n"/>
      <c r="AF210" s="10" t="inlineStr">
        <is>
          <t>1 : 1 ; 2 : 2 ; 3 : 3 ; 5 : 5 ; 206 : 206 ; 2003 : 2003 ; https://img.leboncoin.fr/api/v1/tenants/9a6387a1-6259-4f2c-a887-7e67f23dd4cb/domains/20bda58f-d650-462e-a72a-a5a7ecf2bf88/buckets/21d2b0bc-e54c-4b64-a30b-89127b18b785/images/profile/pictures/default/d3026aec-35f9-55c9-b3f6-708e76119f0b?rule=pp-small : https://img.leboncoin.fr/api/v1/tenants/9a6387a1-6259-4f2c-a887-7e67f23dd4cb/domains/20bda58f-d650-462e-a72a-a5a7ecf2bf88/buckets/21d2b0bc-e54c-4b64-a30b-89127b18b785/images/profile/pictures/default/d3026aec-35f9-55c9-b3f6-708e76119f0b?rule=pp-small ; Peugeot : Peugeot ; PEUGEOT : PEUGEOT ; 291000 km : 291000 ; Essence : 1 ; Manuelle : 1 ; Oui : true ; 07/2003 : 07/2003 ; Bon état général : good_overall_condition ; Berline : berline ; Noir : noir ; 11 Cv : 11 ; 180 Ch : 180 ; Avec permis : avecpermis ; credit_card : credit_card ; false : false ; https://autoviza.fr/report/report?uid=9ea102bc-b889-44fc-8a46-e501613b1450 : https://autoviza.fr/report/report?uid=9ea102bc-b889-44fc-8a46-e501613b1450 ; true : true ; rating_score : 1 ; rating_count : 3 ; u_car_brand : PEUGEOT ; u_car_model : 206 ; vehicle_technical_inspection_valid : Oui ; vehicle_damage : Bon état général ; vehicle_upholstery : Alcantara ; vehicle_maintenance : Factures disponibles ; vehicle_vsp : Avec permis ; vehicle_available_payment_methods : credit_card ; is_import : false ; vehicle_is_eligible_p2p : 2 ; vehicle_history_report_public_url : https://autoviza.fr/report/report?uid=9ea102bc-b889-44fc-8a46-e501613b1450 ; licence_plate_available : true</t>
        </is>
      </c>
      <c r="AG210" s="19" t="inlineStr">
        <is>
          <t>Voir</t>
        </is>
      </c>
      <c r="AH210" s="10" t="inlineStr">
        <is>
          <t>3278317897</t>
        </is>
      </c>
    </row>
    <row r="211">
      <c r="A211" s="10" t="inlineStr">
        <is>
          <t>Peugeot 206 RC</t>
        </is>
      </c>
      <c r="B211" s="10" t="inlineStr">
        <is>
          <t>206 rc</t>
        </is>
      </c>
      <c r="C211" s="10" t="inlineStr">
        <is>
          <t>En vente</t>
        </is>
      </c>
      <c r="D211" s="18" t="n">
        <v>46293</v>
      </c>
      <c r="E211" s="18" t="n">
        <v>46296</v>
      </c>
      <c r="F211" s="18" t="n">
        <v>46296</v>
      </c>
      <c r="G211" s="18" t="n"/>
      <c r="H211" s="17">
        <f>IF(OR(ISNUMBER(D211),ISNUMBER(E211)),IF(ISNUMBER(G211),G211,F211)-IF(ISNUMBER(D211),D211,E211),"")</f>
        <v/>
      </c>
      <c r="I211" s="12" t="n">
        <v>8500</v>
      </c>
      <c r="J211" s="12" t="n">
        <v>8500</v>
      </c>
      <c r="K211" s="13">
        <f>IF(AND(ISNUMBER(I211),ISNUMBER(J211),I211&gt;0),1-J211/I211,"")</f>
        <v/>
      </c>
      <c r="L211" s="16" t="n">
        <v>0</v>
      </c>
      <c r="M211" s="15" t="n">
        <v>192000</v>
      </c>
      <c r="N211" s="16" t="n">
        <v>2004</v>
      </c>
      <c r="O211" s="10" t="inlineStr">
        <is>
          <t>1</t>
        </is>
      </c>
      <c r="P211" s="10" t="inlineStr">
        <is>
          <t>1</t>
        </is>
      </c>
      <c r="Q211" s="16" t="n">
        <v>180</v>
      </c>
      <c r="R211" s="16" t="n">
        <v>11</v>
      </c>
      <c r="S211" s="10" t="inlineStr">
        <is>
          <t>bleu</t>
        </is>
      </c>
      <c r="T211" s="16" t="n">
        <v>3</v>
      </c>
      <c r="U211" s="10" t="n"/>
      <c r="V211" s="10" t="n"/>
      <c r="W211" s="10" t="inlineStr">
        <is>
          <t>Particulier</t>
        </is>
      </c>
      <c r="X211" s="10" t="inlineStr">
        <is>
          <t>Perrecy-les-Forges</t>
        </is>
      </c>
      <c r="Y211" s="10" t="inlineStr">
        <is>
          <t>71420</t>
        </is>
      </c>
      <c r="Z211" s="10" t="inlineStr">
        <is>
          <t>Saône-et-Loire</t>
        </is>
      </c>
      <c r="AA211" s="10" t="inlineStr">
        <is>
          <t>Bourgogne</t>
        </is>
      </c>
      <c r="AB211" s="16" t="n"/>
      <c r="AC211" s="16" t="n"/>
      <c r="AD211" s="10" t="n"/>
      <c r="AE211" s="10" t="n"/>
      <c r="AF211" s="10" t="inlineStr">
        <is>
          <t>2 : 2 ; 3 : 3 ; 5 : 5 ; 47 : 47 ; 206 : 206 ; 2004 : 2004 ; 0.99 : 0.99 ; https://img.leboncoin.fr/api/v1/tenants/9a6387a1-6259-4f2c-a887-7e67f23dd4cb/domains/20bda58f-d650-462e-a72a-a5a7ecf2bf88/buckets/21d2b0bc-e54c-4b64-a30b-89127b18b785/images/profile/pictures/default/f32e7d41-6b14-518f-83f5-7f3e1f3d26ef?rule=pp-small : https://img.leboncoin.fr/api/v1/tenants/9a6387a1-6259-4f2c-a887-7e67f23dd4cb/domains/20bda58f-d650-462e-a72a-a5a7ecf2bf88/buckets/21d2b0bc-e54c-4b64-a30b-89127b18b785/images/profile/pictures/default/f32e7d41-6b14-518f-83f5-7f3e1f3d26ef?rule=pp-small ; Peugeot : Peugeot ; PEUGEOT : PEUGEOT ; 192000 km : 192000 ; Essence : 1 ; Manuelle : 1 ; Non : false ; 05/2004 : 05/2004 ; Berline : berline ; Bleu : bleu ; 11 Cv : 11 ; 180 Ch : 180 ; Avec permis : avecpermis ; credit_card : credit_card ; false : false ; https://autoviza.fr/report/report?uid=d2ab99b9-56c7-4cb2-a055-00db3d114788 : https://autoviza.fr/report/report?uid=d2ab99b9-56c7-4cb2-a055-00db3d114788 ; visible : visible ; true : true ; rating_score : 0.99 ; rating_count : 47 ; u_car_brand : PEUGEOT ; u_car_model : 206 ; vehicle_technical_inspection_valid : Non ; vehicle_upholstery : Cuir partiel ; vehicle_vsp : Avec permis ; vehicle_available_payment_methods : credit_card ; is_import : false ; vehicle_is_eligible_p2p : 2 ; vehicle_history_report_public_url : https://autoviza.fr/report/report?uid=d2ab99b9-56c7-4cb2-a055-00db3d114788 ; vehicle_history_report_status : visible ; licence_plate_available : true</t>
        </is>
      </c>
      <c r="AG211" s="19" t="inlineStr">
        <is>
          <t>Voir</t>
        </is>
      </c>
      <c r="AH211" s="10" t="inlineStr">
        <is>
          <t>3278631826</t>
        </is>
      </c>
    </row>
    <row r="212">
      <c r="A212" s="10" t="inlineStr">
        <is>
          <t>Peugeot 206 RC</t>
        </is>
      </c>
      <c r="B212" s="10" t="inlineStr">
        <is>
          <t>Peugeot 206 RC</t>
        </is>
      </c>
      <c r="C212" s="10" t="inlineStr">
        <is>
          <t>En vente</t>
        </is>
      </c>
      <c r="D212" s="18" t="n">
        <v>46294</v>
      </c>
      <c r="E212" s="18" t="n">
        <v>46296</v>
      </c>
      <c r="F212" s="18" t="n">
        <v>46296</v>
      </c>
      <c r="G212" s="18" t="n"/>
      <c r="H212" s="17">
        <f>IF(OR(ISNUMBER(D212),ISNUMBER(E212)),IF(ISNUMBER(G212),G212,F212)-IF(ISNUMBER(D212),D212,E212),"")</f>
        <v/>
      </c>
      <c r="I212" s="12" t="n">
        <v>5400</v>
      </c>
      <c r="J212" s="12" t="n">
        <v>5400</v>
      </c>
      <c r="K212" s="13">
        <f>IF(AND(ISNUMBER(I212),ISNUMBER(J212),I212&gt;0),1-J212/I212,"")</f>
        <v/>
      </c>
      <c r="L212" s="16" t="n">
        <v>0</v>
      </c>
      <c r="M212" s="15" t="n">
        <v>244000</v>
      </c>
      <c r="N212" s="16" t="n">
        <v>2003</v>
      </c>
      <c r="O212" s="10" t="inlineStr">
        <is>
          <t>1</t>
        </is>
      </c>
      <c r="P212" s="10" t="inlineStr">
        <is>
          <t>1</t>
        </is>
      </c>
      <c r="Q212" s="16" t="n">
        <v>180</v>
      </c>
      <c r="R212" s="16" t="n">
        <v>11</v>
      </c>
      <c r="S212" s="10" t="inlineStr">
        <is>
          <t>gris</t>
        </is>
      </c>
      <c r="T212" s="16" t="n">
        <v>3</v>
      </c>
      <c r="U212" s="10" t="n"/>
      <c r="V212" s="10" t="n"/>
      <c r="W212" s="10" t="inlineStr">
        <is>
          <t>Particulier</t>
        </is>
      </c>
      <c r="X212" s="10" t="inlineStr">
        <is>
          <t>La Roche-sur-Foron</t>
        </is>
      </c>
      <c r="Y212" s="10" t="inlineStr">
        <is>
          <t>74800</t>
        </is>
      </c>
      <c r="Z212" s="10" t="inlineStr">
        <is>
          <t>Haute-Savoie</t>
        </is>
      </c>
      <c r="AA212" s="10" t="inlineStr">
        <is>
          <t>Rhône-Alpes</t>
        </is>
      </c>
      <c r="AB212" s="16" t="n"/>
      <c r="AC212" s="16" t="n"/>
      <c r="AD212" s="10" t="n"/>
      <c r="AE212" s="10" t="n"/>
      <c r="AF212" s="10" t="inlineStr">
        <is>
          <t>2 : 2 ; 3 : 3 ; 5 : 5 ; 206 : 206 ; 2003 : 2003 ; 2028 : 2028 ; 719174 : 719174 ; https://img.leboncoin.fr/api/v1/tenants/9a6387a1-6259-4f2c-a887-7e67f23dd4cb/domains/20bda58f-d650-462e-a72a-a5a7ecf2bf88/buckets/21d2b0bc-e54c-4b64-a30b-89127b18b785/images/profile/pictures/default/a62db9c1-9366-5fd4-bd04-3b5a1c49b2e9?rule=pp-small : https://img.leboncoin.fr/api/v1/tenants/9a6387a1-6259-4f2c-a887-7e67f23dd4cb/domains/20bda58f-d650-462e-a72a-a5a7ecf2bf88/buckets/21d2b0bc-e54c-4b64-a30b-89127b18b785/images/profile/pictures/default/a62db9c1-9366-5fd4-bd04-3b5a1c49b2e9?rule=pp-small ; Peugeot : Peugeot ; PEUGEOT : PEUGEOT ; 244000 km : 244000 ; Essence : 1 ; Manuelle : 1 ; RC : PEUGEOT_206_RC ; 206 2.0 16v RC 3p : 206 2.0 16v RC 3p ; Oui : true ; 10/2003 : 10/2003 ; Traces d’usure normales : normal_wear_and_tear ; Berline : berline ; Gris : gris ; 11 Cv : 11 ; 180 Ch : 180 ; Avec permis : avecpermis ; credit_card : credit_card ; false : false ; true : true ; u_car_brand : PEUGEOT ; u_car_model : 206 ; u_car_finition : RC ; u_car_version : 206 2.0 16v RC 3p ; vehicle_technical_inspection_valid : Oui ; vehicle_technical_inspection_a : 2028 ; vehicle_damage : Traces d’usure normales ; vehicle_upholstery : Cuir partiel, Alcantara ; vehicle_maintenance : Factures disponibles, Véhicule non fumeur, Réparations utiles déjà faites ; vehicle_interior_specs : Attelage de remorque ; vehicle_vsp : Avec permis ; vehicle_available_payment_methods : credit_card ; is_import : false ; vehicle_is_eligible_p2p : 2 ; argus_object_id : 719174 ; licence_plate_available : true</t>
        </is>
      </c>
      <c r="AG212" s="19" t="inlineStr">
        <is>
          <t>Voir</t>
        </is>
      </c>
      <c r="AH212" s="10" t="inlineStr">
        <is>
          <t>3278866640</t>
        </is>
      </c>
    </row>
    <row r="213">
      <c r="A213" s="10" t="inlineStr">
        <is>
          <t>Peugeot 206 RC</t>
        </is>
      </c>
      <c r="B213" s="10" t="inlineStr">
        <is>
          <t>Peugeot 206 RC</t>
        </is>
      </c>
      <c r="C213" s="10" t="inlineStr">
        <is>
          <t>En vente</t>
        </is>
      </c>
      <c r="D213" s="18" t="n">
        <v>46294</v>
      </c>
      <c r="E213" s="18" t="n">
        <v>46296</v>
      </c>
      <c r="F213" s="18" t="n">
        <v>46296</v>
      </c>
      <c r="G213" s="18" t="n"/>
      <c r="H213" s="17">
        <f>IF(OR(ISNUMBER(D213),ISNUMBER(E213)),IF(ISNUMBER(G213),G213,F213)-IF(ISNUMBER(D213),D213,E213),"")</f>
        <v/>
      </c>
      <c r="I213" s="12" t="n">
        <v>14500</v>
      </c>
      <c r="J213" s="12" t="n">
        <v>14500</v>
      </c>
      <c r="K213" s="13">
        <f>IF(AND(ISNUMBER(I213),ISNUMBER(J213),I213&gt;0),1-J213/I213,"")</f>
        <v/>
      </c>
      <c r="L213" s="16" t="n">
        <v>0</v>
      </c>
      <c r="M213" s="15" t="n">
        <v>111000</v>
      </c>
      <c r="N213" s="16" t="n">
        <v>2006</v>
      </c>
      <c r="O213" s="10" t="inlineStr">
        <is>
          <t>1</t>
        </is>
      </c>
      <c r="P213" s="10" t="inlineStr">
        <is>
          <t>1</t>
        </is>
      </c>
      <c r="Q213" s="16" t="n">
        <v>180</v>
      </c>
      <c r="R213" s="16" t="n">
        <v>11</v>
      </c>
      <c r="S213" s="10" t="inlineStr">
        <is>
          <t>bleu</t>
        </is>
      </c>
      <c r="T213" s="16" t="n">
        <v>3</v>
      </c>
      <c r="U213" s="10" t="n"/>
      <c r="V213" s="10" t="n"/>
      <c r="W213" s="10" t="inlineStr">
        <is>
          <t>Particulier</t>
        </is>
      </c>
      <c r="X213" s="10" t="inlineStr">
        <is>
          <t>Chamalières</t>
        </is>
      </c>
      <c r="Y213" s="10" t="inlineStr">
        <is>
          <t>63400</t>
        </is>
      </c>
      <c r="Z213" s="10" t="inlineStr">
        <is>
          <t>Puy-de-Dôme</t>
        </is>
      </c>
      <c r="AA213" s="10" t="inlineStr">
        <is>
          <t>Auvergne</t>
        </is>
      </c>
      <c r="AB213" s="16" t="n"/>
      <c r="AC213" s="16" t="n"/>
      <c r="AD213" s="10" t="n"/>
      <c r="AE213" s="10" t="n"/>
      <c r="AF213" s="10" t="inlineStr">
        <is>
          <t>1 : 1 ; 2 : 2 ; 3 : 3 ; 5 : 5 ; 206 : 206 ; 2006 : 2006 ; 743521 : 743521 ; https://img.leboncoin.fr/api/v1/tenants/9a6387a1-6259-4f2c-a887-7e67f23dd4cb/domains/20bda58f-d650-462e-a72a-a5a7ecf2bf88/buckets/21d2b0bc-e54c-4b64-a30b-89127b18b785/images/profile/pictures/default/dc9be541-b838-59c1-a307-0b90ab34ccc6?rule=pp-small : https://img.leboncoin.fr/api/v1/tenants/9a6387a1-6259-4f2c-a887-7e67f23dd4cb/domains/20bda58f-d650-462e-a72a-a5a7ecf2bf88/buckets/21d2b0bc-e54c-4b64-a30b-89127b18b785/images/profile/pictures/default/dc9be541-b838-59c1-a307-0b90ab34ccc6?rule=pp-small ; Peugeot : Peugeot ; PEUGEOT : PEUGEOT ; 111000 km : 111000 ; Essence : 1 ; Manuelle : 1 ; RC : PEUGEOT_206_RC ; 206 2.0 16v RC 3p : 206 2.0 16v RC 3p ; 06/2006 : 06/2006 ; Excellent état (proche du neuf) : excellent_condition ; Berline : berline ; Bleu : bleu ; 11 Cv : 11 ; 180 Ch : 180 ; Avec permis : avecpermis ; credit_card : credit_card ; false : false ; https://autoviza.fr/report/report?uid=62492686-bff0-4266-be7f-d89bcf1c5a68 : https://autoviza.fr/report/report?uid=62492686-bff0-4266-be7f-d89bcf1c5a68 ; true : true ; rating_score : 1 ; rating_count : 1 ; u_car_brand : PEUGEOT ; u_car_model : 206 ; u_car_finition : RC ; u_car_version : 206 2.0 16v RC 3p ; vehicle_damage : Excellent état (proche du neuf) ; vehicle_maintenance : Réparations utiles déjà faites ; vehicle_vsp : Avec permis ; vehicle_available_payment_methods : credit_card ; is_import : false ; vehicle_is_eligible_p2p : 2 ; vehicle_history_report_public_url : https://autoviza.fr/report/report?uid=62492686-bff0-4266-be7f-d89bcf1c5a68 ; argus_object_id : 743521 ; licence_plate_available : true</t>
        </is>
      </c>
      <c r="AG213" s="19" t="inlineStr">
        <is>
          <t>Voir</t>
        </is>
      </c>
      <c r="AH213" s="10" t="inlineStr">
        <is>
          <t>3278894245</t>
        </is>
      </c>
    </row>
    <row r="214">
      <c r="A214" s="10" t="inlineStr">
        <is>
          <t>Peugeot 206 RC</t>
        </is>
      </c>
      <c r="B214" s="10" t="inlineStr">
        <is>
          <t>206 rc</t>
        </is>
      </c>
      <c r="C214" s="10" t="inlineStr">
        <is>
          <t>En vente</t>
        </is>
      </c>
      <c r="D214" s="18" t="n">
        <v>46294</v>
      </c>
      <c r="E214" s="18" t="n">
        <v>46296</v>
      </c>
      <c r="F214" s="18" t="n">
        <v>46296</v>
      </c>
      <c r="G214" s="18" t="n"/>
      <c r="H214" s="17">
        <f>IF(OR(ISNUMBER(D214),ISNUMBER(E214)),IF(ISNUMBER(G214),G214,F214)-IF(ISNUMBER(D214),D214,E214),"")</f>
        <v/>
      </c>
      <c r="I214" s="12" t="n">
        <v>9000</v>
      </c>
      <c r="J214" s="12" t="n">
        <v>9000</v>
      </c>
      <c r="K214" s="13">
        <f>IF(AND(ISNUMBER(I214),ISNUMBER(J214),I214&gt;0),1-J214/I214,"")</f>
        <v/>
      </c>
      <c r="L214" s="16" t="n">
        <v>0</v>
      </c>
      <c r="M214" s="15" t="n">
        <v>203368</v>
      </c>
      <c r="N214" s="16" t="n">
        <v>2004</v>
      </c>
      <c r="O214" s="10" t="inlineStr">
        <is>
          <t>1</t>
        </is>
      </c>
      <c r="P214" s="10" t="inlineStr">
        <is>
          <t>1</t>
        </is>
      </c>
      <c r="Q214" s="16" t="n">
        <v>180</v>
      </c>
      <c r="R214" s="16" t="n">
        <v>11</v>
      </c>
      <c r="S214" s="10" t="inlineStr">
        <is>
          <t>bleu</t>
        </is>
      </c>
      <c r="T214" s="16" t="n">
        <v>3</v>
      </c>
      <c r="U214" s="10" t="n"/>
      <c r="V214" s="10" t="n"/>
      <c r="W214" s="10" t="inlineStr">
        <is>
          <t>Particulier</t>
        </is>
      </c>
      <c r="X214" s="10" t="inlineStr">
        <is>
          <t>La Clayette</t>
        </is>
      </c>
      <c r="Y214" s="10" t="inlineStr">
        <is>
          <t>71800</t>
        </is>
      </c>
      <c r="Z214" s="10" t="inlineStr">
        <is>
          <t>Saône-et-Loire</t>
        </is>
      </c>
      <c r="AA214" s="10" t="inlineStr">
        <is>
          <t>Bourgogne</t>
        </is>
      </c>
      <c r="AB214" s="16" t="n"/>
      <c r="AC214" s="16" t="n"/>
      <c r="AD214" s="10" t="n"/>
      <c r="AE214" s="10" t="n"/>
      <c r="AF214" s="10" t="inlineStr">
        <is>
          <t>1 : 1 ; 2 : 2 ; 3 : 3 ; 5 : 5 ; 206 : 206 ; 2004 : 2004 ; 719068 : 719068 ; https://img.leboncoin.fr/api/v1/tenants/9a6387a1-6259-4f2c-a887-7e67f23dd4cb/domains/20bda58f-d650-462e-a72a-a5a7ecf2bf88/buckets/21d2b0bc-e54c-4b64-a30b-89127b18b785/images/profile/pictures/default/b24f1481-9e8d-5493-99bc-740b9ca7a60b?rule=pp-small : https://img.leboncoin.fr/api/v1/tenants/9a6387a1-6259-4f2c-a887-7e67f23dd4cb/domains/20bda58f-d650-462e-a72a-a5a7ecf2bf88/buckets/21d2b0bc-e54c-4b64-a30b-89127b18b785/images/profile/pictures/default/b24f1481-9e8d-5493-99bc-740b9ca7a60b?rule=pp-small ; Peugeot : Peugeot ; PEUGEOT : PEUGEOT ; 203368 km : 203368 ; Essence : 1 ; Manuelle : 1 ; RC : PEUGEOT_206_RC ; 206 2.0 16v  RC 3p : 206 2.0 16v  RC 3p ; 10/2004 : 10/2004 ; Non roulant : not_drivable ; Berline : berline ; Bleu : bleu ; 11 Cv : 11 ; 180 Ch : 180 ; Avec permis : avecpermis ; credit_card : credit_card ; false : false ; true : true ; rating_score : 1 ; rating_count : 1 ; u_car_brand : PEUGEOT ; u_car_model : 206 ; u_car_finition : RC ; u_car_version : 206 2.0 16v  RC 3p ; vehicle_damage : Non roulant ; vehicle_maintenance : Carnet d'entretien disponible, Factures disponibles, Véhicule non fumeur, Réparations utiles déjà faites ; vehicle_vsp : Avec permis ; vehicle_available_payment_methods : credit_card ; is_import : false ; vehicle_is_eligible_p2p : 2 ; argus_object_id : 719068 ; licence_plate_available : true</t>
        </is>
      </c>
      <c r="AG214" s="19" t="inlineStr">
        <is>
          <t>Voir</t>
        </is>
      </c>
      <c r="AH214" s="10" t="inlineStr">
        <is>
          <t>3279039279</t>
        </is>
      </c>
    </row>
    <row r="215">
      <c r="A215" s="10" t="inlineStr">
        <is>
          <t>Peugeot 206 RC</t>
        </is>
      </c>
      <c r="B215" s="10" t="inlineStr">
        <is>
          <t>206 rc</t>
        </is>
      </c>
      <c r="C215" s="10" t="inlineStr">
        <is>
          <t>En vente</t>
        </is>
      </c>
      <c r="D215" s="18" t="n">
        <v>46294</v>
      </c>
      <c r="E215" s="18" t="n">
        <v>46296</v>
      </c>
      <c r="F215" s="18" t="n">
        <v>46296</v>
      </c>
      <c r="G215" s="18" t="n"/>
      <c r="H215" s="17">
        <f>IF(OR(ISNUMBER(D215),ISNUMBER(E215)),IF(ISNUMBER(G215),G215,F215)-IF(ISNUMBER(D215),D215,E215),"")</f>
        <v/>
      </c>
      <c r="I215" s="12" t="n">
        <v>5900</v>
      </c>
      <c r="J215" s="12" t="n">
        <v>5900</v>
      </c>
      <c r="K215" s="13">
        <f>IF(AND(ISNUMBER(I215),ISNUMBER(J215),I215&gt;0),1-J215/I215,"")</f>
        <v/>
      </c>
      <c r="L215" s="16" t="n">
        <v>0</v>
      </c>
      <c r="M215" s="15" t="n">
        <v>294000</v>
      </c>
      <c r="N215" s="16" t="n">
        <v>2004</v>
      </c>
      <c r="O215" s="10" t="inlineStr">
        <is>
          <t>1</t>
        </is>
      </c>
      <c r="P215" s="10" t="inlineStr">
        <is>
          <t>1</t>
        </is>
      </c>
      <c r="Q215" s="16" t="n">
        <v>180</v>
      </c>
      <c r="R215" s="16" t="n">
        <v>11</v>
      </c>
      <c r="S215" s="10" t="inlineStr">
        <is>
          <t>autre</t>
        </is>
      </c>
      <c r="T215" s="16" t="n">
        <v>3</v>
      </c>
      <c r="U215" s="10" t="n"/>
      <c r="V215" s="10" t="n"/>
      <c r="W215" s="10" t="inlineStr">
        <is>
          <t>Particulier</t>
        </is>
      </c>
      <c r="X215" s="10" t="inlineStr">
        <is>
          <t>Lons-le-Saunier</t>
        </is>
      </c>
      <c r="Y215" s="10" t="inlineStr">
        <is>
          <t>39000</t>
        </is>
      </c>
      <c r="Z215" s="10" t="inlineStr">
        <is>
          <t>Jura</t>
        </is>
      </c>
      <c r="AA215" s="10" t="inlineStr">
        <is>
          <t>Franche-Comté</t>
        </is>
      </c>
      <c r="AB215" s="16" t="n"/>
      <c r="AC215" s="16" t="n"/>
      <c r="AD215" s="10" t="n"/>
      <c r="AE215" s="10" t="n"/>
      <c r="AF215" s="10" t="inlineStr">
        <is>
          <t>1 : 1 ; 2 : 2 ; 3 : 3 ; 5 : 5 ; 6 : 6 ; 206 : 206 ; 2004 : 2004 ; https://img.leboncoin.fr/api/v1/tenants/9a6387a1-6259-4f2c-a887-7e67f23dd4cb/domains/20bda58f-d650-462e-a72a-a5a7ecf2bf88/buckets/21d2b0bc-e54c-4b64-a30b-89127b18b785/images/profile/pictures/default/1319442d-2f02-5d77-a7d9-211dd8ceaf36?rule=pp-small : https://img.leboncoin.fr/api/v1/tenants/9a6387a1-6259-4f2c-a887-7e67f23dd4cb/domains/20bda58f-d650-462e-a72a-a5a7ecf2bf88/buckets/21d2b0bc-e54c-4b64-a30b-89127b18b785/images/profile/pictures/default/1319442d-2f02-5d77-a7d9-211dd8ceaf36?rule=pp-small ; Peugeot : Peugeot ; PEUGEOT : PEUGEOT ; 294000 km : 294000 ; Essence : 1 ; Manuelle : 1 ; 09/2004 : 09/2004 ; Berline : berline ; Autre : autre ; 11 Cv : 11 ; 180 Ch : 180 ; Avec permis : avecpermis ; credit_card : credit_card ; false : false ; true : true ; rating_score : 1 ; rating_count : 6 ; u_car_brand : PEUGEOT ; u_car_model : 206 ; vehicle_vsp : Avec permis ; vehicle_available_payment_methods : credit_card ; is_import : false ; vehicle_is_eligible_p2p : 2 ; licence_plate_available : true</t>
        </is>
      </c>
      <c r="AG215" s="19" t="inlineStr">
        <is>
          <t>Voir</t>
        </is>
      </c>
      <c r="AH215" s="10" t="inlineStr">
        <is>
          <t>3279053465</t>
        </is>
      </c>
    </row>
    <row r="216">
      <c r="A216" s="10" t="inlineStr">
        <is>
          <t>Peugeot 206 RC</t>
        </is>
      </c>
      <c r="B216" s="10" t="inlineStr">
        <is>
          <t>Peugeot 206 rc</t>
        </is>
      </c>
      <c r="C216" s="10" t="inlineStr">
        <is>
          <t>En vente</t>
        </is>
      </c>
      <c r="D216" s="18" t="n">
        <v>46294</v>
      </c>
      <c r="E216" s="18" t="n">
        <v>46296</v>
      </c>
      <c r="F216" s="18" t="n">
        <v>46296</v>
      </c>
      <c r="G216" s="18" t="n"/>
      <c r="H216" s="17">
        <f>IF(OR(ISNUMBER(D216),ISNUMBER(E216)),IF(ISNUMBER(G216),G216,F216)-IF(ISNUMBER(D216),D216,E216),"")</f>
        <v/>
      </c>
      <c r="I216" s="12" t="n">
        <v>9190</v>
      </c>
      <c r="J216" s="12" t="n">
        <v>9190</v>
      </c>
      <c r="K216" s="13">
        <f>IF(AND(ISNUMBER(I216),ISNUMBER(J216),I216&gt;0),1-J216/I216,"")</f>
        <v/>
      </c>
      <c r="L216" s="16" t="n">
        <v>0</v>
      </c>
      <c r="M216" s="15" t="n">
        <v>170000</v>
      </c>
      <c r="N216" s="16" t="n">
        <v>2004</v>
      </c>
      <c r="O216" s="10" t="inlineStr">
        <is>
          <t>1</t>
        </is>
      </c>
      <c r="P216" s="10" t="inlineStr">
        <is>
          <t>1</t>
        </is>
      </c>
      <c r="Q216" s="16" t="n">
        <v>180</v>
      </c>
      <c r="R216" s="16" t="n">
        <v>11</v>
      </c>
      <c r="S216" s="10" t="inlineStr">
        <is>
          <t>gris</t>
        </is>
      </c>
      <c r="T216" s="16" t="n">
        <v>3</v>
      </c>
      <c r="U216" s="10" t="n"/>
      <c r="V216" s="10" t="n"/>
      <c r="W216" s="10" t="inlineStr">
        <is>
          <t>Particulier</t>
        </is>
      </c>
      <c r="X216" s="10" t="inlineStr">
        <is>
          <t>Saint-Dizier</t>
        </is>
      </c>
      <c r="Y216" s="10" t="inlineStr">
        <is>
          <t>52100</t>
        </is>
      </c>
      <c r="Z216" s="10" t="inlineStr">
        <is>
          <t>Haute-Marne</t>
        </is>
      </c>
      <c r="AA216" s="10" t="inlineStr">
        <is>
          <t>Champagne-Ardenne</t>
        </is>
      </c>
      <c r="AB216" s="16" t="n"/>
      <c r="AC216" s="16" t="n"/>
      <c r="AD216" s="10" t="n"/>
      <c r="AE216" s="10" t="n"/>
      <c r="AF216" s="10" t="inlineStr">
        <is>
          <t>2 : 2 ; 3 : 3 ; 5 : 5 ; 206 : 206 ; 2004 : 2004 ; 719068 : 719068 ; https://img.leboncoin.fr/api/v1/tenants/9a6387a1-6259-4f2c-a887-7e67f23dd4cb/domains/20bda58f-d650-462e-a72a-a5a7ecf2bf88/buckets/21d2b0bc-e54c-4b64-a30b-89127b18b785/images/profile/pictures/default/b26f4093-cf4c-57c2-8b51-3297555706f2?rule=pp-small : https://img.leboncoin.fr/api/v1/tenants/9a6387a1-6259-4f2c-a887-7e67f23dd4cb/domains/20bda58f-d650-462e-a72a-a5a7ecf2bf88/buckets/21d2b0bc-e54c-4b64-a30b-89127b18b785/images/profile/pictures/default/b26f4093-cf4c-57c2-8b51-3297555706f2?rule=pp-small ; Peugeot : Peugeot ; PEUGEOT : PEUGEOT ; 170000 km : 170000 ; Essence : 1 ; Manuelle : 1 ; RC : PEUGEOT_206_RC ; 206 2.0 16v  RC 3p : 206 2.0 16v  RC 3p ; 05/2004 : 05/2004 ; Berline : berline ; Gris : gris ; 11 Cv : 11 ; 180 Ch : 180 ; Avec permis : avecpermis ; credit_card : credit_card ; false : false ; true : true ; u_car_brand : PEUGEOT ; u_car_model : 206 ; u_car_finition : RC ; u_car_version : 206 2.0 16v  RC 3p ; vehicle_upholstery : Tout cuir ; vehicle_vsp : Avec permis ; vehicle_available_payment_methods : credit_card ; is_import : false ; vehicle_is_eligible_p2p : 2 ; argus_object_id : 719068 ; licence_plate_available : true</t>
        </is>
      </c>
      <c r="AG216" s="19" t="inlineStr">
        <is>
          <t>Voir</t>
        </is>
      </c>
      <c r="AH216" s="10" t="inlineStr">
        <is>
          <t>3279236263</t>
        </is>
      </c>
    </row>
    <row r="217">
      <c r="A217" s="10" t="inlineStr">
        <is>
          <t>Peugeot 206 RC</t>
        </is>
      </c>
      <c r="B217" s="10" t="inlineStr">
        <is>
          <t>Peugeot 206 RC</t>
        </is>
      </c>
      <c r="C217" s="10" t="inlineStr">
        <is>
          <t>En vente</t>
        </is>
      </c>
      <c r="D217" s="18" t="n">
        <v>46295</v>
      </c>
      <c r="E217" s="18" t="n">
        <v>46296</v>
      </c>
      <c r="F217" s="18" t="n">
        <v>46296</v>
      </c>
      <c r="G217" s="18" t="n"/>
      <c r="H217" s="17">
        <f>IF(OR(ISNUMBER(D217),ISNUMBER(E217)),IF(ISNUMBER(G217),G217,F217)-IF(ISNUMBER(D217),D217,E217),"")</f>
        <v/>
      </c>
      <c r="I217" s="12" t="n">
        <v>6500</v>
      </c>
      <c r="J217" s="12" t="n">
        <v>6500</v>
      </c>
      <c r="K217" s="13">
        <f>IF(AND(ISNUMBER(I217),ISNUMBER(J217),I217&gt;0),1-J217/I217,"")</f>
        <v/>
      </c>
      <c r="L217" s="16" t="n">
        <v>0</v>
      </c>
      <c r="M217" s="15" t="n">
        <v>252000</v>
      </c>
      <c r="N217" s="16" t="n">
        <v>2005</v>
      </c>
      <c r="O217" s="10" t="inlineStr">
        <is>
          <t>1</t>
        </is>
      </c>
      <c r="P217" s="10" t="inlineStr">
        <is>
          <t>1</t>
        </is>
      </c>
      <c r="Q217" s="16" t="n">
        <v>180</v>
      </c>
      <c r="R217" s="16" t="n">
        <v>11</v>
      </c>
      <c r="S217" s="10" t="inlineStr">
        <is>
          <t>noir</t>
        </is>
      </c>
      <c r="T217" s="16" t="n">
        <v>3</v>
      </c>
      <c r="U217" s="10" t="n"/>
      <c r="V217" s="10" t="n"/>
      <c r="W217" s="10" t="inlineStr">
        <is>
          <t>Particulier</t>
        </is>
      </c>
      <c r="X217" s="10" t="inlineStr">
        <is>
          <t>Pirmil</t>
        </is>
      </c>
      <c r="Y217" s="10" t="inlineStr">
        <is>
          <t>72430</t>
        </is>
      </c>
      <c r="Z217" s="10" t="inlineStr">
        <is>
          <t>Sarthe</t>
        </is>
      </c>
      <c r="AA217" s="10" t="inlineStr">
        <is>
          <t>Pays de la Loire</t>
        </is>
      </c>
      <c r="AB217" s="16" t="n"/>
      <c r="AC217" s="16" t="n"/>
      <c r="AD217" s="10" t="inlineStr">
        <is>
          <t>Oui</t>
        </is>
      </c>
      <c r="AE217" s="10" t="n"/>
      <c r="AF217" s="10" t="inlineStr">
        <is>
          <t>1 : 1 ; 2 : 2 ; 3 : 3 ; 5 : 5 ; 34 : 34 ; 206 : 206 ; 2005 : 2005 ; https://img.leboncoin.fr/api/v1/tenants/9a6387a1-6259-4f2c-a887-7e67f23dd4cb/domains/20bda58f-d650-462e-a72a-a5a7ecf2bf88/buckets/21d2b0bc-e54c-4b64-a30b-89127b18b785/images/profile/pictures/071bd8a9-4f52-5608-b41b-306b18ac20df?rule=pp-small : https://img.leboncoin.fr/api/v1/tenants/9a6387a1-6259-4f2c-a887-7e67f23dd4cb/domains/20bda58f-d650-462e-a72a-a5a7ecf2bf88/buckets/21d2b0bc-e54c-4b64-a30b-89127b18b785/images/profile/pictures/071bd8a9-4f52-5608-b41b-306b18ac20df?rule=pp-small ; Peugeot : Peugeot ; PEUGEOT : PEUGEOT ; 252000 km : 252000 ; Essence : 1 ; Manuelle : 1 ; RC : PEUGEOT_206_RC ; Oui : true ; 03/2005 : 03/2005 ; Réparations mineures à prévoir : minor_repairs_needed ; Berline : berline ; Noir : noir ; 11 Cv : 11 ; 180 Ch : 180 ; Avec permis : avecpermis ; credit_card : credit_card ; false : false ; true : true ; rating_score : 1 ; rating_count : 34 ; u_car_brand : PEUGEOT ; u_car_model : 206 ; u_car_finition : RC ; vehicle_technical_inspection_valid : Oui ; vehicle_damage : Réparations mineures à prévoir ; vehicle_upholstery : Alcantara ; vehicle_maintenance : Factures disponibles, Véhicule non fumeur, Réparations utiles déjà faites ; vehicle_vsp : Avec permis ; vehicle_available_payment_methods : credit_card ; is_import : false ; vehicle_is_eligible_p2p : 2 ; licence_plate_available : true</t>
        </is>
      </c>
      <c r="AG217" s="19" t="inlineStr">
        <is>
          <t>Voir</t>
        </is>
      </c>
      <c r="AH217" s="10" t="inlineStr">
        <is>
          <t>3279820686</t>
        </is>
      </c>
    </row>
    <row r="218">
      <c r="A218" s="10" t="inlineStr">
        <is>
          <t>Peugeot 206 RC</t>
        </is>
      </c>
      <c r="B218" s="10" t="inlineStr">
        <is>
          <t>Peugeot 206 rc 20.16v</t>
        </is>
      </c>
      <c r="C218" s="10" t="inlineStr">
        <is>
          <t>En vente</t>
        </is>
      </c>
      <c r="D218" s="18" t="n">
        <v>46296</v>
      </c>
      <c r="E218" s="18" t="n">
        <v>46296</v>
      </c>
      <c r="F218" s="18" t="n">
        <v>46296</v>
      </c>
      <c r="G218" s="18" t="n"/>
      <c r="H218" s="17">
        <f>IF(OR(ISNUMBER(D218),ISNUMBER(E218)),IF(ISNUMBER(G218),G218,F218)-IF(ISNUMBER(D218),D218,E218),"")</f>
        <v/>
      </c>
      <c r="I218" s="12" t="n">
        <v>6000</v>
      </c>
      <c r="J218" s="12" t="n">
        <v>6000</v>
      </c>
      <c r="K218" s="13">
        <f>IF(AND(ISNUMBER(I218),ISNUMBER(J218),I218&gt;0),1-J218/I218,"")</f>
        <v/>
      </c>
      <c r="L218" s="16" t="n">
        <v>0</v>
      </c>
      <c r="M218" s="15" t="n">
        <v>250000</v>
      </c>
      <c r="N218" s="16" t="n">
        <v>2004</v>
      </c>
      <c r="O218" s="10" t="inlineStr">
        <is>
          <t>1</t>
        </is>
      </c>
      <c r="P218" s="10" t="inlineStr">
        <is>
          <t>1</t>
        </is>
      </c>
      <c r="Q218" s="16" t="n">
        <v>180</v>
      </c>
      <c r="R218" s="16" t="n">
        <v>11</v>
      </c>
      <c r="S218" s="10" t="inlineStr">
        <is>
          <t>gris</t>
        </is>
      </c>
      <c r="T218" s="16" t="n">
        <v>3</v>
      </c>
      <c r="U218" s="10" t="n"/>
      <c r="V218" s="10" t="n"/>
      <c r="W218" s="10" t="inlineStr">
        <is>
          <t>Pro</t>
        </is>
      </c>
      <c r="X218" s="10" t="inlineStr">
        <is>
          <t>Erstein</t>
        </is>
      </c>
      <c r="Y218" s="10" t="inlineStr">
        <is>
          <t>67150</t>
        </is>
      </c>
      <c r="Z218" s="10" t="inlineStr">
        <is>
          <t>Bas-Rhin</t>
        </is>
      </c>
      <c r="AA218" s="10" t="inlineStr">
        <is>
          <t>Alsace</t>
        </is>
      </c>
      <c r="AB218" s="16" t="n"/>
      <c r="AC218" s="16" t="n"/>
      <c r="AD218" s="10" t="n"/>
      <c r="AE218" s="10" t="n"/>
      <c r="AF218" s="10" t="inlineStr">
        <is>
          <t>1 : 1 ; 3 : 3 ; 4 : 4 ; 206 : 206 ; 2004 : 2004 ; Peugeot : Peugeot ; PEUGEOT : PEUGEOT ; 250000 km : 250000 ; Essence : 1 ; Manuelle : 1 ; 11/2004 : 11/2004 ; Citadine : citadine ; Gris : gris ; 11 Cv : 11 ; 180 Ch : 180 ; Avec permis : avecpermis ; false : false ; Non : false ; 206rc : 206rc ; Non renseignée : non_renseignee ; activity_sector : 1 ; u_car_brand : PEUGEOT ; u_car_model : 206 ; vehicle_maintenance : Carnet d'entretien disponible, Réparations utiles déjà faites ; vehicle_interior_specs : Climatisation, Jantes en alliage, Ordinateur de bord ; vehicle_vsp : Avec permis ; recent_used_vehicle : false ; vehicle_commercial_warranty : Non ; vehicle_manufacturer_warranty : Non ; custom_ref : 206rc ; is_import : false ; spare_parts_availability : Non renseignée</t>
        </is>
      </c>
      <c r="AG218" s="19" t="inlineStr">
        <is>
          <t>Voir</t>
        </is>
      </c>
      <c r="AH218" s="10" t="inlineStr">
        <is>
          <t>3280095370</t>
        </is>
      </c>
    </row>
    <row r="219">
      <c r="A219" s="10" t="inlineStr">
        <is>
          <t>Peugeot 206 RC</t>
        </is>
      </c>
      <c r="B219" s="10" t="inlineStr">
        <is>
          <t>Peugeot 206 RC / 2ème Main JBL</t>
        </is>
      </c>
      <c r="C219" s="10" t="inlineStr">
        <is>
          <t>En vente</t>
        </is>
      </c>
      <c r="D219" s="18" t="n">
        <v>46296</v>
      </c>
      <c r="E219" s="18" t="n">
        <v>46296</v>
      </c>
      <c r="F219" s="18" t="n">
        <v>46296</v>
      </c>
      <c r="G219" s="18" t="n"/>
      <c r="H219" s="17">
        <f>IF(OR(ISNUMBER(D219),ISNUMBER(E219)),IF(ISNUMBER(G219),G219,F219)-IF(ISNUMBER(D219),D219,E219),"")</f>
        <v/>
      </c>
      <c r="I219" s="12" t="n">
        <v>11990</v>
      </c>
      <c r="J219" s="12" t="n">
        <v>11990</v>
      </c>
      <c r="K219" s="13">
        <f>IF(AND(ISNUMBER(I219),ISNUMBER(J219),I219&gt;0),1-J219/I219,"")</f>
        <v/>
      </c>
      <c r="L219" s="16" t="n">
        <v>0</v>
      </c>
      <c r="M219" s="15" t="n">
        <v>121500</v>
      </c>
      <c r="N219" s="16" t="n">
        <v>2006</v>
      </c>
      <c r="O219" s="10" t="inlineStr">
        <is>
          <t>1</t>
        </is>
      </c>
      <c r="P219" s="10" t="inlineStr">
        <is>
          <t>1</t>
        </is>
      </c>
      <c r="Q219" s="16" t="n">
        <v>177</v>
      </c>
      <c r="R219" s="16" t="n">
        <v>11</v>
      </c>
      <c r="S219" s="10" t="inlineStr">
        <is>
          <t>gris</t>
        </is>
      </c>
      <c r="T219" s="16" t="n">
        <v>3</v>
      </c>
      <c r="U219" s="10" t="n"/>
      <c r="V219" s="10" t="inlineStr">
        <is>
          <t>2</t>
        </is>
      </c>
      <c r="W219" s="10" t="inlineStr">
        <is>
          <t>Pro</t>
        </is>
      </c>
      <c r="X219" s="10" t="inlineStr">
        <is>
          <t>Chilly-Mazarin</t>
        </is>
      </c>
      <c r="Y219" s="10" t="inlineStr">
        <is>
          <t>91380</t>
        </is>
      </c>
      <c r="Z219" s="10" t="inlineStr">
        <is>
          <t>Essonne</t>
        </is>
      </c>
      <c r="AA219" s="10" t="inlineStr">
        <is>
          <t>Ile-de-France</t>
        </is>
      </c>
      <c r="AB219" s="16" t="n"/>
      <c r="AC219" s="16" t="n"/>
      <c r="AD219" s="10" t="n"/>
      <c r="AE219" s="10" t="n"/>
      <c r="AF219" s="10" t="inlineStr">
        <is>
          <t>1 : 1 ; 2 : 2 ; 3 : 3 ; 4 : 4 ; 206 : 206 ; 2006 : 2006 ; 878054 : 878054 ; 7398972 : 7398972 ; Peugeot : Peugeot ; PEUGEOT : PEUGEOT ; 121500 km : 121500 ; Essence : 1 ; Manuelle : 1 ; RC : PEUGEOT_206_RC ; 206 2.0 16v RC 3p : 206 2.0 16v RC 3p ; Oui : true ; 04/2006 : 04/2006 ; Berline : berline ; Gris : gris ; 11 Cv : 11 ; 177 Ch : 177 ; Avec permis : avecpermis ; false : false ; true : true ; https://img.leboncoin.fr/api/v1/lbcpb1/images/59/c0/e5/59c0e5fb-dfe6-4724-a4e4-54fd8d6db663?rule=bo-thumb : https://img.leboncoin.fr/api/v1/lbcpb1/images/59/c0/e5/59c0e5fb-dfe6-4724-a4e4-54fd8d6db663?rule=bo-thumb ; VIA AUTOMOBILE Massy : VIA AUTOMOBILE Massy ; VIA_69A16F : VIA_69A16F ; https://autoviza.fr/report/report?uid=fd941a22-639d-44d6-b472-c5bfc48fbe9e : https://autoviza.fr/report/report?uid=fd941a22-639d-44d6-b472-c5bfc48fbe9e ; visible : visible ; Non renseignée : non_renseignee ; activity_sector : 1 ; u_car_brand : PEUGEOT ; u_car_model : 206 ; u_car_finition : RC ; u_car_version : 206 2.0 16v RC 3p ; vehicle_technical_inspection_valid : Oui ; vehicle_interior_specs : Climatisation, Ordinateur de bord ; vehicle_vsp : Avec permis ; recent_used_vehicle : false ; has_visibility_option : true ; store_logo : https://img.leboncoin.fr/api/v1/lbcpb1/images/59/c0/e5/59c0e5fb-dfe6-4724-a4e4-54fd8d6db663?rule=bo-thumb ; store_name : VIA AUTOMOBILE Massy ; online_store_id : 7398972 ; custom_ref : VIA_69A16F ; is_import : true ; vehicle_history_report_public_url : https://autoviza.fr/report/report?uid=fd941a22-639d-44d6-b472-c5bfc48fbe9e ; vehicle_history_report_status : visible ; argus_object_id : 878054 ; spare_parts_availability : Non renseignée ; licence_plate_available : true</t>
        </is>
      </c>
      <c r="AG219" s="19" t="inlineStr">
        <is>
          <t>Voir</t>
        </is>
      </c>
      <c r="AH219" s="10" t="inlineStr">
        <is>
          <t>3280307630</t>
        </is>
      </c>
    </row>
    <row r="220">
      <c r="A220" s="10" t="inlineStr">
        <is>
          <t>Peugeot 208 GTi 30th</t>
        </is>
      </c>
      <c r="B220" s="10" t="inlineStr">
        <is>
          <t>PEUGEOT 208 GTi 1.6 30Th Numérotée 898</t>
        </is>
      </c>
      <c r="C220" s="10" t="inlineStr">
        <is>
          <t>En vente</t>
        </is>
      </c>
      <c r="D220" s="18" t="n">
        <v>46100</v>
      </c>
      <c r="E220" s="18" t="n">
        <v>46100</v>
      </c>
      <c r="F220" s="18" t="n">
        <v>46296</v>
      </c>
      <c r="G220" s="18" t="n"/>
      <c r="H220" s="17">
        <f>IF(OR(ISNUMBER(D220),ISNUMBER(E220)),IF(ISNUMBER(G220),G220,F220)-IF(ISNUMBER(D220),D220,E220),"")</f>
        <v/>
      </c>
      <c r="I220" s="12" t="n">
        <v>23490</v>
      </c>
      <c r="J220" s="12" t="n">
        <v>23490</v>
      </c>
      <c r="K220" s="13">
        <f>IF(AND(ISNUMBER(I220),ISNUMBER(J220),I220&gt;0),1-J220/I220,"")</f>
        <v/>
      </c>
      <c r="L220" s="16" t="n">
        <v>0</v>
      </c>
      <c r="M220" s="15" t="n">
        <v>20800</v>
      </c>
      <c r="N220" s="16" t="n">
        <v>2015</v>
      </c>
      <c r="O220" s="10" t="inlineStr">
        <is>
          <t>1</t>
        </is>
      </c>
      <c r="P220" s="10" t="inlineStr">
        <is>
          <t>1</t>
        </is>
      </c>
      <c r="Q220" s="16" t="n">
        <v>208</v>
      </c>
      <c r="R220" s="16" t="n">
        <v>11</v>
      </c>
      <c r="S220" s="10" t="inlineStr">
        <is>
          <t>noir</t>
        </is>
      </c>
      <c r="T220" s="16" t="n">
        <v>3</v>
      </c>
      <c r="U220" s="10" t="n"/>
      <c r="V220" s="10" t="n"/>
      <c r="W220" s="10" t="inlineStr">
        <is>
          <t>Pro</t>
        </is>
      </c>
      <c r="X220" s="10" t="inlineStr">
        <is>
          <t>Sausheim</t>
        </is>
      </c>
      <c r="Y220" s="10" t="inlineStr">
        <is>
          <t>68390</t>
        </is>
      </c>
      <c r="Z220" s="10" t="inlineStr">
        <is>
          <t>Haut-Rhin</t>
        </is>
      </c>
      <c r="AA220" s="10" t="inlineStr">
        <is>
          <t>Alsace</t>
        </is>
      </c>
      <c r="AB220" s="16" t="n"/>
      <c r="AC220" s="16" t="n"/>
      <c r="AD220" s="10" t="n"/>
      <c r="AE220" s="10" t="n"/>
      <c r="AF220" s="10" t="inlineStr">
        <is>
          <t>1 : 1 ; 3 : 3 ; 5 : 5 ; 208 : 208 ; 2015 : 2015 ; 13770 : 13770 ; 15220 : 15220 ; 25490 : 25490 ; 37155 : 37155 ; 500430 : 500430 ; 1341947 : 1341947 ; Peugeot : Peugeot ; PEUGEOT : PEUGEOT ; 20800 km : 20800 ; Essence : 1 ; Manuelle : 1 ; GTi 30th : PEUGEOT_208_GTi 30th ; 1.6 THP 208ch GTI 30th S&amp;S 3p : 1.6 THP 208ch GTI 30th S&amp;S 3p ; 12/2015 : 12/2015 ; Citadine : citadine ; Noir : noir ; 11 Cv : 11 ; 208 Ch : 208 ; false : false ; true : true ; https://img.leboncoin.fr/api/v1/lbcpb1/images/76/24/24/7624249b-0796-44fa-b7d5-39e6ce2b6a46?rule=bo-thumb : https://img.leboncoin.fr/api/v1/lbcpb1/images/76/24/24/7624249b-0796-44fa-b7d5-39e6ce2b6a46?rule=bo-thumb ; L' AGENCE AUTOMOBILIERE MULHOUSE : L' AGENCE AUTOMOBILIERE MULHOUSE ; Estimation indisponible : badge_key_0_5 ; https://autoviza.fr/report/report?uid=0aa876b1-c495-49f8-beaa-1e53e4dbb50d : https://autoviza.fr/report/report?uid=0aa876b1-c495-49f8-beaa-1e53e4dbb50d ; visible : visible ; Non renseignée : non_renseignee ; activity_sector : 1 ; u_car_brand : PEUGEOT ; u_car_model : 208 ; u_car_finition : GTi 30th ; u_car_version : 1.6 THP 208ch GTI 30th S&amp;S 3p ; vehicle_interior_specs : Aide au stationnement, Allumage automatique des phares, Bluetooth, Climatisation, Ordinateur de bord, Roue de secours, Régulateur de vitesse, Rétroviseurs rabattables électriquement, Sièges sport, Vitres électriques arrières ; recent_used_vehicle : false ; has_visibility_option : true ; store_logo : https://img.leboncoin.fr/api/v1/lbcpb1/images/76/24/24/7624249b-0796-44fa-b7d5-39e6ce2b6a46?rule=bo-thumb ; store_name : L' AGENCE AUTOMOBILIERE MULHOUSE ; online_store_id : 37155 ; custom_ref : 500430 ; is_import : true ; old_price : 25490 ; car_price_min : 13770 ; car_price_max : 15220 ; car_price_positioning : Estimation indisponible ; vehicle_history_report_public_url : https://autoviza.fr/report/report?uid=0aa876b1-c495-49f8-beaa-1e53e4dbb50d ; vehicle_history_report_status : visible ; argus_object_id : 1341947 ; spare_parts_availability : Non renseignée ; licence_plate_available : true</t>
        </is>
      </c>
      <c r="AG220" s="19" t="inlineStr">
        <is>
          <t>Voir</t>
        </is>
      </c>
      <c r="AH220" s="10" t="inlineStr">
        <is>
          <t>3164531752</t>
        </is>
      </c>
    </row>
    <row r="221">
      <c r="A221" s="10" t="inlineStr">
        <is>
          <t>Peugeot 208 GTi 30th</t>
        </is>
      </c>
      <c r="B221" s="10" t="inlineStr">
        <is>
          <t>PEUGEOT 208 GTI 30th 1.6 THP 208CV FULL OPTION</t>
        </is>
      </c>
      <c r="C221" s="10" t="inlineStr">
        <is>
          <t>En vente</t>
        </is>
      </c>
      <c r="D221" s="18" t="n">
        <v>46239</v>
      </c>
      <c r="E221" s="18" t="n">
        <v>46239</v>
      </c>
      <c r="F221" s="18" t="n">
        <v>46296</v>
      </c>
      <c r="G221" s="18" t="n"/>
      <c r="H221" s="17">
        <f>IF(OR(ISNUMBER(D221),ISNUMBER(E221)),IF(ISNUMBER(G221),G221,F221)-IF(ISNUMBER(D221),D221,E221),"")</f>
        <v/>
      </c>
      <c r="I221" s="12" t="n">
        <v>12000</v>
      </c>
      <c r="J221" s="12" t="n">
        <v>12000</v>
      </c>
      <c r="K221" s="13">
        <f>IF(AND(ISNUMBER(I221),ISNUMBER(J221),I221&gt;0),1-J221/I221,"")</f>
        <v/>
      </c>
      <c r="L221" s="16" t="n">
        <v>0</v>
      </c>
      <c r="M221" s="15" t="n">
        <v>168800</v>
      </c>
      <c r="N221" s="16" t="n">
        <v>2015</v>
      </c>
      <c r="O221" s="10" t="inlineStr">
        <is>
          <t>1</t>
        </is>
      </c>
      <c r="P221" s="10" t="inlineStr">
        <is>
          <t>1</t>
        </is>
      </c>
      <c r="Q221" s="16" t="n">
        <v>208</v>
      </c>
      <c r="R221" s="16" t="n">
        <v>11</v>
      </c>
      <c r="S221" s="10" t="n"/>
      <c r="T221" s="16" t="n">
        <v>3</v>
      </c>
      <c r="U221" s="10" t="n"/>
      <c r="V221" s="10" t="n"/>
      <c r="W221" s="10" t="inlineStr">
        <is>
          <t>Pro</t>
        </is>
      </c>
      <c r="X221" s="10" t="inlineStr">
        <is>
          <t>Freyming-Merlebach</t>
        </is>
      </c>
      <c r="Y221" s="10" t="inlineStr">
        <is>
          <t>57800</t>
        </is>
      </c>
      <c r="Z221" s="10" t="inlineStr">
        <is>
          <t>Moselle</t>
        </is>
      </c>
      <c r="AA221" s="10" t="inlineStr">
        <is>
          <t>Lorraine</t>
        </is>
      </c>
      <c r="AB221" s="16" t="n"/>
      <c r="AC221" s="16" t="n"/>
      <c r="AD221" s="10" t="inlineStr">
        <is>
          <t>Oui</t>
        </is>
      </c>
      <c r="AE221" s="10" t="n"/>
      <c r="AF221" s="10" t="inlineStr">
        <is>
          <t>1 : 1 ; 2 : 2 ; 3 : 3 ; 5 : 5 ; 208 : 208 ; 2015 : 2015 ; 7650 : 7650 ; 8450 : 8450 ; 12900 : 12900 ; 85447 : 85447 ; 1431053 : 1431053 ; Peugeot : Peugeot ; PEUGEOT : PEUGEOT ; 168800 km : 168800 ; Essence : 1 ; Manuelle : 1 ; GTi : PEUGEOT_208_GTi ; 1.6 THP 208ch GTi S&amp;S 3p : 1.6 THP 208ch GTi S&amp;S 3p ; 10/2015 : 10/2015 ; Citadine : citadine ; 11 Cv : 11 ; 208 Ch : 208 ; Avec permis : avecpermis ; Non : 1 ; false : false ; true : true ; https://img.leboncoin.fr/api/v1/lbcpb1/images/1e/25/a4/1e25a489-f292-40b5-8c43-ced0dc8bb4e9?rule=bo-thumb : https://img.leboncoin.fr/api/v1/lbcpb1/images/1e/25/a4/1e25a489-f292-40b5-8c43-ced0dc8bb4e9?rule=bo-thumb ; GARAGE SPORT AUTO : GARAGE SPORT AUTO ; Estimation indisponible : badge_key_0_5 ; Non renseignée : non_renseignee ; activity_sector : 1 ; rating_score : 1 ; rating_count : 2 ; u_car_brand : PEUGEOT ; u_car_model : 208 ; u_car_finition : GTi ; u_car_version : 1.6 THP 208ch GTi S&amp;S 3p ; vehicle_maintenance : Carnet d'entretien disponible, Véhicule non fumeur ; vehicle_vsp : Avec permis ; car_contract : Non ; recent_used_vehicle : false ; has_visibility_option : true ; store_logo : https://img.leboncoin.fr/api/v1/lbcpb1/images/1e/25/a4/1e25a489-f292-40b5-8c43-ced0dc8bb4e9?rule=bo-thumb ; store_name : GARAGE SPORT AUTO ; online_store_id : 85447 ; is_import : false ; old_price : 12900 ; car_price_min : 7650 ; car_price_max : 8450 ; car_price_positioning : Estimation indisponible ; argus_object_id : 1431053 ; spare_parts_availability : Non renseignée</t>
        </is>
      </c>
      <c r="AG221" s="19" t="inlineStr">
        <is>
          <t>Voir</t>
        </is>
      </c>
      <c r="AH221" s="10" t="inlineStr">
        <is>
          <t>3210880878</t>
        </is>
      </c>
    </row>
    <row r="222">
      <c r="A222" s="10" t="inlineStr">
        <is>
          <t>Peugeot 208 GTi 30th</t>
        </is>
      </c>
      <c r="B222" s="10" t="inlineStr">
        <is>
          <t>Peugeot 208 gti 30th by peugeot sport 208ch 2 ou 5 places</t>
        </is>
      </c>
      <c r="C222" s="10" t="inlineStr">
        <is>
          <t>En vente</t>
        </is>
      </c>
      <c r="D222" s="18" t="n">
        <v>46234</v>
      </c>
      <c r="E222" s="18" t="n">
        <v>46234</v>
      </c>
      <c r="F222" s="18" t="n">
        <v>46296</v>
      </c>
      <c r="G222" s="18" t="n"/>
      <c r="H222" s="17">
        <f>IF(OR(ISNUMBER(D222),ISNUMBER(E222)),IF(ISNUMBER(G222),G222,F222)-IF(ISNUMBER(D222),D222,E222),"")</f>
        <v/>
      </c>
      <c r="I222" s="12" t="n">
        <v>14990</v>
      </c>
      <c r="J222" s="12" t="n">
        <v>14990</v>
      </c>
      <c r="K222" s="13">
        <f>IF(AND(ISNUMBER(I222),ISNUMBER(J222),I222&gt;0),1-J222/I222,"")</f>
        <v/>
      </c>
      <c r="L222" s="16" t="n">
        <v>0</v>
      </c>
      <c r="M222" s="15" t="n">
        <v>136572</v>
      </c>
      <c r="N222" s="16" t="n">
        <v>2015</v>
      </c>
      <c r="O222" s="10" t="inlineStr">
        <is>
          <t>1</t>
        </is>
      </c>
      <c r="P222" s="10" t="inlineStr">
        <is>
          <t>1</t>
        </is>
      </c>
      <c r="Q222" s="16" t="n">
        <v>208</v>
      </c>
      <c r="R222" s="16" t="n">
        <v>9</v>
      </c>
      <c r="S222" s="10" t="inlineStr">
        <is>
          <t>blanc</t>
        </is>
      </c>
      <c r="T222" s="16" t="n">
        <v>3</v>
      </c>
      <c r="U222" s="10" t="n"/>
      <c r="V222" s="10" t="n"/>
      <c r="W222" s="10" t="inlineStr">
        <is>
          <t>Pro</t>
        </is>
      </c>
      <c r="X222" s="10" t="inlineStr">
        <is>
          <t>Grenoble</t>
        </is>
      </c>
      <c r="Y222" s="10" t="inlineStr">
        <is>
          <t>38000</t>
        </is>
      </c>
      <c r="Z222" s="10" t="inlineStr">
        <is>
          <t>Isère</t>
        </is>
      </c>
      <c r="AA222" s="10" t="inlineStr">
        <is>
          <t>Rhône-Alpes</t>
        </is>
      </c>
      <c r="AB222" s="16" t="n"/>
      <c r="AC222" s="16" t="n"/>
      <c r="AD222" s="10" t="n"/>
      <c r="AE222" s="10" t="n"/>
      <c r="AF222" s="10" t="inlineStr">
        <is>
          <t>1 : 1 ; 3 : 3 ; 5 : 5 ; 208 : 208 ; 2015 : 2015 ; 9410 : 9410 ; 10410 : 10410 ; 15990 : 15990 ; 1431110 : 1431110 ; 1512819 : 1512819 ; 6284720 : 6284720 ; Peugeot : Peugeot ; PEUGEOT : PEUGEOT ; 136572 km : 136572 ; Essence : 1 ; Manuelle : 1 ; GTi by Peugeot Sport : PEUGEOT_208_GTi by Peugeot Sport ; 1.6 THP 208ch GTi by Peugeot Sport S&amp;S 3p : 1.6 THP 208ch GTi by Peugeot Sport S&amp;S 3p ; 06/2015 : 06/2015 ; Excellent état (proche du neuf) : excellent_condition ; Berline : berline ; Blanc : blanc ; Euro 1 : euro1 ; 9 Cv : 9 ; 208 Ch : 208 ; false : false ; true : true ; https://img.leboncoin.fr/api/v1/lbcpb1/images/7d/14/23/7d1423df-ecab-47f5-8c52-c0d419d7d771?rule=bo-thumb : https://img.leboncoin.fr/api/v1/lbcpb1/images/7d/14/23/7d1423df-ecab-47f5-8c52-c0d419d7d771?rule=bo-thumb ; ESPACE AUTOS 38 : ESPACE AUTOS 38 ; Estimation indisponible : badge_key_0_5 ; https://autoviza.fr/report/report?uid=2e4353a7-de96-42f0-ac03-b48c485fb72d : https://autoviza.fr/report/report?uid=2e4353a7-de96-42f0-ac03-b48c485fb72d ; visible : visible ; Non renseignée : non_renseignee ; activity_sector : 1 ; u_car_brand : PEUGEOT ; u_car_model : 208 ; u_car_finition : GTi by Peugeot Sport ; u_car_version : 1.6 THP 208ch GTi by Peugeot Sport S&amp;S 3p ; vehicle_damage : Excellent état (proche du neuf) ; vehicle_interior_specs : Allumage automatique des phares, Bluetooth, Climatisation, Jantes en alliage, Ordinateur de bord, Régulateur de vitesse, Sièges chauffants ; vehicle_euro_emissions_standard : Euro 1 ; recent_used_vehicle : false ; has_visibility_option : true ; store_logo : https://img.leboncoin.fr/api/v1/lbcpb1/images/7d/14/23/7d1423df-ecab-47f5-8c52-c0d419d7d771?rule=bo-thumb ; store_name : ESPACE AUTOS 38 ; online_store_id : 6284720 ; custom_ref : 1512819 ; is_import : true ; old_price : 15990 ; car_price_min : 9410 ; car_price_max : 10410 ; car_price_positioning : Estimation indisponible ; vehicle_history_report_public_url : https://autoviza.fr/report/report?uid=2e4353a7-de96-42f0-ac03-b48c485fb72d ; vehicle_history_report_status : visible ; argus_object_id : 1431110 ; spare_parts_availability : Non renseignée ; licence_plate_available : true</t>
        </is>
      </c>
      <c r="AG222" s="19" t="inlineStr">
        <is>
          <t>Voir</t>
        </is>
      </c>
      <c r="AH222" s="10" t="inlineStr">
        <is>
          <t>3242289072</t>
        </is>
      </c>
    </row>
    <row r="223">
      <c r="A223" s="10" t="inlineStr">
        <is>
          <t>Peugeot 208 GTi 30th</t>
        </is>
      </c>
      <c r="B223" s="10" t="inlineStr">
        <is>
          <t>Peugeot 208 30th n°205</t>
        </is>
      </c>
      <c r="C223" s="10" t="inlineStr">
        <is>
          <t>En vente</t>
        </is>
      </c>
      <c r="D223" s="18" t="n">
        <v>46246</v>
      </c>
      <c r="E223" s="18" t="n">
        <v>46246</v>
      </c>
      <c r="F223" s="18" t="n">
        <v>46296</v>
      </c>
      <c r="G223" s="18" t="n"/>
      <c r="H223" s="17">
        <f>IF(OR(ISNUMBER(D223),ISNUMBER(E223)),IF(ISNUMBER(G223),G223,F223)-IF(ISNUMBER(D223),D223,E223),"")</f>
        <v/>
      </c>
      <c r="I223" s="12" t="n">
        <v>17500</v>
      </c>
      <c r="J223" s="12" t="n">
        <v>17500</v>
      </c>
      <c r="K223" s="13">
        <f>IF(AND(ISNUMBER(I223),ISNUMBER(J223),I223&gt;0),1-J223/I223,"")</f>
        <v/>
      </c>
      <c r="L223" s="16" t="n">
        <v>0</v>
      </c>
      <c r="M223" s="15" t="n">
        <v>115000</v>
      </c>
      <c r="N223" s="16" t="n">
        <v>2014</v>
      </c>
      <c r="O223" s="10" t="inlineStr">
        <is>
          <t>1</t>
        </is>
      </c>
      <c r="P223" s="10" t="inlineStr">
        <is>
          <t>1</t>
        </is>
      </c>
      <c r="Q223" s="16" t="n">
        <v>208</v>
      </c>
      <c r="R223" s="16" t="n">
        <v>11</v>
      </c>
      <c r="S223" s="10" t="inlineStr">
        <is>
          <t>blanc</t>
        </is>
      </c>
      <c r="T223" s="16" t="n">
        <v>3</v>
      </c>
      <c r="U223" s="10" t="n"/>
      <c r="V223" s="10" t="inlineStr">
        <is>
          <t>1</t>
        </is>
      </c>
      <c r="W223" s="10" t="inlineStr">
        <is>
          <t>Particulier</t>
        </is>
      </c>
      <c r="X223" s="10" t="inlineStr">
        <is>
          <t>Saint-Laurent-de-Chamousset</t>
        </is>
      </c>
      <c r="Y223" s="10" t="inlineStr">
        <is>
          <t>69930</t>
        </is>
      </c>
      <c r="Z223" s="10" t="inlineStr">
        <is>
          <t>Rhône</t>
        </is>
      </c>
      <c r="AA223" s="10" t="inlineStr">
        <is>
          <t>Rhône-Alpes</t>
        </is>
      </c>
      <c r="AB223" s="16" t="n"/>
      <c r="AC223" s="16" t="n"/>
      <c r="AD223" s="10" t="n"/>
      <c r="AE223" s="10" t="n"/>
      <c r="AF223" s="10" t="inlineStr">
        <is>
          <t>1 : 1 ; 2 : 2 ; 3 : 3 ; 5 : 5 ; 208 : 208 ; 2014 : 2014 ; 10150 : 10150 ; 11220 : 11220 ; 19000 : 19000 ; https://img.leboncoin.fr/api/v1/tenants/9a6387a1-6259-4f2c-a887-7e67f23dd4cb/domains/20bda58f-d650-462e-a72a-a5a7ecf2bf88/buckets/21d2b0bc-e54c-4b64-a30b-89127b18b785/images/profile/pictures/03693d58-2020-543a-97bd-8f2fdaadb58c?rule=pp-small : https://img.leboncoin.fr/api/v1/tenants/9a6387a1-6259-4f2c-a887-7e67f23dd4cb/domains/20bda58f-d650-462e-a72a-a5a7ecf2bf88/buckets/21d2b0bc-e54c-4b64-a30b-89127b18b785/images/profile/pictures/03693d58-2020-543a-97bd-8f2fdaadb58c?rule=pp-small ; Peugeot : Peugeot ; PEUGEOT : PEUGEOT ; 115000 km : 115000 ; Essence : 1 ; Manuelle : 1 ; 08/2014 : 08/2014 ; Excellent état (proche du neuf) : excellent_condition ; Berline : berline ; Blanc : blanc ; 11 Cv : 11 ; 208 Ch : 208 ; Avec permis : avecpermis ; essential : essential ; credit_card : credit_card ; false : false ; Estimation indisponible : badge_key_0_5 ; true : true ; u_car_brand : PEUGEOT ; u_car_model : 208 ; vehicle_damage : Excellent état (proche du neuf) ; vehicle_upholstery : Cuir partiel, Alcantara ; vehicle_vsp : Avec permis ; ad_warranty_type : essential ; vehicle_available_payment_methods : credit_card ; is_import : false ; old_price : 19000 ; vehicle_is_eligible_p2p : 2 ; car_price_min : 10150 ; car_price_max : 11220 ; car_price_positioning : Estimation indisponible ; licence_plate_available : true</t>
        </is>
      </c>
      <c r="AG223" s="19" t="inlineStr">
        <is>
          <t>Voir</t>
        </is>
      </c>
      <c r="AH223" s="10" t="inlineStr">
        <is>
          <t>3249108312</t>
        </is>
      </c>
    </row>
    <row r="224">
      <c r="A224" s="10" t="inlineStr">
        <is>
          <t>Peugeot 208 GTi 30th</t>
        </is>
      </c>
      <c r="B224" s="10" t="inlineStr">
        <is>
          <t>208 Gti 30th</t>
        </is>
      </c>
      <c r="C224" s="10" t="inlineStr">
        <is>
          <t>En vente</t>
        </is>
      </c>
      <c r="D224" s="18" t="n">
        <v>46277</v>
      </c>
      <c r="E224" s="18" t="n">
        <v>46277</v>
      </c>
      <c r="F224" s="18" t="n">
        <v>46296</v>
      </c>
      <c r="G224" s="18" t="n"/>
      <c r="H224" s="17">
        <f>IF(OR(ISNUMBER(D224),ISNUMBER(E224)),IF(ISNUMBER(G224),G224,F224)-IF(ISNUMBER(D224),D224,E224),"")</f>
        <v/>
      </c>
      <c r="I224" s="12" t="n">
        <v>14890</v>
      </c>
      <c r="J224" s="12" t="n">
        <v>14890</v>
      </c>
      <c r="K224" s="13">
        <f>IF(AND(ISNUMBER(I224),ISNUMBER(J224),I224&gt;0),1-J224/I224,"")</f>
        <v/>
      </c>
      <c r="L224" s="16" t="n">
        <v>0</v>
      </c>
      <c r="M224" s="15" t="n">
        <v>105000</v>
      </c>
      <c r="N224" s="16" t="n">
        <v>2015</v>
      </c>
      <c r="O224" s="10" t="inlineStr">
        <is>
          <t>1</t>
        </is>
      </c>
      <c r="P224" s="10" t="inlineStr">
        <is>
          <t>1</t>
        </is>
      </c>
      <c r="Q224" s="16" t="n">
        <v>208</v>
      </c>
      <c r="R224" s="16" t="n">
        <v>11</v>
      </c>
      <c r="S224" s="10" t="inlineStr">
        <is>
          <t>autre</t>
        </is>
      </c>
      <c r="T224" s="16" t="n">
        <v>3</v>
      </c>
      <c r="U224" s="10" t="n"/>
      <c r="V224" s="10" t="n"/>
      <c r="W224" s="10" t="inlineStr">
        <is>
          <t>Particulier</t>
        </is>
      </c>
      <c r="X224" s="10" t="inlineStr">
        <is>
          <t>Voiron</t>
        </is>
      </c>
      <c r="Y224" s="10" t="inlineStr">
        <is>
          <t>38500</t>
        </is>
      </c>
      <c r="Z224" s="10" t="inlineStr">
        <is>
          <t>Isère</t>
        </is>
      </c>
      <c r="AA224" s="10" t="inlineStr">
        <is>
          <t>Rhône-Alpes</t>
        </is>
      </c>
      <c r="AB224" s="16" t="n"/>
      <c r="AC224" s="16" t="n"/>
      <c r="AD224" s="10" t="n"/>
      <c r="AE224" s="10" t="n"/>
      <c r="AF224" s="10" t="inlineStr">
        <is>
          <t>1 : 1 ; 2 : 2 ; 3 : 3 ; 5 : 5 ; 7 : 7 ; 208 : 208 ; 2015 : 2015 ; 10580 : 10580 ; 11690 : 11690 ; https://img.leboncoin.fr/api/v1/tenants/9a6387a1-6259-4f2c-a887-7e67f23dd4cb/domains/20bda58f-d650-462e-a72a-a5a7ecf2bf88/buckets/21d2b0bc-e54c-4b64-a30b-89127b18b785/images/profile/pictures/default/d55a9675-8f82-57ab-bd66-283b064ec695?rule=pp-small : https://img.leboncoin.fr/api/v1/tenants/9a6387a1-6259-4f2c-a887-7e67f23dd4cb/domains/20bda58f-d650-462e-a72a-a5a7ecf2bf88/buckets/21d2b0bc-e54c-4b64-a30b-89127b18b785/images/profile/pictures/default/d55a9675-8f82-57ab-bd66-283b064ec695?rule=pp-small ; Peugeot : Peugeot ; PEUGEOT : PEUGEOT ; 105000 km : 105000 ; Essence : 1 ; Manuelle : 1 ; Oui : true ; 07/2015 : 07/2015 ; Berline : berline ; Autre : autre ; 11 Cv : 11 ; 208 Ch : 208 ; Avec permis : avecpermis ; essential : essential ; credit_card : credit_card ; false : false ; Estimation indisponible : badge_key_0_5 ; true : true ; rating_score : 1 ; rating_count : 7 ; u_car_brand : PEUGEOT ; u_car_model : 208 ; vehicle_technical_inspection_valid : Oui ; vehicle_vsp : Avec permis ; ad_warranty_type : essential ; vehicle_available_payment_methods : credit_card ; is_import : false ; vehicle_is_eligible_p2p : 2 ; car_price_min : 10580 ; car_price_max : 11690 ; car_price_positioning : Estimation indisponible ; licence_plate_available : true</t>
        </is>
      </c>
      <c r="AG224" s="19" t="inlineStr">
        <is>
          <t>Voir</t>
        </is>
      </c>
      <c r="AH224" s="10" t="inlineStr">
        <is>
          <t>3268508446</t>
        </is>
      </c>
    </row>
    <row r="225">
      <c r="A225" s="10" t="inlineStr">
        <is>
          <t>Peugeot 208 GTi 30th</t>
        </is>
      </c>
      <c r="B225" s="10" t="inlineStr">
        <is>
          <t>208 GTI 30th BPS</t>
        </is>
      </c>
      <c r="C225" s="10" t="inlineStr">
        <is>
          <t>En vente</t>
        </is>
      </c>
      <c r="D225" s="18" t="n">
        <v>46281</v>
      </c>
      <c r="E225" s="18" t="n">
        <v>46281</v>
      </c>
      <c r="F225" s="18" t="n">
        <v>46296</v>
      </c>
      <c r="G225" s="18" t="n"/>
      <c r="H225" s="17">
        <f>IF(OR(ISNUMBER(D225),ISNUMBER(E225)),IF(ISNUMBER(G225),G225,F225)-IF(ISNUMBER(D225),D225,E225),"")</f>
        <v/>
      </c>
      <c r="I225" s="12" t="n">
        <v>15900</v>
      </c>
      <c r="J225" s="12" t="n">
        <v>15900</v>
      </c>
      <c r="K225" s="13">
        <f>IF(AND(ISNUMBER(I225),ISNUMBER(J225),I225&gt;0),1-J225/I225,"")</f>
        <v/>
      </c>
      <c r="L225" s="16" t="n">
        <v>0</v>
      </c>
      <c r="M225" s="15" t="n">
        <v>81500</v>
      </c>
      <c r="N225" s="16" t="n">
        <v>2015</v>
      </c>
      <c r="O225" s="10" t="inlineStr">
        <is>
          <t>1</t>
        </is>
      </c>
      <c r="P225" s="10" t="inlineStr">
        <is>
          <t>1</t>
        </is>
      </c>
      <c r="Q225" s="16" t="n">
        <v>208</v>
      </c>
      <c r="R225" s="16" t="n">
        <v>11</v>
      </c>
      <c r="S225" s="10" t="inlineStr">
        <is>
          <t>autre</t>
        </is>
      </c>
      <c r="T225" s="16" t="n">
        <v>3</v>
      </c>
      <c r="U225" s="10" t="n"/>
      <c r="V225" s="10" t="n"/>
      <c r="W225" s="10" t="inlineStr">
        <is>
          <t>Particulier</t>
        </is>
      </c>
      <c r="X225" s="10" t="inlineStr">
        <is>
          <t>Bachant</t>
        </is>
      </c>
      <c r="Y225" s="10" t="inlineStr">
        <is>
          <t>59138</t>
        </is>
      </c>
      <c r="Z225" s="10" t="inlineStr">
        <is>
          <t>Nord</t>
        </is>
      </c>
      <c r="AA225" s="10" t="inlineStr">
        <is>
          <t>Nord-Pas-de-Calais</t>
        </is>
      </c>
      <c r="AB225" s="16" t="n"/>
      <c r="AC225" s="16" t="n"/>
      <c r="AD225" s="10" t="n"/>
      <c r="AE225" s="10" t="n"/>
      <c r="AF225" s="10" t="inlineStr">
        <is>
          <t>2 : 2 ; 3 : 3 ; 5 : 5 ; 208 : 208 ; 2015 : 2015 ; 11290 : 11290 ; 12470 : 12470 ; 1341947 : 1341947 ; https://img.leboncoin.fr/api/v1/tenants/9a6387a1-6259-4f2c-a887-7e67f23dd4cb/domains/20bda58f-d650-462e-a72a-a5a7ecf2bf88/buckets/21d2b0bc-e54c-4b64-a30b-89127b18b785/images/profile/pictures/default/5092bd5c-2064-55b2-b0f0-35ce0ca0f6af?rule=pp-small : https://img.leboncoin.fr/api/v1/tenants/9a6387a1-6259-4f2c-a887-7e67f23dd4cb/domains/20bda58f-d650-462e-a72a-a5a7ecf2bf88/buckets/21d2b0bc-e54c-4b64-a30b-89127b18b785/images/profile/pictures/default/5092bd5c-2064-55b2-b0f0-35ce0ca0f6af?rule=pp-small ; Peugeot : Peugeot ; PEUGEOT : PEUGEOT ; 81500 km : 81500 ; Essence : 1 ; Manuelle : 1 ; GTi 30th : PEUGEOT_208_GTi 30th ; GTi 30th_1.6 THP 208ch GTI 30th S&amp;S 3p : GTi 30th_1.6 THP 208ch GTI 30th S&amp;S 3p ; 05/2015 : 05/2015 ; Berline : berline ; Autre : autre ; 11 Cv : 11 ; 208 Ch : 208 ; Avec permis : avecpermis ; essential : essential ; credit_card : credit_card ; false : false ; Estimation indisponible : badge_key_0_5 ; https://autoviza.fr/report/report?uid=c30bb045-4467-46f9-a548-e91e54624669 : https://autoviza.fr/report/report?uid=c30bb045-4467-46f9-a548-e91e54624669 ; true : true ; u_car_brand : PEUGEOT ; u_car_model : 208 ; u_car_finition : GTi 30th ; u_car_version : GTi 30th_1.6 THP 208ch GTI 30th S&amp;S 3p ; vehicle_vsp : Avec permis ; ad_warranty_type : essential ; vehicle_available_payment_methods : credit_card ; is_import : false ; vehicle_is_eligible_p2p : 2 ; car_price_min : 11290 ; car_price_max : 12470 ; car_price_positioning : Estimation indisponible ; vehicle_history_report_public_url : https://autoviza.fr/report/report?uid=c30bb045-4467-46f9-a548-e91e54624669 ; argus_object_id : 1341947 ; licence_plate_available : true</t>
        </is>
      </c>
      <c r="AG225" s="19" t="inlineStr">
        <is>
          <t>Voir</t>
        </is>
      </c>
      <c r="AH225" s="10" t="inlineStr">
        <is>
          <t>3270584772</t>
        </is>
      </c>
    </row>
    <row r="226">
      <c r="A226" s="10" t="inlineStr">
        <is>
          <t>Peugeot 208 GTi 30th</t>
        </is>
      </c>
      <c r="B226" s="10" t="inlineStr">
        <is>
          <t>208 git 30th anniversaire</t>
        </is>
      </c>
      <c r="C226" s="10" t="inlineStr">
        <is>
          <t>En vente</t>
        </is>
      </c>
      <c r="D226" s="18" t="n">
        <v>46282</v>
      </c>
      <c r="E226" s="18" t="n">
        <v>46282</v>
      </c>
      <c r="F226" s="18" t="n">
        <v>46296</v>
      </c>
      <c r="G226" s="18" t="n"/>
      <c r="H226" s="17">
        <f>IF(OR(ISNUMBER(D226),ISNUMBER(E226)),IF(ISNUMBER(G226),G226,F226)-IF(ISNUMBER(D226),D226,E226),"")</f>
        <v/>
      </c>
      <c r="I226" s="12" t="n">
        <v>10500</v>
      </c>
      <c r="J226" s="12" t="n">
        <v>10500</v>
      </c>
      <c r="K226" s="13">
        <f>IF(AND(ISNUMBER(I226),ISNUMBER(J226),I226&gt;0),1-J226/I226,"")</f>
        <v/>
      </c>
      <c r="L226" s="16" t="n">
        <v>0</v>
      </c>
      <c r="M226" s="15" t="n">
        <v>158000</v>
      </c>
      <c r="N226" s="16" t="n">
        <v>2015</v>
      </c>
      <c r="O226" s="10" t="inlineStr">
        <is>
          <t>1</t>
        </is>
      </c>
      <c r="P226" s="10" t="inlineStr">
        <is>
          <t>1</t>
        </is>
      </c>
      <c r="Q226" s="16" t="n">
        <v>208</v>
      </c>
      <c r="R226" s="16" t="n">
        <v>11</v>
      </c>
      <c r="S226" s="10" t="inlineStr">
        <is>
          <t>noir</t>
        </is>
      </c>
      <c r="T226" s="16" t="n">
        <v>3</v>
      </c>
      <c r="U226" s="10" t="n"/>
      <c r="V226" s="10" t="n"/>
      <c r="W226" s="10" t="inlineStr">
        <is>
          <t>Particulier</t>
        </is>
      </c>
      <c r="X226" s="10" t="inlineStr">
        <is>
          <t>Chaumont-en-Vexin</t>
        </is>
      </c>
      <c r="Y226" s="10" t="inlineStr">
        <is>
          <t>60240</t>
        </is>
      </c>
      <c r="Z226" s="10" t="inlineStr">
        <is>
          <t>Oise</t>
        </is>
      </c>
      <c r="AA226" s="10" t="inlineStr">
        <is>
          <t>Picardie</t>
        </is>
      </c>
      <c r="AB226" s="16" t="n"/>
      <c r="AC226" s="16" t="n"/>
      <c r="AD226" s="10" t="n"/>
      <c r="AE226" s="10" t="n"/>
      <c r="AF226" s="10" t="inlineStr">
        <is>
          <t>2 : 2 ; 3 : 3 ; 5 : 5 ; 86 : 86 ; 208 : 208 ; 2015 : 2015 ; 8420 : 8420 ; 9300 : 9300 ; 0.98 : 0.98 ; https://img.leboncoin.fr/api/v1/tenants/9a6387a1-6259-4f2c-a887-7e67f23dd4cb/domains/20bda58f-d650-462e-a72a-a5a7ecf2bf88/buckets/21d2b0bc-e54c-4b64-a30b-89127b18b785/images/profile/pictures/443efa19-41b6-55d9-a11a-eb8a16cd5e65?rule=pp-small : https://img.leboncoin.fr/api/v1/tenants/9a6387a1-6259-4f2c-a887-7e67f23dd4cb/domains/20bda58f-d650-462e-a72a-a5a7ecf2bf88/buckets/21d2b0bc-e54c-4b64-a30b-89127b18b785/images/profile/pictures/443efa19-41b6-55d9-a11a-eb8a16cd5e65?rule=pp-small ; Peugeot : Peugeot ; PEUGEOT : PEUGEOT ; 158000 km : 158000 ; Essence : 1 ; Manuelle : 1 ; 07/2015 : 07/2015 ; Berline : berline ; Noir : noir ; 11 Cv : 11 ; 208 Ch : 208 ; Avec permis : avecpermis ; essential : essential ; credit_card : credit_card ; false : false ; Légèrement supérieur : badge_key_2_5 ; true : true ; rating_score : 0.98 ; rating_count : 86 ; u_car_brand : PEUGEOT ; u_car_model : 208 ; vehicle_vsp : Avec permis ; ad_warranty_type : essential ; vehicle_available_payment_methods : credit_card ; is_import : false ; vehicle_is_eligible_p2p : 2 ; car_price_min : 8420 ; car_price_max : 9300 ; car_price_positioning : Légèrement supérieur ; licence_plate_available : true</t>
        </is>
      </c>
      <c r="AG226" s="19" t="inlineStr">
        <is>
          <t>Voir</t>
        </is>
      </c>
      <c r="AH226" s="10" t="inlineStr">
        <is>
          <t>3271215938</t>
        </is>
      </c>
    </row>
    <row r="227">
      <c r="A227" s="10" t="inlineStr">
        <is>
          <t>Peugeot 208 GTi 30th</t>
        </is>
      </c>
      <c r="B227" s="10" t="inlineStr">
        <is>
          <t>208 GTI 30th</t>
        </is>
      </c>
      <c r="C227" s="10" t="inlineStr">
        <is>
          <t>En vente</t>
        </is>
      </c>
      <c r="D227" s="18" t="n">
        <v>46288</v>
      </c>
      <c r="E227" s="18" t="n">
        <v>46288</v>
      </c>
      <c r="F227" s="18" t="n">
        <v>46296</v>
      </c>
      <c r="G227" s="18" t="n"/>
      <c r="H227" s="17">
        <f>IF(OR(ISNUMBER(D227),ISNUMBER(E227)),IF(ISNUMBER(G227),G227,F227)-IF(ISNUMBER(D227),D227,E227),"")</f>
        <v/>
      </c>
      <c r="I227" s="12" t="n">
        <v>14500</v>
      </c>
      <c r="J227" s="12" t="n">
        <v>14500</v>
      </c>
      <c r="K227" s="13">
        <f>IF(AND(ISNUMBER(I227),ISNUMBER(J227),I227&gt;0),1-J227/I227,"")</f>
        <v/>
      </c>
      <c r="L227" s="16" t="n">
        <v>0</v>
      </c>
      <c r="M227" s="15" t="n">
        <v>105000</v>
      </c>
      <c r="N227" s="16" t="n">
        <v>2015</v>
      </c>
      <c r="O227" s="10" t="inlineStr">
        <is>
          <t>1</t>
        </is>
      </c>
      <c r="P227" s="10" t="inlineStr">
        <is>
          <t>1</t>
        </is>
      </c>
      <c r="Q227" s="16" t="n">
        <v>208</v>
      </c>
      <c r="R227" s="16" t="n">
        <v>11</v>
      </c>
      <c r="S227" s="10" t="inlineStr">
        <is>
          <t>rouge</t>
        </is>
      </c>
      <c r="T227" s="16" t="n">
        <v>3</v>
      </c>
      <c r="U227" s="10" t="n"/>
      <c r="V227" s="10" t="inlineStr">
        <is>
          <t>1</t>
        </is>
      </c>
      <c r="W227" s="10" t="inlineStr">
        <is>
          <t>Particulier</t>
        </is>
      </c>
      <c r="X227" s="10" t="inlineStr">
        <is>
          <t>Champdieu</t>
        </is>
      </c>
      <c r="Y227" s="10" t="inlineStr">
        <is>
          <t>42600</t>
        </is>
      </c>
      <c r="Z227" s="10" t="inlineStr">
        <is>
          <t>Loire</t>
        </is>
      </c>
      <c r="AA227" s="10" t="inlineStr">
        <is>
          <t>Rhône-Alpes</t>
        </is>
      </c>
      <c r="AB227" s="16" t="n"/>
      <c r="AC227" s="16" t="n"/>
      <c r="AD227" s="10" t="n"/>
      <c r="AE227" s="10" t="n"/>
      <c r="AF227" s="10" t="inlineStr">
        <is>
          <t>1 : 1 ; 2 : 2 ; 3 : 3 ; 5 : 5 ; 57 : 57 ; 208 : 208 ; 2015 : 2015 ; 10220 : 10220 ; 11300 : 11300 ; 1431110 : 1431110 ; 0.98 : 0.98 ; https://img.leboncoin.fr/api/v1/tenants/9a6387a1-6259-4f2c-a887-7e67f23dd4cb/domains/20bda58f-d650-462e-a72a-a5a7ecf2bf88/buckets/21d2b0bc-e54c-4b64-a30b-89127b18b785/images/profile/pictures/default/68e6af6c-6629-53e8-8c4f-1b4da37c1354?rule=pp-small : https://img.leboncoin.fr/api/v1/tenants/9a6387a1-6259-4f2c-a887-7e67f23dd4cb/domains/20bda58f-d650-462e-a72a-a5a7ecf2bf88/buckets/21d2b0bc-e54c-4b64-a30b-89127b18b785/images/profile/pictures/default/68e6af6c-6629-53e8-8c4f-1b4da37c1354?rule=pp-small ; Peugeot : Peugeot ; PEUGEOT : PEUGEOT ; 105000 km : 105000 ; Essence : 1 ; Manuelle : 1 ; GTi by Peugeot Sport : PEUGEOT_208_GTi by Peugeot Sport ; GTi by Peugeot Sport_1.6 THP 208ch GTi by Peugeot Sport S&amp;S 3p : GTi by Peugeot Sport_1.6 THP 208ch GTi by Peugeot Sport S&amp;S 3p ; 03/2015 : 03/2015 ; Bon état général : good_overall_condition ; Berline : berline ; Rouge : rouge ; 11 Cv : 11 ; 208 Ch : 208 ; Avec permis : avecpermis ; essential : essential ; credit_card : credit_card ; false : false ; Estimation indisponible : badge_key_0_5 ; https://autoviza.fr/report/report?uid=419d5d0b-158a-484d-9809-c26a521ed9c2 : https://autoviza.fr/report/report?uid=419d5d0b-158a-484d-9809-c26a521ed9c2 ; true : true ; rating_score : 0.98 ; rating_count : 57 ; u_car_brand : PEUGEOT ; u_car_model : 208 ; u_car_finition : GTi by Peugeot Sport ; u_car_version : GTi by Peugeot Sport_1.6 THP 208ch GTi by Peugeot Sport S&amp;S 3p ; vehicle_damage : Bon état général ; vehicle_upholstery : Alcantara ; vehicle_maintenance : Factures disponibles, Carnet d'entretien disponible ; vehicle_vsp : Avec permis ; ad_warranty_type : essential ; vehicle_available_payment_methods : credit_card ; is_import : false ; vehicle_is_eligible_p2p : 2 ; car_price_min : 10220 ; car_price_max : 11300 ; car_price_positioning : Estimation indisponible ; vehicle_history_report_public_url : https://autoviza.fr/report/report?uid=419d5d0b-158a-484d-9809-c26a521ed9c2 ; argus_object_id : 1431110 ; licence_plate_available : true</t>
        </is>
      </c>
      <c r="AG227" s="19" t="inlineStr">
        <is>
          <t>Voir</t>
        </is>
      </c>
      <c r="AH227" s="10" t="inlineStr">
        <is>
          <t>3275390710</t>
        </is>
      </c>
    </row>
    <row r="228">
      <c r="A228" s="10" t="inlineStr">
        <is>
          <t>Peugeot 208 GTi 30th</t>
        </is>
      </c>
      <c r="B228" s="10" t="inlineStr">
        <is>
          <t>Peugeot 208 GTI 30th</t>
        </is>
      </c>
      <c r="C228" s="10" t="inlineStr">
        <is>
          <t>En vente</t>
        </is>
      </c>
      <c r="D228" s="18" t="n">
        <v>46288</v>
      </c>
      <c r="E228" s="18" t="n">
        <v>46288</v>
      </c>
      <c r="F228" s="18" t="n">
        <v>46296</v>
      </c>
      <c r="G228" s="18" t="n"/>
      <c r="H228" s="17">
        <f>IF(OR(ISNUMBER(D228),ISNUMBER(E228)),IF(ISNUMBER(G228),G228,F228)-IF(ISNUMBER(D228),D228,E228),"")</f>
        <v/>
      </c>
      <c r="I228" s="12" t="n">
        <v>17900</v>
      </c>
      <c r="J228" s="12" t="n">
        <v>17900</v>
      </c>
      <c r="K228" s="13">
        <f>IF(AND(ISNUMBER(I228),ISNUMBER(J228),I228&gt;0),1-J228/I228,"")</f>
        <v/>
      </c>
      <c r="L228" s="16" t="n">
        <v>0</v>
      </c>
      <c r="M228" s="15" t="n">
        <v>84000</v>
      </c>
      <c r="N228" s="16" t="n">
        <v>2015</v>
      </c>
      <c r="O228" s="10" t="inlineStr">
        <is>
          <t>1</t>
        </is>
      </c>
      <c r="P228" s="10" t="inlineStr">
        <is>
          <t>1</t>
        </is>
      </c>
      <c r="Q228" s="16" t="n">
        <v>208</v>
      </c>
      <c r="R228" s="16" t="n">
        <v>11</v>
      </c>
      <c r="S228" s="10" t="n"/>
      <c r="T228" s="16" t="n">
        <v>3</v>
      </c>
      <c r="U228" s="10" t="n"/>
      <c r="V228" s="10" t="n"/>
      <c r="W228" s="10" t="inlineStr">
        <is>
          <t>Particulier</t>
        </is>
      </c>
      <c r="X228" s="10" t="inlineStr">
        <is>
          <t>Saint-Jean-du-Gard</t>
        </is>
      </c>
      <c r="Y228" s="10" t="inlineStr">
        <is>
          <t>30270</t>
        </is>
      </c>
      <c r="Z228" s="10" t="inlineStr">
        <is>
          <t>Gard</t>
        </is>
      </c>
      <c r="AA228" s="10" t="inlineStr">
        <is>
          <t>Languedoc-Roussillon</t>
        </is>
      </c>
      <c r="AB228" s="16" t="n"/>
      <c r="AC228" s="16" t="n"/>
      <c r="AD228" s="10" t="n"/>
      <c r="AE228" s="10" t="n"/>
      <c r="AF228" s="10" t="inlineStr">
        <is>
          <t>2 : 2 ; 3 : 3 ; 5 : 5 ; 208 : 208 ; 2015 : 2015 ; 11480 : 11480 ; 12680 : 12680 ; 1341947 : 1341947 ; https://img.leboncoin.fr/api/v1/tenants/9a6387a1-6259-4f2c-a887-7e67f23dd4cb/domains/20bda58f-d650-462e-a72a-a5a7ecf2bf88/buckets/21d2b0bc-e54c-4b64-a30b-89127b18b785/images/profile/pictures/default/b5553129-afc8-5f53-87ca-8ab44c6c6ae9?rule=pp-small : https://img.leboncoin.fr/api/v1/tenants/9a6387a1-6259-4f2c-a887-7e67f23dd4cb/domains/20bda58f-d650-462e-a72a-a5a7ecf2bf88/buckets/21d2b0bc-e54c-4b64-a30b-89127b18b785/images/profile/pictures/default/b5553129-afc8-5f53-87ca-8ab44c6c6ae9?rule=pp-small ; Peugeot : Peugeot ; PEUGEOT : PEUGEOT ; 84000 km : 84000 ; Essence : 1 ; Manuelle : 1 ; GTi 30th : PEUGEOT_208_GTi 30th ; 1.6 THP 208ch GTI 30th S&amp;S 3p : 1.6 THP 208ch GTI 30th S&amp;S 3p ; 09/2015 : 09/2015 ; Berline : berline ; 11 Cv : 11 ; 208 Ch : 208 ; Avec permis : avecpermis ; essential : essential ; credit_card : credit_card ; false : false ; Estimation indisponible : badge_key_0_5 ; https://autoviza.fr/report/report?uid=1b30aeb3-9e3c-4973-a3d2-3df7f10855b3 : https://autoviza.fr/report/report?uid=1b30aeb3-9e3c-4973-a3d2-3df7f10855b3 ; visible : visible ; true : true ; u_car_brand : PEUGEOT ; u_car_model : 208 ; u_car_finition : GTi 30th ; u_car_version : 1.6 THP 208ch GTI 30th S&amp;S 3p ; vehicle_vsp : Avec permis ; ad_warranty_type : essential ; vehicle_available_payment_methods : credit_card ; is_import : false ; vehicle_is_eligible_p2p : 2 ; car_price_min : 11480 ; car_price_max : 12680 ; car_price_positioning : Estimation indisponible ; vehicle_history_report_public_url : https://autoviza.fr/report/report?uid=1b30aeb3-9e3c-4973-a3d2-3df7f10855b3 ; vehicle_history_report_status : visible ; argus_object_id : 1341947 ; licence_plate_available : true</t>
        </is>
      </c>
      <c r="AG228" s="19" t="inlineStr">
        <is>
          <t>Voir</t>
        </is>
      </c>
      <c r="AH228" s="10" t="inlineStr">
        <is>
          <t>3275427165</t>
        </is>
      </c>
    </row>
    <row r="229">
      <c r="A229" s="10" t="inlineStr">
        <is>
          <t>Peugeot 208 GTi 30th</t>
        </is>
      </c>
      <c r="B229" s="10" t="inlineStr">
        <is>
          <t>Peugeot 208 generation-i 1.6 thp 210 gti 30th peugeot sport - suivi complet/garantie 12 mois</t>
        </is>
      </c>
      <c r="C229" s="10" t="inlineStr">
        <is>
          <t>En vente</t>
        </is>
      </c>
      <c r="D229" s="18" t="n">
        <v>46241</v>
      </c>
      <c r="E229" s="18" t="n">
        <v>46241</v>
      </c>
      <c r="F229" s="18" t="n">
        <v>46296</v>
      </c>
      <c r="G229" s="18" t="n"/>
      <c r="H229" s="17">
        <f>IF(OR(ISNUMBER(D229),ISNUMBER(E229)),IF(ISNUMBER(G229),G229,F229)-IF(ISNUMBER(D229),D229,E229),"")</f>
        <v/>
      </c>
      <c r="I229" s="12" t="n">
        <v>12990</v>
      </c>
      <c r="J229" s="12" t="n">
        <v>12990</v>
      </c>
      <c r="K229" s="13">
        <f>IF(AND(ISNUMBER(I229),ISNUMBER(J229),I229&gt;0),1-J229/I229,"")</f>
        <v/>
      </c>
      <c r="L229" s="16" t="n">
        <v>0</v>
      </c>
      <c r="M229" s="15" t="n">
        <v>130000</v>
      </c>
      <c r="N229" s="16" t="n">
        <v>2015</v>
      </c>
      <c r="O229" s="10" t="inlineStr">
        <is>
          <t>1</t>
        </is>
      </c>
      <c r="P229" s="10" t="inlineStr">
        <is>
          <t>1</t>
        </is>
      </c>
      <c r="Q229" s="16" t="n">
        <v>208</v>
      </c>
      <c r="R229" s="16" t="n">
        <v>11</v>
      </c>
      <c r="S229" s="10" t="inlineStr">
        <is>
          <t>noir</t>
        </is>
      </c>
      <c r="T229" s="16" t="n">
        <v>3</v>
      </c>
      <c r="U229" s="10" t="n"/>
      <c r="V229" s="10" t="inlineStr">
        <is>
          <t>1</t>
        </is>
      </c>
      <c r="W229" s="10" t="inlineStr">
        <is>
          <t>Pro</t>
        </is>
      </c>
      <c r="X229" s="10" t="inlineStr">
        <is>
          <t>Ville-la-Grand</t>
        </is>
      </c>
      <c r="Y229" s="10" t="inlineStr">
        <is>
          <t>74100</t>
        </is>
      </c>
      <c r="Z229" s="10" t="inlineStr">
        <is>
          <t>Haute-Savoie</t>
        </is>
      </c>
      <c r="AA229" s="10" t="inlineStr">
        <is>
          <t>Rhône-Alpes</t>
        </is>
      </c>
      <c r="AB229" s="16" t="n"/>
      <c r="AC229" s="16" t="n"/>
      <c r="AD229" s="10" t="n"/>
      <c r="AE229" s="10" t="n"/>
      <c r="AF229" s="10" t="inlineStr">
        <is>
          <t>1 : 1 ; 3 : 3 ; 5 : 5 ; 208 : 208 ; 2015 : 2015 ; 9710 : 9710 ; 10740 : 10740 ; 1341947 : 1341947 ; 6781859 : 6781859 ; Peugeot : Peugeot ; PEUGEOT : PEUGEOT ; 130000 km : 130000 ; Essence : 1 ; Manuelle : 1 ; GTi 30th : PEUGEOT_208_GTi 30th ; 1.6 THP 208ch GTI 30th S&amp;S 3p : 1.6 THP 208ch GTI 30th S&amp;S 3p ; 04/2015 : 04/2015 ; Bon état général : good_overall_condition ; Berline : berline ; Noir : noir ; 11 Cv : 11 ; 208 Ch : 208 ; Sans permis : sanspermis ; false : false ; true : true ; https://img.leboncoin.fr/api/v1/lbcpb1/images/7b/a6/6b/7ba66b67-41b7-43b1-b7c3-e12537db34ac?rule=bo-thumb : https://img.leboncoin.fr/api/v1/lbcpb1/images/7b/a6/6b/7ba66b67-41b7-43b1-b7c3-e12537db34ac?rule=bo-thumb ; WEECARS ANNEMASSE : WEECARS ANNEMASSE ; 1363-0000997 : 1363-0000997 ; Estimation indisponible : badge_key_0_5 ; Non renseignée : non_renseignee ; activity_sector : 1 ; u_car_brand : PEUGEOT ; u_car_model : 208 ; u_car_finition : GTi 30th ; u_car_version : 1.6 THP 208ch GTI 30th S&amp;S 3p ; vehicle_damage : Bon état général ; vehicle_upholstery : Tout cuir ; vehicle_vsp : Sans permis ; recent_used_vehicle : false ; has_visibility_option : true ; store_logo : https://img.leboncoin.fr/api/v1/lbcpb1/images/7b/a6/6b/7ba66b67-41b7-43b1-b7c3-e12537db34ac?rule=bo-thumb ; store_name : WEECARS ANNEMASSE ; online_store_id : 6781859 ; custom_ref : 1363-0000997 ; is_import : true ; car_price_min : 9710 ; car_price_max : 10740 ; car_price_positioning : Estimation indisponible ; argus_object_id : 1341947 ; spare_parts_availability : Non renseignée ; licence_plate_available : true</t>
        </is>
      </c>
      <c r="AG229" s="19" t="inlineStr">
        <is>
          <t>Voir</t>
        </is>
      </c>
      <c r="AH229" s="10" t="inlineStr">
        <is>
          <t>3278215050</t>
        </is>
      </c>
    </row>
    <row r="230">
      <c r="A230" s="10" t="inlineStr">
        <is>
          <t>Peugeot 306 S16</t>
        </is>
      </c>
      <c r="B230" s="10" t="inlineStr">
        <is>
          <t>306 s16 ACAV 1997 boite 6</t>
        </is>
      </c>
      <c r="C230" s="10" t="inlineStr">
        <is>
          <t>En vente</t>
        </is>
      </c>
      <c r="D230" s="18" t="n">
        <v>46241</v>
      </c>
      <c r="E230" s="18" t="n">
        <v>46241</v>
      </c>
      <c r="F230" s="18" t="n">
        <v>46296</v>
      </c>
      <c r="G230" s="18" t="n"/>
      <c r="H230" s="17">
        <f>IF(OR(ISNUMBER(D230),ISNUMBER(E230)),IF(ISNUMBER(G230),G230,F230)-IF(ISNUMBER(D230),D230,E230),"")</f>
        <v/>
      </c>
      <c r="I230" s="12" t="n">
        <v>12800</v>
      </c>
      <c r="J230" s="12" t="n">
        <v>12800</v>
      </c>
      <c r="K230" s="13">
        <f>IF(AND(ISNUMBER(I230),ISNUMBER(J230),I230&gt;0),1-J230/I230,"")</f>
        <v/>
      </c>
      <c r="L230" s="16" t="n">
        <v>0</v>
      </c>
      <c r="M230" s="15" t="n">
        <v>249000</v>
      </c>
      <c r="N230" s="16" t="n">
        <v>1997</v>
      </c>
      <c r="O230" s="10" t="inlineStr">
        <is>
          <t>1</t>
        </is>
      </c>
      <c r="P230" s="10" t="inlineStr">
        <is>
          <t>1</t>
        </is>
      </c>
      <c r="Q230" s="16" t="n">
        <v>155</v>
      </c>
      <c r="R230" s="16" t="n">
        <v>11</v>
      </c>
      <c r="S230" s="10" t="inlineStr">
        <is>
          <t>gris</t>
        </is>
      </c>
      <c r="T230" s="16" t="n">
        <v>3</v>
      </c>
      <c r="U230" s="10" t="n"/>
      <c r="V230" s="10" t="inlineStr">
        <is>
          <t>6</t>
        </is>
      </c>
      <c r="W230" s="10" t="inlineStr">
        <is>
          <t>Particulier</t>
        </is>
      </c>
      <c r="X230" s="10" t="inlineStr">
        <is>
          <t>Valencisse</t>
        </is>
      </c>
      <c r="Y230" s="10" t="inlineStr">
        <is>
          <t>41190</t>
        </is>
      </c>
      <c r="Z230" s="10" t="inlineStr">
        <is>
          <t>Loir-et-Cher</t>
        </is>
      </c>
      <c r="AA230" s="10" t="inlineStr">
        <is>
          <t>Centre</t>
        </is>
      </c>
      <c r="AB230" s="16" t="n"/>
      <c r="AC230" s="16" t="n"/>
      <c r="AD230" s="10" t="n"/>
      <c r="AE230"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F230" s="10" t="inlineStr">
        <is>
          <t>2 : 2 ; 3 : 3 ; 5 : 5 ; 61 : 61 ; 306 : 306 ; 1997 : 1997 ; 2027 : 2027 ; 719379 : 719379 ; 0.98 : 0.98 ; https://img.leboncoin.fr/api/v1/tenants/9a6387a1-6259-4f2c-a887-7e67f23dd4cb/domains/20bda58f-d650-462e-a72a-a5a7ecf2bf88/buckets/21d2b0bc-e54c-4b64-a30b-89127b18b785/images/profile/pictures/default/1a2f1496-60ba-5341-a30b-5642ed9ae0b5?rule=pp-small : https://img.leboncoin.fr/api/v1/tenants/9a6387a1-6259-4f2c-a887-7e67f23dd4cb/domains/20bda58f-d650-462e-a72a-a5a7ecf2bf88/buckets/21d2b0bc-e54c-4b64-a30b-89127b18b785/images/profile/pictures/default/1a2f1496-60ba-5341-a30b-5642ed9ae0b5?rule=pp-small ; Peugeot : Peugeot ; PEUGEOT : PEUGEOT ; 249000 km : 249000 ; Essence : 1 ; Manuelle : 1 ; S16 : PEUGEOT_306_S16 ; 306 2.0 S16 BV6 3p : 306 2.0 S16 BV6 3p ; Oui : true ; 06/1997 : 06/1997 ; Bon état général : good_overall_condition ; Berline : berline ; Gris : gris ; Non classé : 6 ; 11 Cv : 11 ; 155 Ch : 155 ; Avec permis : avecpermis ; credit_card : credit_card ; false : false ; https://autoviza.fr/report/report?uid=f5f56a62-ecdf-44a9-87e0-c2928fbf8f8e : https://autoviza.fr/report/report?uid=f5f56a62-ecdf-44a9-87e0-c2928fbf8f8e ; true : true ; rating_score : 0.98 ; rating_count : 61 ; u_car_brand : PEUGEOT ; u_car_model : 306 ; u_car_finition : S16 ; u_car_version : 306 2.0 S16 BV6 3p ; vehicle_technical_inspection_valid : Oui ; vehicle_technical_inspection_a : 2027 ; vehicle_damage : Bon état général ; vehicle_upholstery : Tout cuir ; vehicle_maintenance : Véhicule non fumeur, Réparations utiles déjà faites ; vehicle_interior_specs : Climatisation, Jantes en alliage, Toit ouvrant / Toit panoramique ; vehicle_vsp : Avec permis ; vehicle_available_payment_methods : credit_card ; is_import : false ; vehicle_is_eligible_p2p : 2 ; vehicle_history_report_public_url : https://autoviza.fr/report/report?uid=f5f56a62-ecdf-44a9-87e0-c2928fbf8f8e ; argus_object_id : 719379 ; licence_plate_available : true</t>
        </is>
      </c>
      <c r="AG230" s="19" t="inlineStr">
        <is>
          <t>Voir</t>
        </is>
      </c>
      <c r="AH230" s="10" t="inlineStr">
        <is>
          <t>3006219965</t>
        </is>
      </c>
    </row>
    <row r="231">
      <c r="A231" s="10" t="inlineStr">
        <is>
          <t>Peugeot 306 S16</t>
        </is>
      </c>
      <c r="B231" s="10" t="inlineStr">
        <is>
          <t>Xsara vts 167 éthanol</t>
        </is>
      </c>
      <c r="C231" s="10" t="inlineStr">
        <is>
          <t>En vente</t>
        </is>
      </c>
      <c r="D231" s="18" t="n">
        <v>46265</v>
      </c>
      <c r="E231" s="18" t="n">
        <v>46265</v>
      </c>
      <c r="F231" s="18" t="n">
        <v>46296</v>
      </c>
      <c r="G231" s="18" t="n"/>
      <c r="H231" s="17">
        <f>IF(OR(ISNUMBER(D231),ISNUMBER(E231)),IF(ISNUMBER(G231),G231,F231)-IF(ISNUMBER(D231),D231,E231),"")</f>
        <v/>
      </c>
      <c r="I231" s="12" t="n">
        <v>11900</v>
      </c>
      <c r="J231" s="12" t="n">
        <v>11900</v>
      </c>
      <c r="K231" s="13">
        <f>IF(AND(ISNUMBER(I231),ISNUMBER(J231),I231&gt;0),1-J231/I231,"")</f>
        <v/>
      </c>
      <c r="L231" s="16" t="n">
        <v>0</v>
      </c>
      <c r="M231" s="15" t="n">
        <v>88000</v>
      </c>
      <c r="N231" s="16" t="n">
        <v>1998</v>
      </c>
      <c r="O231" s="10" t="inlineStr">
        <is>
          <t>1</t>
        </is>
      </c>
      <c r="P231" s="10" t="inlineStr">
        <is>
          <t>1</t>
        </is>
      </c>
      <c r="Q231" s="16" t="n">
        <v>167</v>
      </c>
      <c r="R231" s="16" t="n">
        <v>11</v>
      </c>
      <c r="S231" s="10" t="inlineStr">
        <is>
          <t>bleu</t>
        </is>
      </c>
      <c r="T231" s="16" t="n">
        <v>3</v>
      </c>
      <c r="U231" s="10" t="n"/>
      <c r="V231" s="10" t="inlineStr">
        <is>
          <t>3</t>
        </is>
      </c>
      <c r="W231" s="10" t="inlineStr">
        <is>
          <t>Particulier</t>
        </is>
      </c>
      <c r="X231" s="10" t="inlineStr">
        <is>
          <t>Saintines</t>
        </is>
      </c>
      <c r="Y231" s="10" t="inlineStr">
        <is>
          <t>60410</t>
        </is>
      </c>
      <c r="Z231" s="10" t="inlineStr">
        <is>
          <t>Oise</t>
        </is>
      </c>
      <c r="AA231" s="10" t="inlineStr">
        <is>
          <t>Picardie</t>
        </is>
      </c>
      <c r="AB231" s="16" t="n"/>
      <c r="AC231" s="16" t="n"/>
      <c r="AD231" s="10" t="n"/>
      <c r="AE231"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F231" s="10" t="inlineStr">
        <is>
          <t>2 : 2 ; 3 : 3 ; 5 : 5 ; 14 : 14 ; 1998 : 1998 ; 2028 : 2028 ; 711813 : 711813 ; 0.99 : 0.99 ; https://img.leboncoin.fr/api/v1/tenants/9a6387a1-6259-4f2c-a887-7e67f23dd4cb/domains/20bda58f-d650-462e-a72a-a5a7ecf2bf88/buckets/21d2b0bc-e54c-4b64-a30b-89127b18b785/images/profile/pictures/default/54e20d84-9494-557e-ac66-dcad4adfac67?rule=pp-small : https://img.leboncoin.fr/api/v1/tenants/9a6387a1-6259-4f2c-a887-7e67f23dd4cb/domains/20bda58f-d650-462e-a72a-a5a7ecf2bf88/buckets/21d2b0bc-e54c-4b64-a30b-89127b18b785/images/profile/pictures/default/54e20d84-9494-557e-ac66-dcad4adfac67?rule=pp-small ; Citroen : Citroen ; Xsara : Xsara ; CITROEN : CITROEN ; 88000 km : 88000 ; Essence : 1 ; Manuelle : 1 ; VTS : CITROEN_Xsara_VTS ; VTS_Xsara Coupe 2.0 16v 167ch VTS 3p : VTS_Xsara Coupe 2.0 16v 167ch VTS 3p ; Oui : true ; 07/1998 : 07/1998 ; Excellent état (proche du neuf) : excellent_condition ; Coupé : coupe ; Bleu : bleu ; 11 Cv : 11 ; 167 Ch : 167 ; Avec permis : avecpermis ; credit_card : credit_card ; false : false ; https://autoviza.fr/report/report?uid=cc65e078-8382-4b3a-b21d-e579d5524d91 : https://autoviza.fr/report/report?uid=cc65e078-8382-4b3a-b21d-e579d5524d91 ; true : true ; rating_score : 0.99 ; rating_count : 14 ; u_car_brand : CITROEN ; u_car_model : Xsara ; u_car_finition : VTS ; u_car_version : VTS_Xsara Coupe 2.0 16v 167ch VTS 3p ; vehicle_technical_inspection_valid : Oui ; vehicle_technical_inspection_a : 2028 ; vehicle_damage : Excellent état (proche du neuf) ; vehicle_upholstery : Tout cuir ; vehicle_maintenance : Carnet d'entretien disponible, Véhicule non fumeur, Factures disponibles, Réparations utiles déjà faites ; vehicle_interior_specs : Aide au stationnement, Apple CarPlay / Android Auto, Bluetooth, Caméra de recul, Chargeurs USB, Climatisation, Essuie-glaces automatiques, Jantes en alliage, Phares anti-brouillard, Phares LED / Xenon, Roue de secours, Régulateur de vitesse, Siège arrière rabattable, Siège réglable en hauteur, Sièges en cuir, Système de navigation, Volant réglable en hauteur, Volant réglable en profondeur ; vehicle_vsp : Avec permis ; vehicle_available_payment_methods : credit_card ; is_import : false ; vehicle_is_eligible_p2p : 2 ; vehicle_history_report_public_url : https://autoviza.fr/report/report?uid=cc65e078-8382-4b3a-b21d-e579d5524d91 ; argus_object_id : 711813 ; licence_plate_available : true</t>
        </is>
      </c>
      <c r="AG231" s="19" t="inlineStr">
        <is>
          <t>Voir</t>
        </is>
      </c>
      <c r="AH231" s="10" t="inlineStr">
        <is>
          <t>3218818524</t>
        </is>
      </c>
    </row>
    <row r="232">
      <c r="A232" s="10" t="inlineStr">
        <is>
          <t>Peugeot 306 S16</t>
        </is>
      </c>
      <c r="B232" s="10" t="inlineStr">
        <is>
          <t>205 piste</t>
        </is>
      </c>
      <c r="C232" s="10" t="inlineStr">
        <is>
          <t>En vente</t>
        </is>
      </c>
      <c r="D232" s="18" t="n">
        <v>46283</v>
      </c>
      <c r="E232" s="18" t="n">
        <v>46283</v>
      </c>
      <c r="F232" s="18" t="n">
        <v>46296</v>
      </c>
      <c r="G232" s="18" t="n"/>
      <c r="H232" s="17">
        <f>IF(OR(ISNUMBER(D232),ISNUMBER(E232)),IF(ISNUMBER(G232),G232,F232)-IF(ISNUMBER(D232),D232,E232),"")</f>
        <v/>
      </c>
      <c r="I232" s="12" t="n">
        <v>7000</v>
      </c>
      <c r="J232" s="12" t="n">
        <v>7000</v>
      </c>
      <c r="K232" s="13">
        <f>IF(AND(ISNUMBER(I232),ISNUMBER(J232),I232&gt;0),1-J232/I232,"")</f>
        <v/>
      </c>
      <c r="L232" s="16" t="n">
        <v>0</v>
      </c>
      <c r="M232" s="15" t="n">
        <v>10000</v>
      </c>
      <c r="N232" s="16" t="n">
        <v>1995</v>
      </c>
      <c r="O232" s="10" t="inlineStr">
        <is>
          <t>1</t>
        </is>
      </c>
      <c r="P232" s="10" t="inlineStr">
        <is>
          <t>1</t>
        </is>
      </c>
      <c r="Q232" s="16" t="n">
        <v>60</v>
      </c>
      <c r="R232" s="16" t="n">
        <v>5</v>
      </c>
      <c r="S232" s="10" t="inlineStr">
        <is>
          <t>autre</t>
        </is>
      </c>
      <c r="T232" s="16" t="n">
        <v>5</v>
      </c>
      <c r="U232" s="10" t="n"/>
      <c r="V232" s="10" t="n"/>
      <c r="W232" s="10" t="inlineStr">
        <is>
          <t>Particulier</t>
        </is>
      </c>
      <c r="X232" s="10" t="inlineStr">
        <is>
          <t>Nemours</t>
        </is>
      </c>
      <c r="Y232" s="10" t="inlineStr">
        <is>
          <t>77140</t>
        </is>
      </c>
      <c r="Z232" s="10" t="inlineStr">
        <is>
          <t>Seine-et-Marne</t>
        </is>
      </c>
      <c r="AA232" s="10" t="inlineStr">
        <is>
          <t>Ile-de-France</t>
        </is>
      </c>
      <c r="AB232" s="16" t="n"/>
      <c r="AC232" s="16" t="n"/>
      <c r="AD232" s="10" t="n"/>
      <c r="AE232" s="10" t="inlineStr">
        <is>
          <t>Vend 205 piste Train de 306 s16 avec freinage Kit carrosserie neuf Plus dinfo mp Par numéro de téléphone</t>
        </is>
      </c>
      <c r="AF232" s="10" t="inlineStr">
        <is>
          <t>1 : 1 ; 2 : 2 ; 5 : 5 ; 205 : 205 ; 1995 : 1995 ; 8500 : 8500 ; https://img.leboncoin.fr/api/v1/tenants/9a6387a1-6259-4f2c-a887-7e67f23dd4cb/domains/20bda58f-d650-462e-a72a-a5a7ecf2bf88/buckets/21d2b0bc-e54c-4b64-a30b-89127b18b785/images/profile/pictures/default/24356e54-77ac-5af6-bd19-047a154c3b23?rule=pp-small : https://img.leboncoin.fr/api/v1/tenants/9a6387a1-6259-4f2c-a887-7e67f23dd4cb/domains/20bda58f-d650-462e-a72a-a5a7ecf2bf88/buckets/21d2b0bc-e54c-4b64-a30b-89127b18b785/images/profile/pictures/default/24356e54-77ac-5af6-bd19-047a154c3b23?rule=pp-small ; Peugeot : Peugeot ; PEUGEOT : PEUGEOT ; 10000 km : 10000 ; Essence : 1 ; Manuelle : 1 ; 01/1995 : 01/1995 ; Berline : berline ; Autre : autre ; 5 Cv : 5 ; 60 Ch : 60 ; Avec permis : avecpermis ; credit_card : credit_card ; false : false ; https://autoviza.fr/report/report?uid=d20b605a-bfb2-4944-8911-4722ff09924e : https://autoviza.fr/report/report?uid=d20b605a-bfb2-4944-8911-4722ff09924e ; true : true ; u_car_brand : PEUGEOT ; u_car_model : 205 ; vehicle_vsp : Avec permis ; vehicle_available_payment_methods : credit_card ; is_import : false ; old_price : 8500 ; vehicle_is_eligible_p2p : 2 ; vehicle_history_report_public_url : https://autoviza.fr/report/report?uid=d20b605a-bfb2-4944-8911-4722ff09924e ; licence_plate_available : true</t>
        </is>
      </c>
      <c r="AG232" s="19" t="inlineStr">
        <is>
          <t>Voir</t>
        </is>
      </c>
      <c r="AH232" s="10" t="inlineStr">
        <is>
          <t>3235223068</t>
        </is>
      </c>
    </row>
    <row r="233">
      <c r="A233" s="10" t="inlineStr">
        <is>
          <t>Peugeot 306 S16</t>
        </is>
      </c>
      <c r="B233" s="10" t="inlineStr">
        <is>
          <t>306 s16 Le Mans</t>
        </is>
      </c>
      <c r="C233" s="10" t="inlineStr">
        <is>
          <t>En vente</t>
        </is>
      </c>
      <c r="D233" s="18" t="n">
        <v>46261</v>
      </c>
      <c r="E233" s="18" t="n">
        <v>46261</v>
      </c>
      <c r="F233" s="18" t="n">
        <v>46296</v>
      </c>
      <c r="G233" s="18" t="n"/>
      <c r="H233" s="17">
        <f>IF(OR(ISNUMBER(D233),ISNUMBER(E233)),IF(ISNUMBER(G233),G233,F233)-IF(ISNUMBER(D233),D233,E233),"")</f>
        <v/>
      </c>
      <c r="I233" s="12" t="n">
        <v>12000</v>
      </c>
      <c r="J233" s="12" t="n">
        <v>12000</v>
      </c>
      <c r="K233" s="13">
        <f>IF(AND(ISNUMBER(I233),ISNUMBER(J233),I233&gt;0),1-J233/I233,"")</f>
        <v/>
      </c>
      <c r="L233" s="16" t="n">
        <v>0</v>
      </c>
      <c r="M233" s="15" t="n">
        <v>174000</v>
      </c>
      <c r="N233" s="16" t="n">
        <v>1994</v>
      </c>
      <c r="O233" s="10" t="inlineStr">
        <is>
          <t>1</t>
        </is>
      </c>
      <c r="P233" s="10" t="inlineStr">
        <is>
          <t>1</t>
        </is>
      </c>
      <c r="Q233" s="16" t="n">
        <v>150</v>
      </c>
      <c r="R233" s="16" t="n">
        <v>11</v>
      </c>
      <c r="S233" s="10" t="inlineStr">
        <is>
          <t>rouge</t>
        </is>
      </c>
      <c r="T233" s="16" t="n">
        <v>3</v>
      </c>
      <c r="U233" s="10" t="n"/>
      <c r="V233" s="10" t="n"/>
      <c r="W233" s="10" t="inlineStr">
        <is>
          <t>Particulier</t>
        </is>
      </c>
      <c r="X233" s="10" t="inlineStr">
        <is>
          <t>Fontaine-le-Bourg</t>
        </is>
      </c>
      <c r="Y233" s="10" t="inlineStr">
        <is>
          <t>76690</t>
        </is>
      </c>
      <c r="Z233" s="10" t="inlineStr">
        <is>
          <t>Seine-Maritime</t>
        </is>
      </c>
      <c r="AA233" s="10" t="inlineStr">
        <is>
          <t>Haute-Normandie</t>
        </is>
      </c>
      <c r="AB233" s="16" t="n"/>
      <c r="AC233" s="16" t="n"/>
      <c r="AD233" s="10" t="n"/>
      <c r="AE233"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F233" s="10" t="inlineStr">
        <is>
          <t>1 : 1 ; 2 : 2 ; 3 : 3 ; 52 : 52 ; 306 : 306 ; 1994 : 1994 ; 2027 : 2027 ; 0.98 : 0.98 ; https://img.leboncoin.fr/api/v1/tenants/9a6387a1-6259-4f2c-a887-7e67f23dd4cb/domains/20bda58f-d650-462e-a72a-a5a7ecf2bf88/buckets/21d2b0bc-e54c-4b64-a30b-89127b18b785/images/profile/pictures/fe9e2016-1ac3-5c9b-af46-a6f8161707d0?rule=pp-small : https://img.leboncoin.fr/api/v1/tenants/9a6387a1-6259-4f2c-a887-7e67f23dd4cb/domains/20bda58f-d650-462e-a72a-a5a7ecf2bf88/buckets/21d2b0bc-e54c-4b64-a30b-89127b18b785/images/profile/pictures/fe9e2016-1ac3-5c9b-af46-a6f8161707d0?rule=pp-small ; Peugeot : Peugeot ; PEUGEOT : PEUGEOT ; 174000 km : 174000 ; Essence : 1 ; Manuelle : 1 ; Oui : true ; 03/1994 : 03/1994 ; Bon état général : good_overall_condition ; Berline : berline ; Rouge : rouge ; 11 Cv : 11 ; 150 Ch : 150 ; Avec permis : avecpermis ; credit_card : credit_card ; false : false ; https://autoviza.fr/report/report?uid=2058a712-a220-444b-af1f-31f710bf0b57 : https://autoviza.fr/report/report?uid=2058a712-a220-444b-af1f-31f710bf0b57 ; true : true ; rating_score : 0.98 ; rating_count : 52 ; u_car_brand : PEUGEOT ; u_car_model : 306 ; vehicle_technical_inspection_valid : Oui ; vehicle_technical_inspection_a : 2027 ; vehicle_damage : Bon état général ; vehicle_upholstery : Cuir partiel, Alcantara ; vehicle_maintenance : Véhicule non fumeur ; vehicle_interior_specs : Jantes en alliage, Phares anti-brouillard ; vehicle_vsp : Avec permis ; vehicle_available_payment_methods : credit_card ; is_import : false ; vehicle_is_eligible_p2p : 2 ; vehicle_history_report_public_url : https://autoviza.fr/report/report?uid=2058a712-a220-444b-af1f-31f710bf0b57 ; licence_plate_available : true</t>
        </is>
      </c>
      <c r="AG233" s="19" t="inlineStr">
        <is>
          <t>Voir</t>
        </is>
      </c>
      <c r="AH233" s="10" t="inlineStr">
        <is>
          <t>3257692927</t>
        </is>
      </c>
    </row>
    <row r="234">
      <c r="A234" s="10" t="inlineStr">
        <is>
          <t>Peugeot 306 S16</t>
        </is>
      </c>
      <c r="B234" s="10" t="inlineStr">
        <is>
          <t>206 s16 Tracktool</t>
        </is>
      </c>
      <c r="C234" s="10" t="inlineStr">
        <is>
          <t>En vente</t>
        </is>
      </c>
      <c r="D234" s="18" t="n">
        <v>46268</v>
      </c>
      <c r="E234" s="18" t="n">
        <v>46268</v>
      </c>
      <c r="F234" s="18" t="n">
        <v>46296</v>
      </c>
      <c r="G234" s="18" t="n"/>
      <c r="H234" s="17">
        <f>IF(OR(ISNUMBER(D234),ISNUMBER(E234)),IF(ISNUMBER(G234),G234,F234)-IF(ISNUMBER(D234),D234,E234),"")</f>
        <v/>
      </c>
      <c r="I234" s="12" t="n">
        <v>6300</v>
      </c>
      <c r="J234" s="12" t="n">
        <v>6300</v>
      </c>
      <c r="K234" s="13">
        <f>IF(AND(ISNUMBER(I234),ISNUMBER(J234),I234&gt;0),1-J234/I234,"")</f>
        <v/>
      </c>
      <c r="L234" s="16" t="n">
        <v>0</v>
      </c>
      <c r="M234" s="15" t="n">
        <v>160500</v>
      </c>
      <c r="N234" s="16" t="n">
        <v>1999</v>
      </c>
      <c r="O234" s="10" t="inlineStr">
        <is>
          <t>1</t>
        </is>
      </c>
      <c r="P234" s="10" t="inlineStr">
        <is>
          <t>1</t>
        </is>
      </c>
      <c r="Q234" s="16" t="n">
        <v>138</v>
      </c>
      <c r="R234" s="16" t="n">
        <v>9</v>
      </c>
      <c r="S234" s="10" t="inlineStr">
        <is>
          <t>noir</t>
        </is>
      </c>
      <c r="T234" s="16" t="n">
        <v>2</v>
      </c>
      <c r="U234" s="10" t="n"/>
      <c r="V234" s="10" t="n"/>
      <c r="W234" s="10" t="inlineStr">
        <is>
          <t>Particulier</t>
        </is>
      </c>
      <c r="X234" s="10" t="inlineStr">
        <is>
          <t>Le Broc</t>
        </is>
      </c>
      <c r="Y234" s="10" t="inlineStr">
        <is>
          <t>06510</t>
        </is>
      </c>
      <c r="Z234" s="10" t="inlineStr">
        <is>
          <t>Alpes-Maritimes</t>
        </is>
      </c>
      <c r="AA234" s="10" t="inlineStr">
        <is>
          <t>Provence-Alpes-Côte d'Azur</t>
        </is>
      </c>
      <c r="AB234" s="16" t="n"/>
      <c r="AC234" s="16" t="n"/>
      <c r="AD234" s="10" t="n"/>
      <c r="AE234"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F234" s="10" t="inlineStr">
        <is>
          <t>2 : 2 ; 4 : 4 ; 206 : 206 ; 1999 : 1999 ; https://img.leboncoin.fr/api/v1/tenants/9a6387a1-6259-4f2c-a887-7e67f23dd4cb/domains/20bda58f-d650-462e-a72a-a5a7ecf2bf88/buckets/21d2b0bc-e54c-4b64-a30b-89127b18b785/images/profile/pictures/default/ee442d42-7454-5e76-ad7a-b3419eddecdd?rule=pp-small : https://img.leboncoin.fr/api/v1/tenants/9a6387a1-6259-4f2c-a887-7e67f23dd4cb/domains/20bda58f-d650-462e-a72a-a5a7ecf2bf88/buckets/21d2b0bc-e54c-4b64-a30b-89127b18b785/images/profile/pictures/default/ee442d42-7454-5e76-ad7a-b3419eddecdd?rule=pp-small ; Peugeot : Peugeot ; PEUGEOT : PEUGEOT ; 160500 km : 160500 ; Essence : 1 ; Manuelle : 1 ; 09/1999 : 09/1999 ; Citadine : citadine ; Noir : noir ; 9 Cv : 9 ; 138 Ch : 138 ; Avec permis : avecpermis ; credit_card : credit_card ; false : false ; true : true ; u_car_brand : PEUGEOT ; u_car_model : 206 ; vehicle_vsp : Avec permis ; vehicle_available_payment_methods : credit_card ; is_import : false ; vehicle_is_eligible_p2p : 2 ; licence_plate_available : true</t>
        </is>
      </c>
      <c r="AG234" s="19" t="inlineStr">
        <is>
          <t>Voir</t>
        </is>
      </c>
      <c r="AH234" s="10" t="inlineStr">
        <is>
          <t>3261159396</t>
        </is>
      </c>
    </row>
    <row r="235">
      <c r="A235" s="10" t="inlineStr">
        <is>
          <t>Peugeot 306 S16</t>
        </is>
      </c>
      <c r="B235" s="10" t="inlineStr">
        <is>
          <t>306 s16 phase 3</t>
        </is>
      </c>
      <c r="C235" s="10" t="inlineStr">
        <is>
          <t>En vente</t>
        </is>
      </c>
      <c r="D235" s="18" t="n">
        <v>46267</v>
      </c>
      <c r="E235" s="18" t="n">
        <v>46267</v>
      </c>
      <c r="F235" s="18" t="n">
        <v>46296</v>
      </c>
      <c r="G235" s="18" t="n"/>
      <c r="H235" s="17">
        <f>IF(OR(ISNUMBER(D235),ISNUMBER(E235)),IF(ISNUMBER(G235),G235,F235)-IF(ISNUMBER(D235),D235,E235),"")</f>
        <v/>
      </c>
      <c r="I235" s="12" t="n">
        <v>15000</v>
      </c>
      <c r="J235" s="12" t="n">
        <v>15000</v>
      </c>
      <c r="K235" s="13">
        <f>IF(AND(ISNUMBER(I235),ISNUMBER(J235),I235&gt;0),1-J235/I235,"")</f>
        <v/>
      </c>
      <c r="L235" s="16" t="n">
        <v>0</v>
      </c>
      <c r="M235" s="15" t="n">
        <v>214000</v>
      </c>
      <c r="N235" s="16" t="n">
        <v>1999</v>
      </c>
      <c r="O235" s="10" t="inlineStr">
        <is>
          <t>1</t>
        </is>
      </c>
      <c r="P235" s="10" t="inlineStr">
        <is>
          <t>1</t>
        </is>
      </c>
      <c r="Q235" s="16" t="n">
        <v>167</v>
      </c>
      <c r="R235" s="16" t="n">
        <v>11</v>
      </c>
      <c r="S235" s="10" t="inlineStr">
        <is>
          <t>rouge</t>
        </is>
      </c>
      <c r="T235" s="16" t="n">
        <v>3</v>
      </c>
      <c r="U235" s="10" t="n"/>
      <c r="V235" s="10" t="n"/>
      <c r="W235" s="10" t="inlineStr">
        <is>
          <t>Particulier</t>
        </is>
      </c>
      <c r="X235" s="10" t="inlineStr">
        <is>
          <t>Le Tampon</t>
        </is>
      </c>
      <c r="Y235" s="10" t="inlineStr">
        <is>
          <t>97430</t>
        </is>
      </c>
      <c r="Z235" s="10" t="n"/>
      <c r="AA235" s="10" t="inlineStr">
        <is>
          <t>Réunion</t>
        </is>
      </c>
      <c r="AB235" s="16" t="n"/>
      <c r="AC235" s="16" t="n"/>
      <c r="AD235" s="10" t="n"/>
      <c r="AE235" s="10" t="inlineStr">
        <is>
          <t>Vehicule très propre complet clim neuve Vehicule d'origine Boite 6 167cv Jante neuve turini</t>
        </is>
      </c>
      <c r="AF235" s="10" t="inlineStr">
        <is>
          <t>2 : 2 ; 3 : 3 ; 5 : 5 ; 306 : 306 ; 1999 : 1999 ; 2028 : 2028 ; 719572 : 719572 ; https://img.leboncoin.fr/api/v1/tenants/9a6387a1-6259-4f2c-a887-7e67f23dd4cb/domains/20bda58f-d650-462e-a72a-a5a7ecf2bf88/buckets/21d2b0bc-e54c-4b64-a30b-89127b18b785/images/profile/pictures/default/ca22cc6e-ea1d-59c0-a91b-d3078a2b3f08?rule=pp-small : https://img.leboncoin.fr/api/v1/tenants/9a6387a1-6259-4f2c-a887-7e67f23dd4cb/domains/20bda58f-d650-462e-a72a-a5a7ecf2bf88/buckets/21d2b0bc-e54c-4b64-a30b-89127b18b785/images/profile/pictures/default/ca22cc6e-ea1d-59c0-a91b-d3078a2b3f08?rule=pp-small ; Peugeot : Peugeot ; PEUGEOT : PEUGEOT ; 214000 km : 214000 ; Essence : 1 ; Manuelle : 1 ; S16 : PEUGEOT_306_S16 ; S16_306 2.0 S16 BV6 3p : S16_306 2.0 S16 BV6 3p ; Oui : true ; 03/1999 : 03/1999 ; Excellent état (proche du neuf) : excellent_condition ; Berline : berline ; Rouge : rouge ; 11 Cv : 11 ; 167 Ch : 167 ; Avec permis : avecpermis ; credit_card : credit_card ; false : false ; true : true ; u_car_brand : PEUGEOT ; u_car_model : 306 ; u_car_finition : S16 ; u_car_version : S16_306 2.0 S16 BV6 3p ; vehicle_technical_inspection_valid : Oui ; vehicle_technical_inspection_a : 2028 ; vehicle_damage : Excellent état (proche du neuf) ; vehicle_upholstery : Alcantara, Cuir partiel ; vehicle_vsp : Avec permis ; vehicle_available_payment_methods : credit_card ; is_import : false ; vehicle_is_eligible_p2p : 2 ; argus_object_id : 719572 ; licence_plate_available : true</t>
        </is>
      </c>
      <c r="AG235" s="19" t="inlineStr">
        <is>
          <t>Voir</t>
        </is>
      </c>
      <c r="AH235" s="10" t="inlineStr">
        <is>
          <t>3261609180</t>
        </is>
      </c>
    </row>
    <row r="236">
      <c r="A236" s="10" t="inlineStr">
        <is>
          <t>Peugeot 306 S16</t>
        </is>
      </c>
      <c r="B236" s="10" t="inlineStr">
        <is>
          <t>Peugeot 306 S16 155Ch</t>
        </is>
      </c>
      <c r="C236" s="10" t="inlineStr">
        <is>
          <t>En vente</t>
        </is>
      </c>
      <c r="D236" s="18" t="n">
        <v>46267</v>
      </c>
      <c r="E236" s="18" t="n">
        <v>46267</v>
      </c>
      <c r="F236" s="18" t="n">
        <v>46296</v>
      </c>
      <c r="G236" s="18" t="n"/>
      <c r="H236" s="17">
        <f>IF(OR(ISNUMBER(D236),ISNUMBER(E236)),IF(ISNUMBER(G236),G236,F236)-IF(ISNUMBER(D236),D236,E236),"")</f>
        <v/>
      </c>
      <c r="I236" s="12" t="n">
        <v>7800</v>
      </c>
      <c r="J236" s="12" t="n">
        <v>7800</v>
      </c>
      <c r="K236" s="13">
        <f>IF(AND(ISNUMBER(I236),ISNUMBER(J236),I236&gt;0),1-J236/I236,"")</f>
        <v/>
      </c>
      <c r="L236" s="16" t="n">
        <v>0</v>
      </c>
      <c r="M236" s="15" t="n">
        <v>132723</v>
      </c>
      <c r="N236" s="16" t="n">
        <v>1994</v>
      </c>
      <c r="O236" s="10" t="inlineStr">
        <is>
          <t>1</t>
        </is>
      </c>
      <c r="P236" s="10" t="inlineStr">
        <is>
          <t>1</t>
        </is>
      </c>
      <c r="Q236" s="16" t="n">
        <v>155</v>
      </c>
      <c r="R236" s="16" t="n">
        <v>11</v>
      </c>
      <c r="S236" s="10" t="inlineStr">
        <is>
          <t>noir</t>
        </is>
      </c>
      <c r="T236" s="16" t="n">
        <v>3</v>
      </c>
      <c r="U236" s="10" t="n"/>
      <c r="V236" s="10" t="n"/>
      <c r="W236" s="10" t="inlineStr">
        <is>
          <t>Particulier</t>
        </is>
      </c>
      <c r="X236" s="10" t="inlineStr">
        <is>
          <t>Villers-Cotterêts</t>
        </is>
      </c>
      <c r="Y236" s="10" t="inlineStr">
        <is>
          <t>02600</t>
        </is>
      </c>
      <c r="Z236" s="10" t="inlineStr">
        <is>
          <t>Aisne</t>
        </is>
      </c>
      <c r="AA236" s="10" t="inlineStr">
        <is>
          <t>Picardie</t>
        </is>
      </c>
      <c r="AB236" s="16" t="n"/>
      <c r="AC236" s="16" t="n"/>
      <c r="AD236" s="10" t="n"/>
      <c r="AE236"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F236" s="10" t="inlineStr">
        <is>
          <t>1 : 1 ; 2 : 2 ; 3 : 3 ; 5 : 5 ; 14 : 14 ; 306 : 306 ; 1994 : 1994 ; https://img.leboncoin.fr/api/v1/tenants/9a6387a1-6259-4f2c-a887-7e67f23dd4cb/domains/20bda58f-d650-462e-a72a-a5a7ecf2bf88/buckets/21d2b0bc-e54c-4b64-a30b-89127b18b785/images/profile/pictures/default/2b699655-bb17-5675-a421-665adaa91ce9?rule=pp-small : https://img.leboncoin.fr/api/v1/tenants/9a6387a1-6259-4f2c-a887-7e67f23dd4cb/domains/20bda58f-d650-462e-a72a-a5a7ecf2bf88/buckets/21d2b0bc-e54c-4b64-a30b-89127b18b785/images/profile/pictures/default/2b699655-bb17-5675-a421-665adaa91ce9?rule=pp-small ; Peugeot : Peugeot ; PEUGEOT : PEUGEOT ; 132723 km : 132723 ; Essence : 1 ; Manuelle : 1 ; 12/1994 : 12/1994 ; Coupé : coupe ; Noir : noir ; 11 Cv : 11 ; 155 Ch : 155 ; Avec permis : avecpermis ; credit_card : credit_card ; false : false ; true : true ; rating_score : 1 ; rating_count : 14 ; u_car_brand : PEUGEOT ; u_car_model : 306 ; vehicle_upholstery : Tout cuir ; vehicle_vsp : Avec permis ; vehicle_available_payment_methods : credit_card ; is_import : false ; vehicle_is_eligible_p2p : 2 ; licence_plate_available : true</t>
        </is>
      </c>
      <c r="AG236" s="19" t="inlineStr">
        <is>
          <t>Voir</t>
        </is>
      </c>
      <c r="AH236" s="10" t="inlineStr">
        <is>
          <t>3261852437</t>
        </is>
      </c>
    </row>
    <row r="237">
      <c r="A237" s="10" t="inlineStr">
        <is>
          <t>Peugeot 306 S16</t>
        </is>
      </c>
      <c r="B237" s="10" t="inlineStr">
        <is>
          <t>Peugeot 306 S16 Le Mans</t>
        </is>
      </c>
      <c r="C237" s="10" t="inlineStr">
        <is>
          <t>En vente</t>
        </is>
      </c>
      <c r="D237" s="18" t="n">
        <v>46270</v>
      </c>
      <c r="E237" s="18" t="n">
        <v>46270</v>
      </c>
      <c r="F237" s="18" t="n">
        <v>46296</v>
      </c>
      <c r="G237" s="18" t="n"/>
      <c r="H237" s="17">
        <f>IF(OR(ISNUMBER(D237),ISNUMBER(E237)),IF(ISNUMBER(G237),G237,F237)-IF(ISNUMBER(D237),D237,E237),"")</f>
        <v/>
      </c>
      <c r="I237" s="12" t="n">
        <v>16000</v>
      </c>
      <c r="J237" s="12" t="n">
        <v>16000</v>
      </c>
      <c r="K237" s="13">
        <f>IF(AND(ISNUMBER(I237),ISNUMBER(J237),I237&gt;0),1-J237/I237,"")</f>
        <v/>
      </c>
      <c r="L237" s="16" t="n">
        <v>0</v>
      </c>
      <c r="M237" s="15" t="n">
        <v>161221</v>
      </c>
      <c r="N237" s="16" t="n">
        <v>1994</v>
      </c>
      <c r="O237" s="10" t="inlineStr">
        <is>
          <t>1</t>
        </is>
      </c>
      <c r="P237" s="10" t="inlineStr">
        <is>
          <t>1</t>
        </is>
      </c>
      <c r="Q237" s="16" t="n">
        <v>155</v>
      </c>
      <c r="R237" s="16" t="n">
        <v>11</v>
      </c>
      <c r="S237" s="10" t="inlineStr">
        <is>
          <t>rouge</t>
        </is>
      </c>
      <c r="T237" s="16" t="n">
        <v>3</v>
      </c>
      <c r="U237" s="10" t="n"/>
      <c r="V237" s="10" t="n"/>
      <c r="W237" s="10" t="inlineStr">
        <is>
          <t>Particulier</t>
        </is>
      </c>
      <c r="X237" s="10" t="inlineStr">
        <is>
          <t>Plaisir</t>
        </is>
      </c>
      <c r="Y237" s="10" t="inlineStr">
        <is>
          <t>78370</t>
        </is>
      </c>
      <c r="Z237" s="10" t="inlineStr">
        <is>
          <t>Yvelines</t>
        </is>
      </c>
      <c r="AA237" s="10" t="inlineStr">
        <is>
          <t>Ile-de-France</t>
        </is>
      </c>
      <c r="AB237" s="16" t="n"/>
      <c r="AC237" s="16" t="n"/>
      <c r="AD237" s="10" t="n"/>
      <c r="AE237"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F237" s="10" t="inlineStr">
        <is>
          <t>1 : 1 ; 2 : 2 ; 3 : 3 ; 5 : 5 ; 49 : 49 ; 306 : 306 ; 1994 : 1994 ; 2028 : 2028 ; https://img.leboncoin.fr/api/v1/tenants/9a6387a1-6259-4f2c-a887-7e67f23dd4cb/domains/20bda58f-d650-462e-a72a-a5a7ecf2bf88/buckets/21d2b0bc-e54c-4b64-a30b-89127b18b785/images/profile/pictures/9b278822-63d5-5753-9aa1-14e3c865c804?rule=pp-small : https://img.leboncoin.fr/api/v1/tenants/9a6387a1-6259-4f2c-a887-7e67f23dd4cb/domains/20bda58f-d650-462e-a72a-a5a7ecf2bf88/buckets/21d2b0bc-e54c-4b64-a30b-89127b18b785/images/profile/pictures/9b278822-63d5-5753-9aa1-14e3c865c804?rule=pp-small ; Peugeot : Peugeot ; PEUGEOT : PEUGEOT ; 161221 km : 161221 ; Essence : 1 ; Manuelle : 1 ; S16 : PEUGEOT_306_S16 ; Oui : true ; 03/1994 : 03/1994 ; Excellent état (proche du neuf) : excellent_condition ; Berline : berline ; Rouge : rouge ; 11 Cv : 11 ; 155 Ch : 155 ; Avec permis : avecpermis ; credit_card : credit_card ; false : false ; https://autoviza.fr/report/report?uid=bdbaa981-671b-4557-8e1f-1c34e2e76872 : https://autoviza.fr/report/report?uid=bdbaa981-671b-4557-8e1f-1c34e2e76872 ; true : true ; rating_score : 1 ; rating_count : 49 ; u_car_brand : PEUGEOT ; u_car_model : 306 ; u_car_finition : S16 ; vehicle_technical_inspection_valid : Oui ; vehicle_technical_inspection_a : 2028 ; vehicle_damage : Excellent état (proche du neuf) ; vehicle_upholstery : Cuir partiel ; vehicle_maintenance : Carnet d'entretien disponible, Véhicule non fumeur, Factures disponibles, Réparations utiles déjà faites ; vehicle_interior_specs : Climatisation, Essuie-glaces automatiques, Jantes en alliage, Phares anti-brouillard, Roue de secours, Sièges sport ; vehicle_vsp : Avec permis ; vehicle_available_payment_methods : credit_card ; is_import : false ; vehicle_is_eligible_p2p : 2 ; vehicle_history_report_public_url : https://autoviza.fr/report/report?uid=bdbaa981-671b-4557-8e1f-1c34e2e76872 ; licence_plate_available : true</t>
        </is>
      </c>
      <c r="AG237" s="19" t="inlineStr">
        <is>
          <t>Voir</t>
        </is>
      </c>
      <c r="AH237" s="10" t="inlineStr">
        <is>
          <t>3263390958</t>
        </is>
      </c>
    </row>
    <row r="238">
      <c r="A238" s="10" t="inlineStr">
        <is>
          <t>Peugeot 306 S16</t>
        </is>
      </c>
      <c r="B238" s="10" t="inlineStr">
        <is>
          <t>306 1.6 90cv</t>
        </is>
      </c>
      <c r="C238" s="10" t="inlineStr">
        <is>
          <t>En vente</t>
        </is>
      </c>
      <c r="D238" s="18" t="n">
        <v>46275</v>
      </c>
      <c r="E238" s="18" t="n">
        <v>46275</v>
      </c>
      <c r="F238" s="18" t="n">
        <v>46296</v>
      </c>
      <c r="G238" s="18" t="n"/>
      <c r="H238" s="17">
        <f>IF(OR(ISNUMBER(D238),ISNUMBER(E238)),IF(ISNUMBER(G238),G238,F238)-IF(ISNUMBER(D238),D238,E238),"")</f>
        <v/>
      </c>
      <c r="I238" s="12" t="n">
        <v>1000</v>
      </c>
      <c r="J238" s="12" t="n">
        <v>1000</v>
      </c>
      <c r="K238" s="13">
        <f>IF(AND(ISNUMBER(I238),ISNUMBER(J238),I238&gt;0),1-J238/I238,"")</f>
        <v/>
      </c>
      <c r="L238" s="16" t="n">
        <v>0</v>
      </c>
      <c r="M238" s="15" t="n">
        <v>145000</v>
      </c>
      <c r="N238" s="16" t="n">
        <v>1997</v>
      </c>
      <c r="O238" s="10" t="inlineStr">
        <is>
          <t>1</t>
        </is>
      </c>
      <c r="P238" s="10" t="inlineStr">
        <is>
          <t>1</t>
        </is>
      </c>
      <c r="Q238" s="16" t="n">
        <v>90</v>
      </c>
      <c r="R238" s="16" t="n">
        <v>7</v>
      </c>
      <c r="S238" s="10" t="inlineStr">
        <is>
          <t>autre</t>
        </is>
      </c>
      <c r="T238" s="16" t="n">
        <v>5</v>
      </c>
      <c r="U238" s="10" t="n"/>
      <c r="V238" s="10" t="n"/>
      <c r="W238" s="10" t="inlineStr">
        <is>
          <t>Particulier</t>
        </is>
      </c>
      <c r="X238" s="10" t="inlineStr">
        <is>
          <t>Dijon</t>
        </is>
      </c>
      <c r="Y238" s="10" t="inlineStr">
        <is>
          <t>21000</t>
        </is>
      </c>
      <c r="Z238" s="10" t="inlineStr">
        <is>
          <t>Côte-d'Or</t>
        </is>
      </c>
      <c r="AA238" s="10" t="inlineStr">
        <is>
          <t>Bourgogne</t>
        </is>
      </c>
      <c r="AB238" s="16" t="n"/>
      <c r="AC238" s="16" t="n"/>
      <c r="AD238" s="10" t="n"/>
      <c r="AE238"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F238" s="10" t="inlineStr">
        <is>
          <t>1 : 1 ; 2 : 2 ; 5 : 5 ; 23 : 23 ; 306 : 306 ; 1997 : 1997 ; 719456 : 719456 ; https://img.leboncoin.fr/api/v1/tenants/9a6387a1-6259-4f2c-a887-7e67f23dd4cb/domains/20bda58f-d650-462e-a72a-a5a7ecf2bf88/buckets/21d2b0bc-e54c-4b64-a30b-89127b18b785/images/profile/pictures/default/84e2e1f6-07f8-553c-940b-c748aa997264?rule=pp-small : https://img.leboncoin.fr/api/v1/tenants/9a6387a1-6259-4f2c-a887-7e67f23dd4cb/domains/20bda58f-d650-462e-a72a-a5a7ecf2bf88/buckets/21d2b0bc-e54c-4b64-a30b-89127b18b785/images/profile/pictures/default/84e2e1f6-07f8-553c-940b-c748aa997264?rule=pp-small ; Peugeot : Peugeot ; PEUGEOT : PEUGEOT ; 145000 km : 145000 ; Essence : 1 ; Manuelle : 1 ; Style : PEUGEOT_306_Style ; 306 1.6 Style Clim 5p : 306 1.6 Style Clim 5p ; Non : false ; 08/1997 : 08/1997 ; Non roulant : not_drivable ; Berline : berline ; Autre : autre ; 7 Cv : 7 ; 90 Ch : 90 ; Avec permis : avecpermis ; credit_card : credit_card ; false : false ; true : true ; rating_score : 1 ; rating_count : 23 ; u_car_brand : PEUGEOT ; u_car_model : 306 ; u_car_finition : Style ; u_car_version : 306 1.6 Style Clim 5p ; vehicle_technical_inspection_valid : Non ; vehicle_damage : Non roulant ; vehicle_upholstery : Tissu ; vehicle_maintenance : Carnet d'entretien disponible, Véhicule non fumeur, Factures disponibles ; vehicle_interior_specs : Climatisation ; vehicle_vsp : Avec permis ; vehicle_available_payment_methods : credit_card ; is_import : false ; vehicle_is_eligible_p2p : 2 ; argus_object_id : 719456 ; licence_plate_available : true</t>
        </is>
      </c>
      <c r="AG238" s="19" t="inlineStr">
        <is>
          <t>Voir</t>
        </is>
      </c>
      <c r="AH238" s="10" t="inlineStr">
        <is>
          <t>3267049380</t>
        </is>
      </c>
    </row>
    <row r="239">
      <c r="A239" s="10" t="inlineStr">
        <is>
          <t>Peugeot 306 S16</t>
        </is>
      </c>
      <c r="B239" s="10" t="inlineStr">
        <is>
          <t>Peugeot 306 S16 Bleu</t>
        </is>
      </c>
      <c r="C239" s="10" t="inlineStr">
        <is>
          <t>En vente</t>
        </is>
      </c>
      <c r="D239" s="18" t="n">
        <v>46275</v>
      </c>
      <c r="E239" s="18" t="n">
        <v>46275</v>
      </c>
      <c r="F239" s="18" t="n">
        <v>46296</v>
      </c>
      <c r="G239" s="18" t="n"/>
      <c r="H239" s="17">
        <f>IF(OR(ISNUMBER(D239),ISNUMBER(E239)),IF(ISNUMBER(G239),G239,F239)-IF(ISNUMBER(D239),D239,E239),"")</f>
        <v/>
      </c>
      <c r="I239" s="12" t="n">
        <v>1000</v>
      </c>
      <c r="J239" s="12" t="n">
        <v>1000</v>
      </c>
      <c r="K239" s="13">
        <f>IF(AND(ISNUMBER(I239),ISNUMBER(J239),I239&gt;0),1-J239/I239,"")</f>
        <v/>
      </c>
      <c r="L239" s="16" t="n">
        <v>0</v>
      </c>
      <c r="M239" s="15" t="n">
        <v>184614</v>
      </c>
      <c r="N239" s="16" t="n">
        <v>2000</v>
      </c>
      <c r="O239" s="10" t="inlineStr">
        <is>
          <t>1</t>
        </is>
      </c>
      <c r="P239" s="10" t="inlineStr">
        <is>
          <t>1</t>
        </is>
      </c>
      <c r="Q239" s="16" t="n">
        <v>112</v>
      </c>
      <c r="R239" s="16" t="n">
        <v>7</v>
      </c>
      <c r="S239" s="10" t="inlineStr">
        <is>
          <t>bleu</t>
        </is>
      </c>
      <c r="T239" s="16" t="n">
        <v>5</v>
      </c>
      <c r="U239" s="10" t="n"/>
      <c r="V239" s="10" t="inlineStr">
        <is>
          <t>6</t>
        </is>
      </c>
      <c r="W239" s="10" t="inlineStr">
        <is>
          <t>Particulier</t>
        </is>
      </c>
      <c r="X239" s="10" t="inlineStr">
        <is>
          <t>Bourges</t>
        </is>
      </c>
      <c r="Y239" s="10" t="inlineStr">
        <is>
          <t>18000</t>
        </is>
      </c>
      <c r="Z239" s="10" t="inlineStr">
        <is>
          <t>Cher</t>
        </is>
      </c>
      <c r="AA239" s="10" t="inlineStr">
        <is>
          <t>Centre</t>
        </is>
      </c>
      <c r="AB239" s="16" t="n"/>
      <c r="AC239" s="16" t="n"/>
      <c r="AD239" s="10" t="n"/>
      <c r="AE239"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F239" s="10" t="inlineStr">
        <is>
          <t>1 : 1 ; 2 : 2 ; 5 : 5 ; 306 : 306 ; 2000 : 2000 ; 2027 : 2027 ; https://img.leboncoin.fr/api/v1/tenants/9a6387a1-6259-4f2c-a887-7e67f23dd4cb/domains/20bda58f-d650-462e-a72a-a5a7ecf2bf88/buckets/21d2b0bc-e54c-4b64-a30b-89127b18b785/images/profile/pictures/default/76f6e137-ddcc-5c46-892d-12bcc43dae87?rule=pp-small : https://img.leboncoin.fr/api/v1/tenants/9a6387a1-6259-4f2c-a887-7e67f23dd4cb/domains/20bda58f-d650-462e-a72a-a5a7ecf2bf88/buckets/21d2b0bc-e54c-4b64-a30b-89127b18b785/images/profile/pictures/default/76f6e137-ddcc-5c46-892d-12bcc43dae87?rule=pp-small ; Peugeot : Peugeot ; PEUGEOT : PEUGEOT ; 184614 km : 184614 ; Essence : 1 ; Manuelle : 1 ; Oui : true ; 05/2000 : 05/2000 ; Réparations majeures à prévoir : major_repairs_needed ; Berline : berline ; Bleu : bleu ; Non classé : 6 ; 7 Cv : 7 ; 112 Ch : 112 ; Avec permis : avecpermis ; credit_card : credit_card ; false : false ; https://autoviza.fr/report/report?uid=d2595d03-c4c1-4dcf-897e-630872343e35 : https://autoviza.fr/report/report?uid=d2595d03-c4c1-4dcf-897e-630872343e35 ; visible : visible ; true : true ; rating_score : 1 ; rating_count : 1 ; u_car_brand : PEUGEOT ; u_car_model : 306 ; vehicle_technical_inspection_valid : Oui ; vehicle_technical_inspection_a : 2027 ; vehicle_damage : Réparations majeures à prévoir ; vehicle_upholstery : Velours ; vehicle_maintenance : Factures disponibles, Carnet d'entretien disponible ; vehicle_vsp : Avec permis ; vehicle_available_payment_methods : credit_card ; is_import : false ; vehicle_is_eligible_p2p : 2 ; vehicle_history_report_public_url : https://autoviza.fr/report/report?uid=d2595d03-c4c1-4dcf-897e-630872343e35 ; vehicle_history_report_status : visible ; licence_plate_available : true</t>
        </is>
      </c>
      <c r="AG239" s="19" t="inlineStr">
        <is>
          <t>Voir</t>
        </is>
      </c>
      <c r="AH239" s="10" t="inlineStr">
        <is>
          <t>3267140247</t>
        </is>
      </c>
    </row>
    <row r="240">
      <c r="A240" s="10" t="inlineStr">
        <is>
          <t>Peugeot 306 S16</t>
        </is>
      </c>
      <c r="B240" s="10" t="inlineStr">
        <is>
          <t>306 xsi swap TCT</t>
        </is>
      </c>
      <c r="C240" s="10" t="inlineStr">
        <is>
          <t>En vente</t>
        </is>
      </c>
      <c r="D240" s="18" t="n">
        <v>46276</v>
      </c>
      <c r="E240" s="18" t="n">
        <v>46276</v>
      </c>
      <c r="F240" s="18" t="n">
        <v>46296</v>
      </c>
      <c r="G240" s="18" t="n"/>
      <c r="H240" s="17">
        <f>IF(OR(ISNUMBER(D240),ISNUMBER(E240)),IF(ISNUMBER(G240),G240,F240)-IF(ISNUMBER(D240),D240,E240),"")</f>
        <v/>
      </c>
      <c r="I240" s="12" t="n">
        <v>3500</v>
      </c>
      <c r="J240" s="12" t="n">
        <v>3500</v>
      </c>
      <c r="K240" s="13">
        <f>IF(AND(ISNUMBER(I240),ISNUMBER(J240),I240&gt;0),1-J240/I240,"")</f>
        <v/>
      </c>
      <c r="L240" s="16" t="n">
        <v>0</v>
      </c>
      <c r="M240" s="15" t="n">
        <v>240000</v>
      </c>
      <c r="N240" s="16" t="n">
        <v>1996</v>
      </c>
      <c r="O240" s="10" t="inlineStr">
        <is>
          <t>1</t>
        </is>
      </c>
      <c r="P240" s="10" t="inlineStr">
        <is>
          <t>1</t>
        </is>
      </c>
      <c r="Q240" s="16" t="n">
        <v>122</v>
      </c>
      <c r="R240" s="16" t="n">
        <v>10</v>
      </c>
      <c r="S240" s="10" t="inlineStr">
        <is>
          <t>autre</t>
        </is>
      </c>
      <c r="T240" s="16" t="n">
        <v>5</v>
      </c>
      <c r="U240" s="10" t="n"/>
      <c r="V240" s="10" t="n"/>
      <c r="W240" s="10" t="inlineStr">
        <is>
          <t>Particulier</t>
        </is>
      </c>
      <c r="X240" s="10" t="inlineStr">
        <is>
          <t>Les Angles</t>
        </is>
      </c>
      <c r="Y240" s="10" t="inlineStr">
        <is>
          <t>30133</t>
        </is>
      </c>
      <c r="Z240" s="10" t="inlineStr">
        <is>
          <t>Gard</t>
        </is>
      </c>
      <c r="AA240" s="10" t="inlineStr">
        <is>
          <t>Languedoc-Roussillon</t>
        </is>
      </c>
      <c r="AB240" s="16" t="n"/>
      <c r="AC240" s="16" t="n"/>
      <c r="AD240" s="10" t="n"/>
      <c r="AE240"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F240" s="10" t="inlineStr">
        <is>
          <t>1 : 1 ; 2 : 2 ; 5 : 5 ; 17 : 17 ; 306 : 306 ; 1996 : 1996 ; 0.99 : 0.99 ; https://img.leboncoin.fr/api/v1/tenants/9a6387a1-6259-4f2c-a887-7e67f23dd4cb/domains/20bda58f-d650-462e-a72a-a5a7ecf2bf88/buckets/21d2b0bc-e54c-4b64-a30b-89127b18b785/images/profile/pictures/default/7e2bf508-efb6-570d-a4d2-4cca0cff22cb?rule=pp-small : https://img.leboncoin.fr/api/v1/tenants/9a6387a1-6259-4f2c-a887-7e67f23dd4cb/domains/20bda58f-d650-462e-a72a-a5a7ecf2bf88/buckets/21d2b0bc-e54c-4b64-a30b-89127b18b785/images/profile/pictures/default/7e2bf508-efb6-570d-a4d2-4cca0cff22cb?rule=pp-small ; Peugeot : Peugeot ; PEUGEOT : PEUGEOT ; 240000 km : 240000 ; Essence : 1 ; Manuelle : 1 ; 03/1996 : 03/1996 ; Berline : berline ; Autre : autre ; 10 Cv : 10 ; 122 Ch : 122 ; Avec permis : avecpermis ; credit_card : credit_card ; false : false ; true : true ; rating_score : 0.99 ; rating_count : 17 ; u_car_brand : PEUGEOT ; u_car_model : 306 ; vehicle_vsp : Avec permis ; vehicle_available_payment_methods : credit_card ; is_import : false ; vehicle_is_eligible_p2p : 2 ; licence_plate_available : true</t>
        </is>
      </c>
      <c r="AG240" s="19" t="inlineStr">
        <is>
          <t>Voir</t>
        </is>
      </c>
      <c r="AH240" s="10" t="inlineStr">
        <is>
          <t>3267746572</t>
        </is>
      </c>
    </row>
    <row r="241">
      <c r="A241" s="10" t="inlineStr">
        <is>
          <t>Peugeot 306 S16</t>
        </is>
      </c>
      <c r="B241" s="10" t="inlineStr">
        <is>
          <t>106 S16 préparée</t>
        </is>
      </c>
      <c r="C241" s="10" t="inlineStr">
        <is>
          <t>En vente</t>
        </is>
      </c>
      <c r="D241" s="18" t="n">
        <v>46277</v>
      </c>
      <c r="E241" s="18" t="n">
        <v>46277</v>
      </c>
      <c r="F241" s="18" t="n">
        <v>46296</v>
      </c>
      <c r="G241" s="18" t="n"/>
      <c r="H241" s="17">
        <f>IF(OR(ISNUMBER(D241),ISNUMBER(E241)),IF(ISNUMBER(G241),G241,F241)-IF(ISNUMBER(D241),D241,E241),"")</f>
        <v/>
      </c>
      <c r="I241" s="12" t="n">
        <v>14000</v>
      </c>
      <c r="J241" s="12" t="n">
        <v>14000</v>
      </c>
      <c r="K241" s="13">
        <f>IF(AND(ISNUMBER(I241),ISNUMBER(J241),I241&gt;0),1-J241/I241,"")</f>
        <v/>
      </c>
      <c r="L241" s="16" t="n">
        <v>0</v>
      </c>
      <c r="M241" s="15" t="n">
        <v>255000</v>
      </c>
      <c r="N241" s="16" t="n">
        <v>2001</v>
      </c>
      <c r="O241" s="10" t="inlineStr">
        <is>
          <t>1</t>
        </is>
      </c>
      <c r="P241" s="10" t="inlineStr">
        <is>
          <t>1</t>
        </is>
      </c>
      <c r="Q241" s="16" t="n">
        <v>150</v>
      </c>
      <c r="R241" s="16" t="n">
        <v>8</v>
      </c>
      <c r="S241" s="10" t="inlineStr">
        <is>
          <t>blanc</t>
        </is>
      </c>
      <c r="T241" s="16" t="n">
        <v>3</v>
      </c>
      <c r="U241" s="10" t="n"/>
      <c r="V241" s="10" t="n"/>
      <c r="W241" s="10" t="inlineStr">
        <is>
          <t>Particulier</t>
        </is>
      </c>
      <c r="X241" s="10" t="inlineStr">
        <is>
          <t>Gray</t>
        </is>
      </c>
      <c r="Y241" s="10" t="inlineStr">
        <is>
          <t>70100</t>
        </is>
      </c>
      <c r="Z241" s="10" t="inlineStr">
        <is>
          <t>Haute-Saône</t>
        </is>
      </c>
      <c r="AA241" s="10" t="inlineStr">
        <is>
          <t>Franche-Comté</t>
        </is>
      </c>
      <c r="AB241" s="16" t="n"/>
      <c r="AC241" s="16" t="n"/>
      <c r="AD241" s="10" t="n"/>
      <c r="AE241"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F241" s="10" t="inlineStr">
        <is>
          <t>1 : 1 ; 2 : 2 ; 3 : 3 ; 5 : 5 ; 11 : 11 ; 106 : 106 ; 2001 : 2001 ; 718966 : 718966 ; https://img.leboncoin.fr/api/v1/tenants/9a6387a1-6259-4f2c-a887-7e67f23dd4cb/domains/20bda58f-d650-462e-a72a-a5a7ecf2bf88/buckets/21d2b0bc-e54c-4b64-a30b-89127b18b785/images/profile/pictures/default/a97e3e64-b369-5655-b49b-6d304e60c1e3?rule=pp-small : https://img.leboncoin.fr/api/v1/tenants/9a6387a1-6259-4f2c-a887-7e67f23dd4cb/domains/20bda58f-d650-462e-a72a-a5a7ecf2bf88/buckets/21d2b0bc-e54c-4b64-a30b-89127b18b785/images/profile/pictures/default/a97e3e64-b369-5655-b49b-6d304e60c1e3?rule=pp-small ; Peugeot : Peugeot ; PEUGEOT : PEUGEOT ; 255000 km : 255000 ; Essence : 1 ; Manuelle : 1 ; S16 : PEUGEOT_106_S16 ; S16_106 1.6 S16 3p : S16_106 1.6 S16 3p ; 05/2001 : 05/2001 ; Berline : berline ; Blanc : blanc ; 8 Cv : 8 ; 150 Ch : 150 ; Avec permis : avecpermis ; credit_card : credit_card ; false : false ; true : true ; rating_score : 1 ; rating_count : 11 ; u_car_brand : PEUGEOT ; u_car_model : 106 ; u_car_finition : S16 ; u_car_version : S16_106 1.6 S16 3p ; vehicle_vsp : Avec permis ; vehicle_available_payment_methods : credit_card ; is_import : false ; vehicle_is_eligible_p2p : 2 ; argus_object_id : 718966 ; licence_plate_available : true</t>
        </is>
      </c>
      <c r="AG241" s="19" t="inlineStr">
        <is>
          <t>Voir</t>
        </is>
      </c>
      <c r="AH241" s="10" t="inlineStr">
        <is>
          <t>3268479738</t>
        </is>
      </c>
    </row>
    <row r="242">
      <c r="A242" s="10" t="inlineStr">
        <is>
          <t>Peugeot 306 S16</t>
        </is>
      </c>
      <c r="B242" s="10" t="inlineStr">
        <is>
          <t>306 s16 bv6</t>
        </is>
      </c>
      <c r="C242" s="10" t="inlineStr">
        <is>
          <t>En vente</t>
        </is>
      </c>
      <c r="D242" s="18" t="n">
        <v>46280</v>
      </c>
      <c r="E242" s="18" t="n">
        <v>46280</v>
      </c>
      <c r="F242" s="18" t="n">
        <v>46296</v>
      </c>
      <c r="G242" s="18" t="n"/>
      <c r="H242" s="17">
        <f>IF(OR(ISNUMBER(D242),ISNUMBER(E242)),IF(ISNUMBER(G242),G242,F242)-IF(ISNUMBER(D242),D242,E242),"")</f>
        <v/>
      </c>
      <c r="I242" s="12" t="n">
        <v>10000</v>
      </c>
      <c r="J242" s="12" t="n">
        <v>10000</v>
      </c>
      <c r="K242" s="13">
        <f>IF(AND(ISNUMBER(I242),ISNUMBER(J242),I242&gt;0),1-J242/I242,"")</f>
        <v/>
      </c>
      <c r="L242" s="16" t="n">
        <v>0</v>
      </c>
      <c r="M242" s="15" t="n">
        <v>210000</v>
      </c>
      <c r="N242" s="16" t="n">
        <v>2000</v>
      </c>
      <c r="O242" s="10" t="inlineStr">
        <is>
          <t>1</t>
        </is>
      </c>
      <c r="P242" s="10" t="inlineStr">
        <is>
          <t>1</t>
        </is>
      </c>
      <c r="Q242" s="16" t="n">
        <v>167</v>
      </c>
      <c r="R242" s="16" t="n">
        <v>11</v>
      </c>
      <c r="S242" s="10" t="inlineStr">
        <is>
          <t>autre</t>
        </is>
      </c>
      <c r="T242" s="16" t="n">
        <v>3</v>
      </c>
      <c r="U242" s="10" t="n"/>
      <c r="V242" s="10" t="n"/>
      <c r="W242" s="10" t="inlineStr">
        <is>
          <t>Particulier</t>
        </is>
      </c>
      <c r="X242" s="10" t="inlineStr">
        <is>
          <t>Losne</t>
        </is>
      </c>
      <c r="Y242" s="10" t="inlineStr">
        <is>
          <t>21170</t>
        </is>
      </c>
      <c r="Z242" s="10" t="inlineStr">
        <is>
          <t>Côte-d'Or</t>
        </is>
      </c>
      <c r="AA242" s="10" t="inlineStr">
        <is>
          <t>Bourgogne</t>
        </is>
      </c>
      <c r="AB242" s="16" t="n"/>
      <c r="AC242" s="16" t="n"/>
      <c r="AD242" s="10" t="n"/>
      <c r="AE242" s="10" t="inlineStr">
        <is>
          <t>vend 306 s16 bv6 probleme moteur claquement 4 amortisseurs via rouge neuf voiture equiper gpl manque reservoir gpl faire offre serieuse</t>
        </is>
      </c>
      <c r="AF242" s="10" t="inlineStr">
        <is>
          <t>2 : 2 ; 3 : 3 ; 5 : 5 ; 6 : 6 ; 306 : 306 ; 2000 : 2000 ; 0.97 : 0.97 ; Peugeot : Peugeot ; PEUGEOT : PEUGEOT ; 210000 km : 210000 ; Essence : 1 ; Manuelle : 1 ; Non : false ; 12/2000 : 12/2000 ; Berline : berline ; Autre : autre ; 11 Cv : 11 ; 167 Ch : 167 ; Avec permis : avecpermis ; credit_card : credit_card ; false : false ; true : true ; rating_score : 0.97 ; rating_count : 6 ; u_car_brand : PEUGEOT ; u_car_model : 306 ; vehicle_technical_inspection_valid : Non ; vehicle_vsp : Avec permis ; vehicle_available_payment_methods : credit_card ; is_import : false ; vehicle_is_eligible_p2p : 2 ; licence_plate_available : true</t>
        </is>
      </c>
      <c r="AG242" s="19" t="inlineStr">
        <is>
          <t>Voir</t>
        </is>
      </c>
      <c r="AH242" s="10" t="inlineStr">
        <is>
          <t>3270051665</t>
        </is>
      </c>
    </row>
    <row r="243">
      <c r="A243" s="10" t="inlineStr">
        <is>
          <t>Peugeot 306 S16</t>
        </is>
      </c>
      <c r="B243" s="10" t="inlineStr">
        <is>
          <t>306 s16 167cv</t>
        </is>
      </c>
      <c r="C243" s="10" t="inlineStr">
        <is>
          <t>En vente</t>
        </is>
      </c>
      <c r="D243" s="18" t="n">
        <v>46280</v>
      </c>
      <c r="E243" s="18" t="n">
        <v>46280</v>
      </c>
      <c r="F243" s="18" t="n">
        <v>46296</v>
      </c>
      <c r="G243" s="18" t="n"/>
      <c r="H243" s="17">
        <f>IF(OR(ISNUMBER(D243),ISNUMBER(E243)),IF(ISNUMBER(G243),G243,F243)-IF(ISNUMBER(D243),D243,E243),"")</f>
        <v/>
      </c>
      <c r="I243" s="12" t="n">
        <v>8000</v>
      </c>
      <c r="J243" s="12" t="n">
        <v>8000</v>
      </c>
      <c r="K243" s="13">
        <f>IF(AND(ISNUMBER(I243),ISNUMBER(J243),I243&gt;0),1-J243/I243,"")</f>
        <v/>
      </c>
      <c r="L243" s="16" t="n">
        <v>0</v>
      </c>
      <c r="M243" s="15" t="n">
        <v>164000</v>
      </c>
      <c r="N243" s="16" t="n">
        <v>1997</v>
      </c>
      <c r="O243" s="10" t="inlineStr">
        <is>
          <t>1</t>
        </is>
      </c>
      <c r="P243" s="10" t="inlineStr">
        <is>
          <t>1</t>
        </is>
      </c>
      <c r="Q243" s="16" t="n">
        <v>167</v>
      </c>
      <c r="R243" s="16" t="n">
        <v>11</v>
      </c>
      <c r="S243" s="10" t="inlineStr">
        <is>
          <t>noir</t>
        </is>
      </c>
      <c r="T243" s="16" t="n">
        <v>3</v>
      </c>
      <c r="U243" s="10" t="n"/>
      <c r="V243" s="10" t="n"/>
      <c r="W243" s="10" t="inlineStr">
        <is>
          <t>Particulier</t>
        </is>
      </c>
      <c r="X243" s="10" t="inlineStr">
        <is>
          <t>Noeux-les-Mines</t>
        </is>
      </c>
      <c r="Y243" s="10" t="inlineStr">
        <is>
          <t>62290</t>
        </is>
      </c>
      <c r="Z243" s="10" t="inlineStr">
        <is>
          <t>Pas-de-Calais</t>
        </is>
      </c>
      <c r="AA243" s="10" t="inlineStr">
        <is>
          <t>Nord-Pas-de-Calais</t>
        </is>
      </c>
      <c r="AB243" s="16" t="n"/>
      <c r="AC243" s="16" t="n"/>
      <c r="AD243" s="10" t="n"/>
      <c r="AE243" s="10" t="inlineStr">
        <is>
          <t>306 s16 bv6 167 cv Frein avant 406 v6 flexibles aviation Disque rainuré percé 307 Frein arrière 0MP Flexible aviation arrière Distribution ok Plus d info par sms Les jantes pour la vente seront des 307 17 pouces</t>
        </is>
      </c>
      <c r="AF243" s="10" t="inlineStr">
        <is>
          <t>1 : 1 ; 2 : 2 ; 3 : 3 ; 7 : 7 ; 306 : 306 ; 1997 : 1997 ; https://img.leboncoin.fr/api/v1/tenants/9a6387a1-6259-4f2c-a887-7e67f23dd4cb/domains/20bda58f-d650-462e-a72a-a5a7ecf2bf88/buckets/21d2b0bc-e54c-4b64-a30b-89127b18b785/images/profile/pictures/default/719df1fc-d4c8-5fb0-b908-04af5dcc9451?rule=pp-small : https://img.leboncoin.fr/api/v1/tenants/9a6387a1-6259-4f2c-a887-7e67f23dd4cb/domains/20bda58f-d650-462e-a72a-a5a7ecf2bf88/buckets/21d2b0bc-e54c-4b64-a30b-89127b18b785/images/profile/pictures/default/719df1fc-d4c8-5fb0-b908-04af5dcc9451?rule=pp-small ; Peugeot : Peugeot ; PEUGEOT : PEUGEOT ; 164000 km : 164000 ; Essence : 1 ; Manuelle : 1 ; 10/1997 : 10/1997 ; Bon état général : good_overall_condition ; Berline : berline ; Noir : noir ; 11 Cv : 11 ; 167 Ch : 167 ; Avec permis : avecpermis ; credit_card : credit_card ; false : false ; true : true ; rating_score : 1 ; rating_count : 7 ; u_car_brand : PEUGEOT ; u_car_model : 306 ; vehicle_damage : Bon état général ; vehicle_maintenance : Véhicule non fumeur ; vehicle_interior_specs : Climatisation, Essuie-glaces automatiques, Jantes en alliage, Roue de secours, Siège arrière rabattable, Siège réglable en hauteur, Toit ouvrant / Toit panoramique, Volant réglable en hauteur ; vehicle_vsp : Avec permis ; vehicle_available_payment_methods : credit_card ; is_import : false ; vehicle_is_eligible_p2p : 2 ; licence_plate_available : true</t>
        </is>
      </c>
      <c r="AG243" s="19" t="inlineStr">
        <is>
          <t>Voir</t>
        </is>
      </c>
      <c r="AH243" s="10" t="inlineStr">
        <is>
          <t>3270125349</t>
        </is>
      </c>
    </row>
    <row r="244">
      <c r="A244" s="10" t="inlineStr">
        <is>
          <t>Peugeot 306 S16</t>
        </is>
      </c>
      <c r="B244" s="10" t="inlineStr">
        <is>
          <t>Peugeot 306 s16 bv6</t>
        </is>
      </c>
      <c r="C244" s="10" t="inlineStr">
        <is>
          <t>En vente</t>
        </is>
      </c>
      <c r="D244" s="18" t="n">
        <v>46281</v>
      </c>
      <c r="E244" s="18" t="n">
        <v>46281</v>
      </c>
      <c r="F244" s="18" t="n">
        <v>46296</v>
      </c>
      <c r="G244" s="18" t="n"/>
      <c r="H244" s="17">
        <f>IF(OR(ISNUMBER(D244),ISNUMBER(E244)),IF(ISNUMBER(G244),G244,F244)-IF(ISNUMBER(D244),D244,E244),"")</f>
        <v/>
      </c>
      <c r="I244" s="12" t="n">
        <v>15000</v>
      </c>
      <c r="J244" s="12" t="n">
        <v>15000</v>
      </c>
      <c r="K244" s="13">
        <f>IF(AND(ISNUMBER(I244),ISNUMBER(J244),I244&gt;0),1-J244/I244,"")</f>
        <v/>
      </c>
      <c r="L244" s="16" t="n">
        <v>0</v>
      </c>
      <c r="M244" s="15" t="n">
        <v>217600</v>
      </c>
      <c r="N244" s="16" t="n">
        <v>1997</v>
      </c>
      <c r="O244" s="10" t="inlineStr">
        <is>
          <t>1</t>
        </is>
      </c>
      <c r="P244" s="10" t="inlineStr">
        <is>
          <t>1</t>
        </is>
      </c>
      <c r="Q244" s="16" t="n">
        <v>167</v>
      </c>
      <c r="R244" s="16" t="n">
        <v>11</v>
      </c>
      <c r="S244" s="10" t="inlineStr">
        <is>
          <t>gris</t>
        </is>
      </c>
      <c r="T244" s="16" t="n">
        <v>3</v>
      </c>
      <c r="U244" s="10" t="n"/>
      <c r="V244" s="10" t="inlineStr">
        <is>
          <t>6</t>
        </is>
      </c>
      <c r="W244" s="10" t="inlineStr">
        <is>
          <t>Particulier</t>
        </is>
      </c>
      <c r="X244" s="10" t="inlineStr">
        <is>
          <t>Audincthun</t>
        </is>
      </c>
      <c r="Y244" s="10" t="inlineStr">
        <is>
          <t>62560</t>
        </is>
      </c>
      <c r="Z244" s="10" t="inlineStr">
        <is>
          <t>Pas-de-Calais</t>
        </is>
      </c>
      <c r="AA244" s="10" t="inlineStr">
        <is>
          <t>Nord-Pas-de-Calais</t>
        </is>
      </c>
      <c r="AB244" s="16" t="n"/>
      <c r="AC244" s="16" t="n"/>
      <c r="AD244" s="10" t="n"/>
      <c r="AE24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F244" s="10" t="inlineStr">
        <is>
          <t>2 : 2 ; 3 : 3 ; 5 : 5 ; 82 : 82 ; 306 : 306 ; 1997 : 1997 ; 719575 : 719575 ; 0.99 : 0.99 ; https://img.leboncoin.fr/api/v1/tenants/9a6387a1-6259-4f2c-a887-7e67f23dd4cb/domains/20bda58f-d650-462e-a72a-a5a7ecf2bf88/buckets/21d2b0bc-e54c-4b64-a30b-89127b18b785/images/profile/pictures/default/a2957a83-c40b-5f65-b074-66aacd7d7e42?rule=pp-small : https://img.leboncoin.fr/api/v1/tenants/9a6387a1-6259-4f2c-a887-7e67f23dd4cb/domains/20bda58f-d650-462e-a72a-a5a7ecf2bf88/buckets/21d2b0bc-e54c-4b64-a30b-89127b18b785/images/profile/pictures/default/a2957a83-c40b-5f65-b074-66aacd7d7e42?rule=pp-small ; Peugeot : Peugeot ; PEUGEOT : PEUGEOT ; 217600 km : 217600 ; Essence : 1 ; Manuelle : 1 ; S16 Pack Premium : PEUGEOT_306_S16 Pack Premium ; 306 2.0 S16 Pack Premium BV6 3p : 306 2.0 S16 Pack Premium BV6 3p ; 08/1997 : 08/1997 ; Bon état général : good_overall_condition ; Berline : berline ; Gris : gris ; Non classé : 6 ; 11 Cv : 11 ; 167 Ch : 167 ; Avec permis : avecpermis ; credit_card : credit_card ; false : false ; true : true ; rating_score : 0.99 ; rating_count : 82 ; u_car_brand : PEUGEOT ; u_car_model : 306 ; u_car_finition : S16 Pack Premium ; u_car_version : 306 2.0 S16 Pack Premium BV6 3p ; vehicle_damage : Bon état général ; vehicle_upholstery : Cuir partiel, Tissu ; vehicle_maintenance : Factures disponibles, Véhicule non fumeur, Réparations utiles déjà faites ; vehicle_interior_specs : Alarme antivol, Climatisation, Essuie-glaces automatiques, Jantes en alliage, Phares anti-brouillard, Roue de secours, Rétroviseurs dégivrants, Siège arrière rabattable, Siège réglable en hauteur, Sièges sport, Volant réglable en hauteur ; vehicle_vsp : Avec permis ; vehicle_available_payment_methods : credit_card ; is_import : false ; vehicle_is_eligible_p2p : 2 ; argus_object_id : 719575 ; licence_plate_available : true</t>
        </is>
      </c>
      <c r="AG244" s="19" t="inlineStr">
        <is>
          <t>Voir</t>
        </is>
      </c>
      <c r="AH244" s="10" t="inlineStr">
        <is>
          <t>3271090302</t>
        </is>
      </c>
    </row>
    <row r="245">
      <c r="A245" s="10" t="inlineStr">
        <is>
          <t>Peugeot 306 S16</t>
        </is>
      </c>
      <c r="B245" s="10" t="inlineStr">
        <is>
          <t>306 s16 Bv6</t>
        </is>
      </c>
      <c r="C245" s="10" t="inlineStr">
        <is>
          <t>En vente</t>
        </is>
      </c>
      <c r="D245" s="18" t="n">
        <v>46283</v>
      </c>
      <c r="E245" s="18" t="n">
        <v>46283</v>
      </c>
      <c r="F245" s="18" t="n">
        <v>46296</v>
      </c>
      <c r="G245" s="18" t="n"/>
      <c r="H245" s="17">
        <f>IF(OR(ISNUMBER(D245),ISNUMBER(E245)),IF(ISNUMBER(G245),G245,F245)-IF(ISNUMBER(D245),D245,E245),"")</f>
        <v/>
      </c>
      <c r="I245" s="12" t="n">
        <v>26800</v>
      </c>
      <c r="J245" s="12" t="n">
        <v>26800</v>
      </c>
      <c r="K245" s="13">
        <f>IF(AND(ISNUMBER(I245),ISNUMBER(J245),I245&gt;0),1-J245/I245,"")</f>
        <v/>
      </c>
      <c r="L245" s="16" t="n">
        <v>0</v>
      </c>
      <c r="M245" s="15" t="n">
        <v>74000</v>
      </c>
      <c r="N245" s="16" t="n">
        <v>1999</v>
      </c>
      <c r="O245" s="10" t="inlineStr">
        <is>
          <t>1</t>
        </is>
      </c>
      <c r="P245" s="10" t="inlineStr">
        <is>
          <t>1</t>
        </is>
      </c>
      <c r="Q245" s="16" t="n">
        <v>167</v>
      </c>
      <c r="R245" s="16" t="n">
        <v>11</v>
      </c>
      <c r="S245" s="10" t="inlineStr">
        <is>
          <t>gris</t>
        </is>
      </c>
      <c r="T245" s="16" t="n">
        <v>3</v>
      </c>
      <c r="U245" s="10" t="n"/>
      <c r="V245" s="10" t="n"/>
      <c r="W245" s="10" t="inlineStr">
        <is>
          <t>Particulier</t>
        </is>
      </c>
      <c r="X245" s="10" t="inlineStr">
        <is>
          <t>Riom</t>
        </is>
      </c>
      <c r="Y245" s="10" t="inlineStr">
        <is>
          <t>63200</t>
        </is>
      </c>
      <c r="Z245" s="10" t="inlineStr">
        <is>
          <t>Puy-de-Dôme</t>
        </is>
      </c>
      <c r="AA245" s="10" t="inlineStr">
        <is>
          <t>Auvergne</t>
        </is>
      </c>
      <c r="AB245" s="16" t="n"/>
      <c r="AC245" s="16" t="n"/>
      <c r="AD245" s="10" t="n"/>
      <c r="AE24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F245" s="10" t="inlineStr">
        <is>
          <t>2 : 2 ; 3 : 3 ; 5 : 5 ; 306 : 306 ; 1999 : 1999 ; 719572 : 719572 ; https://img.leboncoin.fr/api/v1/tenants/9a6387a1-6259-4f2c-a887-7e67f23dd4cb/domains/20bda58f-d650-462e-a72a-a5a7ecf2bf88/buckets/21d2b0bc-e54c-4b64-a30b-89127b18b785/images/profile/pictures/default/e9789301-f460-55fd-81dd-3bb133084392?rule=pp-small : https://img.leboncoin.fr/api/v1/tenants/9a6387a1-6259-4f2c-a887-7e67f23dd4cb/domains/20bda58f-d650-462e-a72a-a5a7ecf2bf88/buckets/21d2b0bc-e54c-4b64-a30b-89127b18b785/images/profile/pictures/default/e9789301-f460-55fd-81dd-3bb133084392?rule=pp-small ; Peugeot : Peugeot ; PEUGEOT : PEUGEOT ; 74000 km : 74000 ; Essence : 1 ; Manuelle : 1 ; S16 : PEUGEOT_306_S16 ; S16_306 2.0 S16 BV6 3p : S16_306 2.0 S16 BV6 3p ; 09/1999 : 09/1999 ; Excellent état (proche du neuf) : excellent_condition ; Berline : berline ; Gris : gris ; 11 Cv : 11 ; 167 Ch : 167 ; Avec permis : avecpermis ; false : false ; https://autoviza.fr/report/report?uid=8735c63f-ddeb-4bae-a2e6-f7489d328934 : https://autoviza.fr/report/report?uid=8735c63f-ddeb-4bae-a2e6-f7489d328934 ; visible : visible ; true : true ; u_car_brand : PEUGEOT ; u_car_model : 306 ; u_car_finition : S16 ; u_car_version : S16_306 2.0 S16 BV6 3p ; vehicle_damage : Excellent état (proche du neuf) ; vehicle_vsp : Avec permis ; is_import : false ; vehicle_is_eligible_p2p : 2 ; vehicle_history_report_public_url : https://autoviza.fr/report/report?uid=8735c63f-ddeb-4bae-a2e6-f7489d328934 ; vehicle_history_report_status : visible ; argus_object_id : 719572 ; licence_plate_available : true</t>
        </is>
      </c>
      <c r="AG245" s="19" t="inlineStr">
        <is>
          <t>Voir</t>
        </is>
      </c>
      <c r="AH245" s="10" t="inlineStr">
        <is>
          <t>3272177449</t>
        </is>
      </c>
    </row>
    <row r="246">
      <c r="A246" s="10" t="inlineStr">
        <is>
          <t>Peugeot 306 S16</t>
        </is>
      </c>
      <c r="B246" s="10" t="inlineStr">
        <is>
          <t>Peugeot 306 s16</t>
        </is>
      </c>
      <c r="C246" s="10" t="inlineStr">
        <is>
          <t>En vente</t>
        </is>
      </c>
      <c r="D246" s="18" t="n">
        <v>46284</v>
      </c>
      <c r="E246" s="18" t="n">
        <v>46284</v>
      </c>
      <c r="F246" s="18" t="n">
        <v>46296</v>
      </c>
      <c r="G246" s="18" t="n"/>
      <c r="H246" s="17">
        <f>IF(OR(ISNUMBER(D246),ISNUMBER(E246)),IF(ISNUMBER(G246),G246,F246)-IF(ISNUMBER(D246),D246,E246),"")</f>
        <v/>
      </c>
      <c r="I246" s="12" t="n">
        <v>9000</v>
      </c>
      <c r="J246" s="12" t="n">
        <v>9000</v>
      </c>
      <c r="K246" s="13">
        <f>IF(AND(ISNUMBER(I246),ISNUMBER(J246),I246&gt;0),1-J246/I246,"")</f>
        <v/>
      </c>
      <c r="L246" s="16" t="n">
        <v>0</v>
      </c>
      <c r="M246" s="15" t="n">
        <v>191000</v>
      </c>
      <c r="N246" s="16" t="n">
        <v>1996</v>
      </c>
      <c r="O246" s="10" t="inlineStr">
        <is>
          <t>1</t>
        </is>
      </c>
      <c r="P246" s="10" t="inlineStr">
        <is>
          <t>1</t>
        </is>
      </c>
      <c r="Q246" s="16" t="n">
        <v>155</v>
      </c>
      <c r="R246" s="16" t="n">
        <v>11</v>
      </c>
      <c r="S246" s="10" t="inlineStr">
        <is>
          <t>rouge</t>
        </is>
      </c>
      <c r="T246" s="16" t="n">
        <v>3</v>
      </c>
      <c r="U246" s="10" t="n"/>
      <c r="V246" s="10" t="n"/>
      <c r="W246" s="10" t="inlineStr">
        <is>
          <t>Particulier</t>
        </is>
      </c>
      <c r="X246" s="10" t="inlineStr">
        <is>
          <t>Besançon</t>
        </is>
      </c>
      <c r="Y246" s="10" t="inlineStr">
        <is>
          <t>25000</t>
        </is>
      </c>
      <c r="Z246" s="10" t="inlineStr">
        <is>
          <t>Doubs</t>
        </is>
      </c>
      <c r="AA246" s="10" t="inlineStr">
        <is>
          <t>Franche-Comté</t>
        </is>
      </c>
      <c r="AB246" s="16" t="n"/>
      <c r="AC246" s="16" t="n"/>
      <c r="AD246" s="10" t="n"/>
      <c r="AE24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F246" s="10" t="inlineStr">
        <is>
          <t>1 : 1 ; 2 : 2 ; 3 : 3 ; 306 : 306 ; 1996 : 1996 ; https://img.leboncoin.fr/api/v1/tenants/9a6387a1-6259-4f2c-a887-7e67f23dd4cb/domains/20bda58f-d650-462e-a72a-a5a7ecf2bf88/buckets/21d2b0bc-e54c-4b64-a30b-89127b18b785/images/profile/pictures/default/f1e518eb-9e1e-5b0e-b74c-aeffe9656f3e?rule=pp-small : https://img.leboncoin.fr/api/v1/tenants/9a6387a1-6259-4f2c-a887-7e67f23dd4cb/domains/20bda58f-d650-462e-a72a-a5a7ecf2bf88/buckets/21d2b0bc-e54c-4b64-a30b-89127b18b785/images/profile/pictures/default/f1e518eb-9e1e-5b0e-b74c-aeffe9656f3e?rule=pp-small ; Peugeot : Peugeot ; PEUGEOT : PEUGEOT ; 191000 km : 191000 ; Essence : 1 ; Manuelle : 1 ; 06/1996 : 06/1996 ; Berline : berline ; Rouge : rouge ; 11 Cv : 11 ; 155 Ch : 155 ; Avec permis : avecpermis ; credit_card : credit_card ; false : false ; true : true ; u_car_brand : PEUGEOT ; u_car_model : 306 ; vehicle_vsp : Avec permis ; vehicle_available_payment_methods : credit_card ; is_import : false ; vehicle_is_eligible_p2p : 2 ; licence_plate_available : true</t>
        </is>
      </c>
      <c r="AG246" s="19" t="inlineStr">
        <is>
          <t>Voir</t>
        </is>
      </c>
      <c r="AH246" s="10" t="inlineStr">
        <is>
          <t>3272423201</t>
        </is>
      </c>
    </row>
    <row r="247">
      <c r="A247" s="10" t="inlineStr">
        <is>
          <t>Peugeot 306 S16</t>
        </is>
      </c>
      <c r="B247" s="10" t="inlineStr">
        <is>
          <t>306 S16 phase 1 BV6 / 167 cv</t>
        </is>
      </c>
      <c r="C247" s="10" t="inlineStr">
        <is>
          <t>En vente</t>
        </is>
      </c>
      <c r="D247" s="18" t="n">
        <v>46284</v>
      </c>
      <c r="E247" s="18" t="n">
        <v>46284</v>
      </c>
      <c r="F247" s="18" t="n">
        <v>46296</v>
      </c>
      <c r="G247" s="18" t="n"/>
      <c r="H247" s="17">
        <f>IF(OR(ISNUMBER(D247),ISNUMBER(E247)),IF(ISNUMBER(G247),G247,F247)-IF(ISNUMBER(D247),D247,E247),"")</f>
        <v/>
      </c>
      <c r="I247" s="12" t="n">
        <v>6800</v>
      </c>
      <c r="J247" s="12" t="n">
        <v>6800</v>
      </c>
      <c r="K247" s="13">
        <f>IF(AND(ISNUMBER(I247),ISNUMBER(J247),I247&gt;0),1-J247/I247,"")</f>
        <v/>
      </c>
      <c r="L247" s="16" t="n">
        <v>0</v>
      </c>
      <c r="M247" s="15" t="n">
        <v>165000</v>
      </c>
      <c r="N247" s="16" t="n">
        <v>1996</v>
      </c>
      <c r="O247" s="10" t="inlineStr">
        <is>
          <t>1</t>
        </is>
      </c>
      <c r="P247" s="10" t="inlineStr">
        <is>
          <t>1</t>
        </is>
      </c>
      <c r="Q247" s="16" t="n">
        <v>167</v>
      </c>
      <c r="R247" s="16" t="n">
        <v>11</v>
      </c>
      <c r="S247" s="10" t="inlineStr">
        <is>
          <t>bleu</t>
        </is>
      </c>
      <c r="T247" s="16" t="n">
        <v>3</v>
      </c>
      <c r="U247" s="10" t="n"/>
      <c r="V247" s="10" t="n"/>
      <c r="W247" s="10" t="inlineStr">
        <is>
          <t>Particulier</t>
        </is>
      </c>
      <c r="X247" s="10" t="inlineStr">
        <is>
          <t>Pithiviers</t>
        </is>
      </c>
      <c r="Y247" s="10" t="inlineStr">
        <is>
          <t>45300</t>
        </is>
      </c>
      <c r="Z247" s="10" t="inlineStr">
        <is>
          <t>Loiret</t>
        </is>
      </c>
      <c r="AA247" s="10" t="inlineStr">
        <is>
          <t>Centre</t>
        </is>
      </c>
      <c r="AB247" s="16" t="n"/>
      <c r="AC247" s="16" t="n"/>
      <c r="AD247" s="10" t="n"/>
      <c r="AE24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F247" s="10" t="inlineStr">
        <is>
          <t>2 : 2 ; 3 : 3 ; 4 : 4 ; 306 : 306 ; 358 : 358 ; 1996 : 1996 ; 0.99 : 0.99 ; https://img.leboncoin.fr/api/v1/tenants/9a6387a1-6259-4f2c-a887-7e67f23dd4cb/domains/20bda58f-d650-462e-a72a-a5a7ecf2bf88/buckets/21d2b0bc-e54c-4b64-a30b-89127b18b785/images/profile/pictures/default/638c54eb-843c-5a44-ac44-e3d2118c79b3?rule=pp-small : https://img.leboncoin.fr/api/v1/tenants/9a6387a1-6259-4f2c-a887-7e67f23dd4cb/domains/20bda58f-d650-462e-a72a-a5a7ecf2bf88/buckets/21d2b0bc-e54c-4b64-a30b-89127b18b785/images/profile/pictures/default/638c54eb-843c-5a44-ac44-e3d2118c79b3?rule=pp-small ; Peugeot : Peugeot ; PEUGEOT : PEUGEOT ; 165000 km : 165000 ; Essence : 1 ; Manuelle : 1 ; Bon état général : good_overall_condition ; Berline : berline ; Bleu : bleu ; 11 Cv : 11 ; 167 Ch : 167 ; Avec permis : avecpermis ; credit_card : credit_card ; false : false ; true : true ; rating_score : 0.99 ; rating_count : 358 ; u_car_brand : PEUGEOT ; u_car_model : 306 ; vehicle_damage : Bon état général ; vehicle_upholstery : Cuir partiel ; vehicle_vsp : Avec permis ; vehicle_available_payment_methods : credit_card ; is_import : false ; vehicle_is_eligible_p2p : 2 ; licence_plate_available : true</t>
        </is>
      </c>
      <c r="AG247" s="19" t="inlineStr">
        <is>
          <t>Voir</t>
        </is>
      </c>
      <c r="AH247" s="10" t="inlineStr">
        <is>
          <t>3272452236</t>
        </is>
      </c>
    </row>
    <row r="248">
      <c r="A248" s="10" t="inlineStr">
        <is>
          <t>Peugeot 306 S16</t>
        </is>
      </c>
      <c r="B248" s="10" t="inlineStr">
        <is>
          <t>306</t>
        </is>
      </c>
      <c r="C248" s="10" t="inlineStr">
        <is>
          <t>En vente</t>
        </is>
      </c>
      <c r="D248" s="18" t="n">
        <v>46286</v>
      </c>
      <c r="E248" s="18" t="n">
        <v>46286</v>
      </c>
      <c r="F248" s="18" t="n">
        <v>46296</v>
      </c>
      <c r="G248" s="18" t="n"/>
      <c r="H248" s="17">
        <f>IF(OR(ISNUMBER(D248),ISNUMBER(E248)),IF(ISNUMBER(G248),G248,F248)-IF(ISNUMBER(D248),D248,E248),"")</f>
        <v/>
      </c>
      <c r="I248" s="12" t="n">
        <v>5200</v>
      </c>
      <c r="J248" s="12" t="n">
        <v>5200</v>
      </c>
      <c r="K248" s="13">
        <f>IF(AND(ISNUMBER(I248),ISNUMBER(J248),I248&gt;0),1-J248/I248,"")</f>
        <v/>
      </c>
      <c r="L248" s="16" t="n">
        <v>0</v>
      </c>
      <c r="M248" s="15" t="n">
        <v>179800</v>
      </c>
      <c r="N248" s="16" t="n">
        <v>1997</v>
      </c>
      <c r="O248" s="10" t="inlineStr">
        <is>
          <t>1</t>
        </is>
      </c>
      <c r="P248" s="10" t="inlineStr">
        <is>
          <t>1</t>
        </is>
      </c>
      <c r="Q248" s="16" t="n">
        <v>75</v>
      </c>
      <c r="R248" s="16" t="n">
        <v>6</v>
      </c>
      <c r="S248" s="10" t="inlineStr">
        <is>
          <t>gris</t>
        </is>
      </c>
      <c r="T248" s="16" t="n">
        <v>5</v>
      </c>
      <c r="U248" s="10" t="n"/>
      <c r="V248" s="10" t="inlineStr">
        <is>
          <t>2</t>
        </is>
      </c>
      <c r="W248" s="10" t="inlineStr">
        <is>
          <t>Particulier</t>
        </is>
      </c>
      <c r="X248" s="10" t="inlineStr">
        <is>
          <t>Yenne</t>
        </is>
      </c>
      <c r="Y248" s="10" t="inlineStr">
        <is>
          <t>73170</t>
        </is>
      </c>
      <c r="Z248" s="10" t="inlineStr">
        <is>
          <t>Savoie</t>
        </is>
      </c>
      <c r="AA248" s="10" t="inlineStr">
        <is>
          <t>Rhône-Alpes</t>
        </is>
      </c>
      <c r="AB248" s="16" t="n"/>
      <c r="AC248" s="16" t="n"/>
      <c r="AD248" s="10" t="n"/>
      <c r="AE24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F248" s="10" t="inlineStr">
        <is>
          <t>1 : 1 ; 2 : 2 ; 3 : 3 ; 5 : 5 ; 306 : 306 ; 1997 : 1997 ; https://img.leboncoin.fr/api/v1/tenants/9a6387a1-6259-4f2c-a887-7e67f23dd4cb/domains/20bda58f-d650-462e-a72a-a5a7ecf2bf88/buckets/21d2b0bc-e54c-4b64-a30b-89127b18b785/images/profile/pictures/default/9ead5a94-f561-5318-8440-d566b60f64a5?rule=pp-small : https://img.leboncoin.fr/api/v1/tenants/9a6387a1-6259-4f2c-a887-7e67f23dd4cb/domains/20bda58f-d650-462e-a72a-a5a7ecf2bf88/buckets/21d2b0bc-e54c-4b64-a30b-89127b18b785/images/profile/pictures/default/9ead5a94-f561-5318-8440-d566b60f64a5?rule=pp-small ; Peugeot : Peugeot ; PEUGEOT : PEUGEOT ; 179800 km : 179800 ; Essence : 1 ; Manuelle : 1 ; Non : false ; 03/1997 : 03/1997 ; Non endommagé : undamaged ; Berline : berline ; Gris : gris ; 6 Cv : 6 ; 75 Ch : 75 ; Avec permis : avecpermis ; credit_card : credit_card ; false : false ; true : true ; rating_score : 1 ; rating_count : 3 ; u_car_brand : PEUGEOT ; u_car_model : 306 ; vehicle_technical_inspection_valid : Non ; vehicle_damage : Non endommagé ; vehicle_upholstery : Tissu ; vehicle_vsp : Avec permis ; vehicle_available_payment_methods : credit_card ; is_import : false ; vehicle_is_eligible_p2p : 2 ; licence_plate_available : true</t>
        </is>
      </c>
      <c r="AG248" s="19" t="inlineStr">
        <is>
          <t>Voir</t>
        </is>
      </c>
      <c r="AH248" s="10" t="inlineStr">
        <is>
          <t>3273929462</t>
        </is>
      </c>
    </row>
    <row r="249">
      <c r="A249" s="10" t="inlineStr">
        <is>
          <t>Peugeot 306 S16</t>
        </is>
      </c>
      <c r="B249" s="10" t="inlineStr">
        <is>
          <t>Citroën zx 16v</t>
        </is>
      </c>
      <c r="C249" s="10" t="inlineStr">
        <is>
          <t>En vente</t>
        </is>
      </c>
      <c r="D249" s="18" t="n">
        <v>46289</v>
      </c>
      <c r="E249" s="18" t="n">
        <v>46289</v>
      </c>
      <c r="F249" s="18" t="n">
        <v>46296</v>
      </c>
      <c r="G249" s="18" t="n"/>
      <c r="H249" s="17">
        <f>IF(OR(ISNUMBER(D249),ISNUMBER(E249)),IF(ISNUMBER(G249),G249,F249)-IF(ISNUMBER(D249),D249,E249),"")</f>
        <v/>
      </c>
      <c r="I249" s="12" t="n">
        <v>8200</v>
      </c>
      <c r="J249" s="12" t="n">
        <v>8200</v>
      </c>
      <c r="K249" s="13">
        <f>IF(AND(ISNUMBER(I249),ISNUMBER(J249),I249&gt;0),1-J249/I249,"")</f>
        <v/>
      </c>
      <c r="L249" s="16" t="n">
        <v>0</v>
      </c>
      <c r="M249" s="15" t="n">
        <v>239000</v>
      </c>
      <c r="N249" s="16" t="n">
        <v>1997</v>
      </c>
      <c r="O249" s="10" t="inlineStr">
        <is>
          <t>1</t>
        </is>
      </c>
      <c r="P249" s="10" t="inlineStr">
        <is>
          <t>1</t>
        </is>
      </c>
      <c r="Q249" s="16" t="n">
        <v>167</v>
      </c>
      <c r="R249" s="16" t="n">
        <v>11</v>
      </c>
      <c r="S249" s="10" t="inlineStr">
        <is>
          <t>bleu</t>
        </is>
      </c>
      <c r="T249" s="16" t="n">
        <v>3</v>
      </c>
      <c r="U249" s="10" t="n"/>
      <c r="V249" s="10" t="n"/>
      <c r="W249" s="10" t="inlineStr">
        <is>
          <t>Particulier</t>
        </is>
      </c>
      <c r="X249" s="10" t="inlineStr">
        <is>
          <t>Venerque</t>
        </is>
      </c>
      <c r="Y249" s="10" t="inlineStr">
        <is>
          <t>31810</t>
        </is>
      </c>
      <c r="Z249" s="10" t="inlineStr">
        <is>
          <t>Haute-Garonne</t>
        </is>
      </c>
      <c r="AA249" s="10" t="inlineStr">
        <is>
          <t>Midi-Pyrénées</t>
        </is>
      </c>
      <c r="AB249" s="16" t="n"/>
      <c r="AC249" s="16" t="n"/>
      <c r="AD249" s="10" t="n"/>
      <c r="AE24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F249" s="10" t="inlineStr">
        <is>
          <t>1 : 1 ; 2 : 2 ; 3 : 3 ; 7 : 7 ; 71 : 71 ; 1997 : 1997 ; https://img.leboncoin.fr/api/v1/tenants/9a6387a1-6259-4f2c-a887-7e67f23dd4cb/domains/20bda58f-d650-462e-a72a-a5a7ecf2bf88/buckets/21d2b0bc-e54c-4b64-a30b-89127b18b785/images/profile/pictures/default/8b9740ef-f813-53f8-b516-409207a86718?rule=pp-small : https://img.leboncoin.fr/api/v1/tenants/9a6387a1-6259-4f2c-a887-7e67f23dd4cb/domains/20bda58f-d650-462e-a72a-a5a7ecf2bf88/buckets/21d2b0bc-e54c-4b64-a30b-89127b18b785/images/profile/pictures/default/8b9740ef-f813-53f8-b516-409207a86718?rule=pp-small ; Citroen : Citroen ; Zx : Zx ; CITROEN : CITROEN ; ZX : CITROEN_ZX ; 239000 km : 239000 ; Essence : 1 ; Manuelle : 1 ; Non : false ; 02/1997 : 02/1997 ; Berline : berline ; Bleu : bleu ; 11 Cv : 11 ; 167 Ch : 167 ; Avec permis : avecpermis ; credit_card : credit_card ; false : false ; https://autoviza.fr/report/report?uid=7e920ec7-60d7-4260-b0b1-50b0ce869f3a : https://autoviza.fr/report/report?uid=7e920ec7-60d7-4260-b0b1-50b0ce869f3a ; true : true ; rating_score : 1 ; rating_count : 71 ; u_car_brand : CITROEN ; u_car_model : ZX ; vehicle_technical_inspection_valid : Non ; vehicle_vsp : Avec permis ; vehicle_available_payment_methods : credit_card ; is_import : false ; vehicle_is_eligible_p2p : 2 ; vehicle_history_report_public_url : https://autoviza.fr/report/report?uid=7e920ec7-60d7-4260-b0b1-50b0ce869f3a ; vehicle_history_teaser_critair : 3 ; vehicle_history_teaser_owners : 7 ; vehicle_history_teaser_expertises : true ; vehicle_history_teaser_special_uses : false ; vehicle_history_teaser_atypical_operations : false ; vehicle_history_teaser_importations : false ; licence_plate_available : true</t>
        </is>
      </c>
      <c r="AG249" s="19" t="inlineStr">
        <is>
          <t>Voir</t>
        </is>
      </c>
      <c r="AH249" s="10" t="inlineStr">
        <is>
          <t>3276024169</t>
        </is>
      </c>
    </row>
    <row r="250">
      <c r="A250" s="10" t="inlineStr">
        <is>
          <t>Peugeot 306 S16</t>
        </is>
      </c>
      <c r="B250" s="10" t="inlineStr">
        <is>
          <t>Peugeot 306 S16 BV6</t>
        </is>
      </c>
      <c r="C250" s="10" t="inlineStr">
        <is>
          <t>En vente</t>
        </is>
      </c>
      <c r="D250" s="18" t="n">
        <v>46290</v>
      </c>
      <c r="E250" s="18" t="n">
        <v>46290</v>
      </c>
      <c r="F250" s="18" t="n">
        <v>46296</v>
      </c>
      <c r="G250" s="18" t="n"/>
      <c r="H250" s="17">
        <f>IF(OR(ISNUMBER(D250),ISNUMBER(E250)),IF(ISNUMBER(G250),G250,F250)-IF(ISNUMBER(D250),D250,E250),"")</f>
        <v/>
      </c>
      <c r="I250" s="12" t="n">
        <v>8000</v>
      </c>
      <c r="J250" s="12" t="n">
        <v>8000</v>
      </c>
      <c r="K250" s="13">
        <f>IF(AND(ISNUMBER(I250),ISNUMBER(J250),I250&gt;0),1-J250/I250,"")</f>
        <v/>
      </c>
      <c r="L250" s="16" t="n">
        <v>0</v>
      </c>
      <c r="M250" s="15" t="n">
        <v>260000</v>
      </c>
      <c r="N250" s="16" t="n">
        <v>2000</v>
      </c>
      <c r="O250" s="10" t="inlineStr">
        <is>
          <t>1</t>
        </is>
      </c>
      <c r="P250" s="10" t="inlineStr">
        <is>
          <t>1</t>
        </is>
      </c>
      <c r="Q250" s="16" t="n">
        <v>167</v>
      </c>
      <c r="R250" s="16" t="n">
        <v>11</v>
      </c>
      <c r="S250" s="10" t="inlineStr">
        <is>
          <t>noir</t>
        </is>
      </c>
      <c r="T250" s="16" t="n">
        <v>3</v>
      </c>
      <c r="U250" s="10" t="n"/>
      <c r="V250" s="10" t="n"/>
      <c r="W250" s="10" t="inlineStr">
        <is>
          <t>Particulier</t>
        </is>
      </c>
      <c r="X250" s="10" t="inlineStr">
        <is>
          <t>Contrexéville</t>
        </is>
      </c>
      <c r="Y250" s="10" t="inlineStr">
        <is>
          <t>88140</t>
        </is>
      </c>
      <c r="Z250" s="10" t="inlineStr">
        <is>
          <t>Vosges</t>
        </is>
      </c>
      <c r="AA250" s="10" t="inlineStr">
        <is>
          <t>Lorraine</t>
        </is>
      </c>
      <c r="AB250" s="16" t="n"/>
      <c r="AC250" s="16" t="n"/>
      <c r="AD250" s="10" t="n"/>
      <c r="AE25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F250" s="10" t="inlineStr">
        <is>
          <t>1 : 1 ; 2 : 2 ; 3 : 3 ; 5 : 5 ; 8 : 8 ; 306 : 306 ; 2000 : 2000 ; 719572 : 719572 ; https://img.leboncoin.fr/api/v1/tenants/9a6387a1-6259-4f2c-a887-7e67f23dd4cb/domains/20bda58f-d650-462e-a72a-a5a7ecf2bf88/buckets/21d2b0bc-e54c-4b64-a30b-89127b18b785/images/profile/pictures/f02130b5-2ea8-5f74-812a-c11551085d06?rule=pp-small : https://img.leboncoin.fr/api/v1/tenants/9a6387a1-6259-4f2c-a887-7e67f23dd4cb/domains/20bda58f-d650-462e-a72a-a5a7ecf2bf88/buckets/21d2b0bc-e54c-4b64-a30b-89127b18b785/images/profile/pictures/f02130b5-2ea8-5f74-812a-c11551085d06?rule=pp-small ; Peugeot : Peugeot ; PEUGEOT : PEUGEOT ; 260000 km : 260000 ; Essence : 1 ; Manuelle : 1 ; S16 : PEUGEOT_306_S16 ; 306 2.0 S16 BV6 3p : 306 2.0 S16 BV6 3p ; Non : false ; 03/2000 : 03/2000 ; Berline : berline ; Noir : noir ; 11 Cv : 11 ; 167 Ch : 167 ; Avec permis : avecpermis ; credit_card : credit_card ; false : false ; https://autoviza.fr/report/report?uid=07d84517-1616-44a4-ac43-c7a023cea888 : https://autoviza.fr/report/report?uid=07d84517-1616-44a4-ac43-c7a023cea888 ; true : true ; rating_score : 1 ; rating_count : 8 ; u_car_brand : PEUGEOT ; u_car_model : 306 ; u_car_finition : S16 ; u_car_version : 306 2.0 S16 BV6 3p ; vehicle_technical_inspection_valid : Non ; vehicle_upholstery : Alcantara ; vehicle_vsp : Avec permis ; vehicle_available_payment_methods : credit_card ; is_import : false ; vehicle_is_eligible_p2p : 2 ; vehicle_history_report_public_url : https://autoviza.fr/report/report?uid=07d84517-1616-44a4-ac43-c7a023cea888 ; vehicle_history_teaser_critair : 3 ; vehicle_history_teaser_owners : 5 ; vehicle_history_teaser_expertises : false ; vehicle_history_teaser_special_uses : true ; vehicle_history_teaser_atypical_operations : true ; vehicle_history_teaser_importations : true ; argus_object_id : 719572 ; licence_plate_available : true</t>
        </is>
      </c>
      <c r="AG250" s="19" t="inlineStr">
        <is>
          <t>Voir</t>
        </is>
      </c>
      <c r="AH250" s="10" t="inlineStr">
        <is>
          <t>3276353657</t>
        </is>
      </c>
    </row>
    <row r="251">
      <c r="A251" s="10" t="inlineStr">
        <is>
          <t>Peugeot 306 S16</t>
        </is>
      </c>
      <c r="B251" s="10" t="inlineStr">
        <is>
          <t>Peugeot 306 s16 / BV6 / 167</t>
        </is>
      </c>
      <c r="C251" s="10" t="inlineStr">
        <is>
          <t>En vente</t>
        </is>
      </c>
      <c r="D251" s="18" t="n">
        <v>46290</v>
      </c>
      <c r="E251" s="18" t="n">
        <v>46290</v>
      </c>
      <c r="F251" s="18" t="n">
        <v>46296</v>
      </c>
      <c r="G251" s="18" t="n"/>
      <c r="H251" s="17">
        <f>IF(OR(ISNUMBER(D251),ISNUMBER(E251)),IF(ISNUMBER(G251),G251,F251)-IF(ISNUMBER(D251),D251,E251),"")</f>
        <v/>
      </c>
      <c r="I251" s="12" t="n">
        <v>16500</v>
      </c>
      <c r="J251" s="12" t="n">
        <v>16500</v>
      </c>
      <c r="K251" s="13">
        <f>IF(AND(ISNUMBER(I251),ISNUMBER(J251),I251&gt;0),1-J251/I251,"")</f>
        <v/>
      </c>
      <c r="L251" s="16" t="n">
        <v>0</v>
      </c>
      <c r="M251" s="15" t="n">
        <v>180000</v>
      </c>
      <c r="N251" s="16" t="n">
        <v>1997</v>
      </c>
      <c r="O251" s="10" t="inlineStr">
        <is>
          <t>1</t>
        </is>
      </c>
      <c r="P251" s="10" t="inlineStr">
        <is>
          <t>1</t>
        </is>
      </c>
      <c r="Q251" s="16" t="n">
        <v>60</v>
      </c>
      <c r="R251" s="16" t="n">
        <v>5</v>
      </c>
      <c r="S251" s="10" t="inlineStr">
        <is>
          <t>rouge</t>
        </is>
      </c>
      <c r="T251" s="16" t="n">
        <v>3</v>
      </c>
      <c r="U251" s="10" t="n"/>
      <c r="V251" s="10" t="n"/>
      <c r="W251" s="10" t="inlineStr">
        <is>
          <t>Particulier</t>
        </is>
      </c>
      <c r="X251" s="10" t="inlineStr">
        <is>
          <t>Franconville</t>
        </is>
      </c>
      <c r="Y251" s="10" t="inlineStr">
        <is>
          <t>95130</t>
        </is>
      </c>
      <c r="Z251" s="10" t="inlineStr">
        <is>
          <t>Val-d'Oise</t>
        </is>
      </c>
      <c r="AA251" s="10" t="inlineStr">
        <is>
          <t>Ile-de-France</t>
        </is>
      </c>
      <c r="AB251" s="16" t="n"/>
      <c r="AC251" s="16" t="n"/>
      <c r="AD251" s="10" t="n"/>
      <c r="AE25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F251" s="10" t="inlineStr">
        <is>
          <t>1 : 1 ; 2 : 2 ; 3 : 3 ; 5 : 5 ; 306 : 306 ; 1997 : 1997 ; https://img.leboncoin.fr/api/v1/tenants/9a6387a1-6259-4f2c-a887-7e67f23dd4cb/domains/20bda58f-d650-462e-a72a-a5a7ecf2bf88/buckets/21d2b0bc-e54c-4b64-a30b-89127b18b785/images/profile/pictures/default/40633e96-5d9b-53c9-98cb-01f4a1b59a71?rule=pp-small : https://img.leboncoin.fr/api/v1/tenants/9a6387a1-6259-4f2c-a887-7e67f23dd4cb/domains/20bda58f-d650-462e-a72a-a5a7ecf2bf88/buckets/21d2b0bc-e54c-4b64-a30b-89127b18b785/images/profile/pictures/default/40633e96-5d9b-53c9-98cb-01f4a1b59a71?rule=pp-small ; Peugeot : Peugeot ; PEUGEOT : PEUGEOT ; 180000 km : 180000 ; Essence : 1 ; Manuelle : 1 ; 01/1997 : 01/1997 ; Berline : berline ; Rouge : rouge ; 5 Cv : 5 ; 60 Ch : 60 ; Avec permis : avecpermis ; credit_card : credit_card ; false : false ; hidden : hidden ; true : true ; rating_score : 1 ; rating_count : 5 ; u_car_brand : PEUGEOT ; u_car_model : 306 ; vehicle_vsp : Avec permis ; vehicle_available_payment_methods : credit_card ; is_import : false ; vehicle_is_eligible_p2p : 2 ; vehicle_history_report_status : hidden ; licence_plate_available : true</t>
        </is>
      </c>
      <c r="AG251" s="19" t="inlineStr">
        <is>
          <t>Voir</t>
        </is>
      </c>
      <c r="AH251" s="10" t="inlineStr">
        <is>
          <t>3276437381</t>
        </is>
      </c>
    </row>
    <row r="252">
      <c r="A252" s="10" t="inlineStr">
        <is>
          <t>Peugeot 306 S16</t>
        </is>
      </c>
      <c r="B252" s="10" t="inlineStr">
        <is>
          <t>Peugeot 306 s16 / gti bv6</t>
        </is>
      </c>
      <c r="C252" s="10" t="inlineStr">
        <is>
          <t>En vente</t>
        </is>
      </c>
      <c r="D252" s="18" t="n">
        <v>46290</v>
      </c>
      <c r="E252" s="18" t="n">
        <v>46290</v>
      </c>
      <c r="F252" s="18" t="n">
        <v>46296</v>
      </c>
      <c r="G252" s="18" t="n"/>
      <c r="H252" s="17">
        <f>IF(OR(ISNUMBER(D252),ISNUMBER(E252)),IF(ISNUMBER(G252),G252,F252)-IF(ISNUMBER(D252),D252,E252),"")</f>
        <v/>
      </c>
      <c r="I252" s="12" t="n">
        <v>8000</v>
      </c>
      <c r="J252" s="12" t="n">
        <v>8000</v>
      </c>
      <c r="K252" s="13">
        <f>IF(AND(ISNUMBER(I252),ISNUMBER(J252),I252&gt;0),1-J252/I252,"")</f>
        <v/>
      </c>
      <c r="L252" s="16" t="n">
        <v>0</v>
      </c>
      <c r="M252" s="15" t="n">
        <v>222500</v>
      </c>
      <c r="N252" s="16" t="n">
        <v>2001</v>
      </c>
      <c r="O252" s="10" t="inlineStr">
        <is>
          <t>1</t>
        </is>
      </c>
      <c r="P252" s="10" t="inlineStr">
        <is>
          <t>1</t>
        </is>
      </c>
      <c r="Q252" s="16" t="n">
        <v>167</v>
      </c>
      <c r="R252" s="16" t="n">
        <v>11</v>
      </c>
      <c r="S252" s="10" t="inlineStr">
        <is>
          <t>rouge</t>
        </is>
      </c>
      <c r="T252" s="16" t="n">
        <v>3</v>
      </c>
      <c r="U252" s="10" t="n"/>
      <c r="V252" s="10" t="inlineStr">
        <is>
          <t>3</t>
        </is>
      </c>
      <c r="W252" s="10" t="inlineStr">
        <is>
          <t>Particulier</t>
        </is>
      </c>
      <c r="X252" s="10" t="inlineStr">
        <is>
          <t>La Mothe-Saint-Héray</t>
        </is>
      </c>
      <c r="Y252" s="10" t="inlineStr">
        <is>
          <t>79800</t>
        </is>
      </c>
      <c r="Z252" s="10" t="inlineStr">
        <is>
          <t>Deux-Sèvres</t>
        </is>
      </c>
      <c r="AA252" s="10" t="inlineStr">
        <is>
          <t>Poitou-Charentes</t>
        </is>
      </c>
      <c r="AB252" s="16" t="n"/>
      <c r="AC252" s="16" t="n"/>
      <c r="AD252" s="10" t="n"/>
      <c r="AE252"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F252" s="10" t="inlineStr">
        <is>
          <t>1 : 1 ; 2 : 2 ; 3 : 3 ; 5 : 5 ; 34 : 34 ; 306 : 306 ; 2001 : 2001 ; 719629 : 719629 ; https://img.leboncoin.fr/api/v1/tenants/9a6387a1-6259-4f2c-a887-7e67f23dd4cb/domains/20bda58f-d650-462e-a72a-a5a7ecf2bf88/buckets/21d2b0bc-e54c-4b64-a30b-89127b18b785/images/profile/pictures/default/4b1de0a9-2cd5-552c-abc5-4cd740058be6?rule=pp-small : https://img.leboncoin.fr/api/v1/tenants/9a6387a1-6259-4f2c-a887-7e67f23dd4cb/domains/20bda58f-d650-462e-a72a-a5a7ecf2bf88/buckets/21d2b0bc-e54c-4b64-a30b-89127b18b785/images/profile/pictures/default/4b1de0a9-2cd5-552c-abc5-4cd740058be6?rule=pp-small ; Peugeot : Peugeot ; PEUGEOT : PEUGEOT ; 222500 km : 222500 ; Essence : 1 ; Manuelle : 1 ; S16 Confort : PEUGEOT_306_S16 Confort ; 306 2.0 S16 Confort BV6 3p : 306 2.0 S16 Confort BV6 3p ; Non : false ; 03/2001 : 03/2001 ; Réparations mineures à prévoir : minor_repairs_needed ; Berline : berline ; Rouge : rouge ; Euro 2 : euro2 ; 11 Cv : 11 ; 167 Ch : 167 ; Avec permis : avecpermis ; credit_card : credit_card ; false : false ; https://autoviza.fr/report/report?uid=d1f1965c-ef72-4d4e-b2be-8d96b57859b0 : https://autoviza.fr/report/report?uid=d1f1965c-ef72-4d4e-b2be-8d96b57859b0 ; true : true ; rating_score : 1 ; rating_count : 34 ; u_car_brand : PEUGEOT ; u_car_model : 306 ; u_car_finition : S16 Confort ; u_car_version : 306 2.0 S16 Confort BV6 3p ; vehicle_technical_inspection_valid : Non ; vehicle_damage : Réparations mineures à prévoir ; vehicle_upholstery : Cuir partiel ; vehicle_interior_specs : Jantes en alliage, Phares anti-brouillard, Volant réglable en hauteur ; vehicle_euro_emissions_standard : Euro 2 ; vehicle_vsp : Avec permis ; vehicle_available_payment_methods : credit_card ; is_import : false ; vehicle_is_eligible_p2p : 2 ; vehicle_history_report_public_url : https://autoviza.fr/report/report?uid=d1f1965c-ef72-4d4e-b2be-8d96b57859b0 ; vehicle_history_teaser_critair : 3 ; vehicle_history_teaser_owners : 2 ; vehicle_history_teaser_expertises : false ; vehicle_history_teaser_special_uses : false ; vehicle_history_teaser_atypical_operations : true ; vehicle_history_teaser_importations : true ; argus_object_id : 719629 ; licence_plate_available : true</t>
        </is>
      </c>
      <c r="AG252" s="19" t="inlineStr">
        <is>
          <t>Voir</t>
        </is>
      </c>
      <c r="AH252" s="10" t="inlineStr">
        <is>
          <t>3276571950</t>
        </is>
      </c>
    </row>
    <row r="253">
      <c r="A253" s="10" t="inlineStr">
        <is>
          <t>Peugeot 306 S16</t>
        </is>
      </c>
      <c r="B253" s="10" t="inlineStr">
        <is>
          <t>Peugeot 106 1.6L XSI</t>
        </is>
      </c>
      <c r="C253" s="10" t="inlineStr">
        <is>
          <t>En vente</t>
        </is>
      </c>
      <c r="D253" s="18" t="n">
        <v>46292</v>
      </c>
      <c r="E253" s="18" t="n">
        <v>46292</v>
      </c>
      <c r="F253" s="18" t="n">
        <v>46296</v>
      </c>
      <c r="G253" s="18" t="n"/>
      <c r="H253" s="17">
        <f>IF(OR(ISNUMBER(D253),ISNUMBER(E253)),IF(ISNUMBER(G253),G253,F253)-IF(ISNUMBER(D253),D253,E253),"")</f>
        <v/>
      </c>
      <c r="I253" s="12" t="n">
        <v>10000</v>
      </c>
      <c r="J253" s="12" t="n">
        <v>10000</v>
      </c>
      <c r="K253" s="13">
        <f>IF(AND(ISNUMBER(I253),ISNUMBER(J253),I253&gt;0),1-J253/I253,"")</f>
        <v/>
      </c>
      <c r="L253" s="16" t="n">
        <v>0</v>
      </c>
      <c r="M253" s="15" t="n">
        <v>250000</v>
      </c>
      <c r="N253" s="16" t="n">
        <v>1994</v>
      </c>
      <c r="O253" s="10" t="inlineStr">
        <is>
          <t>1</t>
        </is>
      </c>
      <c r="P253" s="10" t="inlineStr">
        <is>
          <t>1</t>
        </is>
      </c>
      <c r="Q253" s="16" t="n">
        <v>105</v>
      </c>
      <c r="R253" s="16" t="n">
        <v>8</v>
      </c>
      <c r="S253" s="10" t="inlineStr">
        <is>
          <t>autre</t>
        </is>
      </c>
      <c r="T253" s="16" t="n">
        <v>3</v>
      </c>
      <c r="U253" s="10" t="n"/>
      <c r="V253" s="10" t="n"/>
      <c r="W253" s="10" t="inlineStr">
        <is>
          <t>Particulier</t>
        </is>
      </c>
      <c r="X253" s="10" t="inlineStr">
        <is>
          <t>Lattes</t>
        </is>
      </c>
      <c r="Y253" s="10" t="inlineStr">
        <is>
          <t>34970</t>
        </is>
      </c>
      <c r="Z253" s="10" t="inlineStr">
        <is>
          <t>Hérault</t>
        </is>
      </c>
      <c r="AA253" s="10" t="inlineStr">
        <is>
          <t>Languedoc-Roussillon</t>
        </is>
      </c>
      <c r="AB253" s="16" t="n"/>
      <c r="AC253" s="16" t="n"/>
      <c r="AD253" s="10" t="n"/>
      <c r="AE253"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F253" s="10" t="inlineStr">
        <is>
          <t>2 : 2 ; 3 : 3 ; 5 : 5 ; 30 : 30 ; 106 : 106 ; 1994 : 1994 ; 718853 : 718853 ; 0.98 : 0.98 ; https://img.leboncoin.fr/api/v1/tenants/9a6387a1-6259-4f2c-a887-7e67f23dd4cb/domains/20bda58f-d650-462e-a72a-a5a7ecf2bf88/buckets/21d2b0bc-e54c-4b64-a30b-89127b18b785/images/profile/pictures/2463d631-7024-5496-adf4-1446cb546357?rule=pp-small : https://img.leboncoin.fr/api/v1/tenants/9a6387a1-6259-4f2c-a887-7e67f23dd4cb/domains/20bda58f-d650-462e-a72a-a5a7ecf2bf88/buckets/21d2b0bc-e54c-4b64-a30b-89127b18b785/images/profile/pictures/2463d631-7024-5496-adf4-1446cb546357?rule=pp-small ; Peugeot : Peugeot ; PEUGEOT : PEUGEOT ; 250000 km : 250000 ; Essence : 1 ; Manuelle : 1 ; XSi : PEUGEOT_106_XSi ; XSi_106 1.6 XSi 3p : XSi_106 1.6 XSi 3p ; 11/1994 : 11/1994 ; Berline : berline ; Autre : autre ; 8 Cv : 8 ; 105 Ch : 105 ; Avec permis : avecpermis ; credit_card : credit_card ; false : false ; true : true ; rating_score : 0.98 ; rating_count : 30 ; u_car_brand : PEUGEOT ; u_car_model : 106 ; u_car_finition : XSi ; u_car_version : XSi_106 1.6 XSi 3p ; vehicle_vsp : Avec permis ; vehicle_available_payment_methods : credit_card ; is_import : false ; vehicle_is_eligible_p2p : 2 ; argus_object_id : 718853 ; licence_plate_available : true</t>
        </is>
      </c>
      <c r="AG253" s="19" t="inlineStr">
        <is>
          <t>Voir</t>
        </is>
      </c>
      <c r="AH253" s="10" t="inlineStr">
        <is>
          <t>3277457567</t>
        </is>
      </c>
    </row>
    <row r="254">
      <c r="A254" s="10" t="inlineStr">
        <is>
          <t>Peugeot 306 S16</t>
        </is>
      </c>
      <c r="B254" s="10" t="inlineStr">
        <is>
          <t>306 s16</t>
        </is>
      </c>
      <c r="C254" s="10" t="inlineStr">
        <is>
          <t>En vente</t>
        </is>
      </c>
      <c r="D254" s="18" t="n">
        <v>46296</v>
      </c>
      <c r="E254" s="18" t="n">
        <v>46296</v>
      </c>
      <c r="F254" s="18" t="n">
        <v>46296</v>
      </c>
      <c r="G254" s="18" t="n"/>
      <c r="H254" s="17">
        <f>IF(OR(ISNUMBER(D254),ISNUMBER(E254)),IF(ISNUMBER(G254),G254,F254)-IF(ISNUMBER(D254),D254,E254),"")</f>
        <v/>
      </c>
      <c r="I254" s="12" t="n">
        <v>4000</v>
      </c>
      <c r="J254" s="12" t="n">
        <v>4000</v>
      </c>
      <c r="K254" s="13">
        <f>IF(AND(ISNUMBER(I254),ISNUMBER(J254),I254&gt;0),1-J254/I254,"")</f>
        <v/>
      </c>
      <c r="L254" s="16" t="n">
        <v>0</v>
      </c>
      <c r="M254" s="15" t="n">
        <v>215000</v>
      </c>
      <c r="N254" s="16" t="n">
        <v>2000</v>
      </c>
      <c r="O254" s="10" t="inlineStr">
        <is>
          <t>1</t>
        </is>
      </c>
      <c r="P254" s="10" t="inlineStr">
        <is>
          <t>1</t>
        </is>
      </c>
      <c r="Q254" s="16" t="n">
        <v>112</v>
      </c>
      <c r="R254" s="16" t="n">
        <v>7</v>
      </c>
      <c r="S254" s="10" t="inlineStr">
        <is>
          <t>bleu</t>
        </is>
      </c>
      <c r="T254" s="16" t="n">
        <v>3</v>
      </c>
      <c r="U254" s="10" t="n"/>
      <c r="V254" s="10" t="n"/>
      <c r="W254" s="10" t="inlineStr">
        <is>
          <t>Particulier</t>
        </is>
      </c>
      <c r="X254" s="10" t="inlineStr">
        <is>
          <t>Le Pellerin</t>
        </is>
      </c>
      <c r="Y254" s="10" t="inlineStr">
        <is>
          <t>44640</t>
        </is>
      </c>
      <c r="Z254" s="10" t="inlineStr">
        <is>
          <t>Loire-Atlantique</t>
        </is>
      </c>
      <c r="AA254" s="10" t="inlineStr">
        <is>
          <t>Pays de la Loire</t>
        </is>
      </c>
      <c r="AB254" s="16" t="n"/>
      <c r="AC254" s="16" t="n"/>
      <c r="AD254" s="10" t="n"/>
      <c r="AE254"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F254" s="10" t="inlineStr">
        <is>
          <t>1 : 1 ; 2 : 2 ; 3 : 3 ; 5 : 5 ; 306 : 306 ; 2000 : 2000 ; 2028 : 2028 ; 719645 : 719645 ; https://img.leboncoin.fr/api/v1/tenants/9a6387a1-6259-4f2c-a887-7e67f23dd4cb/domains/20bda58f-d650-462e-a72a-a5a7ecf2bf88/buckets/21d2b0bc-e54c-4b64-a30b-89127b18b785/images/profile/pictures/default/5898ca42-14f8-5bab-b60c-8e0dcc809704?rule=pp-small : https://img.leboncoin.fr/api/v1/tenants/9a6387a1-6259-4f2c-a887-7e67f23dd4cb/domains/20bda58f-d650-462e-a72a-a5a7ecf2bf88/buckets/21d2b0bc-e54c-4b64-a30b-89127b18b785/images/profile/pictures/default/5898ca42-14f8-5bab-b60c-8e0dcc809704?rule=pp-small ; Peugeot : Peugeot ; PEUGEOT : PEUGEOT ; 215000 km : 215000 ; Essence : 1 ; Manuelle : 1 ; XS : PEUGEOT_306_XS ; 306 1.8 16v XS Clim 3p : 306 1.8 16v XS Clim 3p ; Oui : true ; 06/2000 : 06/2000 ; Traces d’usure normales : normal_wear_and_tear ; Berline : berline ; Bleu : bleu ; 7 Cv : 7 ; 112 Ch : 112 ; Avec permis : avecpermis ; credit_card : credit_card ; false : false ; true : true ; rating_score : 1 ; rating_count : 2 ; u_car_brand : PEUGEOT ; u_car_model : 306 ; u_car_finition : XS ; u_car_version : 306 1.8 16v XS Clim 3p ; vehicle_technical_inspection_valid : Oui ; vehicle_technical_inspection_a : 2028 ; vehicle_damage : Traces d’usure normales ; vehicle_upholstery : Tissu ; vehicle_vsp : Avec permis ; vehicle_available_payment_methods : credit_card ; is_import : false ; vehicle_is_eligible_p2p : 2 ; argus_object_id : 719645 ; licence_plate_available : true</t>
        </is>
      </c>
      <c r="AG254" s="19" t="inlineStr">
        <is>
          <t>Voir</t>
        </is>
      </c>
      <c r="AH254" s="10" t="inlineStr">
        <is>
          <t>3280107297</t>
        </is>
      </c>
    </row>
    <row r="255">
      <c r="A255" s="10" t="inlineStr">
        <is>
          <t>Porsche 911 997 Carrera S</t>
        </is>
      </c>
      <c r="B255" s="10" t="inlineStr">
        <is>
          <t>Porsche 911 3.8i 355 F6 CARRERA S (997)</t>
        </is>
      </c>
      <c r="C255" s="10" t="inlineStr">
        <is>
          <t>En vente</t>
        </is>
      </c>
      <c r="D255" s="18" t="n">
        <v>45464</v>
      </c>
      <c r="E255" s="18" t="n">
        <v>45464</v>
      </c>
      <c r="F255" s="18" t="n">
        <v>46296</v>
      </c>
      <c r="G255" s="18" t="n"/>
      <c r="H255" s="17">
        <f>IF(OR(ISNUMBER(D255),ISNUMBER(E255)),IF(ISNUMBER(G255),G255,F255)-IF(ISNUMBER(D255),D255,E255),"")</f>
        <v/>
      </c>
      <c r="I255" s="12" t="n">
        <v>49900</v>
      </c>
      <c r="J255" s="12" t="n">
        <v>49900</v>
      </c>
      <c r="K255" s="13">
        <f>IF(AND(ISNUMBER(I255),ISNUMBER(J255),I255&gt;0),1-J255/I255,"")</f>
        <v/>
      </c>
      <c r="L255" s="16" t="n">
        <v>0</v>
      </c>
      <c r="M255" s="15" t="n">
        <v>149172</v>
      </c>
      <c r="N255" s="16" t="n">
        <v>2004</v>
      </c>
      <c r="O255" s="10" t="inlineStr">
        <is>
          <t>1</t>
        </is>
      </c>
      <c r="P255" s="10" t="inlineStr">
        <is>
          <t>1</t>
        </is>
      </c>
      <c r="Q255" s="16" t="n">
        <v>355</v>
      </c>
      <c r="R255" s="16" t="n">
        <v>26</v>
      </c>
      <c r="S255" s="10" t="inlineStr">
        <is>
          <t>gris</t>
        </is>
      </c>
      <c r="T255" s="16" t="n">
        <v>2</v>
      </c>
      <c r="U255" s="10" t="n"/>
      <c r="V255" s="10" t="inlineStr">
        <is>
          <t>3</t>
        </is>
      </c>
      <c r="W255" s="10" t="inlineStr">
        <is>
          <t>Pro</t>
        </is>
      </c>
      <c r="X255" s="10" t="inlineStr">
        <is>
          <t>Vitré</t>
        </is>
      </c>
      <c r="Y255" s="10" t="inlineStr">
        <is>
          <t>35500</t>
        </is>
      </c>
      <c r="Z255" s="10" t="inlineStr">
        <is>
          <t>Ille-et-Vilaine</t>
        </is>
      </c>
      <c r="AA255" s="10" t="inlineStr">
        <is>
          <t>Bretagne</t>
        </is>
      </c>
      <c r="AB255" s="16" t="n"/>
      <c r="AC255" s="16" t="n"/>
      <c r="AD255" s="10" t="inlineStr">
        <is>
          <t>Oui</t>
        </is>
      </c>
      <c r="AE255" s="10" t="n"/>
      <c r="AF255" s="10" t="inlineStr">
        <is>
          <t>1 : 1 ; 2 : 2 ; 3 : 3 ; 4 : 4 ; 911 : 911 ; 2004 : 2004 ; 85328 : 85328 ; 802651 : 802651 ; 13062401 : 13062401 ; Porsche : Porsche ; PORSCHE : PORSCHE ; 149172 km : 149172 ; Essence : 1 ; Manuelle : 1 ; Carrera S : PORSCHE_911_Carrera S ; 911 Coupe Carrera S : 911 Coupe Carrera S ; 10/2004 : 10/2004 ; Coupé : coupe ; Gris : gris ; 26 Cv : 26 ; 355 Ch : 355 ; Avec permis : avecpermis ; false : false ; https://img.leboncoin.fr/api/v1/lbcpb1/images/69/4e/71/694e71e5-6dc3-5dd7-ba55-e58fce74c44e?rule=bo-thumb : https://img.leboncoin.fr/api/v1/lbcpb1/images/69/4e/71/694e71e5-6dc3-5dd7-ba55-e58fce74c44e?rule=bo-thumb ; pelhate automobiles : pelhate automobiles ; true : true ; https://autoviza.fr/partner/report/86520440-68d4-4d4c-ac65-94ae8663eaf7/ : https://autoviza.fr/partner/report/86520440-68d4-4d4c-ac65-94ae8663eaf7/ ; visible : visible ; Non renseignée : non_renseignee ; activity_sector : 1 ; u_car_brand : PORSCHE ; u_car_model : 911 ; u_car_finition : Carrera S ; u_car_version : 911 Coupe Carrera S ; vehicle_interior_specs : Climatisation, Phares anti-brouillard, Régulateur de vitesse, Toit ouvrant / Toit panoramique ; vehicle_vsp : Avec permis ; recent_used_vehicle : false ; has_visibility_option : false ; store_logo : https://img.leboncoin.fr/api/v1/lbcpb1/images/69/4e/71/694e71e5-6dc3-5dd7-ba55-e58fce74c44e?rule=bo-thumb ; store_name : pelhate automobiles ; online_store_id : 85328 ; custom_ref : 13062401 ; is_import : true ; vehicle_history_report_public_url : https://autoviza.fr/partner/report/86520440-68d4-4d4c-ac65-94ae8663eaf7/ ; vehicle_history_report_status : visible ; argus_object_id : 802651 ; spare_parts_availability : Non renseignée ; licence_plate_available : true</t>
        </is>
      </c>
      <c r="AG255" s="19" t="inlineStr">
        <is>
          <t>Voir</t>
        </is>
      </c>
      <c r="AH255" s="10" t="inlineStr">
        <is>
          <t>2751924257</t>
        </is>
      </c>
    </row>
    <row r="256">
      <c r="A256" s="10" t="inlineStr">
        <is>
          <t>Porsche 911 997 Carrera S</t>
        </is>
      </c>
      <c r="B256" s="10" t="inlineStr">
        <is>
          <t>Porsche 911 CABRIOLET (997) CARRERA 4 TIPTRONIC S</t>
        </is>
      </c>
      <c r="C256" s="10" t="inlineStr">
        <is>
          <t>En vente</t>
        </is>
      </c>
      <c r="D256" s="18" t="n">
        <v>45854</v>
      </c>
      <c r="E256" s="18" t="n">
        <v>45854</v>
      </c>
      <c r="F256" s="18" t="n">
        <v>46296</v>
      </c>
      <c r="G256" s="18" t="n"/>
      <c r="H256" s="17">
        <f>IF(OR(ISNUMBER(D256),ISNUMBER(E256)),IF(ISNUMBER(G256),G256,F256)-IF(ISNUMBER(D256),D256,E256),"")</f>
        <v/>
      </c>
      <c r="I256" s="12" t="n">
        <v>48000</v>
      </c>
      <c r="J256" s="12" t="n">
        <v>48000</v>
      </c>
      <c r="K256" s="13">
        <f>IF(AND(ISNUMBER(I256),ISNUMBER(J256),I256&gt;0),1-J256/I256,"")</f>
        <v/>
      </c>
      <c r="L256" s="16" t="n">
        <v>0</v>
      </c>
      <c r="M256" s="15" t="n">
        <v>155000</v>
      </c>
      <c r="N256" s="16" t="n">
        <v>2007</v>
      </c>
      <c r="O256" s="10" t="inlineStr">
        <is>
          <t>1</t>
        </is>
      </c>
      <c r="P256" s="10" t="inlineStr">
        <is>
          <t>2</t>
        </is>
      </c>
      <c r="Q256" s="16" t="n">
        <v>325</v>
      </c>
      <c r="R256" s="16" t="n">
        <v>24</v>
      </c>
      <c r="S256" s="10" t="inlineStr">
        <is>
          <t>noir</t>
        </is>
      </c>
      <c r="T256" s="16" t="n"/>
      <c r="U256" s="10" t="n"/>
      <c r="V256" s="10" t="inlineStr">
        <is>
          <t>2</t>
        </is>
      </c>
      <c r="W256" s="10" t="inlineStr">
        <is>
          <t>Pro</t>
        </is>
      </c>
      <c r="X256" s="10" t="inlineStr">
        <is>
          <t>Aubière</t>
        </is>
      </c>
      <c r="Y256" s="10" t="inlineStr">
        <is>
          <t>63170</t>
        </is>
      </c>
      <c r="Z256" s="10" t="inlineStr">
        <is>
          <t>Puy-de-Dôme</t>
        </is>
      </c>
      <c r="AA256" s="10" t="inlineStr">
        <is>
          <t>Auvergne</t>
        </is>
      </c>
      <c r="AB256" s="16" t="n"/>
      <c r="AC256" s="16" t="n"/>
      <c r="AD256" s="10" t="inlineStr">
        <is>
          <t>Oui</t>
        </is>
      </c>
      <c r="AE256" s="10" t="n"/>
      <c r="AF256" s="10" t="inlineStr">
        <is>
          <t>1 : 1 ; 2 : 2 ; 4 : 4 ; 296 : 296 ; 911 : 911 ; 2007 : 2007 ; 10261 : 10261 ; 881539 : 881539 ; Porsche : Porsche ; PORSCHE : PORSCHE ; 155000 km : 155000 ; Essence : 1 ; Automatique : 2 ; 911 Cabriolet Carrera 4 TipTronic S : 911 Cabriolet Carrera 4 TipTronic S ; 06/2007 : 06/2007 ; Cabriolet : cabriolet ; Noir : noir ; 24 Cv : 24 ; 325 Ch : 325 ; Avec permis : avecpermis ; false : false ; https://img.leboncoin.fr/api/v1/lbcpb1/images/79/94/05/799405101569276.jpg?rule=bo-thumb : https://img.leboncoin.fr/api/v1/lbcpb1/images/79/94/05/799405101569276.jpg?rule=bo-thumb ; CEN AUTO : CEN AUTO ; true : true ; https://autoviza.fr/report/report?uid=741318fc-2b37-4926-8924-6399cb7bf943 : https://autoviza.fr/report/report?uid=741318fc-2b37-4926-8924-6399cb7bf943 ; visible : visible ; Non renseignée : non_renseignee ; activity_sector : 1 ; u_car_brand : PORSCHE ; u_car_model : 911 ; u_car_version : 911 Cabriolet Carrera 4 TipTronic S ; vehicle_vsp : Avec permis ; recent_used_vehicle : false ; has_visibility_option : false ; store_logo : https://img.leboncoin.fr/api/v1/lbcpb1/images/79/94/05/799405101569276.jpg?rule=bo-thumb ; store_name : CEN AUTO ; online_store_id : 10261 ; custom_ref : 296 ; is_import : true ; vehicle_history_report_public_url : https://autoviza.fr/report/report?uid=741318fc-2b37-4926-8924-6399cb7bf943 ; vehicle_history_report_status : visible ; argus_object_id : 881539 ; spare_parts_availability : Non renseignée ; licence_plate_available : true</t>
        </is>
      </c>
      <c r="AG256" s="19" t="inlineStr">
        <is>
          <t>Voir</t>
        </is>
      </c>
      <c r="AH256" s="10" t="inlineStr">
        <is>
          <t>3024366461</t>
        </is>
      </c>
    </row>
    <row r="257">
      <c r="A257" s="10" t="inlineStr">
        <is>
          <t>Porsche 911 997 Carrera S</t>
        </is>
      </c>
      <c r="B257" s="10" t="inlineStr">
        <is>
          <t>Porsche 911 (997) Carrera S 3.8i TipTronic / PASM Bose Echappement Sport Toit Ouvrant etc</t>
        </is>
      </c>
      <c r="C257" s="10" t="inlineStr">
        <is>
          <t>En vente</t>
        </is>
      </c>
      <c r="D257" s="18" t="n">
        <v>45915</v>
      </c>
      <c r="E257" s="18" t="n">
        <v>45915</v>
      </c>
      <c r="F257" s="18" t="n">
        <v>46296</v>
      </c>
      <c r="G257" s="18" t="n"/>
      <c r="H257" s="17">
        <f>IF(OR(ISNUMBER(D257),ISNUMBER(E257)),IF(ISNUMBER(G257),G257,F257)-IF(ISNUMBER(D257),D257,E257),"")</f>
        <v/>
      </c>
      <c r="I257" s="12" t="n">
        <v>46990</v>
      </c>
      <c r="J257" s="12" t="n">
        <v>46990</v>
      </c>
      <c r="K257" s="13">
        <f>IF(AND(ISNUMBER(I257),ISNUMBER(J257),I257&gt;0),1-J257/I257,"")</f>
        <v/>
      </c>
      <c r="L257" s="16" t="n">
        <v>0</v>
      </c>
      <c r="M257" s="15" t="n">
        <v>140069</v>
      </c>
      <c r="N257" s="16" t="n">
        <v>2006</v>
      </c>
      <c r="O257" s="10" t="inlineStr">
        <is>
          <t>1</t>
        </is>
      </c>
      <c r="P257" s="10" t="inlineStr">
        <is>
          <t>2</t>
        </is>
      </c>
      <c r="Q257" s="16" t="n">
        <v>355</v>
      </c>
      <c r="R257" s="16" t="n">
        <v>26</v>
      </c>
      <c r="S257" s="10" t="inlineStr">
        <is>
          <t>noir</t>
        </is>
      </c>
      <c r="T257" s="16" t="n">
        <v>2</v>
      </c>
      <c r="U257" s="10" t="n"/>
      <c r="V257" s="10" t="inlineStr">
        <is>
          <t>2</t>
        </is>
      </c>
      <c r="W257" s="10" t="inlineStr">
        <is>
          <t>Pro</t>
        </is>
      </c>
      <c r="X257" s="10" t="inlineStr">
        <is>
          <t>Libourne</t>
        </is>
      </c>
      <c r="Y257" s="10" t="inlineStr">
        <is>
          <t>33500</t>
        </is>
      </c>
      <c r="Z257" s="10" t="inlineStr">
        <is>
          <t>Gironde</t>
        </is>
      </c>
      <c r="AA257" s="10" t="inlineStr">
        <is>
          <t>Aquitaine</t>
        </is>
      </c>
      <c r="AB257" s="16" t="n"/>
      <c r="AC257" s="16" t="n"/>
      <c r="AD257" s="10" t="inlineStr">
        <is>
          <t>Oui</t>
        </is>
      </c>
      <c r="AE257" s="10" t="n"/>
      <c r="AF257" s="10" t="inlineStr">
        <is>
          <t>1 : 1 ; 2 : 2 ; 4 : 4 ; 911 : 911 ; 2006 : 2006 ; 48990 : 48990 ; 802652 : 802652 ; 1450491 : 1450491 ; Porsche : Porsche ; PORSCHE : PORSCHE ; 140069 km : 140069 ; Essence : 1 ; Automatique : 2 ; Carrera S : PORSCHE_911_Carrera S ; 911 Coupe Carrera S TipTronic S : 911 Coupe Carrera S TipTronic S ; 05/2006 : 05/2006 ; Coupé : coupe ; Noir : noir ; 26 Cv : 26 ; 355 Ch : 355 ; Avec permis : avecpermis ; false : false ; true : true ; https://img.leboncoin.fr/api/v1/lbcpb1/images/4f/21/14/4f2114b9-d447-4eb0-9da3-1b555b7be24c?rule=bo-thumb : https://img.leboncoin.fr/api/v1/lbcpb1/images/4f/21/14/4f2114b9-d447-4eb0-9da3-1b555b7be24c?rule=bo-thumb ; JE VENDS VOTRE AUTO LIBOURNE : JE VENDS VOTRE AUTO LIBOURNE ; 46VT000278 : 46VT000278 ; https://autoviza.fr/report/report?uid=cb5cad22-10fa-4a3c-af28-d3ea6c44d619 : https://autoviza.fr/report/report?uid=cb5cad22-10fa-4a3c-af28-d3ea6c44d619 ; visible : visible ; Non renseignée : non_renseignee ; activity_sector : 1 ; u_car_brand : PORSCHE ; u_car_model : 911 ; u_car_finition : Carrera S ; u_car_version : 911 Coupe Carrera S TipTronic S ; vehicle_interior_specs : Aide au stationnement, Climatisation, Régulateur de vitesse, Sièges chauffants, Toit ouvrant / Toit panoramique ; vehicle_vsp : Avec permis ; recent_used_vehicle : false ; has_visibility_option : true ; store_logo : https://img.leboncoin.fr/api/v1/lbcpb1/images/4f/21/14/4f2114b9-d447-4eb0-9da3-1b555b7be24c?rule=bo-thumb ; store_name : JE VENDS VOTRE AUTO LIBOURNE ; online_store_id : 1450491 ; custom_ref : 46VT000278 ; is_import : true ; old_price : 48990 ; vehicle_history_report_public_url : https://autoviza.fr/report/report?uid=cb5cad22-10fa-4a3c-af28-d3ea6c44d619 ; vehicle_history_report_status : visible ; argus_object_id : 802652 ; spare_parts_availability : Non renseignée ; licence_plate_available : true</t>
        </is>
      </c>
      <c r="AG257" s="19" t="inlineStr">
        <is>
          <t>Voir</t>
        </is>
      </c>
      <c r="AH257" s="10" t="inlineStr">
        <is>
          <t>3058221809</t>
        </is>
      </c>
    </row>
    <row r="258">
      <c r="A258" s="10" t="inlineStr">
        <is>
          <t>Porsche 911 997 Carrera S</t>
        </is>
      </c>
      <c r="B258" s="10" t="inlineStr">
        <is>
          <t>Porsche 911 997 Cabriolet Carrera S 3.8 355ch Boîte Manuelle</t>
        </is>
      </c>
      <c r="C258" s="10" t="inlineStr">
        <is>
          <t>En vente</t>
        </is>
      </c>
      <c r="D258" s="18" t="n">
        <v>46274</v>
      </c>
      <c r="E258" s="18" t="n">
        <v>46274</v>
      </c>
      <c r="F258" s="18" t="n">
        <v>46296</v>
      </c>
      <c r="G258" s="18" t="n"/>
      <c r="H258" s="17">
        <f>IF(OR(ISNUMBER(D258),ISNUMBER(E258)),IF(ISNUMBER(G258),G258,F258)-IF(ISNUMBER(D258),D258,E258),"")</f>
        <v/>
      </c>
      <c r="I258" s="12" t="n">
        <v>58900</v>
      </c>
      <c r="J258" s="12" t="n">
        <v>58900</v>
      </c>
      <c r="K258" s="13">
        <f>IF(AND(ISNUMBER(I258),ISNUMBER(J258),I258&gt;0),1-J258/I258,"")</f>
        <v/>
      </c>
      <c r="L258" s="16" t="n">
        <v>0</v>
      </c>
      <c r="M258" s="15" t="n">
        <v>107019</v>
      </c>
      <c r="N258" s="16" t="n">
        <v>2005</v>
      </c>
      <c r="O258" s="10" t="inlineStr">
        <is>
          <t>1</t>
        </is>
      </c>
      <c r="P258" s="10" t="inlineStr">
        <is>
          <t>1</t>
        </is>
      </c>
      <c r="Q258" s="16" t="n">
        <v>355</v>
      </c>
      <c r="R258" s="16" t="n">
        <v>26</v>
      </c>
      <c r="S258" s="10" t="inlineStr">
        <is>
          <t>noir</t>
        </is>
      </c>
      <c r="T258" s="16" t="n">
        <v>2</v>
      </c>
      <c r="U258" s="10" t="n"/>
      <c r="V258" s="10" t="n"/>
      <c r="W258" s="10" t="inlineStr">
        <is>
          <t>Pro</t>
        </is>
      </c>
      <c r="X258" s="10" t="inlineStr">
        <is>
          <t>Perpignan</t>
        </is>
      </c>
      <c r="Y258" s="10" t="inlineStr">
        <is>
          <t>66100</t>
        </is>
      </c>
      <c r="Z258" s="10" t="inlineStr">
        <is>
          <t>Pyrénées-Orientales</t>
        </is>
      </c>
      <c r="AA258" s="10" t="inlineStr">
        <is>
          <t>Languedoc-Roussillon</t>
        </is>
      </c>
      <c r="AB258" s="16" t="n"/>
      <c r="AC258" s="16" t="n"/>
      <c r="AD258" s="10" t="inlineStr">
        <is>
          <t>Oui</t>
        </is>
      </c>
      <c r="AE258" s="10" t="n"/>
      <c r="AF258" s="10" t="inlineStr">
        <is>
          <t>1 : 1 ; 2 : 2 ; 4 : 4 ; 911 : 911 ; 2005 : 2005 ; 43795 : 43795 ; 62900 : 62900 ; 862300 : 862300 ; Porsche : Porsche ; PORSCHE : PORSCHE ; 107019 km : 107019 ; Essence : 1 ; Manuelle : 1 ; Carrera S : PORSCHE_911_Carrera S ; 911 Cabriolet Carrera S : 911 Cabriolet Carrera S ; 06/2005 : 06/2005 ; Cabriolet : cabriolet ; Noir : noir ; 26 Cv : 26 ; 355 Ch : 355 ; Avec permis : avecpermis ; Non : 1 ; false : false ; https://img.leboncoin.fr/api/v1/lbcpb1/images/17/37/17/173717113451780.jpg?rule=bo-thumb : https://img.leboncoin.fr/api/v1/lbcpb1/images/17/37/17/173717113451780.jpg?rule=bo-thumb ; auto concept 66 : auto concept 66 ; https://autoviza.fr/report/report?uid=081b29d4-42e2-4ca7-9c8b-bde75f0cca00 : https://autoviza.fr/report/report?uid=081b29d4-42e2-4ca7-9c8b-bde75f0cca00 ; visible : visible ; Non renseignée : non_renseignee ; true : true ; activity_sector : 1 ; rating_score : 1 ; rating_count : 1 ; u_car_brand : PORSCHE ; u_car_model : 911 ; u_car_finition : Carrera S ; u_car_version : 911 Cabriolet Carrera S ; vehicle_upholstery : Tout cuir ; vehicle_maintenance : Carnet d'entretien disponible, Véhicule non fumeur, Factures disponibles ; vehicle_interior_specs : Aide au stationnement, Barres de toit intégrées, Bluetooth, Chargeurs USB, Climatisation, Essuie-glaces automatiques, Ordinateur de bord, Pare-brise chauffant, Phares LED / Xenon, Régulateur de vitesse, Siège réglable en hauteur, Sièges chauffants, Sièges en cuir, Sièges sport, Sièges électriques, Suspension sport / adaptative, Système audio haut de gamme, Système de navigation, Toit ouvrant / Toit panoramique, Vitres électriques arrières, Volant réglable en hauteur, Volant réglable en profondeur ; vehicle_vsp : Avec permis ; car_contract : Non ; recent_used_vehicle : false ; has_visibility_option : false ; store_logo : https://img.leboncoin.fr/api/v1/lbcpb1/images/17/37/17/173717113451780.jpg?rule=bo-thumb ; store_name : auto concept 66 ; online_store_id : 43795 ; vehicle_commercial_warranty : Non ; vehicle_manufacturer_warranty : Non ; is_import : false ; old_price : 62900 ; vehicle_history_report_public_url : https://autoviza.fr/report/report?uid=081b29d4-42e2-4ca7-9c8b-bde75f0cca00 ; vehicle_history_report_status : visible ; argus_object_id : 862300 ; spare_parts_availability : Non renseignée ; licence_plate_available : true</t>
        </is>
      </c>
      <c r="AG258" s="19" t="inlineStr">
        <is>
          <t>Voir</t>
        </is>
      </c>
      <c r="AH258" s="10" t="inlineStr">
        <is>
          <t>3100841497</t>
        </is>
      </c>
    </row>
    <row r="259">
      <c r="A259" s="10" t="inlineStr">
        <is>
          <t>Porsche 911 997 Carrera S</t>
        </is>
      </c>
      <c r="B259" s="10" t="inlineStr">
        <is>
          <t>Porsche 911 CARRERA COUPE 997 S Coupé 3.8i</t>
        </is>
      </c>
      <c r="C259" s="10" t="inlineStr">
        <is>
          <t>En vente</t>
        </is>
      </c>
      <c r="D259" s="18" t="n">
        <v>46276</v>
      </c>
      <c r="E259" s="18" t="n">
        <v>46276</v>
      </c>
      <c r="F259" s="18" t="n">
        <v>46296</v>
      </c>
      <c r="G259" s="18" t="n"/>
      <c r="H259" s="17">
        <f>IF(OR(ISNUMBER(D259),ISNUMBER(E259)),IF(ISNUMBER(G259),G259,F259)-IF(ISNUMBER(D259),D259,E259),"")</f>
        <v/>
      </c>
      <c r="I259" s="12" t="n">
        <v>55990</v>
      </c>
      <c r="J259" s="12" t="n">
        <v>55990</v>
      </c>
      <c r="K259" s="13">
        <f>IF(AND(ISNUMBER(I259),ISNUMBER(J259),I259&gt;0),1-J259/I259,"")</f>
        <v/>
      </c>
      <c r="L259" s="16" t="n">
        <v>0</v>
      </c>
      <c r="M259" s="15" t="n">
        <v>81541</v>
      </c>
      <c r="N259" s="16" t="n">
        <v>2005</v>
      </c>
      <c r="O259" s="10" t="inlineStr">
        <is>
          <t>1</t>
        </is>
      </c>
      <c r="P259" s="10" t="inlineStr">
        <is>
          <t>1</t>
        </is>
      </c>
      <c r="Q259" s="16" t="n">
        <v>355</v>
      </c>
      <c r="R259" s="16" t="n">
        <v>26</v>
      </c>
      <c r="S259" s="10" t="inlineStr">
        <is>
          <t>gris</t>
        </is>
      </c>
      <c r="T259" s="16" t="n">
        <v>2</v>
      </c>
      <c r="U259" s="10" t="n"/>
      <c r="V259" s="10" t="inlineStr">
        <is>
          <t>3</t>
        </is>
      </c>
      <c r="W259" s="10" t="inlineStr">
        <is>
          <t>Pro</t>
        </is>
      </c>
      <c r="X259" s="10" t="inlineStr">
        <is>
          <t>Montélimar</t>
        </is>
      </c>
      <c r="Y259" s="10" t="inlineStr">
        <is>
          <t>26200</t>
        </is>
      </c>
      <c r="Z259" s="10" t="inlineStr">
        <is>
          <t>Drôme</t>
        </is>
      </c>
      <c r="AA259" s="10" t="inlineStr">
        <is>
          <t>Rhône-Alpes</t>
        </is>
      </c>
      <c r="AB259" s="16" t="n"/>
      <c r="AC259" s="16" t="n"/>
      <c r="AD259" s="10" t="inlineStr">
        <is>
          <t>Oui</t>
        </is>
      </c>
      <c r="AE259" s="10" t="n"/>
      <c r="AF259" s="10" t="inlineStr">
        <is>
          <t>1 : 1 ; 2 : 2 ; 3 : 3 ; 911 : 911 ; 2005 : 2005 ; 52461 : 52461 ; 57990 : 57990 ; 70886 : 70886 ; 802651 : 802651 ; Porsche : Porsche ; PORSCHE : PORSCHE ; 81541 km : 81541 ; Essence : 1 ; Manuelle : 1 ; Carrera S : PORSCHE_911_Carrera S ; 911 Coupe Carrera S : 911 Coupe Carrera S ; 03/2005 : 03/2005 ; Coupé : coupe ; Gris : gris ; 26 Cv : 26 ; 355 Ch : 355 ; Avec permis : avecpermis ; false : false ; true : true ; https://img.leboncoin.fr/api/v1/lbcpb1/images/08/2a/5b/082a5b83-67de-4fa6-b8a9-f3287124643e?rule=bo-thumb : https://img.leboncoin.fr/api/v1/lbcpb1/images/08/2a/5b/082a5b83-67de-4fa6-b8a9-f3287124643e?rule=bo-thumb ; SVS MOTORSPORTS : SVS MOTORSPORTS ; https://autoviza.fr/report/report?uid=b6a4e6d8-5844-45cc-afee-34cce6585713 : https://autoviza.fr/report/report?uid=b6a4e6d8-5844-45cc-afee-34cce6585713 ; visible : visible ; Non renseignée : non_renseignee ; activity_sector : 1 ; u_car_brand : PORSCHE ; u_car_model : 911 ; u_car_finition : Carrera S ; u_car_version : 911 Coupe Carrera S ; vehicle_interior_specs : Climatisation, Coffre à ouverture électrique, Jantes en alliage, Ordinateur de bord, Sièges sport, Système de navigation ; vehicle_vsp : Avec permis ; recent_used_vehicle : false ; has_visibility_option : true ; store_logo : https://img.leboncoin.fr/api/v1/lbcpb1/images/08/2a/5b/082a5b83-67de-4fa6-b8a9-f3287124643e?rule=bo-thumb ; store_name : SVS MOTORSPORTS ; online_store_id : 70886 ; custom_ref : 52461 ; is_import : true ; old_price : 57990 ; vehicle_history_report_public_url : https://autoviza.fr/report/report?uid=b6a4e6d8-5844-45cc-afee-34cce6585713 ; vehicle_history_report_status : visible ; argus_object_id : 802651 ; spare_parts_availability : Non renseignée ; licence_plate_available : true</t>
        </is>
      </c>
      <c r="AG259" s="19" t="inlineStr">
        <is>
          <t>Voir</t>
        </is>
      </c>
      <c r="AH259" s="10" t="inlineStr">
        <is>
          <t>3135209876</t>
        </is>
      </c>
    </row>
    <row r="260">
      <c r="A260" s="10" t="inlineStr">
        <is>
          <t>Porsche 911 997 Carrera S</t>
        </is>
      </c>
      <c r="B260" s="10" t="inlineStr">
        <is>
          <t>PORSCHE 911 COUPE (997) carrera s</t>
        </is>
      </c>
      <c r="C260" s="10" t="inlineStr">
        <is>
          <t>En vente</t>
        </is>
      </c>
      <c r="D260" s="18" t="n">
        <v>46122</v>
      </c>
      <c r="E260" s="18" t="n">
        <v>46122</v>
      </c>
      <c r="F260" s="18" t="n">
        <v>46296</v>
      </c>
      <c r="G260" s="18" t="n"/>
      <c r="H260" s="17">
        <f>IF(OR(ISNUMBER(D260),ISNUMBER(E260)),IF(ISNUMBER(G260),G260,F260)-IF(ISNUMBER(D260),D260,E260),"")</f>
        <v/>
      </c>
      <c r="I260" s="12" t="n">
        <v>49980</v>
      </c>
      <c r="J260" s="12" t="n">
        <v>49980</v>
      </c>
      <c r="K260" s="13">
        <f>IF(AND(ISNUMBER(I260),ISNUMBER(J260),I260&gt;0),1-J260/I260,"")</f>
        <v/>
      </c>
      <c r="L260" s="16" t="n">
        <v>0</v>
      </c>
      <c r="M260" s="15" t="n">
        <v>149934</v>
      </c>
      <c r="N260" s="16" t="n">
        <v>2008</v>
      </c>
      <c r="O260" s="10" t="inlineStr">
        <is>
          <t>1</t>
        </is>
      </c>
      <c r="P260" s="10" t="inlineStr">
        <is>
          <t>1</t>
        </is>
      </c>
      <c r="Q260" s="16" t="n">
        <v>355</v>
      </c>
      <c r="R260" s="16" t="n">
        <v>26</v>
      </c>
      <c r="S260" s="10" t="inlineStr">
        <is>
          <t>gris</t>
        </is>
      </c>
      <c r="T260" s="16" t="n"/>
      <c r="U260" s="10" t="n"/>
      <c r="V260" s="10" t="n"/>
      <c r="W260" s="10" t="inlineStr">
        <is>
          <t>Pro</t>
        </is>
      </c>
      <c r="X260" s="10" t="inlineStr">
        <is>
          <t>Chavelot</t>
        </is>
      </c>
      <c r="Y260" s="10" t="inlineStr">
        <is>
          <t>88150</t>
        </is>
      </c>
      <c r="Z260" s="10" t="inlineStr">
        <is>
          <t>Vosges</t>
        </is>
      </c>
      <c r="AA260" s="10" t="inlineStr">
        <is>
          <t>Lorraine</t>
        </is>
      </c>
      <c r="AB260" s="16" t="n"/>
      <c r="AC260" s="16" t="n"/>
      <c r="AD260" s="10" t="inlineStr">
        <is>
          <t>Oui</t>
        </is>
      </c>
      <c r="AE260" s="10" t="n"/>
      <c r="AF260" s="10" t="inlineStr">
        <is>
          <t>1 : 1 ; 4 : 4 ; 911 : 911 ; 2008 : 2008 ; 115344 : 115344 ; 802651 : 802651 ; Porsche : Porsche ; PORSCHE : PORSCHE ; 149934 km : 149934 ; Essence : 1 ; Manuelle : 1 ; Carrera S : PORSCHE_911_Carrera S ; 911 Coupe Carrera S : 911 Coupe Carrera S ; 05/2008 : 05/2008 ; Coupé : coupe ; Gris : gris ; 26 Cv : 26 ; 355 Ch : 355 ; Avec permis : avecpermis ; false : false ; true : true ; https://img.leboncoin.fr/api/v1/lbcpb1/images/48/55/81/485581b4-3d2f-4abe-a6b4-8c53f21cf90f?rule=bo-thumb : https://img.leboncoin.fr/api/v1/lbcpb1/images/48/55/81/485581b4-3d2f-4abe-a6b4-8c53f21cf90f?rule=bo-thumb ; DISTINXION ACTIV AUTOMOBILES EPINAL : DISTINXION ACTIV AUTOMOBILES EPINAL ; 0102-402485308 : 0102-402485308 ; Non renseignée : non_renseignee ; activity_sector : 1 ; u_car_brand : PORSCHE ; u_car_model : 911 ; u_car_finition : Carrera S ; u_car_version : 911 Coupe Carrera S ; vehicle_interior_specs : Bluetooth, Ordinateur de bord, Phares LED / Xenon, Régulateur de vitesse, Sièges chauffants, Toit ouvrant / Toit panoramique ; vehicle_vsp : Avec permis ; recent_used_vehicle : false ; has_visibility_option : true ; store_logo : https://img.leboncoin.fr/api/v1/lbcpb1/images/48/55/81/485581b4-3d2f-4abe-a6b4-8c53f21cf90f?rule=bo-thumb ; store_name : DISTINXION ACTIV AUTOMOBILES EPINAL ; online_store_id : 115344 ; custom_ref : 0102-402485308 ; is_import : true ; argus_object_id : 802651 ; spare_parts_availability : Non renseignée ; licence_plate_available : true</t>
        </is>
      </c>
      <c r="AG260" s="19" t="inlineStr">
        <is>
          <t>Voir</t>
        </is>
      </c>
      <c r="AH260" s="10" t="inlineStr">
        <is>
          <t>3177094157</t>
        </is>
      </c>
    </row>
    <row r="261">
      <c r="A261" s="10" t="inlineStr">
        <is>
          <t>Porsche 911 997 Carrera S</t>
        </is>
      </c>
      <c r="B261" s="10" t="inlineStr">
        <is>
          <t>Porsche 911 IV (997) Carrera S TipTronic</t>
        </is>
      </c>
      <c r="C261" s="10" t="inlineStr">
        <is>
          <t>En vente</t>
        </is>
      </c>
      <c r="D261" s="18" t="n">
        <v>46278</v>
      </c>
      <c r="E261" s="18" t="n">
        <v>46278</v>
      </c>
      <c r="F261" s="18" t="n">
        <v>46296</v>
      </c>
      <c r="G261" s="18" t="n"/>
      <c r="H261" s="17">
        <f>IF(OR(ISNUMBER(D261),ISNUMBER(E261)),IF(ISNUMBER(G261),G261,F261)-IF(ISNUMBER(D261),D261,E261),"")</f>
        <v/>
      </c>
      <c r="I261" s="12" t="n">
        <v>49990</v>
      </c>
      <c r="J261" s="12" t="n">
        <v>49990</v>
      </c>
      <c r="K261" s="13">
        <f>IF(AND(ISNUMBER(I261),ISNUMBER(J261),I261&gt;0),1-J261/I261,"")</f>
        <v/>
      </c>
      <c r="L261" s="16" t="n">
        <v>0</v>
      </c>
      <c r="M261" s="15" t="n">
        <v>87800</v>
      </c>
      <c r="N261" s="16" t="n">
        <v>2007</v>
      </c>
      <c r="O261" s="10" t="inlineStr">
        <is>
          <t>1</t>
        </is>
      </c>
      <c r="P261" s="10" t="inlineStr">
        <is>
          <t>2</t>
        </is>
      </c>
      <c r="Q261" s="16" t="n">
        <v>355</v>
      </c>
      <c r="R261" s="16" t="n">
        <v>26</v>
      </c>
      <c r="S261" s="10" t="inlineStr">
        <is>
          <t>gris</t>
        </is>
      </c>
      <c r="T261" s="16" t="n">
        <v>2</v>
      </c>
      <c r="U261" s="10" t="n"/>
      <c r="V261" s="10" t="inlineStr">
        <is>
          <t>2</t>
        </is>
      </c>
      <c r="W261" s="10" t="inlineStr">
        <is>
          <t>Pro</t>
        </is>
      </c>
      <c r="X261" s="10" t="inlineStr">
        <is>
          <t>Méry-sur-Oise</t>
        </is>
      </c>
      <c r="Y261" s="10" t="inlineStr">
        <is>
          <t>95540</t>
        </is>
      </c>
      <c r="Z261" s="10" t="inlineStr">
        <is>
          <t>Val-d'Oise</t>
        </is>
      </c>
      <c r="AA261" s="10" t="inlineStr">
        <is>
          <t>Ile-de-France</t>
        </is>
      </c>
      <c r="AB261" s="16" t="n"/>
      <c r="AC261" s="16" t="n"/>
      <c r="AD261" s="10" t="inlineStr">
        <is>
          <t>Oui</t>
        </is>
      </c>
      <c r="AE261" s="10" t="n"/>
      <c r="AF261" s="10" t="inlineStr">
        <is>
          <t>1 : 1 ; 2 : 2 ; 4 : 4 ; 911 : 911 ; 2007 : 2007 ; 2676 : 2676 ; 85074 : 85074 ; 802652 : 802652 ; Porsche : Porsche ; PORSCHE : PORSCHE ; 87800 km : 87800 ; Essence : 1 ; Automatique : 2 ; Carrera S : PORSCHE_911_Carrera S ; 911 Coupe Carrera S TipTronic S : 911 Coupe Carrera S TipTronic S ; Oui : true ; 06/2007 : 06/2007 ; Coupé : coupe ; Gris : gris ; 26 Cv : 26 ; 355 Ch : 355 ; Avec permis : avecpermis ; false : false ; https://img.leboncoin.fr/api/v1/lbcpb1/images/ab/6a/a7/ab6aa70049f65ec86d5638bdda5aaf2f8db9bd45?rule=bo-thumb : https://img.leboncoin.fr/api/v1/lbcpb1/images/ab/6a/a7/ab6aa70049f65ec86d5638bdda5aaf2f8db9bd45?rule=bo-thumb ; L'AUTOMOBILE PARIS : L'AUTOMOBILE PARIS ; true : true ; https://autoviza.fr/report/report?uid=fc8e1225-866f-462e-8773-baf06768b1f5 : https://autoviza.fr/report/report?uid=fc8e1225-866f-462e-8773-baf06768b1f5 ; visible : visible ; Non renseignée : non_renseignee ; activity_sector : 1 ; u_car_brand : PORSCHE ; u_car_model : 911 ; u_car_finition : Carrera S ; u_car_version : 911 Coupe Carrera S TipTronic S ; vehicle_technical_inspection_valid : Oui ; vehicle_vsp : Avec permis ; recent_used_vehicle : false ; has_visibility_option : false ; store_logo : https://img.leboncoin.fr/api/v1/lbcpb1/images/ab/6a/a7/ab6aa70049f65ec86d5638bdda5aaf2f8db9bd45?rule=bo-thumb ; store_name : L'AUTOMOBILE PARIS ; online_store_id : 85074 ; custom_ref : 2676 ; is_import : true ; vehicle_history_report_public_url : https://autoviza.fr/report/report?uid=fc8e1225-866f-462e-8773-baf06768b1f5 ; vehicle_history_report_status : visible ; argus_object_id : 802652 ; spare_parts_availability : Non renseignée ; licence_plate_available : true</t>
        </is>
      </c>
      <c r="AG261" s="19" t="inlineStr">
        <is>
          <t>Voir</t>
        </is>
      </c>
      <c r="AH261" s="10" t="inlineStr">
        <is>
          <t>3203471672</t>
        </is>
      </c>
    </row>
    <row r="262">
      <c r="A262" s="10" t="inlineStr">
        <is>
          <t>Porsche 911 997 Carrera S</t>
        </is>
      </c>
      <c r="B262" s="10" t="inlineStr">
        <is>
          <t>Porsche 911 997 Carrera S Cabriolet 2005 - Garantie</t>
        </is>
      </c>
      <c r="C262" s="10" t="inlineStr">
        <is>
          <t>En vente</t>
        </is>
      </c>
      <c r="D262" s="18" t="n">
        <v>46238</v>
      </c>
      <c r="E262" s="18" t="n">
        <v>46238</v>
      </c>
      <c r="F262" s="18" t="n">
        <v>46296</v>
      </c>
      <c r="G262" s="18" t="n"/>
      <c r="H262" s="17">
        <f>IF(OR(ISNUMBER(D262),ISNUMBER(E262)),IF(ISNUMBER(G262),G262,F262)-IF(ISNUMBER(D262),D262,E262),"")</f>
        <v/>
      </c>
      <c r="I262" s="12" t="n">
        <v>55000</v>
      </c>
      <c r="J262" s="12" t="n">
        <v>55000</v>
      </c>
      <c r="K262" s="13">
        <f>IF(AND(ISNUMBER(I262),ISNUMBER(J262),I262&gt;0),1-J262/I262,"")</f>
        <v/>
      </c>
      <c r="L262" s="16" t="n">
        <v>0</v>
      </c>
      <c r="M262" s="15" t="n">
        <v>118760</v>
      </c>
      <c r="N262" s="16" t="n">
        <v>2005</v>
      </c>
      <c r="O262" s="10" t="inlineStr">
        <is>
          <t>1</t>
        </is>
      </c>
      <c r="P262" s="10" t="inlineStr">
        <is>
          <t>1</t>
        </is>
      </c>
      <c r="Q262" s="16" t="n">
        <v>355</v>
      </c>
      <c r="R262" s="16" t="n">
        <v>26</v>
      </c>
      <c r="S262" s="10" t="inlineStr">
        <is>
          <t>gris</t>
        </is>
      </c>
      <c r="T262" s="16" t="n">
        <v>2</v>
      </c>
      <c r="U262" s="10" t="n"/>
      <c r="V262" s="10" t="n"/>
      <c r="W262" s="10" t="inlineStr">
        <is>
          <t>Pro</t>
        </is>
      </c>
      <c r="X262" s="10" t="inlineStr">
        <is>
          <t>Chambéry</t>
        </is>
      </c>
      <c r="Y262" s="10" t="inlineStr">
        <is>
          <t>73000</t>
        </is>
      </c>
      <c r="Z262" s="10" t="inlineStr">
        <is>
          <t>Savoie</t>
        </is>
      </c>
      <c r="AA262" s="10" t="inlineStr">
        <is>
          <t>Rhône-Alpes</t>
        </is>
      </c>
      <c r="AB262" s="16" t="n"/>
      <c r="AC262" s="16" t="n"/>
      <c r="AD262" s="10" t="n"/>
      <c r="AE262" s="10" t="n"/>
      <c r="AF262" s="10" t="inlineStr">
        <is>
          <t>1 : 1 ; 2 : 2 ; 4 : 4 ; 911 : 911 ; 2005 : 2005 ; 881540 : 881540 ; Porsche : Porsche ; PORSCHE : PORSCHE ; 118760 km : 118760 ; Essence : 1 ; Manuelle : 1 ; Carrera S : PORSCHE_911_Carrera S ; Non : false ; 06/2005 : 06/2005 ; Non endommagé : undamaged ; Cabriolet : cabriolet ; Gris : gris ; 26 Cv : 26 ; 355 Ch : 355 ; Avec permis : avecpermis ; false : false ; AC31584 : AC31584 ; https://autoviza.fr/report/report?uid=7aaf63fa-b1d5-4b85-a4c4-947cab0ccccf : https://autoviza.fr/report/report?uid=7aaf63fa-b1d5-4b85-a4c4-947cab0ccccf ; visible : visible ; Non renseignée : non_renseignee ; true : true ; activity_sector : 1 ; u_car_brand : PORSCHE ; u_car_model : 911 ; u_car_finition : Carrera S ; vehicle_technical_inspection_valid : Non ; vehicle_damage : Non endommagé ; vehicle_upholstery : Tout cuir ; vehicle_vsp : Avec permis ; car_contract : Non ; recent_used_vehicle : false ; vehicle_commercial_warranty : Non ; vehicle_manufacturer_warranty : Non ; custom_ref : AC31584 ; is_import : false ; vehicle_history_report_public_url : https://autoviza.fr/report/report?uid=7aaf63fa-b1d5-4b85-a4c4-947cab0ccccf ; vehicle_history_report_status : visible ; argus_object_id : 881540 ; spare_parts_availability : Non renseignée ; licence_plate_available : true</t>
        </is>
      </c>
      <c r="AG262" s="19" t="inlineStr">
        <is>
          <t>Voir</t>
        </is>
      </c>
      <c r="AH262" s="10" t="inlineStr">
        <is>
          <t>3205610309</t>
        </is>
      </c>
    </row>
    <row r="263">
      <c r="A263" s="10" t="inlineStr">
        <is>
          <t>Porsche 911 997 Carrera S</t>
        </is>
      </c>
      <c r="B263" s="10" t="inlineStr">
        <is>
          <t>Porsche 911 IV (997) Carrera 4S TipTronic S</t>
        </is>
      </c>
      <c r="C263" s="10" t="inlineStr">
        <is>
          <t>En vente</t>
        </is>
      </c>
      <c r="D263" s="18" t="n">
        <v>46285</v>
      </c>
      <c r="E263" s="18" t="n">
        <v>46285</v>
      </c>
      <c r="F263" s="18" t="n">
        <v>46296</v>
      </c>
      <c r="G263" s="18" t="n"/>
      <c r="H263" s="17">
        <f>IF(OR(ISNUMBER(D263),ISNUMBER(E263)),IF(ISNUMBER(G263),G263,F263)-IF(ISNUMBER(D263),D263,E263),"")</f>
        <v/>
      </c>
      <c r="I263" s="12" t="n">
        <v>49990</v>
      </c>
      <c r="J263" s="12" t="n">
        <v>49990</v>
      </c>
      <c r="K263" s="13">
        <f>IF(AND(ISNUMBER(I263),ISNUMBER(J263),I263&gt;0),1-J263/I263,"")</f>
        <v/>
      </c>
      <c r="L263" s="16" t="n">
        <v>0</v>
      </c>
      <c r="M263" s="15" t="n">
        <v>142000</v>
      </c>
      <c r="N263" s="16" t="n">
        <v>2007</v>
      </c>
      <c r="O263" s="10" t="inlineStr">
        <is>
          <t>1</t>
        </is>
      </c>
      <c r="P263" s="10" t="inlineStr">
        <is>
          <t>2</t>
        </is>
      </c>
      <c r="Q263" s="16" t="n">
        <v>355</v>
      </c>
      <c r="R263" s="16" t="n">
        <v>26</v>
      </c>
      <c r="S263" s="10" t="inlineStr">
        <is>
          <t>autre</t>
        </is>
      </c>
      <c r="T263" s="16" t="n">
        <v>2</v>
      </c>
      <c r="U263" s="10" t="n"/>
      <c r="V263" s="10" t="inlineStr">
        <is>
          <t>2</t>
        </is>
      </c>
      <c r="W263" s="10" t="inlineStr">
        <is>
          <t>Pro</t>
        </is>
      </c>
      <c r="X263" s="10" t="inlineStr">
        <is>
          <t>Méry-sur-Oise</t>
        </is>
      </c>
      <c r="Y263" s="10" t="inlineStr">
        <is>
          <t>95540</t>
        </is>
      </c>
      <c r="Z263" s="10" t="inlineStr">
        <is>
          <t>Val-d'Oise</t>
        </is>
      </c>
      <c r="AA263" s="10" t="inlineStr">
        <is>
          <t>Ile-de-France</t>
        </is>
      </c>
      <c r="AB263" s="16" t="n"/>
      <c r="AC263" s="16" t="n"/>
      <c r="AD263" s="10" t="inlineStr">
        <is>
          <t>Oui</t>
        </is>
      </c>
      <c r="AE263" s="10" t="n"/>
      <c r="AF263" s="10" t="inlineStr">
        <is>
          <t>1 : 1 ; 2 : 2 ; 4 : 4 ; 911 : 911 ; 2007 : 2007 ; 2692 : 2692 ; 51990 : 51990 ; 85074 : 85074 ; 881525 : 881525 ; Porsche : Porsche ; PORSCHE : PORSCHE ; 142000 km : 142000 ; Essence : 1 ; Automatique : 2 ; Carrera 4S : PORSCHE_911_Carrera 4S ; 911 Coupe Carrera 4S TipTronic S : 911 Coupe Carrera 4S TipTronic S ; Oui : true ; 09/2007 : 09/2007 ; Coupé : coupe ; Autre : autre ; 26 Cv : 26 ; 355 Ch : 355 ; Avec permis : avecpermis ; false : false ; https://img.leboncoin.fr/api/v1/lbcpb1/images/ab/6a/a7/ab6aa70049f65ec86d5638bdda5aaf2f8db9bd45?rule=bo-thumb : https://img.leboncoin.fr/api/v1/lbcpb1/images/ab/6a/a7/ab6aa70049f65ec86d5638bdda5aaf2f8db9bd45?rule=bo-thumb ; L'AUTOMOBILE PARIS : L'AUTOMOBILE PARIS ; true : true ; https://autoviza.fr/report/report?uid=ad0175f6-e40a-4d79-8003-b135fa742cf6 : https://autoviza.fr/report/report?uid=ad0175f6-e40a-4d79-8003-b135fa742cf6 ; visible : visible ; Non renseignée : non_renseignee ; activity_sector : 1 ; u_car_brand : PORSCHE ; u_car_model : 911 ; u_car_finition : Carrera 4S ; u_car_version : 911 Coupe Carrera 4S TipTronic S ; vehicle_technical_inspection_valid : Oui ; vehicle_maintenance : Carnet d'entretien disponible ; vehicle_interior_specs : Climatisation, Ordinateur de bord ; vehicle_vsp : Avec permis ; recent_used_vehicle : false ; has_visibility_option : false ; store_logo : https://img.leboncoin.fr/api/v1/lbcpb1/images/ab/6a/a7/ab6aa70049f65ec86d5638bdda5aaf2f8db9bd45?rule=bo-thumb ; store_name : L'AUTOMOBILE PARIS ; online_store_id : 85074 ; custom_ref : 2692 ; is_import : true ; old_price : 51990 ; vehicle_history_report_public_url : https://autoviza.fr/report/report?uid=ad0175f6-e40a-4d79-8003-b135fa742cf6 ; vehicle_history_report_status : visible ; argus_object_id : 881525 ; spare_parts_availability : Non renseignée ; licence_plate_available : true</t>
        </is>
      </c>
      <c r="AG263" s="19" t="inlineStr">
        <is>
          <t>Voir</t>
        </is>
      </c>
      <c r="AH263" s="10" t="inlineStr">
        <is>
          <t>3207867613</t>
        </is>
      </c>
    </row>
    <row r="264">
      <c r="A264" s="10" t="inlineStr">
        <is>
          <t>Porsche 911 997 Carrera S</t>
        </is>
      </c>
      <c r="B264" s="10" t="inlineStr">
        <is>
          <t>Porsche 911 (997) CARRERA S TIPTRONIC</t>
        </is>
      </c>
      <c r="C264" s="10" t="inlineStr">
        <is>
          <t>En vente</t>
        </is>
      </c>
      <c r="D264" s="18" t="n">
        <v>46286</v>
      </c>
      <c r="E264" s="18" t="n">
        <v>46286</v>
      </c>
      <c r="F264" s="18" t="n">
        <v>46296</v>
      </c>
      <c r="G264" s="18" t="n"/>
      <c r="H264" s="17">
        <f>IF(OR(ISNUMBER(D264),ISNUMBER(E264)),IF(ISNUMBER(G264),G264,F264)-IF(ISNUMBER(D264),D264,E264),"")</f>
        <v/>
      </c>
      <c r="I264" s="12" t="n">
        <v>50990</v>
      </c>
      <c r="J264" s="12" t="n">
        <v>50990</v>
      </c>
      <c r="K264" s="13">
        <f>IF(AND(ISNUMBER(I264),ISNUMBER(J264),I264&gt;0),1-J264/I264,"")</f>
        <v/>
      </c>
      <c r="L264" s="16" t="n">
        <v>0</v>
      </c>
      <c r="M264" s="15" t="n">
        <v>104580</v>
      </c>
      <c r="N264" s="16" t="n">
        <v>2007</v>
      </c>
      <c r="O264" s="10" t="inlineStr">
        <is>
          <t>1</t>
        </is>
      </c>
      <c r="P264" s="10" t="inlineStr">
        <is>
          <t>1</t>
        </is>
      </c>
      <c r="Q264" s="16" t="n">
        <v>355</v>
      </c>
      <c r="R264" s="16" t="n">
        <v>26</v>
      </c>
      <c r="S264" s="10" t="inlineStr">
        <is>
          <t>bleu</t>
        </is>
      </c>
      <c r="T264" s="16" t="n">
        <v>2</v>
      </c>
      <c r="U264" s="10" t="n"/>
      <c r="V264" s="10" t="inlineStr">
        <is>
          <t>2</t>
        </is>
      </c>
      <c r="W264" s="10" t="inlineStr">
        <is>
          <t>Pro</t>
        </is>
      </c>
      <c r="X264" s="10" t="inlineStr">
        <is>
          <t>Lons</t>
        </is>
      </c>
      <c r="Y264" s="10" t="inlineStr">
        <is>
          <t>64140</t>
        </is>
      </c>
      <c r="Z264" s="10" t="inlineStr">
        <is>
          <t>Pyrénées-Atlantiques</t>
        </is>
      </c>
      <c r="AA264" s="10" t="inlineStr">
        <is>
          <t>Aquitaine</t>
        </is>
      </c>
      <c r="AB264" s="16" t="n"/>
      <c r="AC264" s="16" t="n"/>
      <c r="AD264" s="10" t="n"/>
      <c r="AE264" s="10" t="n"/>
      <c r="AF264" s="10" t="inlineStr">
        <is>
          <t>1 : 1 ; 2 : 2 ; 4 : 4 ; 911 : 911 ; 2007 : 2007 ; 18946 : 18946 ; 52490 : 52490 ; 46816740 : 46816740 ; Porsche : Porsche ; PORSCHE : PORSCHE ; 104580 km : 104580 ; Essence : 1 ; Manuelle : 1 ; 06/2007 : 06/2007 ; Coupé : coupe ; Bleu : bleu ; 26 Cv : 26 ; 355 Ch : 355 ; Avec permis : avecpermis ; false : false ; https://img.leboncoin.fr/api/v1/lbcpb1/images/99/11/17/9911174f-b6c9-4706-8e70-42d0c3ac1465?rule=bo-thumb : https://img.leboncoin.fr/api/v1/lbcpb1/images/99/11/17/9911174f-b6c9-4706-8e70-42d0c3ac1465?rule=bo-thumb ; VPN Autos Pau - Willauto : VPN Autos Pau - Willauto ; true : true ; https://autoviza.fr/report/report?uid=39a6461c-b852-4b67-9a7c-f914d3e0d188 : https://autoviza.fr/report/report?uid=39a6461c-b852-4b67-9a7c-f914d3e0d188 ; visible : visible ; Non renseignée : non_renseignee ; activity_sector : 1 ; u_car_brand : PORSCHE ; u_car_model : 911 ; vehicle_interior_specs : Aide au stationnement, Bluetooth, Climatisation, Ordinateur de bord, Régulateur de vitesse, Sièges chauffants, Toit ouvrant / Toit panoramique ; vehicle_vsp : Avec permis ; recent_used_vehicle : false ; has_visibility_option : false ; store_logo : https://img.leboncoin.fr/api/v1/lbcpb1/images/99/11/17/9911174f-b6c9-4706-8e70-42d0c3ac1465?rule=bo-thumb ; store_name : VPN Autos Pau - Willauto ; online_store_id : 18946 ; custom_ref : 46816740 ; is_import : true ; old_price : 52490 ; vehicle_history_report_public_url : https://autoviza.fr/report/report?uid=39a6461c-b852-4b67-9a7c-f914d3e0d188 ; vehicle_history_report_status : visible ; spare_parts_availability : Non renseignée ; licence_plate_available : true</t>
        </is>
      </c>
      <c r="AG264" s="19" t="inlineStr">
        <is>
          <t>Voir</t>
        </is>
      </c>
      <c r="AH264" s="10" t="inlineStr">
        <is>
          <t>3208968875</t>
        </is>
      </c>
    </row>
    <row r="265">
      <c r="A265" s="10" t="inlineStr">
        <is>
          <t>Porsche 911 997 Carrera S</t>
        </is>
      </c>
      <c r="B265" s="10" t="inlineStr">
        <is>
          <t>Porsche 911 (997) cabriolet 3.8 355 carrera s tiptronic / suivi d'entretien limpide / garanti 12m p&amp;mo</t>
        </is>
      </c>
      <c r="C265" s="10" t="inlineStr">
        <is>
          <t>En vente</t>
        </is>
      </c>
      <c r="D265" s="18" t="n">
        <v>46266</v>
      </c>
      <c r="E265" s="18" t="n">
        <v>46266</v>
      </c>
      <c r="F265" s="18" t="n">
        <v>46296</v>
      </c>
      <c r="G265" s="18" t="n"/>
      <c r="H265" s="17">
        <f>IF(OR(ISNUMBER(D265),ISNUMBER(E265)),IF(ISNUMBER(G265),G265,F265)-IF(ISNUMBER(D265),D265,E265),"")</f>
        <v/>
      </c>
      <c r="I265" s="12" t="n">
        <v>52980</v>
      </c>
      <c r="J265" s="12" t="n">
        <v>52980</v>
      </c>
      <c r="K265" s="13">
        <f>IF(AND(ISNUMBER(I265),ISNUMBER(J265),I265&gt;0),1-J265/I265,"")</f>
        <v/>
      </c>
      <c r="L265" s="16" t="n">
        <v>0</v>
      </c>
      <c r="M265" s="15" t="n">
        <v>105100</v>
      </c>
      <c r="N265" s="16" t="n">
        <v>2008</v>
      </c>
      <c r="O265" s="10" t="inlineStr">
        <is>
          <t>1</t>
        </is>
      </c>
      <c r="P265" s="10" t="inlineStr">
        <is>
          <t>2</t>
        </is>
      </c>
      <c r="Q265" s="16" t="n">
        <v>355</v>
      </c>
      <c r="R265" s="16" t="n">
        <v>26</v>
      </c>
      <c r="S265" s="10" t="inlineStr">
        <is>
          <t>gris</t>
        </is>
      </c>
      <c r="T265" s="16" t="n">
        <v>2</v>
      </c>
      <c r="U265" s="10" t="n"/>
      <c r="V265" s="10" t="inlineStr">
        <is>
          <t>3</t>
        </is>
      </c>
      <c r="W265" s="10" t="inlineStr">
        <is>
          <t>Pro</t>
        </is>
      </c>
      <c r="X265" s="10" t="inlineStr">
        <is>
          <t>Fontenay-sur-Eure</t>
        </is>
      </c>
      <c r="Y265" s="10" t="inlineStr">
        <is>
          <t>28630</t>
        </is>
      </c>
      <c r="Z265" s="10" t="inlineStr">
        <is>
          <t>Eure-et-Loir</t>
        </is>
      </c>
      <c r="AA265" s="10" t="inlineStr">
        <is>
          <t>Centre</t>
        </is>
      </c>
      <c r="AB265" s="16" t="n"/>
      <c r="AC265" s="16" t="n"/>
      <c r="AD265" s="10" t="inlineStr">
        <is>
          <t>Oui</t>
        </is>
      </c>
      <c r="AE265" s="10" t="n"/>
      <c r="AF265" s="10" t="inlineStr">
        <is>
          <t>1 : 1 ; 2 : 2 ; 3 : 3 ; 4 : 4 ; 911 : 911 ; 2008 : 2008 ; 2028 : 2028 ; 53980 : 53980 ; 261596 : 261596 ; 862301 : 862301 ; 4022869 : 4022869 ; Porsche : Porsche ; PORSCHE : PORSCHE ; 105100 km : 105100 ; Essence : 1 ; Automatique : 2 ; Carrera S : PORSCHE_911_Carrera S ; 911 Cabriolet Carrera S TipTronic S : 911 Cabriolet Carrera S TipTronic S ; Oui : true ; 02/2008 : 02/2008 ; Excellent état (proche du neuf) : excellent_condition ; Cabriolet : cabriolet ; Gris : gris ; 26 Cv : 26 ; 355 Ch : 355 ; Avec permis : avecpermis ; Non : 1 ; false : false ; true : true ; https://img.leboncoin.fr/api/v1/lbcpb1/images/40/e0/25/40e02531-fc36-4857-bf7e-946600e83328?rule=bo-thumb : https://img.leboncoin.fr/api/v1/lbcpb1/images/40/e0/25/40e02531-fc36-4857-bf7e-946600e83328?rule=bo-thumb ; SARL AVO SPORT : SARL AVO SPORT ; https://autoviza.fr/report/report?uid=3bf69a7d-8772-4fc0-81ac-6e7644146d37 : https://autoviza.fr/report/report?uid=3bf69a7d-8772-4fc0-81ac-6e7644146d37 ; visible : visible ; Non renseignée : non_renseignee ; activity_sector : 1 ; u_car_brand : PORSCHE ; u_car_model : 911 ; u_car_finition : Carrera S ; u_car_version : 911 Cabriolet Carrera S TipTronic S ; vehicle_technical_inspection_valid : Oui ; vehicle_technical_inspection_a : 2028 ; vehicle_damage : Excellent état (proche du neuf) ; vehicle_upholstery : Tout cuir ; vehicle_maintenance : Carnet d'entretien disponible, Véhicule non fumeur ; vehicle_vsp : Avec permis ; car_contract : Non ; recent_used_vehicle : false ; has_visibility_option : true ; store_logo : https://img.leboncoin.fr/api/v1/lbcpb1/images/40/e0/25/40e02531-fc36-4857-bf7e-946600e83328?rule=bo-thumb ; store_name : SARL AVO SPORT ; online_store_id : 4022869 ; vehicle_commercial_warranty : Non ; vehicle_manufacturer_warranty : Non ; custom_ref : 261596 ; is_import : false ; old_price : 53980 ; vehicle_history_report_public_url : https://autoviza.fr/report/report?uid=3bf69a7d-8772-4fc0-81ac-6e7644146d37 ; vehicle_history_report_status : visible ; argus_object_id : 862301 ; spare_parts_availability : Non renseignée ; licence_plate_available : true</t>
        </is>
      </c>
      <c r="AG265" s="19" t="inlineStr">
        <is>
          <t>Voir</t>
        </is>
      </c>
      <c r="AH265" s="10" t="inlineStr">
        <is>
          <t>3225420947</t>
        </is>
      </c>
    </row>
    <row r="266">
      <c r="A266" s="10" t="inlineStr">
        <is>
          <t>Porsche 911 997 Carrera S</t>
        </is>
      </c>
      <c r="B266" s="10" t="inlineStr">
        <is>
          <t>Porsche 911 997 CARRERA S - Très bon état - Boite méca</t>
        </is>
      </c>
      <c r="C266" s="10" t="inlineStr">
        <is>
          <t>En vente</t>
        </is>
      </c>
      <c r="D266" s="18" t="n">
        <v>46260</v>
      </c>
      <c r="E266" s="18" t="n">
        <v>46260</v>
      </c>
      <c r="F266" s="18" t="n">
        <v>46296</v>
      </c>
      <c r="G266" s="18" t="n"/>
      <c r="H266" s="17">
        <f>IF(OR(ISNUMBER(D266),ISNUMBER(E266)),IF(ISNUMBER(G266),G266,F266)-IF(ISNUMBER(D266),D266,E266),"")</f>
        <v/>
      </c>
      <c r="I266" s="12" t="n">
        <v>55990</v>
      </c>
      <c r="J266" s="12" t="n">
        <v>55990</v>
      </c>
      <c r="K266" s="13">
        <f>IF(AND(ISNUMBER(I266),ISNUMBER(J266),I266&gt;0),1-J266/I266,"")</f>
        <v/>
      </c>
      <c r="L266" s="16" t="n">
        <v>0</v>
      </c>
      <c r="M266" s="15" t="n">
        <v>83700</v>
      </c>
      <c r="N266" s="16" t="n">
        <v>2005</v>
      </c>
      <c r="O266" s="10" t="inlineStr">
        <is>
          <t>1</t>
        </is>
      </c>
      <c r="P266" s="10" t="inlineStr">
        <is>
          <t>1</t>
        </is>
      </c>
      <c r="Q266" s="16" t="n">
        <v>355</v>
      </c>
      <c r="R266" s="16" t="n">
        <v>26</v>
      </c>
      <c r="S266" s="10" t="inlineStr">
        <is>
          <t>gris</t>
        </is>
      </c>
      <c r="T266" s="16" t="n"/>
      <c r="U266" s="10" t="n"/>
      <c r="V266" s="10" t="inlineStr">
        <is>
          <t>5</t>
        </is>
      </c>
      <c r="W266" s="10" t="inlineStr">
        <is>
          <t>Pro</t>
        </is>
      </c>
      <c r="X266" s="10" t="inlineStr">
        <is>
          <t>La Roche-Blanche</t>
        </is>
      </c>
      <c r="Y266" s="10" t="inlineStr">
        <is>
          <t>63670</t>
        </is>
      </c>
      <c r="Z266" s="10" t="inlineStr">
        <is>
          <t>Puy-de-Dôme</t>
        </is>
      </c>
      <c r="AA266" s="10" t="inlineStr">
        <is>
          <t>Auvergne</t>
        </is>
      </c>
      <c r="AB266" s="16" t="n"/>
      <c r="AC266" s="16" t="n"/>
      <c r="AD266" s="10" t="n"/>
      <c r="AE266" s="10" t="n"/>
      <c r="AF266" s="10" t="inlineStr">
        <is>
          <t>1 : 1 ; 5 : 5 ; 911 : 911 ; 2005 : 2005 ; 57990 : 57990 ; 802651 : 802651 ; 7213182 : 7213182 ; Porsche : Porsche ; PORSCHE : PORSCHE ; 83700 km : 83700 ; Essence : 1 ; Manuelle : 1 ; Carrera S : PORSCHE_911_Carrera S ; 911 Coupe Carrera S : 911 Coupe Carrera S ; 05/2005 : 05/2005 ; Coupé : coupe ; Gris : gris ; 26 Cv : 26 ; 355 Ch : 355 ; Avec permis : avecpermis ; false : false ; https://img.leboncoin.fr/api/v1/lbcpb1/images/29/42/24/294224e6-276a-489c-9041-464ae5fb4864?rule=bo-thumb : https://img.leboncoin.fr/api/v1/lbcpb1/images/29/42/24/294224e6-276a-489c-9041-464ae5fb4864?rule=bo-thumb ; Le Paddock : Le Paddock ; BIZ_3CAE0C : BIZ_3CAE0C ; true : true ; Non renseignée : non_renseignee ; activity_sector : 1 ; u_car_brand : PORSCHE ; u_car_model : 911 ; u_car_finition : Carrera S ; u_car_version : 911 Coupe Carrera S ; vehicle_vsp : Avec permis ; recent_used_vehicle : false ; has_visibility_option : false ; store_logo : https://img.leboncoin.fr/api/v1/lbcpb1/images/29/42/24/294224e6-276a-489c-9041-464ae5fb4864?rule=bo-thumb ; store_name : Le Paddock ; online_store_id : 7213182 ; custom_ref : BIZ_3CAE0C ; is_import : true ; old_price : 57990 ; argus_object_id : 802651 ; spare_parts_availability : Non renseignée</t>
        </is>
      </c>
      <c r="AG266" s="19" t="inlineStr">
        <is>
          <t>Voir</t>
        </is>
      </c>
      <c r="AH266" s="10" t="inlineStr">
        <is>
          <t>3225995323</t>
        </is>
      </c>
    </row>
    <row r="267">
      <c r="A267" s="10" t="inlineStr">
        <is>
          <t>Porsche 911 997 Carrera S</t>
        </is>
      </c>
      <c r="B267" s="10" t="inlineStr">
        <is>
          <t>PORSCHE 911 CARRERA COUPE 997 S Coupe 3.8i 355cv</t>
        </is>
      </c>
      <c r="C267" s="10" t="inlineStr">
        <is>
          <t>En vente</t>
        </is>
      </c>
      <c r="D267" s="18" t="n">
        <v>46261</v>
      </c>
      <c r="E267" s="18" t="n">
        <v>46261</v>
      </c>
      <c r="F267" s="18" t="n">
        <v>46296</v>
      </c>
      <c r="G267" s="18" t="n"/>
      <c r="H267" s="17">
        <f>IF(OR(ISNUMBER(D267),ISNUMBER(E267)),IF(ISNUMBER(G267),G267,F267)-IF(ISNUMBER(D267),D267,E267),"")</f>
        <v/>
      </c>
      <c r="I267" s="12" t="n">
        <v>48990</v>
      </c>
      <c r="J267" s="12" t="n">
        <v>48990</v>
      </c>
      <c r="K267" s="13">
        <f>IF(AND(ISNUMBER(I267),ISNUMBER(J267),I267&gt;0),1-J267/I267,"")</f>
        <v/>
      </c>
      <c r="L267" s="16" t="n">
        <v>0</v>
      </c>
      <c r="M267" s="15" t="n">
        <v>124000</v>
      </c>
      <c r="N267" s="16" t="n">
        <v>2004</v>
      </c>
      <c r="O267" s="10" t="inlineStr">
        <is>
          <t>1</t>
        </is>
      </c>
      <c r="P267" s="10" t="inlineStr">
        <is>
          <t>1</t>
        </is>
      </c>
      <c r="Q267" s="16" t="n">
        <v>355</v>
      </c>
      <c r="R267" s="16" t="n">
        <v>26</v>
      </c>
      <c r="S267" s="10" t="inlineStr">
        <is>
          <t>noir</t>
        </is>
      </c>
      <c r="T267" s="16" t="n">
        <v>2</v>
      </c>
      <c r="U267" s="10" t="n"/>
      <c r="V267" s="10" t="n"/>
      <c r="W267" s="10" t="inlineStr">
        <is>
          <t>Pro</t>
        </is>
      </c>
      <c r="X267" s="10" t="inlineStr">
        <is>
          <t>Viriat</t>
        </is>
      </c>
      <c r="Y267" s="10" t="inlineStr">
        <is>
          <t>01440</t>
        </is>
      </c>
      <c r="Z267" s="10" t="inlineStr">
        <is>
          <t>Ain</t>
        </is>
      </c>
      <c r="AA267" s="10" t="inlineStr">
        <is>
          <t>Rhône-Alpes</t>
        </is>
      </c>
      <c r="AB267" s="16" t="n"/>
      <c r="AC267" s="16" t="n"/>
      <c r="AD267" s="10" t="inlineStr">
        <is>
          <t>Oui</t>
        </is>
      </c>
      <c r="AE267" s="10" t="n"/>
      <c r="AF267" s="10" t="inlineStr">
        <is>
          <t>1 : 1 ; 2 : 2 ; 4 : 4 ; 911 : 911 ; 2004 : 2004 ; 4413 : 4413 ; 802651 : 802651 ; 4245195 : 4245195 ; Porsche : Porsche ; PORSCHE : PORSCHE ; 124000 km : 124000 ; Essence : 1 ; Manuelle : 1 ; Carrera S : PORSCHE_911_Carrera S ; 911 Coupe Carrera S : 911 Coupe Carrera S ; 10/2004 : 10/2004 ; Coupé : coupe ; Noir : noir ; 26 Cv : 26 ; 355 Ch : 355 ; Avec permis : avecpermis ; false : false ; true : true ; https://img.leboncoin.fr/api/v1/lbcpb1/images/36/60/d2/3660d216-9bdc-4144-bbd0-1a8f33cca3a8?rule=bo-thumb : https://img.leboncoin.fr/api/v1/lbcpb1/images/36/60/d2/3660d216-9bdc-4144-bbd0-1a8f33cca3a8?rule=bo-thumb ; TRANSAK AUTO BOURG-EN-BRESSE : TRANSAK AUTO BOURG-EN-BRESSE ; https://autoviza.fr/report/report?uid=35b6bf29-6d7f-41a0-8edd-2975da33ff24 : https://autoviza.fr/report/report?uid=35b6bf29-6d7f-41a0-8edd-2975da33ff24 ; visible : visible ; Non renseignée : non_renseignee ; activity_sector : 1 ; u_car_brand : PORSCHE ; u_car_model : 911 ; u_car_finition : Carrera S ; u_car_version : 911 Coupe Carrera S ; vehicle_interior_specs : Climatisation, Jantes en alliage, Ordinateur de bord, Phares anti-brouillard, Phares LED / Xenon, Sièges en cuir, Sièges sport, Suspension sport / adaptative, Système de navigation ; vehicle_vsp : Avec permis ; recent_used_vehicle : false ; has_visibility_option : true ; store_logo : https://img.leboncoin.fr/api/v1/lbcpb1/images/36/60/d2/3660d216-9bdc-4144-bbd0-1a8f33cca3a8?rule=bo-thumb ; store_name : TRANSAK AUTO BOURG-EN-BRESSE ; online_store_id : 4245195 ; custom_ref : 4413 ; is_import : true ; vehicle_history_report_public_url : https://autoviza.fr/report/report?uid=35b6bf29-6d7f-41a0-8edd-2975da33ff24 ; vehicle_history_report_status : visible ; argus_object_id : 802651 ; spare_parts_availability : Non renseignée ; licence_plate_available : true</t>
        </is>
      </c>
      <c r="AG267" s="19" t="inlineStr">
        <is>
          <t>Voir</t>
        </is>
      </c>
      <c r="AH267" s="10" t="inlineStr">
        <is>
          <t>3226399068</t>
        </is>
      </c>
    </row>
    <row r="268">
      <c r="A268" s="10" t="inlineStr">
        <is>
          <t>Porsche 911 997 Carrera S</t>
        </is>
      </c>
      <c r="B268" s="10" t="inlineStr">
        <is>
          <t>Porsche 911 997 Carrera S</t>
        </is>
      </c>
      <c r="C268" s="10" t="inlineStr">
        <is>
          <t>En vente</t>
        </is>
      </c>
      <c r="D268" s="18" t="n">
        <v>46288</v>
      </c>
      <c r="E268" s="18" t="n">
        <v>46288</v>
      </c>
      <c r="F268" s="18" t="n">
        <v>46296</v>
      </c>
      <c r="G268" s="18" t="n"/>
      <c r="H268" s="17">
        <f>IF(OR(ISNUMBER(D268),ISNUMBER(E268)),IF(ISNUMBER(G268),G268,F268)-IF(ISNUMBER(D268),D268,E268),"")</f>
        <v/>
      </c>
      <c r="I268" s="12" t="n">
        <v>59000</v>
      </c>
      <c r="J268" s="12" t="n">
        <v>59000</v>
      </c>
      <c r="K268" s="13">
        <f>IF(AND(ISNUMBER(I268),ISNUMBER(J268),I268&gt;0),1-J268/I268,"")</f>
        <v/>
      </c>
      <c r="L268" s="16" t="n">
        <v>0</v>
      </c>
      <c r="M268" s="15" t="n">
        <v>110300</v>
      </c>
      <c r="N268" s="16" t="n">
        <v>2005</v>
      </c>
      <c r="O268" s="10" t="inlineStr">
        <is>
          <t>1</t>
        </is>
      </c>
      <c r="P268" s="10" t="inlineStr">
        <is>
          <t>1</t>
        </is>
      </c>
      <c r="Q268" s="16" t="n">
        <v>355</v>
      </c>
      <c r="R268" s="16" t="n">
        <v>26</v>
      </c>
      <c r="S268" s="10" t="inlineStr">
        <is>
          <t>gris</t>
        </is>
      </c>
      <c r="T268" s="16" t="n">
        <v>2</v>
      </c>
      <c r="U268" s="10" t="n"/>
      <c r="V268" s="10" t="n"/>
      <c r="W268" s="10" t="inlineStr">
        <is>
          <t>Particulier</t>
        </is>
      </c>
      <c r="X268" s="10" t="inlineStr">
        <is>
          <t>Saint-Ouen-en-Champagne</t>
        </is>
      </c>
      <c r="Y268" s="10" t="inlineStr">
        <is>
          <t>72350</t>
        </is>
      </c>
      <c r="Z268" s="10" t="inlineStr">
        <is>
          <t>Sarthe</t>
        </is>
      </c>
      <c r="AA268" s="10" t="inlineStr">
        <is>
          <t>Pays de la Loire</t>
        </is>
      </c>
      <c r="AB268" s="16" t="n"/>
      <c r="AC268" s="16" t="n"/>
      <c r="AD268" s="10" t="n"/>
      <c r="AE268" s="10" t="n"/>
      <c r="AF268" s="10" t="inlineStr">
        <is>
          <t>2 : 2 ; 4 : 4 ; 46 : 46 ; 911 : 911 ; 2005 : 2005 ; 60000 : 60000 ; 802651 : 802651 ; 0.97 : 0.97 ; https://img.leboncoin.fr/api/v1/tenants/9a6387a1-6259-4f2c-a887-7e67f23dd4cb/domains/20bda58f-d650-462e-a72a-a5a7ecf2bf88/buckets/21d2b0bc-e54c-4b64-a30b-89127b18b785/images/profile/pictures/default/c2f1c283-89df-54b1-89fa-a5e7c0ca3f1d?rule=pp-small : https://img.leboncoin.fr/api/v1/tenants/9a6387a1-6259-4f2c-a887-7e67f23dd4cb/domains/20bda58f-d650-462e-a72a-a5a7ecf2bf88/buckets/21d2b0bc-e54c-4b64-a30b-89127b18b785/images/profile/pictures/default/c2f1c283-89df-54b1-89fa-a5e7c0ca3f1d?rule=pp-small ; Porsche : Porsche ; PORSCHE : PORSCHE ; 110300 km : 110300 ; Essence : 1 ; Manuelle : 1 ; Carrera S : PORSCHE_911_Carrera S ; 01/2005 : 01/2005 ; Bon état général : good_overall_condition ; Cabriolet : cabriolet ; Gris : gris ; 26 Cv : 26 ; 355 Ch : 355 ; Avec permis : avecpermis ; false : false ; true : true ; rating_score : 0.97 ; rating_count : 46 ; u_car_brand : PORSCHE ; u_car_model : 911 ; u_car_finition : Carrera S ; vehicle_damage : Bon état général ; vehicle_upholstery : Tout cuir ; vehicle_vsp : Avec permis ; is_import : false ; old_price : 60000 ; argus_object_id : 802651 ; licence_plate_available : true</t>
        </is>
      </c>
      <c r="AG268" s="19" t="inlineStr">
        <is>
          <t>Voir</t>
        </is>
      </c>
      <c r="AH268" s="10" t="inlineStr">
        <is>
          <t>3229875348</t>
        </is>
      </c>
    </row>
    <row r="269">
      <c r="A269" s="10" t="inlineStr">
        <is>
          <t>Porsche 911 997 Carrera S</t>
        </is>
      </c>
      <c r="B269" s="10" t="inlineStr">
        <is>
          <t>PORSCHE 911 CARRERA COUPE 997 S Coupe 3.8i</t>
        </is>
      </c>
      <c r="C269" s="10" t="inlineStr">
        <is>
          <t>En vente</t>
        </is>
      </c>
      <c r="D269" s="18" t="n">
        <v>46213</v>
      </c>
      <c r="E269" s="18" t="n">
        <v>46213</v>
      </c>
      <c r="F269" s="18" t="n">
        <v>46296</v>
      </c>
      <c r="G269" s="18" t="n"/>
      <c r="H269" s="17">
        <f>IF(OR(ISNUMBER(D269),ISNUMBER(E269)),IF(ISNUMBER(G269),G269,F269)-IF(ISNUMBER(D269),D269,E269),"")</f>
        <v/>
      </c>
      <c r="I269" s="12" t="n">
        <v>52980</v>
      </c>
      <c r="J269" s="12" t="n">
        <v>52980</v>
      </c>
      <c r="K269" s="13">
        <f>IF(AND(ISNUMBER(I269),ISNUMBER(J269),I269&gt;0),1-J269/I269,"")</f>
        <v/>
      </c>
      <c r="L269" s="16" t="n">
        <v>0</v>
      </c>
      <c r="M269" s="15" t="n">
        <v>135000</v>
      </c>
      <c r="N269" s="16" t="n">
        <v>2007</v>
      </c>
      <c r="O269" s="10" t="inlineStr">
        <is>
          <t>1</t>
        </is>
      </c>
      <c r="P269" s="10" t="inlineStr">
        <is>
          <t>1</t>
        </is>
      </c>
      <c r="Q269" s="16" t="n">
        <v>355</v>
      </c>
      <c r="R269" s="16" t="n">
        <v>26</v>
      </c>
      <c r="S269" s="10" t="inlineStr">
        <is>
          <t>noir</t>
        </is>
      </c>
      <c r="T269" s="16" t="n">
        <v>2</v>
      </c>
      <c r="U269" s="10" t="n"/>
      <c r="V269" s="10" t="n"/>
      <c r="W269" s="10" t="inlineStr">
        <is>
          <t>Pro</t>
        </is>
      </c>
      <c r="X269" s="10" t="inlineStr">
        <is>
          <t>Perrignier</t>
        </is>
      </c>
      <c r="Y269" s="10" t="inlineStr">
        <is>
          <t>74550</t>
        </is>
      </c>
      <c r="Z269" s="10" t="inlineStr">
        <is>
          <t>Haute-Savoie</t>
        </is>
      </c>
      <c r="AA269" s="10" t="inlineStr">
        <is>
          <t>Rhône-Alpes</t>
        </is>
      </c>
      <c r="AB269" s="16" t="n"/>
      <c r="AC269" s="16" t="n"/>
      <c r="AD269" s="10" t="inlineStr">
        <is>
          <t>Oui</t>
        </is>
      </c>
      <c r="AE269" s="10" t="n"/>
      <c r="AF269" s="10" t="inlineStr">
        <is>
          <t>1 : 1 ; 2 : 2 ; 4 : 4 ; 911 : 911 ; 2007 : 2007 ; 53990 : 53990 ; 802651 : 802651 ; 6825331 : 6825331 ; Porsche : Porsche ; PORSCHE : PORSCHE ; 135000 km : 135000 ; Essence : 1 ; Manuelle : 1 ; Carrera S : PORSCHE_911_Carrera S ; 911 Coupe Carrera S : 911 Coupe Carrera S ; 07/2007 : 07/2007 ; Noir : noir ; 26 Cv : 26 ; 355 Ch : 355 ; false : false ; true : true ; https://img.leboncoin.fr/api/v1/lbcpb1/images/fd/6a/a8/fd6aa8d1-a592-471e-8318-841322cd504b?rule=bo-thumb : https://img.leboncoin.fr/api/v1/lbcpb1/images/fd/6a/a8/fd6aa8d1-a592-471e-8318-841322cd504b?rule=bo-thumb ; Transak Auto Thonon-les-Bains : Transak Auto Thonon-les-Bains ; VO88866845 : VO88866845 ; https://autoviza.fr/report/report?uid=c2c15bd1-c7a3-4240-9de7-0838db9fd0e3 : https://autoviza.fr/report/report?uid=c2c15bd1-c7a3-4240-9de7-0838db9fd0e3 ; visible : visible ; Non renseignée : non_renseignee ; activity_sector : 1 ; u_car_brand : PORSCHE ; u_car_model : 911 ; u_car_finition : Carrera S ; u_car_version : 911 Coupe Carrera S ; recent_used_vehicle : false ; has_visibility_option : true ; store_logo : https://img.leboncoin.fr/api/v1/lbcpb1/images/fd/6a/a8/fd6aa8d1-a592-471e-8318-841322cd504b?rule=bo-thumb ; store_name : Transak Auto Thonon-les-Bains ; online_store_id : 6825331 ; custom_ref : VO88866845 ; is_import : true ; old_price : 53990 ; vehicle_history_report_public_url : https://autoviza.fr/report/report?uid=c2c15bd1-c7a3-4240-9de7-0838db9fd0e3 ; vehicle_history_report_status : visible ; argus_object_id : 802651 ; spare_parts_availability : Non renseignée ; licence_plate_available : true</t>
        </is>
      </c>
      <c r="AG269" s="19" t="inlineStr">
        <is>
          <t>Voir</t>
        </is>
      </c>
      <c r="AH269" s="10" t="inlineStr">
        <is>
          <t>3230591026</t>
        </is>
      </c>
    </row>
    <row r="270">
      <c r="A270" s="10" t="inlineStr">
        <is>
          <t>Porsche 911 997 Carrera S</t>
        </is>
      </c>
      <c r="B270" s="10" t="inlineStr">
        <is>
          <t>PORSCHE 911 Type 997 3.8 355ch Carrera S TipTronic S - 2005 - 182 000 km - Endoscope Cylindre réalisé - Suivi complet</t>
        </is>
      </c>
      <c r="C270" s="10" t="inlineStr">
        <is>
          <t>En vente</t>
        </is>
      </c>
      <c r="D270" s="18" t="n">
        <v>46214</v>
      </c>
      <c r="E270" s="18" t="n">
        <v>46214</v>
      </c>
      <c r="F270" s="18" t="n">
        <v>46296</v>
      </c>
      <c r="G270" s="18" t="n"/>
      <c r="H270" s="17">
        <f>IF(OR(ISNUMBER(D270),ISNUMBER(E270)),IF(ISNUMBER(G270),G270,F270)-IF(ISNUMBER(D270),D270,E270),"")</f>
        <v/>
      </c>
      <c r="I270" s="12" t="n">
        <v>39990</v>
      </c>
      <c r="J270" s="12" t="n">
        <v>39990</v>
      </c>
      <c r="K270" s="13">
        <f>IF(AND(ISNUMBER(I270),ISNUMBER(J270),I270&gt;0),1-J270/I270,"")</f>
        <v/>
      </c>
      <c r="L270" s="16" t="n">
        <v>0</v>
      </c>
      <c r="M270" s="15" t="n">
        <v>182000</v>
      </c>
      <c r="N270" s="16" t="n">
        <v>2005</v>
      </c>
      <c r="O270" s="10" t="inlineStr">
        <is>
          <t>1</t>
        </is>
      </c>
      <c r="P270" s="10" t="inlineStr">
        <is>
          <t>2</t>
        </is>
      </c>
      <c r="Q270" s="16" t="n">
        <v>355</v>
      </c>
      <c r="R270" s="16" t="n">
        <v>26</v>
      </c>
      <c r="S270" s="10" t="inlineStr">
        <is>
          <t>gris</t>
        </is>
      </c>
      <c r="T270" s="16" t="n">
        <v>2</v>
      </c>
      <c r="U270" s="10" t="n"/>
      <c r="V270" s="10" t="n"/>
      <c r="W270" s="10" t="inlineStr">
        <is>
          <t>Pro</t>
        </is>
      </c>
      <c r="X270" s="10" t="inlineStr">
        <is>
          <t>Chartres</t>
        </is>
      </c>
      <c r="Y270" s="10" t="inlineStr">
        <is>
          <t>28000</t>
        </is>
      </c>
      <c r="Z270" s="10" t="inlineStr">
        <is>
          <t>Eure-et-Loir</t>
        </is>
      </c>
      <c r="AA270" s="10" t="inlineStr">
        <is>
          <t>Centre</t>
        </is>
      </c>
      <c r="AB270" s="16" t="n"/>
      <c r="AC270" s="16" t="n"/>
      <c r="AD270" s="10" t="inlineStr">
        <is>
          <t>Oui</t>
        </is>
      </c>
      <c r="AE270" s="10" t="n"/>
      <c r="AF270" s="10" t="inlineStr">
        <is>
          <t>1 : 1 ; 2 : 2 ; 4 : 4 ; 911 : 911 ; 2005 : 2005 ; 42990 : 42990 ; 802652 : 802652 ; 6799742 : 6799742 ; Porsche : Porsche ; PORSCHE : PORSCHE ; 182000 km : 182000 ; Essence : 1 ; Automatique : 2 ; Carrera S : PORSCHE_911_Carrera S ; 911 Coupe Carrera S TipTronic S : 911 Coupe Carrera S TipTronic S ; 12/2005 : 12/2005 ; Coupé : coupe ; Gris : gris ; 26 Cv : 26 ; 355 Ch : 355 ; false : false ; true : true ; https://img.leboncoin.fr/api/v1/lbcpb1/images/4d/47/4d/4d474da9-9ed5-4714-9ef7-c4613be1e70f?rule=bo-thumb : https://img.leboncoin.fr/api/v1/lbcpb1/images/4d/47/4d/4d474da9-9ed5-4714-9ef7-c4613be1e70f?rule=bo-thumb ; VROOM MARKET CHARTRES : VROOM MARKET CHARTRES ; https://autoviza.fr/report/report?uid=05f894e6-dbf4-4585-8a33-ebb58cb83a4a : https://autoviza.fr/report/report?uid=05f894e6-dbf4-4585-8a33-ebb58cb83a4a ; visible : visible ; Non renseignée : non_renseignee ; activity_sector : 1 ; u_car_brand : PORSCHE ; u_car_model : 911 ; u_car_finition : Carrera S ; u_car_version : 911 Coupe Carrera S TipTronic S ; vehicle_maintenance : Carnet d'entretien disponible ; vehicle_interior_specs : Aide au stationnement, Alarme antivol, Climatisation, Jantes en alliage, Ordinateur de bord, Phares anti-brouillard, Phares LED / Xenon, Radio numérique DAB, Régulateur de vitesse, Sièges en cuir, Sièges sport, Sièges électriques, Vitres électriques arrières ; recent_used_vehicle : false ; has_visibility_option : true ; store_logo : https://img.leboncoin.fr/api/v1/lbcpb1/images/4d/47/4d/4d474da9-9ed5-4714-9ef7-c4613be1e70f?rule=bo-thumb ; store_name : VROOM MARKET CHARTRES ; online_store_id : 6799742 ; is_import : true ; old_price : 42990 ; vehicle_history_report_public_url : https://autoviza.fr/report/report?uid=05f894e6-dbf4-4585-8a33-ebb58cb83a4a ; vehicle_history_report_status : visible ; argus_object_id : 802652 ; spare_parts_availability : Non renseignée ; licence_plate_available : true</t>
        </is>
      </c>
      <c r="AG270" s="19" t="inlineStr">
        <is>
          <t>Voir</t>
        </is>
      </c>
      <c r="AH270" s="10" t="inlineStr">
        <is>
          <t>3231127202</t>
        </is>
      </c>
    </row>
    <row r="271">
      <c r="A271" s="10" t="inlineStr">
        <is>
          <t>Porsche 911 997 Carrera S</t>
        </is>
      </c>
      <c r="B271" s="10" t="inlineStr">
        <is>
          <t>PORSCHE 911 997 Carrera S 3.8 i Coupé 355 cv</t>
        </is>
      </c>
      <c r="C271" s="10" t="inlineStr">
        <is>
          <t>En vente</t>
        </is>
      </c>
      <c r="D271" s="18" t="n">
        <v>46219</v>
      </c>
      <c r="E271" s="18" t="n">
        <v>46219</v>
      </c>
      <c r="F271" s="18" t="n">
        <v>46296</v>
      </c>
      <c r="G271" s="18" t="n"/>
      <c r="H271" s="17">
        <f>IF(OR(ISNUMBER(D271),ISNUMBER(E271)),IF(ISNUMBER(G271),G271,F271)-IF(ISNUMBER(D271),D271,E271),"")</f>
        <v/>
      </c>
      <c r="I271" s="12" t="n">
        <v>49990</v>
      </c>
      <c r="J271" s="12" t="n">
        <v>49990</v>
      </c>
      <c r="K271" s="13">
        <f>IF(AND(ISNUMBER(I271),ISNUMBER(J271),I271&gt;0),1-J271/I271,"")</f>
        <v/>
      </c>
      <c r="L271" s="16" t="n">
        <v>0</v>
      </c>
      <c r="M271" s="15" t="n">
        <v>110000</v>
      </c>
      <c r="N271" s="16" t="n">
        <v>2004</v>
      </c>
      <c r="O271" s="10" t="inlineStr">
        <is>
          <t>1</t>
        </is>
      </c>
      <c r="P271" s="10" t="inlineStr">
        <is>
          <t>1</t>
        </is>
      </c>
      <c r="Q271" s="16" t="n">
        <v>355</v>
      </c>
      <c r="R271" s="16" t="n">
        <v>26</v>
      </c>
      <c r="S271" s="10" t="inlineStr">
        <is>
          <t>gris</t>
        </is>
      </c>
      <c r="T271" s="16" t="n">
        <v>999999</v>
      </c>
      <c r="U271" s="10" t="n"/>
      <c r="V271" s="10" t="n"/>
      <c r="W271" s="10" t="inlineStr">
        <is>
          <t>Pro</t>
        </is>
      </c>
      <c r="X271" s="10" t="inlineStr">
        <is>
          <t>Dijon</t>
        </is>
      </c>
      <c r="Y271" s="10" t="inlineStr">
        <is>
          <t>21000</t>
        </is>
      </c>
      <c r="Z271" s="10" t="inlineStr">
        <is>
          <t>Côte-d'Or</t>
        </is>
      </c>
      <c r="AA271" s="10" t="inlineStr">
        <is>
          <t>Bourgogne</t>
        </is>
      </c>
      <c r="AB271" s="16" t="n"/>
      <c r="AC271" s="16" t="n"/>
      <c r="AD271" s="10" t="n"/>
      <c r="AE271" s="10" t="n"/>
      <c r="AF271" s="10" t="inlineStr">
        <is>
          <t>1 : 1 ; 4 : 4 ; 911 : 911 ; 2004 : 2004 ; 40368 : 40368 ; 506076 : 506076 ; 802651 : 802651 ; Porsche : Porsche ; PORSCHE : PORSCHE ; 110000 km : 110000 ; Essence : 1 ; Manuelle : 1 ; 6 ou plus : 999999 ; Carrera S : PORSCHE_911_Carrera S ; 911 Coupe Carrera S : 911 Coupe Carrera S ; 05/2004 : 05/2004 ; Coupé : coupe ; Gris : gris ; 26 Cv : 26 ; 355 Ch : 355 ; false : false ; true : true ; https://img.leboncoin.fr/api/v1/lbcpb1/images/88/96/06/889606023016201.jpg?rule=bo-thumb : https://img.leboncoin.fr/api/v1/lbcpb1/images/88/96/06/889606023016201.jpg?rule=bo-thumb ; AGENCE AUTOMOBILIERE DE DIJON : AGENCE AUTOMOBILIERE DE DIJON ; https://autoviza.fr/report/report?uid=ebf2d4a4-f4d8-4332-99cc-bd7fc38a3f47 : https://autoviza.fr/report/report?uid=ebf2d4a4-f4d8-4332-99cc-bd7fc38a3f47 ; visible : visible ; Non renseignée : non_renseignee ; activity_sector : 1 ; u_car_brand : PORSCHE ; u_car_model : 911 ; u_car_finition : Carrera S ; u_car_version : 911 Coupe Carrera S ; recent_used_vehicle : false ; has_visibility_option : true ; store_logo : https://img.leboncoin.fr/api/v1/lbcpb1/images/88/96/06/889606023016201.jpg?rule=bo-thumb ; store_name : AGENCE AUTOMOBILIERE DE DIJON ; online_store_id : 40368 ; custom_ref : 506076 ; is_import : true ; vehicle_history_report_public_url : https://autoviza.fr/report/report?uid=ebf2d4a4-f4d8-4332-99cc-bd7fc38a3f47 ; vehicle_history_report_status : visible ; argus_object_id : 802651 ; spare_parts_availability : Non renseignée ; licence_plate_available : true</t>
        </is>
      </c>
      <c r="AG271" s="19" t="inlineStr">
        <is>
          <t>Voir</t>
        </is>
      </c>
      <c r="AH271" s="10" t="inlineStr">
        <is>
          <t>3234122932</t>
        </is>
      </c>
    </row>
    <row r="272">
      <c r="A272" s="10" t="inlineStr">
        <is>
          <t>Porsche 911 997 Carrera S</t>
        </is>
      </c>
      <c r="B272" s="10" t="inlineStr">
        <is>
          <t>Porsche 911 CABRIOLET (997) CARRERA S 3.8 355</t>
        </is>
      </c>
      <c r="C272" s="10" t="inlineStr">
        <is>
          <t>En vente</t>
        </is>
      </c>
      <c r="D272" s="18" t="n">
        <v>46289</v>
      </c>
      <c r="E272" s="18" t="n">
        <v>46289</v>
      </c>
      <c r="F272" s="18" t="n">
        <v>46296</v>
      </c>
      <c r="G272" s="18" t="n"/>
      <c r="H272" s="17">
        <f>IF(OR(ISNUMBER(D272),ISNUMBER(E272)),IF(ISNUMBER(G272),G272,F272)-IF(ISNUMBER(D272),D272,E272),"")</f>
        <v/>
      </c>
      <c r="I272" s="12" t="n">
        <v>49990</v>
      </c>
      <c r="J272" s="12" t="n">
        <v>49990</v>
      </c>
      <c r="K272" s="13">
        <f>IF(AND(ISNUMBER(I272),ISNUMBER(J272),I272&gt;0),1-J272/I272,"")</f>
        <v/>
      </c>
      <c r="L272" s="16" t="n">
        <v>0</v>
      </c>
      <c r="M272" s="15" t="n">
        <v>93950</v>
      </c>
      <c r="N272" s="16" t="n">
        <v>2007</v>
      </c>
      <c r="O272" s="10" t="inlineStr">
        <is>
          <t>1</t>
        </is>
      </c>
      <c r="P272" s="10" t="inlineStr">
        <is>
          <t>1</t>
        </is>
      </c>
      <c r="Q272" s="16" t="n">
        <v>355</v>
      </c>
      <c r="R272" s="16" t="n">
        <v>26</v>
      </c>
      <c r="S272" s="10" t="inlineStr">
        <is>
          <t>bleu</t>
        </is>
      </c>
      <c r="T272" s="16" t="n">
        <v>2</v>
      </c>
      <c r="U272" s="10" t="n"/>
      <c r="V272" s="10" t="inlineStr">
        <is>
          <t>2</t>
        </is>
      </c>
      <c r="W272" s="10" t="inlineStr">
        <is>
          <t>Pro</t>
        </is>
      </c>
      <c r="X272" s="10" t="inlineStr">
        <is>
          <t>Rivery</t>
        </is>
      </c>
      <c r="Y272" s="10" t="inlineStr">
        <is>
          <t>80136</t>
        </is>
      </c>
      <c r="Z272" s="10" t="inlineStr">
        <is>
          <t>Somme</t>
        </is>
      </c>
      <c r="AA272" s="10" t="inlineStr">
        <is>
          <t>Picardie</t>
        </is>
      </c>
      <c r="AB272" s="16" t="n"/>
      <c r="AC272" s="16" t="n"/>
      <c r="AD272" s="10" t="inlineStr">
        <is>
          <t>Oui</t>
        </is>
      </c>
      <c r="AE272" s="10" t="n"/>
      <c r="AF272" s="10" t="inlineStr">
        <is>
          <t>1 : 1 ; 2 : 2 ; 4 : 4 ; 177 : 177 ; 911 : 911 ; 2007 : 2007 ; 71066 : 71066 ; 862300 : 862300 ; Porsche : Porsche ; PORSCHE : PORSCHE ; 93950 km : 93950 ; Essence : 1 ; Manuelle : 1 ; Carrera S : PORSCHE_911_Carrera S ; 911 Cabriolet Carrera S : 911 Cabriolet Carrera S ; 08/2007 : 08/2007 ; Cabriolet : cabriolet ; Bleu : bleu ; 26 Cv : 26 ; 355 Ch : 355 ; Avec permis : avecpermis ; false : false ; true : true ; https://img.leboncoin.fr/api/v1/lbcpb1/images/44/62/c9/4462c9b6-4aaa-4353-8018-36d6982987d5?rule=bo-thumb : https://img.leboncoin.fr/api/v1/lbcpb1/images/44/62/c9/4462c9b6-4aaa-4353-8018-36d6982987d5?rule=bo-thumb ; AMB Automobile : AMB Automobile ; https://autoviza.fr/report/report?uid=26fa9854-a1f3-4fd3-8052-92039e7bed68 : https://autoviza.fr/report/report?uid=26fa9854-a1f3-4fd3-8052-92039e7bed68 ; visible : visible ; 10 ans : 10 ; activity_sector : 1 ; u_car_brand : PORSCHE ; u_car_model : 911 ; u_car_finition : Carrera S ; u_car_version : 911 Cabriolet Carrera S ; vehicle_vsp : Avec permis ; recent_used_vehicle : false ; has_visibility_option : true ; store_logo : https://img.leboncoin.fr/api/v1/lbcpb1/images/44/62/c9/4462c9b6-4aaa-4353-8018-36d6982987d5?rule=bo-thumb ; store_name : AMB Automobile ; online_store_id : 71066 ; custom_ref : 177 ; is_import : true ; vehicle_history_report_public_url : https://autoviza.fr/report/report?uid=26fa9854-a1f3-4fd3-8052-92039e7bed68 ; vehicle_history_report_status : visible ; argus_object_id : 862300 ; spare_parts_availability : 10 ans ; licence_plate_available : true</t>
        </is>
      </c>
      <c r="AG272" s="19" t="inlineStr">
        <is>
          <t>Voir</t>
        </is>
      </c>
      <c r="AH272" s="10" t="inlineStr">
        <is>
          <t>3242206815</t>
        </is>
      </c>
    </row>
    <row r="273">
      <c r="A273" s="10" t="inlineStr">
        <is>
          <t>Porsche 911 997 Carrera S</t>
        </is>
      </c>
      <c r="B273" s="10" t="inlineStr">
        <is>
          <t>Porsche 911 997 Carrera S 3.8 355ch BVM / Pack Sport Chrono Entretien complet Porsche</t>
        </is>
      </c>
      <c r="C273" s="10" t="inlineStr">
        <is>
          <t>En vente</t>
        </is>
      </c>
      <c r="D273" s="18" t="n">
        <v>46257</v>
      </c>
      <c r="E273" s="18" t="n">
        <v>46257</v>
      </c>
      <c r="F273" s="18" t="n">
        <v>46296</v>
      </c>
      <c r="G273" s="18" t="n"/>
      <c r="H273" s="17">
        <f>IF(OR(ISNUMBER(D273),ISNUMBER(E273)),IF(ISNUMBER(G273),G273,F273)-IF(ISNUMBER(D273),D273,E273),"")</f>
        <v/>
      </c>
      <c r="I273" s="12" t="n">
        <v>58990</v>
      </c>
      <c r="J273" s="12" t="n">
        <v>58990</v>
      </c>
      <c r="K273" s="13">
        <f>IF(AND(ISNUMBER(I273),ISNUMBER(J273),I273&gt;0),1-J273/I273,"")</f>
        <v/>
      </c>
      <c r="L273" s="16" t="n">
        <v>0</v>
      </c>
      <c r="M273" s="15" t="n">
        <v>100000</v>
      </c>
      <c r="N273" s="16" t="n">
        <v>2005</v>
      </c>
      <c r="O273" s="10" t="inlineStr">
        <is>
          <t>1</t>
        </is>
      </c>
      <c r="P273" s="10" t="inlineStr">
        <is>
          <t>1</t>
        </is>
      </c>
      <c r="Q273" s="16" t="n">
        <v>355</v>
      </c>
      <c r="R273" s="16" t="n">
        <v>26</v>
      </c>
      <c r="S273" s="10" t="inlineStr">
        <is>
          <t>noir</t>
        </is>
      </c>
      <c r="T273" s="16" t="n">
        <v>2</v>
      </c>
      <c r="U273" s="10" t="n"/>
      <c r="V273" s="10" t="inlineStr">
        <is>
          <t>3</t>
        </is>
      </c>
      <c r="W273" s="10" t="inlineStr">
        <is>
          <t>Pro</t>
        </is>
      </c>
      <c r="X273" s="10" t="inlineStr">
        <is>
          <t>Tarnos</t>
        </is>
      </c>
      <c r="Y273" s="10" t="inlineStr">
        <is>
          <t>40220</t>
        </is>
      </c>
      <c r="Z273" s="10" t="inlineStr">
        <is>
          <t>Landes</t>
        </is>
      </c>
      <c r="AA273" s="10" t="inlineStr">
        <is>
          <t>Aquitaine</t>
        </is>
      </c>
      <c r="AB273" s="16" t="n"/>
      <c r="AC273" s="16" t="n"/>
      <c r="AD273" s="10" t="inlineStr">
        <is>
          <t>Oui</t>
        </is>
      </c>
      <c r="AE273" s="10" t="n"/>
      <c r="AF273" s="10" t="inlineStr">
        <is>
          <t>1 : 1 ; 2 : 2 ; 3 : 3 ; 4 : 4 ; 911 : 911 ; 2005 : 2005 ; 802651 : 802651 ; 6794782 : 6794782 ; Porsche : Porsche ; PORSCHE : PORSCHE ; 100000 km : 100000 ; Essence : 1 ; Manuelle : 1 ; Carrera S : PORSCHE_911_Carrera S ; 911 Coupe Carrera S : 911 Coupe Carrera S ; 09/2005 : 09/2005 ; Coupé : coupe ; Noir : noir ; 26 Cv : 26 ; 355 Ch : 355 ; Avec permis : avecpermis ; false : false ; true : true ; https://img.leboncoin.fr/api/v1/lbcpb1/images/ea/fd/4c/eafd4cda-325a-4390-9f6e-616868f15cc9?rule=bo-thumb : https://img.leboncoin.fr/api/v1/lbcpb1/images/ea/fd/4c/eafd4cda-325a-4390-9f6e-616868f15cc9?rule=bo-thumb ; SELECTDRIVE : SELECTDRIVE ; BIZ_4620D7 : BIZ_4620D7 ; https://autoviza.fr/report/report?uid=91ad0142-2351-46f7-8085-5cb78a1627ea : https://autoviza.fr/report/report?uid=91ad0142-2351-46f7-8085-5cb78a1627ea ; visible : visible ; Non renseignée : non_renseignee ; activity_sector : 1 ; u_car_brand : PORSCHE ; u_car_model : 911 ; u_car_finition : Carrera S ; u_car_version : 911 Coupe Carrera S ; vehicle_upholstery : Tout cuir ; vehicle_interior_specs : 4 roues motrices ; vehicle_vsp : Avec permis ; recent_used_vehicle : false ; has_visibility_option : true ; store_logo : https://img.leboncoin.fr/api/v1/lbcpb1/images/ea/fd/4c/eafd4cda-325a-4390-9f6e-616868f15cc9?rule=bo-thumb ; store_name : SELECTDRIVE ; online_store_id : 6794782 ; custom_ref : BIZ_4620D7 ; is_import : true ; vehicle_history_report_public_url : https://autoviza.fr/report/report?uid=91ad0142-2351-46f7-8085-5cb78a1627ea ; vehicle_history_report_status : visible ; argus_object_id : 802651 ; spare_parts_availability : Non renseignée ; licence_plate_available : true</t>
        </is>
      </c>
      <c r="AG273" s="19" t="inlineStr">
        <is>
          <t>Voir</t>
        </is>
      </c>
      <c r="AH273" s="10" t="inlineStr">
        <is>
          <t>3255178405</t>
        </is>
      </c>
    </row>
    <row r="274">
      <c r="A274" s="10" t="inlineStr">
        <is>
          <t>Porsche 911 997 Carrera S</t>
        </is>
      </c>
      <c r="B274" s="10" t="inlineStr">
        <is>
          <t>Porsche 911 997.1 Carrera 4S Cabriolet 3.8L 355 ch BVM - Suivi - Jantes Carrera S 19" - Garantie</t>
        </is>
      </c>
      <c r="C274" s="10" t="inlineStr">
        <is>
          <t>En vente</t>
        </is>
      </c>
      <c r="D274" s="18" t="n">
        <v>46265</v>
      </c>
      <c r="E274" s="18" t="n">
        <v>46265</v>
      </c>
      <c r="F274" s="18" t="n">
        <v>46296</v>
      </c>
      <c r="G274" s="18" t="n"/>
      <c r="H274" s="17">
        <f>IF(OR(ISNUMBER(D274),ISNUMBER(E274)),IF(ISNUMBER(G274),G274,F274)-IF(ISNUMBER(D274),D274,E274),"")</f>
        <v/>
      </c>
      <c r="I274" s="12" t="n">
        <v>63500</v>
      </c>
      <c r="J274" s="12" t="n">
        <v>63500</v>
      </c>
      <c r="K274" s="13">
        <f>IF(AND(ISNUMBER(I274),ISNUMBER(J274),I274&gt;0),1-J274/I274,"")</f>
        <v/>
      </c>
      <c r="L274" s="16" t="n">
        <v>0</v>
      </c>
      <c r="M274" s="15" t="n">
        <v>76200</v>
      </c>
      <c r="N274" s="16" t="n">
        <v>2006</v>
      </c>
      <c r="O274" s="10" t="inlineStr">
        <is>
          <t>1</t>
        </is>
      </c>
      <c r="P274" s="10" t="inlineStr">
        <is>
          <t>1</t>
        </is>
      </c>
      <c r="Q274" s="16" t="n">
        <v>355</v>
      </c>
      <c r="R274" s="16" t="n">
        <v>26</v>
      </c>
      <c r="S274" s="10" t="inlineStr">
        <is>
          <t>noir</t>
        </is>
      </c>
      <c r="T274" s="16" t="n">
        <v>2</v>
      </c>
      <c r="U274" s="10" t="n"/>
      <c r="V274" s="10" t="inlineStr">
        <is>
          <t>2</t>
        </is>
      </c>
      <c r="W274" s="10" t="inlineStr">
        <is>
          <t>Pro</t>
        </is>
      </c>
      <c r="X274" s="10" t="inlineStr">
        <is>
          <t>Aix-en-Provence</t>
        </is>
      </c>
      <c r="Y274" s="10" t="inlineStr">
        <is>
          <t>13090</t>
        </is>
      </c>
      <c r="Z274" s="10" t="inlineStr">
        <is>
          <t>Bouches-du-Rhône</t>
        </is>
      </c>
      <c r="AA274" s="10" t="inlineStr">
        <is>
          <t>Provence-Alpes-Côte d'Azur</t>
        </is>
      </c>
      <c r="AB274" s="16" t="n"/>
      <c r="AC274" s="16" t="n"/>
      <c r="AD274" s="10" t="inlineStr">
        <is>
          <t>Oui</t>
        </is>
      </c>
      <c r="AE274" s="10" t="n"/>
      <c r="AF274" s="10" t="inlineStr">
        <is>
          <t>1 : 1 ; 2 : 2 ; 4 : 4 ; 6 : 6 ; 911 : 911 ; 2006 : 2006 ; 65900 : 65900 ; 881540 : 881540 ; Porsche : Porsche ; PORSCHE : PORSCHE ; 76200 km : 76200 ; Essence : 1 ; Manuelle : 1 ; Carrera 4S : PORSCHE_911_Carrera 4S ; 911 Cabriolet Carrera 4S : 911 Cabriolet Carrera 4S ; Non : false ; 09/2006 : 09/2006 ; Bon état général : good_overall_condition ; Cabriolet : cabriolet ; Noir : noir ; Euro 4 : euro4 ; 26 Cv : 26 ; 355 Ch : 355 ; Avec permis : avecpermis ; false : false ; AI36826 : AI36826 ; https://autoviza.fr/report/report?uid=0631a25a-63c3-40c4-a7ec-afc6198cba3c : https://autoviza.fr/report/report?uid=0631a25a-63c3-40c4-a7ec-afc6198cba3c ; visible : visible ; true : true ; 15 ans : 15 ; activity_sector : 1 ; u_car_brand : PORSCHE ; u_car_model : 911 ; u_car_finition : Carrera 4S ; u_car_version : 911 Cabriolet Carrera 4S ; vehicle_technical_inspection_valid : Non ; vehicle_damage : Bon état général ; vehicle_upholstery : Tout cuir ; vehicle_interior_specs : 4 roues motrices, Aide au stationnement, Climatisation, Jantes en alliage, Ordinateur de bord, Phares directionnels, Phares LED / Xenon, Régulateur de vitesse, Siège réglable en hauteur, Sièges chauffants, Sièges en cuir, Sièges sport, Sièges électriques, Suspension sport / adaptative, Système audio haut de gamme, Système de navigation, Système de surveillance pression pneus (TPMS), Volant réglable en hauteur, Volant réglable en profondeur ; vehicle_euro_emissions_standard : Euro 4 ; vehicle_vsp : Avec permis ; car_contract : Non ; recent_used_vehicle : false ; vehicle_commercial_warranty : Non ; vehicle_manufacturer_warranty : Non ; custom_ref : AI36826 ; is_import : false ; old_price : 65900 ; vehicle_history_report_public_url : https://autoviza.fr/report/report?uid=0631a25a-63c3-40c4-a7ec-afc6198cba3c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argus_object_id : 881540 ; spare_parts_availability : 15 ans ; licence_plate_available : true</t>
        </is>
      </c>
      <c r="AG274" s="19" t="inlineStr">
        <is>
          <t>Voir</t>
        </is>
      </c>
      <c r="AH274" s="10" t="inlineStr">
        <is>
          <t>3260467720</t>
        </is>
      </c>
    </row>
    <row r="275">
      <c r="A275" s="10" t="inlineStr">
        <is>
          <t>Porsche 911 997 Carrera S</t>
        </is>
      </c>
      <c r="B275" s="10" t="inlineStr">
        <is>
          <t>Porsche 911 (997) carrera s cabriolet 3.8 – 355 ch – bvm6 – pack sport chrono –</t>
        </is>
      </c>
      <c r="C275" s="10" t="inlineStr">
        <is>
          <t>En vente</t>
        </is>
      </c>
      <c r="D275" s="18" t="n">
        <v>46266</v>
      </c>
      <c r="E275" s="18" t="n">
        <v>46266</v>
      </c>
      <c r="F275" s="18" t="n">
        <v>46296</v>
      </c>
      <c r="G275" s="18" t="n"/>
      <c r="H275" s="17">
        <f>IF(OR(ISNUMBER(D275),ISNUMBER(E275)),IF(ISNUMBER(G275),G275,F275)-IF(ISNUMBER(D275),D275,E275),"")</f>
        <v/>
      </c>
      <c r="I275" s="12" t="n">
        <v>50990</v>
      </c>
      <c r="J275" s="12" t="n">
        <v>50990</v>
      </c>
      <c r="K275" s="13">
        <f>IF(AND(ISNUMBER(I275),ISNUMBER(J275),I275&gt;0),1-J275/I275,"")</f>
        <v/>
      </c>
      <c r="L275" s="16" t="n">
        <v>0</v>
      </c>
      <c r="M275" s="15" t="n">
        <v>117000</v>
      </c>
      <c r="N275" s="16" t="n">
        <v>2007</v>
      </c>
      <c r="O275" s="10" t="inlineStr">
        <is>
          <t>1</t>
        </is>
      </c>
      <c r="P275" s="10" t="inlineStr">
        <is>
          <t>1</t>
        </is>
      </c>
      <c r="Q275" s="16" t="n">
        <v>355</v>
      </c>
      <c r="R275" s="16" t="n">
        <v>26</v>
      </c>
      <c r="S275" s="10" t="inlineStr">
        <is>
          <t>gris</t>
        </is>
      </c>
      <c r="T275" s="16" t="n">
        <v>2</v>
      </c>
      <c r="U275" s="10" t="n"/>
      <c r="V275" s="10" t="n"/>
      <c r="W275" s="10" t="inlineStr">
        <is>
          <t>Pro</t>
        </is>
      </c>
      <c r="X275" s="10" t="inlineStr">
        <is>
          <t>Arcachon</t>
        </is>
      </c>
      <c r="Y275" s="10" t="inlineStr">
        <is>
          <t>33120</t>
        </is>
      </c>
      <c r="Z275" s="10" t="inlineStr">
        <is>
          <t>Gironde</t>
        </is>
      </c>
      <c r="AA275" s="10" t="inlineStr">
        <is>
          <t>Aquitaine</t>
        </is>
      </c>
      <c r="AB275" s="16" t="n"/>
      <c r="AC275" s="16" t="n"/>
      <c r="AD275" s="10" t="n"/>
      <c r="AE275" s="10" t="n"/>
      <c r="AF275" s="10" t="inlineStr">
        <is>
          <t>1 : 1 ; 2 : 2 ; 4 : 4 ; 911 : 911 ; 2007 : 2007 ; 2027 : 2027 ; 862300 : 862300 ; Porsche : Porsche ; PORSCHE : PORSCHE ; 117000 km : 117000 ; Essence : 1 ; Manuelle : 1 ; Carrera S : PORSCHE_911_Carrera S ; 911 Cabriolet Carrera S : 911 Cabriolet Carrera S ; Oui : true ; 03/2007 : 03/2007 ; Excellent état (proche du neuf) : excellent_condition ; Cabriolet : cabriolet ; Gris : gris ; 26 Cv : 26 ; 355 Ch : 355 ; Avec permis : avecpermis ; false : false ; Non : false ; https://autoviza.fr/report/report?uid=552e709c-a62e-4447-a0a8-4ac672ed072f : https://autoviza.fr/report/report?uid=552e709c-a62e-4447-a0a8-4ac672ed072f ; visible : visible ; Non renseignée : non_renseignee ; true : true ; activity_sector : 1 ; u_car_brand : PORSCHE ; u_car_model : 911 ; u_car_finition : Carrera S ; u_car_version : 911 Cabriolet Carrera S ; vehicle_technical_inspection_valid : Oui ; vehicle_technical_inspection_a : 2027 ; vehicle_damage : Excellent état (proche du neuf) ; vehicle_upholstery : Tout cuir ; vehicle_maintenance : Carnet d'entretien disponible, Factures disponibles ; vehicle_vsp : Avec permis ; recent_used_vehicle : false ; vehicle_commercial_warranty : Non ; vehicle_manufacturer_warranty : Non ; is_import : false ; vehicle_history_report_public_url : https://autoviza.fr/report/report?uid=552e709c-a62e-4447-a0a8-4ac672ed072f ; vehicle_history_report_status : visible ; argus_object_id : 862300 ; spare_parts_availability : Non renseignée ; licence_plate_available : true</t>
        </is>
      </c>
      <c r="AG275" s="19" t="inlineStr">
        <is>
          <t>Voir</t>
        </is>
      </c>
      <c r="AH275" s="10" t="inlineStr">
        <is>
          <t>3260820600</t>
        </is>
      </c>
    </row>
    <row r="276">
      <c r="A276" s="10" t="inlineStr">
        <is>
          <t>Porsche 911 997 Carrera S</t>
        </is>
      </c>
      <c r="B276" s="10" t="inlineStr">
        <is>
          <t>Porsche 911 997.1 Coupe 3.8 355 ch Carrera S TIPTRONIC / Toit ouvrant / PASM / IMS OK / Gris Météor</t>
        </is>
      </c>
      <c r="C276" s="10" t="inlineStr">
        <is>
          <t>En vente</t>
        </is>
      </c>
      <c r="D276" s="18" t="n">
        <v>46269</v>
      </c>
      <c r="E276" s="18" t="n">
        <v>46269</v>
      </c>
      <c r="F276" s="18" t="n">
        <v>46296</v>
      </c>
      <c r="G276" s="18" t="n"/>
      <c r="H276" s="17">
        <f>IF(OR(ISNUMBER(D276),ISNUMBER(E276)),IF(ISNUMBER(G276),G276,F276)-IF(ISNUMBER(D276),D276,E276),"")</f>
        <v/>
      </c>
      <c r="I276" s="12" t="n">
        <v>55490</v>
      </c>
      <c r="J276" s="12" t="n">
        <v>55490</v>
      </c>
      <c r="K276" s="13">
        <f>IF(AND(ISNUMBER(I276),ISNUMBER(J276),I276&gt;0),1-J276/I276,"")</f>
        <v/>
      </c>
      <c r="L276" s="16" t="n">
        <v>0</v>
      </c>
      <c r="M276" s="15" t="n">
        <v>106300</v>
      </c>
      <c r="N276" s="16" t="n">
        <v>2008</v>
      </c>
      <c r="O276" s="10" t="inlineStr">
        <is>
          <t>1</t>
        </is>
      </c>
      <c r="P276" s="10" t="inlineStr">
        <is>
          <t>2</t>
        </is>
      </c>
      <c r="Q276" s="16" t="n">
        <v>355</v>
      </c>
      <c r="R276" s="16" t="n">
        <v>26</v>
      </c>
      <c r="S276" s="10" t="inlineStr">
        <is>
          <t>gris</t>
        </is>
      </c>
      <c r="T276" s="16" t="n">
        <v>2</v>
      </c>
      <c r="U276" s="10" t="n"/>
      <c r="V276" s="10" t="inlineStr">
        <is>
          <t>2</t>
        </is>
      </c>
      <c r="W276" s="10" t="inlineStr">
        <is>
          <t>Pro</t>
        </is>
      </c>
      <c r="X276" s="10" t="inlineStr">
        <is>
          <t>Gleizé</t>
        </is>
      </c>
      <c r="Y276" s="10" t="inlineStr">
        <is>
          <t>69400</t>
        </is>
      </c>
      <c r="Z276" s="10" t="inlineStr">
        <is>
          <t>Rhône</t>
        </is>
      </c>
      <c r="AA276" s="10" t="inlineStr">
        <is>
          <t>Rhône-Alpes</t>
        </is>
      </c>
      <c r="AB276" s="16" t="n"/>
      <c r="AC276" s="16" t="n"/>
      <c r="AD276" s="10" t="inlineStr">
        <is>
          <t>Oui</t>
        </is>
      </c>
      <c r="AE276" s="10" t="n"/>
      <c r="AF276" s="10" t="inlineStr">
        <is>
          <t>1 : 1 ; 2 : 2 ; 4 : 4 ; 911 : 911 ; 2008 : 2008 ; 802652 : 802652 ; 5825484 : 5825484 ; Porsche : Porsche ; PORSCHE : PORSCHE ; 106300 km : 106300 ; Essence : 1 ; Automatique : 2 ; Carrera S : PORSCHE_911_Carrera S ; 911 Coupe Carrera S TipTronic S : 911 Coupe Carrera S TipTronic S ; 02/2008 : 02/2008 ; Coupé : coupe ; Gris : gris ; 26 Cv : 26 ; 355 Ch : 355 ; Avec permis : avecpermis ; false : false ; https://img.leboncoin.fr/api/v1/lbcpb1/images/8a/f8/b4/8af8b4f8-2271-46e3-b931-03d2c6fe5012?rule=bo-thumb : https://img.leboncoin.fr/api/v1/lbcpb1/images/8a/f8/b4/8af8b4f8-2271-46e3-b931-03d2c6fe5012?rule=bo-thumb ; EVOCARS LYON : EVOCARS LYON ; VRZ_EB6D57 : VRZ_EB6D57 ; true : true ; https://autoviza.fr/report/report?uid=356513c6-a3f7-42d5-bd69-c70466f8b7aa : https://autoviza.fr/report/report?uid=356513c6-a3f7-42d5-bd69-c70466f8b7aa ; visible : visible ; Non renseignée : non_renseignee ; activity_sector : 1 ; u_car_brand : PORSCHE ; u_car_model : 911 ; u_car_finition : Carrera S ; u_car_version : 911 Coupe Carrera S TipTronic S ; vehicle_vsp : Avec permis ; recent_used_vehicle : false ; has_visibility_option : false ; store_logo : https://img.leboncoin.fr/api/v1/lbcpb1/images/8a/f8/b4/8af8b4f8-2271-46e3-b931-03d2c6fe5012?rule=bo-thumb ; store_name : EVOCARS LYON ; online_store_id : 5825484 ; custom_ref : VRZ_EB6D57 ; is_import : true ; vehicle_history_report_public_url : https://autoviza.fr/report/report?uid=356513c6-a3f7-42d5-bd69-c70466f8b7aa ; vehicle_history_report_status : visible ; argus_object_id : 802652 ; spare_parts_availability : Non renseignée ; licence_plate_available : true</t>
        </is>
      </c>
      <c r="AG276" s="19" t="inlineStr">
        <is>
          <t>Voir</t>
        </is>
      </c>
      <c r="AH276" s="10" t="inlineStr">
        <is>
          <t>3262657061</t>
        </is>
      </c>
    </row>
    <row r="277">
      <c r="A277" s="10" t="inlineStr">
        <is>
          <t>Porsche 911 997 Carrera S</t>
        </is>
      </c>
      <c r="B277" s="10" t="inlineStr">
        <is>
          <t>PORSCHE 911 Coupé Type 997 Phase 1 CARRERA S 3.8 355ch Boite Manuelle</t>
        </is>
      </c>
      <c r="C277" s="10" t="inlineStr">
        <is>
          <t>En vente</t>
        </is>
      </c>
      <c r="D277" s="18" t="n">
        <v>46273</v>
      </c>
      <c r="E277" s="18" t="n">
        <v>46273</v>
      </c>
      <c r="F277" s="18" t="n">
        <v>46296</v>
      </c>
      <c r="G277" s="18" t="n"/>
      <c r="H277" s="17">
        <f>IF(OR(ISNUMBER(D277),ISNUMBER(E277)),IF(ISNUMBER(G277),G277,F277)-IF(ISNUMBER(D277),D277,E277),"")</f>
        <v/>
      </c>
      <c r="I277" s="12" t="n">
        <v>64900</v>
      </c>
      <c r="J277" s="12" t="n">
        <v>64900</v>
      </c>
      <c r="K277" s="13">
        <f>IF(AND(ISNUMBER(I277),ISNUMBER(J277),I277&gt;0),1-J277/I277,"")</f>
        <v/>
      </c>
      <c r="L277" s="16" t="n">
        <v>0</v>
      </c>
      <c r="M277" s="15" t="n">
        <v>69567</v>
      </c>
      <c r="N277" s="16" t="n">
        <v>2007</v>
      </c>
      <c r="O277" s="10" t="inlineStr">
        <is>
          <t>1</t>
        </is>
      </c>
      <c r="P277" s="10" t="inlineStr">
        <is>
          <t>1</t>
        </is>
      </c>
      <c r="Q277" s="16" t="n">
        <v>355</v>
      </c>
      <c r="R277" s="16" t="n">
        <v>26</v>
      </c>
      <c r="S277" s="10" t="inlineStr">
        <is>
          <t>noir</t>
        </is>
      </c>
      <c r="T277" s="16" t="n">
        <v>2</v>
      </c>
      <c r="U277" s="10" t="n"/>
      <c r="V277" s="10" t="n"/>
      <c r="W277" s="10" t="inlineStr">
        <is>
          <t>Pro</t>
        </is>
      </c>
      <c r="X277" s="10" t="inlineStr">
        <is>
          <t>Perpignan</t>
        </is>
      </c>
      <c r="Y277" s="10" t="inlineStr">
        <is>
          <t>66100</t>
        </is>
      </c>
      <c r="Z277" s="10" t="inlineStr">
        <is>
          <t>Pyrénées-Orientales</t>
        </is>
      </c>
      <c r="AA277" s="10" t="inlineStr">
        <is>
          <t>Languedoc-Roussillon</t>
        </is>
      </c>
      <c r="AB277" s="16" t="n"/>
      <c r="AC277" s="16" t="n"/>
      <c r="AD277" s="10" t="inlineStr">
        <is>
          <t>Oui</t>
        </is>
      </c>
      <c r="AE277" s="10" t="n"/>
      <c r="AF277" s="10" t="inlineStr">
        <is>
          <t>1 : 1 ; 2 : 2 ; 4 : 4 ; 911 : 911 ; 2007 : 2007 ; 43795 : 43795 ; 802651 : 802651 ; Porsche : Porsche ; PORSCHE : PORSCHE ; 69567 km : 69567 ; Essence : 1 ; Manuelle : 1 ; Carrera S : PORSCHE_911_Carrera S ; 911 Coupe Carrera S : 911 Coupe Carrera S ; 04/2007 : 04/2007 ; Excellent état (proche du neuf) : excellent_condition ; Coupé : coupe ; Noir : noir ; 26 Cv : 26 ; 355 Ch : 355 ; Avec permis : avecpermis ; false : false ; https://img.leboncoin.fr/api/v1/lbcpb1/images/17/37/17/173717113451780.jpg?rule=bo-thumb : https://img.leboncoin.fr/api/v1/lbcpb1/images/17/37/17/173717113451780.jpg?rule=bo-thumb ; auto concept 66 : auto concept 66 ; hidden : hidden ; Non renseignée : non_renseignee ; true : true ; activity_sector : 1 ; rating_score : 1 ; rating_count : 1 ; u_car_brand : PORSCHE ; u_car_model : 911 ; u_car_finition : Carrera S ; u_car_version : 911 Coupe Carrera S ; vehicle_damage : Excellent état (proche du neuf) ; vehicle_upholstery : Tout cuir ; vehicle_maintenance : Carnet d'entretien disponible, Véhicule non fumeur, Factures disponibles ; vehicle_interior_specs : Aide au stationnement, Allumage automatique des phares, Climatisation, Essuie-glaces automatiques, Jantes en alliage, Ordinateur de bord, Phares LED / Xenon, Régulateur de vitesse, Sièges chauffants, Sièges en cuir, Sièges sport, Système de navigation, Toit ouvrant / Toit panoramique ; vehicle_vsp : Avec permis ; recent_used_vehicle : false ; has_visibility_option : false ; store_logo : https://img.leboncoin.fr/api/v1/lbcpb1/images/17/37/17/173717113451780.jpg?rule=bo-thumb ; store_name : auto concept 66 ; online_store_id : 43795 ; is_import : false ; vehicle_history_report_status : hidden ; argus_object_id : 802651 ; spare_parts_availability : Non renseignée ; licence_plate_available : true</t>
        </is>
      </c>
      <c r="AG277" s="19" t="inlineStr">
        <is>
          <t>Voir</t>
        </is>
      </c>
      <c r="AH277" s="10" t="inlineStr">
        <is>
          <t>3265883612</t>
        </is>
      </c>
    </row>
    <row r="278">
      <c r="A278" s="10" t="inlineStr">
        <is>
          <t>Porsche 911 997 Carrera S</t>
        </is>
      </c>
      <c r="B278" s="10" t="inlineStr">
        <is>
          <t>Porsche 911 997 Carrera S 3.8 355ch BVM6 – 99 500 km – Sport – 19"</t>
        </is>
      </c>
      <c r="C278" s="10" t="inlineStr">
        <is>
          <t>En vente</t>
        </is>
      </c>
      <c r="D278" s="18" t="n">
        <v>46278</v>
      </c>
      <c r="E278" s="18" t="n">
        <v>46278</v>
      </c>
      <c r="F278" s="18" t="n">
        <v>46296</v>
      </c>
      <c r="G278" s="18" t="n"/>
      <c r="H278" s="17">
        <f>IF(OR(ISNUMBER(D278),ISNUMBER(E278)),IF(ISNUMBER(G278),G278,F278)-IF(ISNUMBER(D278),D278,E278),"")</f>
        <v/>
      </c>
      <c r="I278" s="12" t="n">
        <v>55000</v>
      </c>
      <c r="J278" s="12" t="n">
        <v>55000</v>
      </c>
      <c r="K278" s="13">
        <f>IF(AND(ISNUMBER(I278),ISNUMBER(J278),I278&gt;0),1-J278/I278,"")</f>
        <v/>
      </c>
      <c r="L278" s="16" t="n">
        <v>0</v>
      </c>
      <c r="M278" s="15" t="n">
        <v>99500</v>
      </c>
      <c r="N278" s="16" t="n">
        <v>2007</v>
      </c>
      <c r="O278" s="10" t="inlineStr">
        <is>
          <t>1</t>
        </is>
      </c>
      <c r="P278" s="10" t="inlineStr">
        <is>
          <t>1</t>
        </is>
      </c>
      <c r="Q278" s="16" t="n">
        <v>355</v>
      </c>
      <c r="R278" s="16" t="n">
        <v>26</v>
      </c>
      <c r="S278" s="10" t="inlineStr">
        <is>
          <t>gris</t>
        </is>
      </c>
      <c r="T278" s="16" t="n">
        <v>2</v>
      </c>
      <c r="U278" s="10" t="n"/>
      <c r="V278" s="10" t="inlineStr">
        <is>
          <t>2</t>
        </is>
      </c>
      <c r="W278" s="10" t="inlineStr">
        <is>
          <t>Particulier</t>
        </is>
      </c>
      <c r="X278" s="10" t="inlineStr">
        <is>
          <t>Issy-les-Moulineaux</t>
        </is>
      </c>
      <c r="Y278" s="10" t="inlineStr">
        <is>
          <t>92130</t>
        </is>
      </c>
      <c r="Z278" s="10" t="inlineStr">
        <is>
          <t>Hauts-de-Seine</t>
        </is>
      </c>
      <c r="AA278" s="10" t="inlineStr">
        <is>
          <t>Ile-de-France</t>
        </is>
      </c>
      <c r="AB278" s="16" t="n"/>
      <c r="AC278" s="16" t="n"/>
      <c r="AD278" s="10" t="n"/>
      <c r="AE278" s="10" t="n"/>
      <c r="AF278" s="10" t="inlineStr">
        <is>
          <t>1 : 1 ; 2 : 2 ; 3 : 3 ; 4 : 4 ; 13 : 13 ; 911 : 911 ; 2007 : 2007 ; 2027 : 2027 ; 802651 : 802651 ; https://img.leboncoin.fr/api/v1/tenants/9a6387a1-6259-4f2c-a887-7e67f23dd4cb/domains/20bda58f-d650-462e-a72a-a5a7ecf2bf88/buckets/21d2b0bc-e54c-4b64-a30b-89127b18b785/images/profile/pictures/8a802db9-33b1-5f70-8974-ef7826f5df0d?rule=pp-small : https://img.leboncoin.fr/api/v1/tenants/9a6387a1-6259-4f2c-a887-7e67f23dd4cb/domains/20bda58f-d650-462e-a72a-a5a7ecf2bf88/buckets/21d2b0bc-e54c-4b64-a30b-89127b18b785/images/profile/pictures/8a802db9-33b1-5f70-8974-ef7826f5df0d?rule=pp-small ; Porsche : Porsche ; PORSCHE : PORSCHE ; 99500 km : 99500 ; Essence : 1 ; Manuelle : 1 ; Carrera S : PORSCHE_911_Carrera S ; 911 Coupe Carrera S : 911 Coupe Carrera S ; Oui : true ; 01/2007 : 01/2007 ; Bon état général : good_overall_condition ; Coupé : coupe ; Gris : gris ; Euro 4 : euro4 ; 26 Cv : 26 ; 355 Ch : 355 ; Avec permis : avecpermis ; false : false ; https://autoviza.fr/report/report?uid=4bb1de03-98fe-42ca-9b2b-e8f50d141fb9 : https://autoviza.fr/report/report?uid=4bb1de03-98fe-42ca-9b2b-e8f50d141fb9 ; true : true ; rating_score : 1 ; rating_count : 13 ; u_car_brand : PORSCHE ; u_car_model : 911 ; u_car_finition : Carrera S ; u_car_version : 911 Coupe Carrera S ; vehicle_technical_inspection_valid : Oui ; vehicle_technical_inspection_a : 2027 ; vehicle_damage : Bon état général ; vehicle_upholstery : Tout cuir ; vehicle_maintenance : Factures disponibles, Carnet d'entretien disponible ; vehicle_interior_specs : Aide au stationnement, Alarme antivol, Apple CarPlay / Android Auto, Bluetooth, Chargeurs USB, Climatisation, Coffre à ouverture électrique, Jantes en alliage, Ordinateur de bord, Phares anti-brouillard, Phares directionnels, Phares LED / Xenon, Sièges chauffants, Sièges en cuir, Sièges sport, Sièges électriques, Suspension sport / adaptative, Système audio haut de gamme, Système de navigation, Toit ouvrant / Toit panoramique, Volant réglable en hauteur, Volant réglable en profondeur ; vehicle_euro_emissions_standard : Euro 4 ; vehicle_vsp : Avec permis ; is_import : false ; vehicle_history_report_public_url : https://autoviza.fr/report/report?uid=4bb1de03-98fe-42ca-9b2b-e8f50d141fb9 ; vehicle_history_teaser_critair : 2 ; vehicle_history_teaser_owners : 3 ; vehicle_history_teaser_expertises : true ; vehicle_history_teaser_special_uses : false ; vehicle_history_teaser_atypical_operations : true ; vehicle_history_teaser_importations : true ; argus_object_id : 802651 ; licence_plate_available : true</t>
        </is>
      </c>
      <c r="AG278" s="19" t="inlineStr">
        <is>
          <t>Voir</t>
        </is>
      </c>
      <c r="AH278" s="10" t="inlineStr">
        <is>
          <t>3268572742</t>
        </is>
      </c>
    </row>
    <row r="279">
      <c r="A279" s="10" t="inlineStr">
        <is>
          <t>Porsche 911 997 Carrera S</t>
        </is>
      </c>
      <c r="B279" s="10" t="inlineStr">
        <is>
          <t>Porsche 911 CARRERA CABRIOLET 997 S 3.8i Flat 6 Tiptronic Suivi Porsche</t>
        </is>
      </c>
      <c r="C279" s="10" t="inlineStr">
        <is>
          <t>En vente</t>
        </is>
      </c>
      <c r="D279" s="18" t="n">
        <v>46281</v>
      </c>
      <c r="E279" s="18" t="n">
        <v>46281</v>
      </c>
      <c r="F279" s="18" t="n">
        <v>46296</v>
      </c>
      <c r="G279" s="18" t="n"/>
      <c r="H279" s="17">
        <f>IF(OR(ISNUMBER(D279),ISNUMBER(E279)),IF(ISNUMBER(G279),G279,F279)-IF(ISNUMBER(D279),D279,E279),"")</f>
        <v/>
      </c>
      <c r="I279" s="12" t="n">
        <v>49990</v>
      </c>
      <c r="J279" s="12" t="n">
        <v>49990</v>
      </c>
      <c r="K279" s="13">
        <f>IF(AND(ISNUMBER(I279),ISNUMBER(J279),I279&gt;0),1-J279/I279,"")</f>
        <v/>
      </c>
      <c r="L279" s="16" t="n">
        <v>0</v>
      </c>
      <c r="M279" s="15" t="n">
        <v>136000</v>
      </c>
      <c r="N279" s="16" t="n">
        <v>2008</v>
      </c>
      <c r="O279" s="10" t="inlineStr">
        <is>
          <t>1</t>
        </is>
      </c>
      <c r="P279" s="10" t="inlineStr">
        <is>
          <t>2</t>
        </is>
      </c>
      <c r="Q279" s="16" t="n">
        <v>355</v>
      </c>
      <c r="R279" s="16" t="n">
        <v>26</v>
      </c>
      <c r="S279" s="10" t="inlineStr">
        <is>
          <t>noir</t>
        </is>
      </c>
      <c r="T279" s="16" t="n">
        <v>2</v>
      </c>
      <c r="U279" s="10" t="n"/>
      <c r="V279" s="10" t="inlineStr">
        <is>
          <t>2</t>
        </is>
      </c>
      <c r="W279" s="10" t="inlineStr">
        <is>
          <t>Pro</t>
        </is>
      </c>
      <c r="X279" s="10" t="inlineStr">
        <is>
          <t>Outreau</t>
        </is>
      </c>
      <c r="Y279" s="10" t="inlineStr">
        <is>
          <t>62230</t>
        </is>
      </c>
      <c r="Z279" s="10" t="inlineStr">
        <is>
          <t>Pas-de-Calais</t>
        </is>
      </c>
      <c r="AA279" s="10" t="inlineStr">
        <is>
          <t>Nord-Pas-de-Calais</t>
        </is>
      </c>
      <c r="AB279" s="16" t="n"/>
      <c r="AC279" s="16" t="n"/>
      <c r="AD279" s="10" t="inlineStr">
        <is>
          <t>Oui</t>
        </is>
      </c>
      <c r="AE279" s="10" t="n"/>
      <c r="AF279" s="10" t="inlineStr">
        <is>
          <t>1 : 1 ; 2 : 2 ; 911 : 911 ; 2008 : 2008 ; 862301 : 862301 ; 1416020 : 1416020 ; Porsche : Porsche ; PORSCHE : PORSCHE ; 136000 km : 136000 ; Essence : 1 ; Automatique : 2 ; Carrera S : PORSCHE_911_Carrera S ; 911 Cabriolet Carrera S TipTronic S : 911 Cabriolet Carrera S TipTronic S ; 01/2008 : 01/2008 ; Cabriolet : cabriolet ; Noir : noir ; 26 Cv : 26 ; 355 Ch : 355 ; Avec permis : avecpermis ; false : false ; true : true ; https://img.leboncoin.fr/api/v1/lbcpb1/images/06/9f/46/069f46b4-5253-4803-aec9-c27a5665504f?rule=bo-thumb : https://img.leboncoin.fr/api/v1/lbcpb1/images/06/9f/46/069f46b4-5253-4803-aec9-c27a5665504f?rule=bo-thumb ; VIA AUTOMOBILE BOULOGNE SUR MER : VIA AUTOMOBILE BOULOGNE SUR MER ; 198fyg8u : 198fyg8u ; https://autoviza.fr/report/report?uid=1566a7bb-7f55-4554-95fa-cfb6654fcb0b : https://autoviza.fr/report/report?uid=1566a7bb-7f55-4554-95fa-cfb6654fcb0b ; visible : visible ; Non renseignée : non_renseignee ; activity_sector : 1 ; u_car_brand : PORSCHE ; u_car_model : 911 ; u_car_finition : Carrera S ; u_car_version : 911 Cabriolet Carrera S TipTronic S ; vehicle_upholstery : Tout cuir ; vehicle_interior_specs : Aide au stationnement, Climatisation, Phares LED / Xenon, Régulateur de vitesse, Suspension sport / adaptative ; vehicle_vsp : Avec permis ; recent_used_vehicle : false ; has_visibility_option : true ; store_logo : https://img.leboncoin.fr/api/v1/lbcpb1/images/06/9f/46/069f46b4-5253-4803-aec9-c27a5665504f?rule=bo-thumb ; store_name : VIA AUTOMOBILE BOULOGNE SUR MER ; online_store_id : 1416020 ; custom_ref : 198fyg8u ; is_import : true ; vehicle_history_report_public_url : https://autoviza.fr/report/report?uid=1566a7bb-7f55-4554-95fa-cfb6654fcb0b ; vehicle_history_report_status : visible ; argus_object_id : 862301 ; spare_parts_availability : Non renseignée ; licence_plate_available : true</t>
        </is>
      </c>
      <c r="AG279" s="19" t="inlineStr">
        <is>
          <t>Voir</t>
        </is>
      </c>
      <c r="AH279" s="10" t="inlineStr">
        <is>
          <t>3270837815</t>
        </is>
      </c>
    </row>
    <row r="280">
      <c r="A280" s="10" t="inlineStr">
        <is>
          <t>Porsche 911 997 Carrera S</t>
        </is>
      </c>
      <c r="B280" s="10" t="inlineStr">
        <is>
          <t>Porsche 911 997 Carrera S 3.8 355ch BVM / SUIVI COMPLET / ECHAPPEMENT SCART / TOIT OUVRANT / PACK CHRONO / SIEGES ELECTRIQUES /</t>
        </is>
      </c>
      <c r="C280" s="10" t="inlineStr">
        <is>
          <t>En vente</t>
        </is>
      </c>
      <c r="D280" s="18" t="n">
        <v>46283</v>
      </c>
      <c r="E280" s="18" t="n">
        <v>46283</v>
      </c>
      <c r="F280" s="18" t="n">
        <v>46296</v>
      </c>
      <c r="G280" s="18" t="n"/>
      <c r="H280" s="17">
        <f>IF(OR(ISNUMBER(D280),ISNUMBER(E280)),IF(ISNUMBER(G280),G280,F280)-IF(ISNUMBER(D280),D280,E280),"")</f>
        <v/>
      </c>
      <c r="I280" s="12" t="n">
        <v>51000</v>
      </c>
      <c r="J280" s="12" t="n">
        <v>51000</v>
      </c>
      <c r="K280" s="13">
        <f>IF(AND(ISNUMBER(I280),ISNUMBER(J280),I280&gt;0),1-J280/I280,"")</f>
        <v/>
      </c>
      <c r="L280" s="16" t="n">
        <v>0</v>
      </c>
      <c r="M280" s="15" t="n">
        <v>97500</v>
      </c>
      <c r="N280" s="16" t="n">
        <v>2005</v>
      </c>
      <c r="O280" s="10" t="inlineStr">
        <is>
          <t>1</t>
        </is>
      </c>
      <c r="P280" s="10" t="inlineStr">
        <is>
          <t>1</t>
        </is>
      </c>
      <c r="Q280" s="16" t="n">
        <v>355</v>
      </c>
      <c r="R280" s="16" t="n">
        <v>26</v>
      </c>
      <c r="S280" s="10" t="inlineStr">
        <is>
          <t>gris</t>
        </is>
      </c>
      <c r="T280" s="16" t="n">
        <v>2</v>
      </c>
      <c r="U280" s="10" t="n"/>
      <c r="V280" s="10" t="n"/>
      <c r="W280" s="10" t="inlineStr">
        <is>
          <t>Pro</t>
        </is>
      </c>
      <c r="X280" s="10" t="inlineStr">
        <is>
          <t>Orléans</t>
        </is>
      </c>
      <c r="Y280" s="10" t="inlineStr">
        <is>
          <t>45000</t>
        </is>
      </c>
      <c r="Z280" s="10" t="inlineStr">
        <is>
          <t>Loiret</t>
        </is>
      </c>
      <c r="AA280" s="10" t="inlineStr">
        <is>
          <t>Centre</t>
        </is>
      </c>
      <c r="AB280" s="16" t="n"/>
      <c r="AC280" s="16" t="n"/>
      <c r="AD280" s="10" t="n"/>
      <c r="AE280" s="10" t="n"/>
      <c r="AF280" s="10" t="inlineStr">
        <is>
          <t>1 : 1 ; 2 : 2 ; 4 : 4 ; 911 : 911 ; 2005 : 2005 ; 52000 : 52000 ; 802651 : 802651 ; 5893965 : 5893965 ; Porsche : Porsche ; PORSCHE : PORSCHE ; 97500 km : 97500 ; Essence : 1 ; Manuelle : 1 ; Carrera S : PORSCHE_911_Carrera S ; 911 Coupe Carrera S : 911 Coupe Carrera S ; 03/2005 : 03/2005 ; Gris : gris ; 26 Cv : 26 ; 355 Ch : 355 ; false : false ; true : true ; https://img.leboncoin.fr/api/v1/lbcpb1/images/d4/b2/3c/d4b23c18-6c1d-4b4e-a12d-c17383fc9ce8?rule=bo-thumb : https://img.leboncoin.fr/api/v1/lbcpb1/images/d4/b2/3c/d4b23c18-6c1d-4b4e-a12d-c17383fc9ce8?rule=bo-thumb ; TransakAuto Orléans : TransakAuto Orléans ; VO55658379 : VO55658379 ; https://autoviza.fr/report/report?uid=485c6ec8-f24c-4fb6-b039-aac83a752a61 : https://autoviza.fr/report/report?uid=485c6ec8-f24c-4fb6-b039-aac83a752a61 ; visible : visible ; Non renseignée : non_renseignee ; activity_sector : 1 ; u_car_brand : PORSCHE ; u_car_model : 911 ; u_car_finition : Carrera S ; u_car_version : 911 Coupe Carrera S ; vehicle_interior_specs : Aide au stationnement, Climatisation, Ordinateur de bord, Régulateur de vitesse, Système de navigation, Toit ouvrant / Toit panoramique ; recent_used_vehicle : false ; has_visibility_option : true ; store_logo : https://img.leboncoin.fr/api/v1/lbcpb1/images/d4/b2/3c/d4b23c18-6c1d-4b4e-a12d-c17383fc9ce8?rule=bo-thumb ; store_name : TransakAuto Orléans ; online_store_id : 5893965 ; custom_ref : VO55658379 ; is_import : true ; old_price : 52000 ; vehicle_history_report_public_url : https://autoviza.fr/report/report?uid=485c6ec8-f24c-4fb6-b039-aac83a752a61 ; vehicle_history_report_status : visible ; argus_object_id : 802651 ; spare_parts_availability : Non renseignée ; licence_plate_available : true</t>
        </is>
      </c>
      <c r="AG280" s="19" t="inlineStr">
        <is>
          <t>Voir</t>
        </is>
      </c>
      <c r="AH280" s="10" t="inlineStr">
        <is>
          <t>3271951396</t>
        </is>
      </c>
    </row>
    <row r="281">
      <c r="A281" s="10" t="inlineStr">
        <is>
          <t>Porsche 911 997 Carrera S</t>
        </is>
      </c>
      <c r="B281" s="10" t="inlineStr">
        <is>
          <t>Porsche 911 997 carrera s cabriolet bvm 3.8 355</t>
        </is>
      </c>
      <c r="C281" s="10" t="inlineStr">
        <is>
          <t>En vente</t>
        </is>
      </c>
      <c r="D281" s="18" t="n">
        <v>46283</v>
      </c>
      <c r="E281" s="18" t="n">
        <v>46283</v>
      </c>
      <c r="F281" s="18" t="n">
        <v>46296</v>
      </c>
      <c r="G281" s="18" t="n"/>
      <c r="H281" s="17">
        <f>IF(OR(ISNUMBER(D281),ISNUMBER(E281)),IF(ISNUMBER(G281),G281,F281)-IF(ISNUMBER(D281),D281,E281),"")</f>
        <v/>
      </c>
      <c r="I281" s="12" t="n">
        <v>48980</v>
      </c>
      <c r="J281" s="12" t="n">
        <v>48980</v>
      </c>
      <c r="K281" s="13">
        <f>IF(AND(ISNUMBER(I281),ISNUMBER(J281),I281&gt;0),1-J281/I281,"")</f>
        <v/>
      </c>
      <c r="L281" s="16" t="n">
        <v>0</v>
      </c>
      <c r="M281" s="15" t="n">
        <v>99850</v>
      </c>
      <c r="N281" s="16" t="n">
        <v>2007</v>
      </c>
      <c r="O281" s="10" t="inlineStr">
        <is>
          <t>1</t>
        </is>
      </c>
      <c r="P281" s="10" t="inlineStr">
        <is>
          <t>1</t>
        </is>
      </c>
      <c r="Q281" s="16" t="n">
        <v>355</v>
      </c>
      <c r="R281" s="16" t="n">
        <v>26</v>
      </c>
      <c r="S281" s="10" t="inlineStr">
        <is>
          <t>noir</t>
        </is>
      </c>
      <c r="T281" s="16" t="n">
        <v>2</v>
      </c>
      <c r="U281" s="10" t="n"/>
      <c r="V281" s="10" t="n"/>
      <c r="W281" s="10" t="inlineStr">
        <is>
          <t>Particulier</t>
        </is>
      </c>
      <c r="X281" s="10" t="inlineStr">
        <is>
          <t>Villenave-d'Ornon</t>
        </is>
      </c>
      <c r="Y281" s="10" t="inlineStr">
        <is>
          <t>33140</t>
        </is>
      </c>
      <c r="Z281" s="10" t="inlineStr">
        <is>
          <t>Gironde</t>
        </is>
      </c>
      <c r="AA281" s="10" t="inlineStr">
        <is>
          <t>Aquitaine</t>
        </is>
      </c>
      <c r="AB281" s="16" t="n"/>
      <c r="AC281" s="16" t="n"/>
      <c r="AD281" s="10" t="n"/>
      <c r="AE281" s="10" t="n"/>
      <c r="AF281" s="10" t="inlineStr">
        <is>
          <t>2 : 2 ; 4 : 4 ; 911 : 911 ; 2007 : 2007 ; 862300 : 862300 ; https://img.leboncoin.fr/api/v1/tenants/9a6387a1-6259-4f2c-a887-7e67f23dd4cb/domains/20bda58f-d650-462e-a72a-a5a7ecf2bf88/buckets/21d2b0bc-e54c-4b64-a30b-89127b18b785/images/profile/pictures/default/b508c6e7-b281-5616-9b96-5f0511f52788?rule=pp-small : https://img.leboncoin.fr/api/v1/tenants/9a6387a1-6259-4f2c-a887-7e67f23dd4cb/domains/20bda58f-d650-462e-a72a-a5a7ecf2bf88/buckets/21d2b0bc-e54c-4b64-a30b-89127b18b785/images/profile/pictures/default/b508c6e7-b281-5616-9b96-5f0511f52788?rule=pp-small ; Porsche : Porsche ; PORSCHE : PORSCHE ; 99850 km : 99850 ; Essence : 1 ; Manuelle : 1 ; Carrera S : PORSCHE_911_Carrera S ; 911 Cabriolet Carrera S : 911 Cabriolet Carrera S ; Non : false ; 07/2007 : 07/2007 ; Cabriolet : cabriolet ; Noir : noir ; 26 Cv : 26 ; 355 Ch : 355 ; Avec permis : avecpermis ; false : false ; true : true ; u_car_brand : PORSCHE ; u_car_model : 911 ; u_car_finition : Carrera S ; u_car_version : 911 Cabriolet Carrera S ; vehicle_technical_inspection_valid : Non ; vehicle_upholstery : Tout cuir ; vehicle_interior_specs : Aide au stationnement, Climatisation ; vehicle_vsp : Avec permis ; is_import : false ; vehicle_is_eligible_p2p : 2 ; argus_object_id : 862300 ; licence_plate_available : true</t>
        </is>
      </c>
      <c r="AG281" s="19" t="inlineStr">
        <is>
          <t>Voir</t>
        </is>
      </c>
      <c r="AH281" s="10" t="inlineStr">
        <is>
          <t>3272054365</t>
        </is>
      </c>
    </row>
    <row r="282">
      <c r="A282" s="10" t="inlineStr">
        <is>
          <t>Porsche 911 997 Carrera S</t>
        </is>
      </c>
      <c r="B282" s="10" t="inlineStr">
        <is>
          <t>Porsche 911 CABRIOLET (997) CARRERA 4S TIPTRONIC S</t>
        </is>
      </c>
      <c r="C282" s="10" t="inlineStr">
        <is>
          <t>En vente</t>
        </is>
      </c>
      <c r="D282" s="18" t="n">
        <v>46284</v>
      </c>
      <c r="E282" s="18" t="n">
        <v>46284</v>
      </c>
      <c r="F282" s="18" t="n">
        <v>46296</v>
      </c>
      <c r="G282" s="18" t="n"/>
      <c r="H282" s="17">
        <f>IF(OR(ISNUMBER(D282),ISNUMBER(E282)),IF(ISNUMBER(G282),G282,F282)-IF(ISNUMBER(D282),D282,E282),"")</f>
        <v/>
      </c>
      <c r="I282" s="12" t="n">
        <v>57890</v>
      </c>
      <c r="J282" s="12" t="n">
        <v>57890</v>
      </c>
      <c r="K282" s="13">
        <f>IF(AND(ISNUMBER(I282),ISNUMBER(J282),I282&gt;0),1-J282/I282,"")</f>
        <v/>
      </c>
      <c r="L282" s="16" t="n">
        <v>0</v>
      </c>
      <c r="M282" s="15" t="n">
        <v>122500</v>
      </c>
      <c r="N282" s="16" t="n">
        <v>2008</v>
      </c>
      <c r="O282" s="10" t="inlineStr">
        <is>
          <t>1</t>
        </is>
      </c>
      <c r="P282" s="10" t="inlineStr">
        <is>
          <t>2</t>
        </is>
      </c>
      <c r="Q282" s="16" t="n">
        <v>355</v>
      </c>
      <c r="R282" s="16" t="n">
        <v>26</v>
      </c>
      <c r="S282" s="10" t="inlineStr">
        <is>
          <t>gris</t>
        </is>
      </c>
      <c r="T282" s="16" t="n"/>
      <c r="U282" s="10" t="n"/>
      <c r="V282" s="10" t="inlineStr">
        <is>
          <t>2</t>
        </is>
      </c>
      <c r="W282" s="10" t="inlineStr">
        <is>
          <t>Pro</t>
        </is>
      </c>
      <c r="X282" s="10" t="inlineStr">
        <is>
          <t>Le Coteau</t>
        </is>
      </c>
      <c r="Y282" s="10" t="inlineStr">
        <is>
          <t>42120</t>
        </is>
      </c>
      <c r="Z282" s="10" t="inlineStr">
        <is>
          <t>Loire</t>
        </is>
      </c>
      <c r="AA282" s="10" t="inlineStr">
        <is>
          <t>Rhône-Alpes</t>
        </is>
      </c>
      <c r="AB282" s="16" t="n"/>
      <c r="AC282" s="16" t="n"/>
      <c r="AD282" s="10" t="inlineStr">
        <is>
          <t>Oui</t>
        </is>
      </c>
      <c r="AE282" s="10" t="n"/>
      <c r="AF282" s="10" t="inlineStr">
        <is>
          <t>1 : 1 ; 2 : 2 ; 4 : 4 ; 911 : 911 ; 1550 : 1550 ; 2008 : 2008 ; 113331 : 113331 ; 881541 : 881541 ; Porsche : Porsche ; PORSCHE : PORSCHE ; 122500 km : 122500 ; Essence : 1 ; Automatique : 2 ; Carrera 4S : PORSCHE_911_Carrera 4S ; 911 Cabriolet Carrera 4S TipTronic S : 911 Cabriolet Carrera 4S TipTronic S ; 03/2008 : 03/2008 ; Cabriolet : cabriolet ; Gris : gris ; 26 Cv : 26 ; 355 Ch : 355 ; Avec permis : avecpermis ; false : false ; true : true ; https://img.leboncoin.fr/api/v1/lbcpb1/images/b6/ed/56/b6ed56e1-c646-4276-b82b-08ab116916be?rule=bo-thumb : https://img.leboncoin.fr/api/v1/lbcpb1/images/b6/ed/56/b6ed56e1-c646-4276-b82b-08ab116916be?rule=bo-thumb ; Carprotek : Carprotek ; https://autoviza.fr/report/report?uid=25affca6-a752-4391-9970-816bd1a16b98 : https://autoviza.fr/report/report?uid=25affca6-a752-4391-9970-816bd1a16b98 ; visible : visible ; Non renseignée : non_renseignee ; activity_sector : 1 ; u_car_brand : PORSCHE ; u_car_model : 911 ; u_car_finition : Carrera 4S ; u_car_version : 911 Cabriolet Carrera 4S TipTronic S ; vehicle_vsp : Avec permis ; recent_used_vehicle : false ; has_visibility_option : true ; store_logo : https://img.leboncoin.fr/api/v1/lbcpb1/images/b6/ed/56/b6ed56e1-c646-4276-b82b-08ab116916be?rule=bo-thumb ; store_name : Carprotek ; online_store_id : 113331 ; custom_ref : 1550 ; is_import : true ; vehicle_history_report_public_url : https://autoviza.fr/report/report?uid=25affca6-a752-4391-9970-816bd1a16b98 ; vehicle_history_report_status : visible ; argus_object_id : 881541 ; spare_parts_availability : Non renseignée ; licence_plate_available : true</t>
        </is>
      </c>
      <c r="AG282" s="19" t="inlineStr">
        <is>
          <t>Voir</t>
        </is>
      </c>
      <c r="AH282" s="10" t="inlineStr">
        <is>
          <t>3272281258</t>
        </is>
      </c>
    </row>
    <row r="283">
      <c r="A283" s="10" t="inlineStr">
        <is>
          <t>Porsche 911 997 Carrera S</t>
        </is>
      </c>
      <c r="B283" s="10" t="inlineStr">
        <is>
          <t>PORSCHE 911 (997) Carrera S 3.8l</t>
        </is>
      </c>
      <c r="C283" s="10" t="inlineStr">
        <is>
          <t>En vente</t>
        </is>
      </c>
      <c r="D283" s="18" t="n">
        <v>46284</v>
      </c>
      <c r="E283" s="18" t="n">
        <v>46284</v>
      </c>
      <c r="F283" s="18" t="n">
        <v>46296</v>
      </c>
      <c r="G283" s="18" t="n"/>
      <c r="H283" s="17">
        <f>IF(OR(ISNUMBER(D283),ISNUMBER(E283)),IF(ISNUMBER(G283),G283,F283)-IF(ISNUMBER(D283),D283,E283),"")</f>
        <v/>
      </c>
      <c r="I283" s="12" t="n">
        <v>49997</v>
      </c>
      <c r="J283" s="12" t="n">
        <v>49997</v>
      </c>
      <c r="K283" s="13">
        <f>IF(AND(ISNUMBER(I283),ISNUMBER(J283),I283&gt;0),1-J283/I283,"")</f>
        <v/>
      </c>
      <c r="L283" s="16" t="n">
        <v>0</v>
      </c>
      <c r="M283" s="15" t="n">
        <v>76500</v>
      </c>
      <c r="N283" s="16" t="n">
        <v>2005</v>
      </c>
      <c r="O283" s="10" t="inlineStr">
        <is>
          <t>1</t>
        </is>
      </c>
      <c r="P283" s="10" t="inlineStr">
        <is>
          <t>1</t>
        </is>
      </c>
      <c r="Q283" s="16" t="n">
        <v>355</v>
      </c>
      <c r="R283" s="16" t="n">
        <v>26</v>
      </c>
      <c r="S283" s="10" t="inlineStr">
        <is>
          <t>gris</t>
        </is>
      </c>
      <c r="T283" s="16" t="n">
        <v>2</v>
      </c>
      <c r="U283" s="10" t="n"/>
      <c r="V283" s="10" t="n"/>
      <c r="W283" s="10" t="inlineStr">
        <is>
          <t>Particulier</t>
        </is>
      </c>
      <c r="X283" s="10" t="inlineStr">
        <is>
          <t>Le Mans</t>
        </is>
      </c>
      <c r="Y283" s="10" t="inlineStr">
        <is>
          <t>72000</t>
        </is>
      </c>
      <c r="Z283" s="10" t="inlineStr">
        <is>
          <t>Sarthe</t>
        </is>
      </c>
      <c r="AA283" s="10" t="inlineStr">
        <is>
          <t>Pays de la Loire</t>
        </is>
      </c>
      <c r="AB283" s="16" t="n"/>
      <c r="AC283" s="16" t="n"/>
      <c r="AD283" s="10" t="n"/>
      <c r="AE283" s="10" t="n"/>
      <c r="AF283" s="10" t="inlineStr">
        <is>
          <t>2 : 2 ; 4 : 4 ; 6 : 6 ; 911 : 911 ; 2005 : 2005 ; 802651 : 802651 ; https://img.leboncoin.fr/api/v1/tenants/9a6387a1-6259-4f2c-a887-7e67f23dd4cb/domains/20bda58f-d650-462e-a72a-a5a7ecf2bf88/buckets/21d2b0bc-e54c-4b64-a30b-89127b18b785/images/profile/pictures/default/d614e912-208c-5404-b5a9-bb987d945917?rule=pp-small : https://img.leboncoin.fr/api/v1/tenants/9a6387a1-6259-4f2c-a887-7e67f23dd4cb/domains/20bda58f-d650-462e-a72a-a5a7ecf2bf88/buckets/21d2b0bc-e54c-4b64-a30b-89127b18b785/images/profile/pictures/default/d614e912-208c-5404-b5a9-bb987d945917?rule=pp-small ; Porsche : Porsche ; PORSCHE : PORSCHE ; 76500 km : 76500 ; Essence : 1 ; Manuelle : 1 ; Carrera S : PORSCHE_911_Carrera S ; 911 Coupe Carrera S : 911 Coupe Carrera S ; Non : false ; 01/2005 : 01/2005 ; Excellent état (proche du neuf) : excellent_condition ; Coupé : coupe ; Gris : gris ; 26 Cv : 26 ; 355 Ch : 355 ; Avec permis : avecpermis ; false : false ; https://autoviza.fr/report/report?uid=11a900e4-427a-4884-9f62-cb3af783f959 : https://autoviza.fr/report/report?uid=11a900e4-427a-4884-9f62-cb3af783f959 ; true : true ; u_car_brand : PORSCHE ; u_car_model : 911 ; u_car_finition : Carrera S ; u_car_version : 911 Coupe Carrera S ; vehicle_technical_inspection_valid : Non ; vehicle_damage : Excellent état (proche du neuf) ; vehicle_upholstery : Tout cuir ; vehicle_maintenance : Carnet d'entretien disponible, Factures disponibles, Véhicule non fumeur ; vehicle_interior_specs : Alarme antivol, Apple CarPlay / Android Auto, Bluetooth, Climatisation, Jantes en alliage, Ordinateur de bord, Phares anti-brouillard, Phares LED / Xenon, Radio numérique DAB, Rétroviseurs dégivrants, Siège arrière rabattable, Sièges en cuir, Sièges électriques, Suspension sport / adaptative, Système audio haut de gamme, Système de navigation, Vitres surteintées à l'arrière ; vehicle_vsp : Avec permis ; is_import : false ; vehicle_is_eligible_p2p : 2 ; vehicle_history_report_public_url : https://autoviza.fr/report/report?uid=11a900e4-427a-4884-9f62-cb3af783f959 ; vehicle_history_teaser_critair : 2 ; vehicle_history_teaser_owners : 6 ; vehicle_history_teaser_expertises : false ; vehicle_history_teaser_special_uses : false ; vehicle_history_teaser_atypical_operations : false ; vehicle_history_teaser_importations : false ; argus_object_id : 802651 ; licence_plate_available : true</t>
        </is>
      </c>
      <c r="AG283" s="19" t="inlineStr">
        <is>
          <t>Voir</t>
        </is>
      </c>
      <c r="AH283" s="10" t="inlineStr">
        <is>
          <t>3272652346</t>
        </is>
      </c>
    </row>
    <row r="284">
      <c r="A284" s="10" t="inlineStr">
        <is>
          <t>Porsche 911 997 Carrera S</t>
        </is>
      </c>
      <c r="B284" s="10" t="inlineStr">
        <is>
          <t>Porsche 911 (997) Carrera S Cabriolet – Boîte Manuelle – Configuration Rare – 118 500 km</t>
        </is>
      </c>
      <c r="C284" s="10" t="inlineStr">
        <is>
          <t>En vente</t>
        </is>
      </c>
      <c r="D284" s="18" t="n">
        <v>46287</v>
      </c>
      <c r="E284" s="18" t="n">
        <v>46287</v>
      </c>
      <c r="F284" s="18" t="n">
        <v>46296</v>
      </c>
      <c r="G284" s="18" t="n"/>
      <c r="H284" s="17">
        <f>IF(OR(ISNUMBER(D284),ISNUMBER(E284)),IF(ISNUMBER(G284),G284,F284)-IF(ISNUMBER(D284),D284,E284),"")</f>
        <v/>
      </c>
      <c r="I284" s="12" t="n">
        <v>59911</v>
      </c>
      <c r="J284" s="12" t="n">
        <v>59911</v>
      </c>
      <c r="K284" s="13">
        <f>IF(AND(ISNUMBER(I284),ISNUMBER(J284),I284&gt;0),1-J284/I284,"")</f>
        <v/>
      </c>
      <c r="L284" s="16" t="n">
        <v>0</v>
      </c>
      <c r="M284" s="15" t="n">
        <v>118500</v>
      </c>
      <c r="N284" s="16" t="n">
        <v>2007</v>
      </c>
      <c r="O284" s="10" t="inlineStr">
        <is>
          <t>1</t>
        </is>
      </c>
      <c r="P284" s="10" t="inlineStr">
        <is>
          <t>1</t>
        </is>
      </c>
      <c r="Q284" s="16" t="n">
        <v>355</v>
      </c>
      <c r="R284" s="16" t="n">
        <v>26</v>
      </c>
      <c r="S284" s="10" t="inlineStr">
        <is>
          <t>noir</t>
        </is>
      </c>
      <c r="T284" s="16" t="n">
        <v>2</v>
      </c>
      <c r="U284" s="10" t="n"/>
      <c r="V284" s="10" t="n"/>
      <c r="W284" s="10" t="inlineStr">
        <is>
          <t>Particulier</t>
        </is>
      </c>
      <c r="X284" s="10" t="inlineStr">
        <is>
          <t>Saint-Paul-de-Vence</t>
        </is>
      </c>
      <c r="Y284" s="10" t="inlineStr">
        <is>
          <t>06570</t>
        </is>
      </c>
      <c r="Z284" s="10" t="inlineStr">
        <is>
          <t>Alpes-Maritimes</t>
        </is>
      </c>
      <c r="AA284" s="10" t="inlineStr">
        <is>
          <t>Provence-Alpes-Côte d'Azur</t>
        </is>
      </c>
      <c r="AB284" s="16" t="n"/>
      <c r="AC284" s="16" t="n"/>
      <c r="AD284" s="10" t="n"/>
      <c r="AE284" s="10" t="n"/>
      <c r="AF284" s="10" t="inlineStr">
        <is>
          <t>2 : 2 ; 4 : 4 ; 8 : 8 ; 911 : 911 ; 2007 : 2007 ; 862300 : 862300 ; https://img.leboncoin.fr/api/v1/tenants/9a6387a1-6259-4f2c-a887-7e67f23dd4cb/domains/20bda58f-d650-462e-a72a-a5a7ecf2bf88/buckets/21d2b0bc-e54c-4b64-a30b-89127b18b785/images/profile/pictures/default/99d17e9b-c37a-5fbe-8730-9a3f3e6f7865?rule=pp-small : https://img.leboncoin.fr/api/v1/tenants/9a6387a1-6259-4f2c-a887-7e67f23dd4cb/domains/20bda58f-d650-462e-a72a-a5a7ecf2bf88/buckets/21d2b0bc-e54c-4b64-a30b-89127b18b785/images/profile/pictures/default/99d17e9b-c37a-5fbe-8730-9a3f3e6f7865?rule=pp-small ; Porsche : Porsche ; PORSCHE : PORSCHE ; 118500 km : 118500 ; Essence : 1 ; Manuelle : 1 ; Carrera S : PORSCHE_911_Carrera S ; 911 Cabriolet Carrera S : 911 Cabriolet Carrera S ; Non : false ; 10/2007 : 10/2007 ; Bon état général : good_overall_condition ; Cabriolet : cabriolet ; Noir : noir ; 26 Cv : 26 ; 355 Ch : 355 ; Avec permis : avecpermis ; false : false ; https://autoviza.fr/report/report?uid=d786696a-337a-4586-aec5-afdfacb25086 : https://autoviza.fr/report/report?uid=d786696a-337a-4586-aec5-afdfacb25086 ; true : true ; u_car_brand : PORSCHE ; u_car_model : 911 ; u_car_finition : Carrera S ; u_car_version : 911 Cabriolet Carrera S ; vehicle_technical_inspection_valid : Non ; vehicle_damage : Bon état général ; vehicle_upholstery : Tout cuir ; vehicle_maintenance : Véhicule non fumeur, Factures disponibles ; vehicle_vsp : Avec permis ; is_import : false ; vehicle_history_report_public_url : https://autoviza.fr/report/report?uid=d786696a-337a-4586-aec5-afdfacb25086 ; vehicle_history_teaser_critair : 2 ; vehicle_history_teaser_owners : 8 ; vehicle_history_teaser_expertises : false ; vehicle_history_teaser_special_uses : false ; vehicle_history_teaser_atypical_operations : false ; vehicle_history_teaser_importations : false ; argus_object_id : 862300 ; licence_plate_available : true</t>
        </is>
      </c>
      <c r="AG284" s="19" t="inlineStr">
        <is>
          <t>Voir</t>
        </is>
      </c>
      <c r="AH284" s="10" t="inlineStr">
        <is>
          <t>3274429079</t>
        </is>
      </c>
    </row>
    <row r="285">
      <c r="A285" s="10" t="inlineStr">
        <is>
          <t>Porsche 911 997 Carrera S</t>
        </is>
      </c>
      <c r="B285" s="10" t="inlineStr">
        <is>
          <t>Porsche 911 IV (997) Carrera S TipTronic</t>
        </is>
      </c>
      <c r="C285" s="10" t="inlineStr">
        <is>
          <t>En vente</t>
        </is>
      </c>
      <c r="D285" s="18" t="n">
        <v>46287</v>
      </c>
      <c r="E285" s="18" t="n">
        <v>46287</v>
      </c>
      <c r="F285" s="18" t="n">
        <v>46296</v>
      </c>
      <c r="G285" s="18" t="n"/>
      <c r="H285" s="17">
        <f>IF(OR(ISNUMBER(D285),ISNUMBER(E285)),IF(ISNUMBER(G285),G285,F285)-IF(ISNUMBER(D285),D285,E285),"")</f>
        <v/>
      </c>
      <c r="I285" s="12" t="n">
        <v>53990</v>
      </c>
      <c r="J285" s="12" t="n">
        <v>53990</v>
      </c>
      <c r="K285" s="13">
        <f>IF(AND(ISNUMBER(I285),ISNUMBER(J285),I285&gt;0),1-J285/I285,"")</f>
        <v/>
      </c>
      <c r="L285" s="16" t="n">
        <v>0</v>
      </c>
      <c r="M285" s="15" t="n">
        <v>82000</v>
      </c>
      <c r="N285" s="16" t="n">
        <v>2005</v>
      </c>
      <c r="O285" s="10" t="inlineStr">
        <is>
          <t>1</t>
        </is>
      </c>
      <c r="P285" s="10" t="inlineStr">
        <is>
          <t>2</t>
        </is>
      </c>
      <c r="Q285" s="16" t="n">
        <v>355</v>
      </c>
      <c r="R285" s="16" t="n">
        <v>26</v>
      </c>
      <c r="S285" s="10" t="inlineStr">
        <is>
          <t>noir</t>
        </is>
      </c>
      <c r="T285" s="16" t="n">
        <v>2</v>
      </c>
      <c r="U285" s="10" t="n"/>
      <c r="V285" s="10" t="inlineStr">
        <is>
          <t>3</t>
        </is>
      </c>
      <c r="W285" s="10" t="inlineStr">
        <is>
          <t>Pro</t>
        </is>
      </c>
      <c r="X285" s="10" t="inlineStr">
        <is>
          <t>Méry-sur-Oise</t>
        </is>
      </c>
      <c r="Y285" s="10" t="inlineStr">
        <is>
          <t>95540</t>
        </is>
      </c>
      <c r="Z285" s="10" t="inlineStr">
        <is>
          <t>Val-d'Oise</t>
        </is>
      </c>
      <c r="AA285" s="10" t="inlineStr">
        <is>
          <t>Ile-de-France</t>
        </is>
      </c>
      <c r="AB285" s="16" t="n"/>
      <c r="AC285" s="16" t="n"/>
      <c r="AD285" s="10" t="inlineStr">
        <is>
          <t>Oui</t>
        </is>
      </c>
      <c r="AE285" s="10" t="n"/>
      <c r="AF285" s="10" t="inlineStr">
        <is>
          <t>1 : 1 ; 2 : 2 ; 3 : 3 ; 4 : 4 ; 911 : 911 ; 2005 : 2005 ; 2825 : 2825 ; 85074 : 85074 ; 802652 : 802652 ; Porsche : Porsche ; PORSCHE : PORSCHE ; 82000 km : 82000 ; Essence : 1 ; Automatique : 2 ; Carrera S : PORSCHE_911_Carrera S ; 911 Coupe Carrera S TipTronic S : 911 Coupe Carrera S TipTronic S ; Oui : true ; 11/2005 : 11/2005 ; Coupé : coupe ; Noir : noir ; 26 Cv : 26 ; 355 Ch : 355 ; Avec permis : avecpermis ; false : false ; https://img.leboncoin.fr/api/v1/lbcpb1/images/ab/6a/a7/ab6aa70049f65ec86d5638bdda5aaf2f8db9bd45?rule=bo-thumb : https://img.leboncoin.fr/api/v1/lbcpb1/images/ab/6a/a7/ab6aa70049f65ec86d5638bdda5aaf2f8db9bd45?rule=bo-thumb ; L'AUTOMOBILE PARIS : L'AUTOMOBILE PARIS ; true : true ; https://autoviza.fr/report/report?uid=90e1d645-5ab5-493c-9d51-7c11a79c7d60 : https://autoviza.fr/report/report?uid=90e1d645-5ab5-493c-9d51-7c11a79c7d60 ; visible : visible ; Non renseignée : non_renseignee ; activity_sector : 1 ; u_car_brand : PORSCHE ; u_car_model : 911 ; u_car_finition : Carrera S ; u_car_version : 911 Coupe Carrera S TipTronic S ; vehicle_technical_inspection_valid : Oui ; vehicle_maintenance : Carnet d'entretien disponible ; vehicle_vsp : Avec permis ; recent_used_vehicle : false ; has_visibility_option : false ; store_logo : https://img.leboncoin.fr/api/v1/lbcpb1/images/ab/6a/a7/ab6aa70049f65ec86d5638bdda5aaf2f8db9bd45?rule=bo-thumb ; store_name : L'AUTOMOBILE PARIS ; online_store_id : 85074 ; custom_ref : 2825 ; is_import : true ; vehicle_history_report_public_url : https://autoviza.fr/report/report?uid=90e1d645-5ab5-493c-9d51-7c11a79c7d60 ; vehicle_history_report_status : visible ; argus_object_id : 802652 ; spare_parts_availability : Non renseignée ; licence_plate_available : true</t>
        </is>
      </c>
      <c r="AG285" s="19" t="inlineStr">
        <is>
          <t>Voir</t>
        </is>
      </c>
      <c r="AH285" s="10" t="inlineStr">
        <is>
          <t>3274821732</t>
        </is>
      </c>
    </row>
    <row r="286">
      <c r="A286" s="10" t="inlineStr">
        <is>
          <t>Porsche 911 997 Carrera S</t>
        </is>
      </c>
      <c r="B286" s="10" t="inlineStr">
        <is>
          <t>Porsche 911 997 Carrera S</t>
        </is>
      </c>
      <c r="C286" s="10" t="inlineStr">
        <is>
          <t>En vente</t>
        </is>
      </c>
      <c r="D286" s="18" t="n">
        <v>46291</v>
      </c>
      <c r="E286" s="18" t="n">
        <v>46291</v>
      </c>
      <c r="F286" s="18" t="n">
        <v>46296</v>
      </c>
      <c r="G286" s="18" t="n"/>
      <c r="H286" s="17">
        <f>IF(OR(ISNUMBER(D286),ISNUMBER(E286)),IF(ISNUMBER(G286),G286,F286)-IF(ISNUMBER(D286),D286,E286),"")</f>
        <v/>
      </c>
      <c r="I286" s="12" t="n">
        <v>44997</v>
      </c>
      <c r="J286" s="12" t="n">
        <v>44997</v>
      </c>
      <c r="K286" s="13">
        <f>IF(AND(ISNUMBER(I286),ISNUMBER(J286),I286&gt;0),1-J286/I286,"")</f>
        <v/>
      </c>
      <c r="L286" s="16" t="n">
        <v>0</v>
      </c>
      <c r="M286" s="15" t="n">
        <v>158900</v>
      </c>
      <c r="N286" s="16" t="n">
        <v>2007</v>
      </c>
      <c r="O286" s="10" t="inlineStr">
        <is>
          <t>1</t>
        </is>
      </c>
      <c r="P286" s="10" t="inlineStr">
        <is>
          <t>2</t>
        </is>
      </c>
      <c r="Q286" s="16" t="n">
        <v>355</v>
      </c>
      <c r="R286" s="16" t="n">
        <v>26</v>
      </c>
      <c r="S286" s="10" t="inlineStr">
        <is>
          <t>noir</t>
        </is>
      </c>
      <c r="T286" s="16" t="n">
        <v>2</v>
      </c>
      <c r="U286" s="10" t="n"/>
      <c r="V286" s="10" t="n"/>
      <c r="W286" s="10" t="inlineStr">
        <is>
          <t>Particulier</t>
        </is>
      </c>
      <c r="X286" s="10" t="inlineStr">
        <is>
          <t>Liévin</t>
        </is>
      </c>
      <c r="Y286" s="10" t="inlineStr">
        <is>
          <t>62800</t>
        </is>
      </c>
      <c r="Z286" s="10" t="inlineStr">
        <is>
          <t>Pas-de-Calais</t>
        </is>
      </c>
      <c r="AA286" s="10" t="inlineStr">
        <is>
          <t>Nord-Pas-de-Calais</t>
        </is>
      </c>
      <c r="AB286" s="16" t="n"/>
      <c r="AC286" s="16" t="n"/>
      <c r="AD286" s="10" t="n"/>
      <c r="AE286" s="10" t="n"/>
      <c r="AF286" s="10" t="inlineStr">
        <is>
          <t>1 : 1 ; 2 : 2 ; 4 : 4 ; 6 : 6 ; 911 : 911 ; 2007 : 2007 ; 802652 : 802652 ; https://img.leboncoin.fr/api/v1/tenants/9a6387a1-6259-4f2c-a887-7e67f23dd4cb/domains/20bda58f-d650-462e-a72a-a5a7ecf2bf88/buckets/21d2b0bc-e54c-4b64-a30b-89127b18b785/images/profile/pictures/default/b5515ccb-d011-52c4-bb92-c4618b956a05?rule=pp-small : https://img.leboncoin.fr/api/v1/tenants/9a6387a1-6259-4f2c-a887-7e67f23dd4cb/domains/20bda58f-d650-462e-a72a-a5a7ecf2bf88/buckets/21d2b0bc-e54c-4b64-a30b-89127b18b785/images/profile/pictures/default/b5515ccb-d011-52c4-bb92-c4618b956a05?rule=pp-small ; Porsche : Porsche ; PORSCHE : PORSCHE ; 158900 km : 158900 ; Essence : 1 ; Automatique : 2 ; Carrera S : PORSCHE_911_Carrera S ; 911 Coupe Carrera S TipTronic S : 911 Coupe Carrera S TipTronic S ; 07/2007 : 07/2007 ; Excellent état (proche du neuf) : excellent_condition ; Autre : autre ; Noir : noir ; 26 Cv : 26 ; 355 Ch : 355 ; Avec permis : avecpermis ; false : false ; https://autoviza.fr/report/report?uid=6ed95ab5-4a72-4eea-aebd-1f7e46720442 : https://autoviza.fr/report/report?uid=6ed95ab5-4a72-4eea-aebd-1f7e46720442 ; true : true ; rating_score : 1 ; rating_count : 6 ; u_car_brand : PORSCHE ; u_car_model : 911 ; u_car_finition : Carrera S ; u_car_version : 911 Coupe Carrera S TipTronic S ; vehicle_damage : Excellent état (proche du neuf) ; vehicle_upholstery : Tout cuir ; vehicle_maintenance : Carnet d'entretien disponible, Factures disponibles, Réparations utiles déjà faites, Véhicule non fumeur ; vehicle_vsp : Avec permis ; is_import : false ; vehicle_is_eligible_p2p : 2 ; vehicle_history_report_public_url : https://autoviza.fr/report/report?uid=6ed95ab5-4a72-4eea-aebd-1f7e46720442 ; argus_object_id : 802652 ; licence_plate_available : true</t>
        </is>
      </c>
      <c r="AG286" s="19" t="inlineStr">
        <is>
          <t>Voir</t>
        </is>
      </c>
      <c r="AH286" s="10" t="inlineStr">
        <is>
          <t>3277227146</t>
        </is>
      </c>
    </row>
    <row r="287">
      <c r="A287" s="10" t="inlineStr">
        <is>
          <t>Porsche 911 997 Carrera S</t>
        </is>
      </c>
      <c r="B287" s="10" t="inlineStr">
        <is>
          <t>Porsche 911 coupe 3.8i type 997 355 ch - carrera s - garantie 1 an</t>
        </is>
      </c>
      <c r="C287" s="10" t="inlineStr">
        <is>
          <t>En vente</t>
        </is>
      </c>
      <c r="D287" s="18" t="n">
        <v>46293</v>
      </c>
      <c r="E287" s="18" t="n">
        <v>46293</v>
      </c>
      <c r="F287" s="18" t="n">
        <v>46296</v>
      </c>
      <c r="G287" s="18" t="n"/>
      <c r="H287" s="17">
        <f>IF(OR(ISNUMBER(D287),ISNUMBER(E287)),IF(ISNUMBER(G287),G287,F287)-IF(ISNUMBER(D287),D287,E287),"")</f>
        <v/>
      </c>
      <c r="I287" s="12" t="n">
        <v>51790</v>
      </c>
      <c r="J287" s="12" t="n">
        <v>51790</v>
      </c>
      <c r="K287" s="13">
        <f>IF(AND(ISNUMBER(I287),ISNUMBER(J287),I287&gt;0),1-J287/I287,"")</f>
        <v/>
      </c>
      <c r="L287" s="16" t="n">
        <v>0</v>
      </c>
      <c r="M287" s="15" t="n">
        <v>118000</v>
      </c>
      <c r="N287" s="16" t="n">
        <v>2004</v>
      </c>
      <c r="O287" s="10" t="inlineStr">
        <is>
          <t>1</t>
        </is>
      </c>
      <c r="P287" s="10" t="inlineStr">
        <is>
          <t>1</t>
        </is>
      </c>
      <c r="Q287" s="16" t="n">
        <v>355</v>
      </c>
      <c r="R287" s="16" t="n">
        <v>26</v>
      </c>
      <c r="S287" s="10" t="inlineStr">
        <is>
          <t>gris</t>
        </is>
      </c>
      <c r="T287" s="16" t="n">
        <v>2</v>
      </c>
      <c r="U287" s="10" t="n"/>
      <c r="V287" s="10" t="inlineStr">
        <is>
          <t>0</t>
        </is>
      </c>
      <c r="W287" s="10" t="inlineStr">
        <is>
          <t>Pro</t>
        </is>
      </c>
      <c r="X287" s="10" t="inlineStr">
        <is>
          <t>Laval</t>
        </is>
      </c>
      <c r="Y287" s="10" t="inlineStr">
        <is>
          <t>53000</t>
        </is>
      </c>
      <c r="Z287" s="10" t="inlineStr">
        <is>
          <t>Mayenne</t>
        </is>
      </c>
      <c r="AA287" s="10" t="inlineStr">
        <is>
          <t>Pays de la Loire</t>
        </is>
      </c>
      <c r="AB287" s="16" t="n"/>
      <c r="AC287" s="16" t="n"/>
      <c r="AD287" s="10" t="inlineStr">
        <is>
          <t>Oui</t>
        </is>
      </c>
      <c r="AE287" s="10" t="n"/>
      <c r="AF287" s="10" t="inlineStr">
        <is>
          <t>0 : 0 ; 1 : 1 ; 2 : 2 ; 4 : 4 ; 911 : 911 ; 2004 : 2004 ; 802651 : 802651 ; 5454085 : 5454085 ; Porsche : Porsche ; PORSCHE : PORSCHE ; 118000 km : 118000 ; Essence : 1 ; Manuelle : 1 ; Carrera S : PORSCHE_911_Carrera S ; 911 Coupe Carrera S : 911 Coupe Carrera S ; 09/2004 : 09/2004 ; Bon état général : good_overall_condition ; Autre : autre ; Gris : gris ; 26 Cv : 26 ; 355 Ch : 355 ; Sans permis : sanspermis ; false : false ; true : true ; https://img.leboncoin.fr/api/v1/lbcpb1/images/32/57/71/32577180-4c68-4a77-b880-8759463022d4?rule=bo-thumb : https://img.leboncoin.fr/api/v1/lbcpb1/images/32/57/71/32577180-4c68-4a77-b880-8759463022d4?rule=bo-thumb ; CAC MOTORS : CAC MOTORS ; 1117-0000037 : 1117-0000037 ; https://app.weespots.com/919cc8865cd4adb44460393920fefa7172c2500e46d0f25e8f8a9ca7af1b456f/1117-0000037/leboncoin : https://app.weespots.com/919cc8865cd4adb44460393920fefa7172c2500e46d0f25e8f8a9ca7af1b456f/1117-0000037/leboncoin ; https://autoviza.fr/report/report?uid=3134a206-2a06-4b18-af90-98f3a54f4edd : https://autoviza.fr/report/report?uid=3134a206-2a06-4b18-af90-98f3a54f4edd ; visible : visible ; Non renseignée : non_renseignee ; activity_sector : 1 ; u_car_brand : PORSCHE ; u_car_model : 911 ; u_car_finition : Carrera S ; u_car_version : 911 Coupe Carrera S ; vehicle_damage : Bon état général ; vehicle_interior_specs : Climatisation, Coffre à ouverture électrique, Jantes en alliage, Ordinateur de bord, Régulateur de vitesse, Sièges chauffants ; vehicle_vsp : Sans permis ; recent_used_vehicle : false ; has_visibility_option : true ; store_logo : https://img.leboncoin.fr/api/v1/lbcpb1/images/32/57/71/32577180-4c68-4a77-b880-8759463022d4?rule=bo-thumb ; store_name : CAC MOTORS ; online_store_id : 5454085 ; custom_ref : 1117-0000037 ; virtual_tour : https://app.weespots.com/919cc8865cd4adb44460393920fefa7172c2500e46d0f25e8f8a9ca7af1b456f/1117-0000037/leboncoin ; is_import : true ; vehicle_history_report_public_url : https://autoviza.fr/report/report?uid=3134a206-2a06-4b18-af90-98f3a54f4edd ; vehicle_history_report_status : visible ; argus_object_id : 802651 ; spare_parts_availability : Non renseignée ; licence_plate_available : true</t>
        </is>
      </c>
      <c r="AG287" s="19" t="inlineStr">
        <is>
          <t>Voir</t>
        </is>
      </c>
      <c r="AH287" s="10" t="inlineStr">
        <is>
          <t>3278165059</t>
        </is>
      </c>
    </row>
    <row r="288">
      <c r="A288" s="10" t="inlineStr">
        <is>
          <t>Porsche 911 997 Carrera S</t>
        </is>
      </c>
      <c r="B288" s="10" t="inlineStr">
        <is>
          <t>Porsche 911 997 3.8 355 ch carrera s bvm</t>
        </is>
      </c>
      <c r="C288" s="10" t="inlineStr">
        <is>
          <t>En vente</t>
        </is>
      </c>
      <c r="D288" s="18" t="n">
        <v>46293</v>
      </c>
      <c r="E288" s="18" t="n">
        <v>46293</v>
      </c>
      <c r="F288" s="18" t="n">
        <v>46296</v>
      </c>
      <c r="G288" s="18" t="n"/>
      <c r="H288" s="17">
        <f>IF(OR(ISNUMBER(D288),ISNUMBER(E288)),IF(ISNUMBER(G288),G288,F288)-IF(ISNUMBER(D288),D288,E288),"")</f>
        <v/>
      </c>
      <c r="I288" s="12" t="n">
        <v>56990</v>
      </c>
      <c r="J288" s="12" t="n">
        <v>56990</v>
      </c>
      <c r="K288" s="13">
        <f>IF(AND(ISNUMBER(I288),ISNUMBER(J288),I288&gt;0),1-J288/I288,"")</f>
        <v/>
      </c>
      <c r="L288" s="16" t="n">
        <v>0</v>
      </c>
      <c r="M288" s="15" t="n">
        <v>115000</v>
      </c>
      <c r="N288" s="16" t="n">
        <v>2005</v>
      </c>
      <c r="O288" s="10" t="inlineStr">
        <is>
          <t>1</t>
        </is>
      </c>
      <c r="P288" s="10" t="inlineStr">
        <is>
          <t>1</t>
        </is>
      </c>
      <c r="Q288" s="16" t="n">
        <v>355</v>
      </c>
      <c r="R288" s="16" t="n">
        <v>26</v>
      </c>
      <c r="S288" s="10" t="inlineStr">
        <is>
          <t>bleu</t>
        </is>
      </c>
      <c r="T288" s="16" t="n">
        <v>2</v>
      </c>
      <c r="U288" s="10" t="n"/>
      <c r="V288" s="10" t="inlineStr">
        <is>
          <t>2</t>
        </is>
      </c>
      <c r="W288" s="10" t="inlineStr">
        <is>
          <t>Pro</t>
        </is>
      </c>
      <c r="X288" s="10" t="inlineStr">
        <is>
          <t>Lozanne</t>
        </is>
      </c>
      <c r="Y288" s="10" t="inlineStr">
        <is>
          <t>69380</t>
        </is>
      </c>
      <c r="Z288" s="10" t="inlineStr">
        <is>
          <t>Rhône</t>
        </is>
      </c>
      <c r="AA288" s="10" t="inlineStr">
        <is>
          <t>Rhône-Alpes</t>
        </is>
      </c>
      <c r="AB288" s="16" t="n"/>
      <c r="AC288" s="16" t="n"/>
      <c r="AD288" s="10" t="inlineStr">
        <is>
          <t>Oui</t>
        </is>
      </c>
      <c r="AE288" s="10" t="n"/>
      <c r="AF288" s="10" t="inlineStr">
        <is>
          <t>1 : 1 ; 2 : 2 ; 4 : 4 ; 911 : 911 ; 2005 : 2005 ; 318197 : 318197 ; 802651 : 802651 ; Porsche : Porsche ; PORSCHE : PORSCHE ; 115000 km : 115000 ; Essence : 1 ; Manuelle : 1 ; 03/2005 : 03/2005 ; Bon état général : good_overall_condition ; Autre : autre ; Bleu : bleu ; 26 Cv : 26 ; 355 Ch : 355 ; Sans permis : sanspermis ; false : false ; true : true ; https://img.leboncoin.fr/api/v1/lbcpb1/images/44/02/ce/4402ce4f-87eb-43be-aa03-ae2d46ee5dbf?rule=bo-thumb : https://img.leboncoin.fr/api/v1/lbcpb1/images/44/02/ce/4402ce4f-87eb-43be-aa03-ae2d46ee5dbf?rule=bo-thumb ; NAUDÉ AUTOMOBILES LOZANNE : NAUDÉ AUTOMOBILES LOZANNE ; 1111-0001447 : 1111-0001447 ; https://autoviza.fr/report/report?uid=fee589fd-cdcc-49ac-8f36-1461f5bbb059 : https://autoviza.fr/report/report?uid=fee589fd-cdcc-49ac-8f36-1461f5bbb059 ; visible : visible ; Non renseignée : non_renseignee ; activity_sector : 1 ; u_car_brand : PORSCHE ; u_car_model : 911 ; vehicle_damage : Bon état général ; vehicle_upholstery : Tout cuir ; vehicle_interior_specs : Bluetooth, Climatisation, Jantes en alliage, Ordinateur de bord, Phares LED / Xenon, Rétroviseurs dégivrants, Vitres électriques arrières ; vehicle_vsp : Sans permis ; recent_used_vehicle : false ; has_visibility_option : true ; store_logo : https://img.leboncoin.fr/api/v1/lbcpb1/images/44/02/ce/4402ce4f-87eb-43be-aa03-ae2d46ee5dbf?rule=bo-thumb ; store_name : NAUDÉ AUTOMOBILES LOZANNE ; online_store_id : 318197 ; custom_ref : 1111-0001447 ; is_import : true ; vehicle_history_report_public_url : https://autoviza.fr/report/report?uid=fee589fd-cdcc-49ac-8f36-1461f5bbb059 ; vehicle_history_report_status : visible ; argus_object_id : 802651 ; spare_parts_availability : Non renseignée ; licence_plate_available : true</t>
        </is>
      </c>
      <c r="AG288" s="19" t="inlineStr">
        <is>
          <t>Voir</t>
        </is>
      </c>
      <c r="AH288" s="10" t="inlineStr">
        <is>
          <t>3278304511</t>
        </is>
      </c>
    </row>
    <row r="289">
      <c r="A289" s="10" t="inlineStr">
        <is>
          <t>Porsche 911 997 Carrera S</t>
        </is>
      </c>
      <c r="B289" s="10" t="inlineStr">
        <is>
          <t>PORSCHE 911 3.8i - BV PDK TYPE 997 II Carrera S - Suivi Porsche - Pack Chrono - ech Sport</t>
        </is>
      </c>
      <c r="C289" s="10" t="inlineStr">
        <is>
          <t>En vente</t>
        </is>
      </c>
      <c r="D289" s="18" t="n">
        <v>46240</v>
      </c>
      <c r="E289" s="18" t="n">
        <v>46240</v>
      </c>
      <c r="F289" s="18" t="n">
        <v>46296</v>
      </c>
      <c r="G289" s="18" t="n"/>
      <c r="H289" s="17">
        <f>IF(OR(ISNUMBER(D289),ISNUMBER(E289)),IF(ISNUMBER(G289),G289,F289)-IF(ISNUMBER(D289),D289,E289),"")</f>
        <v/>
      </c>
      <c r="I289" s="12" t="n">
        <v>69599</v>
      </c>
      <c r="J289" s="12" t="n">
        <v>69599</v>
      </c>
      <c r="K289" s="13">
        <f>IF(AND(ISNUMBER(I289),ISNUMBER(J289),I289&gt;0),1-J289/I289,"")</f>
        <v/>
      </c>
      <c r="L289" s="16" t="n">
        <v>0</v>
      </c>
      <c r="M289" s="15" t="n">
        <v>102000</v>
      </c>
      <c r="N289" s="16" t="n">
        <v>2008</v>
      </c>
      <c r="O289" s="10" t="inlineStr">
        <is>
          <t>1</t>
        </is>
      </c>
      <c r="P289" s="10" t="inlineStr">
        <is>
          <t>2</t>
        </is>
      </c>
      <c r="Q289" s="16" t="n">
        <v>385</v>
      </c>
      <c r="R289" s="16" t="n">
        <v>28</v>
      </c>
      <c r="S289" s="10" t="inlineStr">
        <is>
          <t>gris</t>
        </is>
      </c>
      <c r="T289" s="16" t="n">
        <v>2</v>
      </c>
      <c r="U289" s="10" t="n"/>
      <c r="V289" s="10" t="inlineStr">
        <is>
          <t>2</t>
        </is>
      </c>
      <c r="W289" s="10" t="inlineStr">
        <is>
          <t>Pro</t>
        </is>
      </c>
      <c r="X289" s="10" t="inlineStr">
        <is>
          <t>Élancourt</t>
        </is>
      </c>
      <c r="Y289" s="10" t="inlineStr">
        <is>
          <t>78990</t>
        </is>
      </c>
      <c r="Z289" s="10" t="inlineStr">
        <is>
          <t>Yvelines</t>
        </is>
      </c>
      <c r="AA289" s="10" t="inlineStr">
        <is>
          <t>Ile-de-France</t>
        </is>
      </c>
      <c r="AB289" s="16" t="n"/>
      <c r="AC289" s="16" t="n"/>
      <c r="AD289" s="10" t="n"/>
      <c r="AE289" s="10" t="n"/>
      <c r="AF289" s="10" t="inlineStr">
        <is>
          <t>1 : 1 ; 2 : 2 ; 4 : 4 ; 911 : 911 ; 2008 : 2008 ; 992221 : 992221 ; 7038974 : 7038974 ; Porsche : Porsche ; PORSCHE : PORSCHE ; 102000 km : 102000 ; Essence : 1 ; Automatique : 2 ; Carrera S : PORSCHE_911_Carrera S ; 911 Coupe Carrera S PDK : 911 Coupe Carrera S PDK ; 11/2008 : 11/2008 ; Bon état général : good_overall_condition ; Autre : autre ; Gris : gris ; 28 Cv : 28 ; 385 Ch : 385 ; Sans permis : sanspermis ; false : false ; true : true ; https://img.leboncoin.fr/api/v1/lbcpb1/images/41/66/d4/4166d4e0-1651-4c96-8521-8dd5af69249a?rule=bo-thumb : https://img.leboncoin.fr/api/v1/lbcpb1/images/41/66/d4/4166d4e0-1651-4c96-8521-8dd5af69249a?rule=bo-thumb ; AGENCY CAR PLAISIR : AGENCY CAR PLAISIR ; 1680-0000272 : 1680-0000272 ; https://app.weespots.com/91384995407e077ded402ce2114bc7a51292662afa74b747e62bf5fae97324fa/1680-0000272/leboncoin : https://app.weespots.com/91384995407e077ded402ce2114bc7a51292662afa74b747e62bf5fae97324fa/1680-0000272/leboncoin ; Non renseignée : non_renseignee ; activity_sector : 1 ; u_car_brand : PORSCHE ; u_car_model : 911 ; u_car_finition : Carrera S ; u_car_version : 911 Coupe Carrera S PDK ; vehicle_damage : Bon état général ; vehicle_interior_specs : Alarme antivol, Climatisation, Phares LED / Xenon, Sièges chauffants, Système de navigation ; vehicle_vsp : Sans permis ; recent_used_vehicle : false ; has_visibility_option : true ; store_logo : https://img.leboncoin.fr/api/v1/lbcpb1/images/41/66/d4/4166d4e0-1651-4c96-8521-8dd5af69249a?rule=bo-thumb ; store_name : AGENCY CAR PLAISIR ; online_store_id : 7038974 ; custom_ref : 1680-0000272 ; virtual_tour : https://app.weespots.com/91384995407e077ded402ce2114bc7a51292662afa74b747e62bf5fae97324fa/1680-0000272/leboncoin ; is_import : true ; argus_object_id : 992221 ; spare_parts_availability : Non renseignée ; licence_plate_available : true</t>
        </is>
      </c>
      <c r="AG289" s="19" t="inlineStr">
        <is>
          <t>Voir</t>
        </is>
      </c>
      <c r="AH289" s="10" t="inlineStr">
        <is>
          <t>3278388453</t>
        </is>
      </c>
    </row>
    <row r="290">
      <c r="A290" s="10" t="inlineStr">
        <is>
          <t>Porsche 911 997 Carrera S</t>
        </is>
      </c>
      <c r="B290" s="10" t="inlineStr">
        <is>
          <t>Porsche 911 997 Carrera S Cabriolet</t>
        </is>
      </c>
      <c r="C290" s="10" t="inlineStr">
        <is>
          <t>En vente</t>
        </is>
      </c>
      <c r="D290" s="18" t="n">
        <v>46294</v>
      </c>
      <c r="E290" s="18" t="n">
        <v>46294</v>
      </c>
      <c r="F290" s="18" t="n">
        <v>46296</v>
      </c>
      <c r="G290" s="18" t="n"/>
      <c r="H290" s="17">
        <f>IF(OR(ISNUMBER(D290),ISNUMBER(E290)),IF(ISNUMBER(G290),G290,F290)-IF(ISNUMBER(D290),D290,E290),"")</f>
        <v/>
      </c>
      <c r="I290" s="12" t="n">
        <v>45997</v>
      </c>
      <c r="J290" s="12" t="n">
        <v>45997</v>
      </c>
      <c r="K290" s="13">
        <f>IF(AND(ISNUMBER(I290),ISNUMBER(J290),I290&gt;0),1-J290/I290,"")</f>
        <v/>
      </c>
      <c r="L290" s="16" t="n">
        <v>0</v>
      </c>
      <c r="M290" s="15" t="n">
        <v>165540</v>
      </c>
      <c r="N290" s="16" t="n">
        <v>2007</v>
      </c>
      <c r="O290" s="10" t="inlineStr">
        <is>
          <t>1</t>
        </is>
      </c>
      <c r="P290" s="10" t="inlineStr">
        <is>
          <t>2</t>
        </is>
      </c>
      <c r="Q290" s="16" t="n">
        <v>355</v>
      </c>
      <c r="R290" s="16" t="n"/>
      <c r="S290" s="10" t="n"/>
      <c r="T290" s="16" t="n"/>
      <c r="U290" s="10" t="n"/>
      <c r="V290" s="10" t="inlineStr">
        <is>
          <t>1</t>
        </is>
      </c>
      <c r="W290" s="10" t="inlineStr">
        <is>
          <t>Pro</t>
        </is>
      </c>
      <c r="X290" s="10" t="inlineStr">
        <is>
          <t>Luzinay</t>
        </is>
      </c>
      <c r="Y290" s="10" t="inlineStr">
        <is>
          <t>38200</t>
        </is>
      </c>
      <c r="Z290" s="10" t="inlineStr">
        <is>
          <t>Isère</t>
        </is>
      </c>
      <c r="AA290" s="10" t="inlineStr">
        <is>
          <t>Rhône-Alpes</t>
        </is>
      </c>
      <c r="AB290" s="16" t="n"/>
      <c r="AC290" s="16" t="n"/>
      <c r="AD290" s="10" t="n"/>
      <c r="AE290" s="10" t="n"/>
      <c r="AF290" s="10" t="inlineStr">
        <is>
          <t>1 : 1 ; 911 : 911 ; 1318 : 1318 ; 2007 : 2007 ; 48997 : 48997 ; 1416617 : 1416617 ; Porsche : Porsche ; PORSCHE : PORSCHE ; 165540 km : 165540 ; Essence : 1 ; Automatique : 2 ; Carrera S : PORSCHE_911_Carrera S ; Oui : true ; 02/2007 : 02/2007 ; Excellent état (proche du neuf) : excellent_condition ; Cabriolet : cabriolet ; 355 Ch : 355 ; Avec permis : avecpermis ; Non : 1 ; false : false ; true : true ; https://img.leboncoin.fr/api/v1/lbcpb1/images/b1/e1/06/b1e1069d-0eef-4529-9b22-82766e0bae93?rule=bo-thumb : https://img.leboncoin.fr/api/v1/lbcpb1/images/b1/e1/06/b1e1069d-0eef-4529-9b22-82766e0bae93?rule=bo-thumb ; LJ Motorsport : LJ Motorsport ; 6 mois : 6 ; 30 ans : 30 ; activity_sector : 1 ; u_car_brand : PORSCHE ; u_car_model : 911 ; u_car_finition : Carrera S ; vehicle_technical_inspection_valid : Oui ; vehicle_damage : Excellent état (proche du neuf) ; vehicle_upholstery : Tout cuir ; vehicle_maintenance : Carnet d'entretien disponible, Véhicule non fumeur ; vehicle_interior_specs : Allumage automatique des phares, Climatisation, Essuie-glaces automatiques, Jantes en alliage, Phares LED / Xenon, Sièges chauffants, Sièges en cuir, Sièges électriques ; vehicle_vsp : Avec permis ; car_contract : Non ; recent_used_vehicle : false ; has_visibility_option : true ; store_logo : https://img.leboncoin.fr/api/v1/lbcpb1/images/b1/e1/06/b1e1069d-0eef-4529-9b22-82766e0bae93?rule=bo-thumb ; store_name : LJ Motorsport ; online_store_id : 1416617 ; vehicle_commercial_warranty : Oui ; vehicle_commercial_warranty_duration : 6 mois ; vehicle_commercial_warranty_extendable : Oui ; vehicle_manufacturer_warranty : Non ; custom_ref : 1318 ; is_import : false ; old_price : 48997 ; spare_parts_availability : 30 ans</t>
        </is>
      </c>
      <c r="AG290" s="19" t="inlineStr">
        <is>
          <t>Voir</t>
        </is>
      </c>
      <c r="AH290" s="10" t="inlineStr">
        <is>
          <t>3278787277</t>
        </is>
      </c>
    </row>
    <row r="291">
      <c r="A291" s="10" t="inlineStr">
        <is>
          <t>Porsche Boxster 986</t>
        </is>
      </c>
      <c r="B291" s="10" t="inlineStr">
        <is>
          <t>PORSCHE BOXSTER 986 2.5 i 204CH</t>
        </is>
      </c>
      <c r="C291" s="10" t="inlineStr">
        <is>
          <t>En vente</t>
        </is>
      </c>
      <c r="D291" s="18" t="n">
        <v>46294</v>
      </c>
      <c r="E291" s="18" t="n">
        <v>46294</v>
      </c>
      <c r="F291" s="18" t="n">
        <v>46296</v>
      </c>
      <c r="G291" s="18" t="n"/>
      <c r="H291" s="17">
        <f>IF(OR(ISNUMBER(D291),ISNUMBER(E291)),IF(ISNUMBER(G291),G291,F291)-IF(ISNUMBER(D291),D291,E291),"")</f>
        <v/>
      </c>
      <c r="I291" s="12" t="n">
        <v>13990</v>
      </c>
      <c r="J291" s="12" t="n">
        <v>13990</v>
      </c>
      <c r="K291" s="13">
        <f>IF(AND(ISNUMBER(I291),ISNUMBER(J291),I291&gt;0),1-J291/I291,"")</f>
        <v/>
      </c>
      <c r="L291" s="16" t="n">
        <v>0</v>
      </c>
      <c r="M291" s="15" t="n">
        <v>216300</v>
      </c>
      <c r="N291" s="16" t="n">
        <v>1999</v>
      </c>
      <c r="O291" s="10" t="inlineStr">
        <is>
          <t>1</t>
        </is>
      </c>
      <c r="P291" s="10" t="inlineStr">
        <is>
          <t>2</t>
        </is>
      </c>
      <c r="Q291" s="16" t="n">
        <v>204</v>
      </c>
      <c r="R291" s="16" t="n">
        <v>14</v>
      </c>
      <c r="S291" s="10" t="inlineStr">
        <is>
          <t>noir</t>
        </is>
      </c>
      <c r="T291" s="16" t="n">
        <v>2</v>
      </c>
      <c r="U291" s="10" t="n"/>
      <c r="V291" s="10" t="n"/>
      <c r="W291" s="10" t="inlineStr">
        <is>
          <t>Pro</t>
        </is>
      </c>
      <c r="X291" s="10" t="inlineStr">
        <is>
          <t>Perpignan</t>
        </is>
      </c>
      <c r="Y291" s="10" t="inlineStr">
        <is>
          <t>66000</t>
        </is>
      </c>
      <c r="Z291" s="10" t="inlineStr">
        <is>
          <t>Pyrénées-Orientales</t>
        </is>
      </c>
      <c r="AA291" s="10" t="inlineStr">
        <is>
          <t>Languedoc-Roussillon</t>
        </is>
      </c>
      <c r="AB291" s="16" t="n"/>
      <c r="AC291" s="16" t="n"/>
      <c r="AD291" s="10" t="n"/>
      <c r="AE291"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F291" s="10" t="inlineStr">
        <is>
          <t>1 : 1 ; 2 : 2 ; 1999 : 1999 ; 720744 : 720744 ; Porsche : Porsche ; Boxster : Boxster ; PORSCHE : PORSCHE ; 216300 km : 216300 ; Essence : 1 ; Automatique : 2 ; 02/1999 : 02/1999 ; Cabriolet : cabriolet ; Noir : noir ; 14 Cv : 14 ; 204 Ch : 204 ; Avec permis : avecpermis ; Non : 1 ; false : false ; https://autoviza.fr/report/report?uid=eeb5bf69-74f0-4579-a27d-890c3b822aa4 : https://autoviza.fr/report/report?uid=eeb5bf69-74f0-4579-a27d-890c3b822aa4 ; visible : visible ; Non renseignée : non_renseignee ; true : true ; activity_sector : 1 ; u_car_brand : PORSCHE ; u_car_model : Boxster ; vehicle_upholstery : Tout cuir ; vehicle_vsp : Avec permis ; car_contract : Non ; recent_used_vehicle : false ; vehicle_commercial_warranty : Non ; vehicle_manufacturer_warranty : Non ; is_import : false ; vehicle_history_report_public_url : https://autoviza.fr/report/report?uid=eeb5bf69-74f0-4579-a27d-890c3b822aa4 ; vehicle_history_report_status : visible ; argus_object_id : 720744 ; spare_parts_availability : Non renseignée ; licence_plate_available : true</t>
        </is>
      </c>
      <c r="AG291" s="19" t="inlineStr">
        <is>
          <t>Voir</t>
        </is>
      </c>
      <c r="AH291" s="10" t="inlineStr">
        <is>
          <t>3089498689</t>
        </is>
      </c>
    </row>
    <row r="292">
      <c r="A292" s="10" t="inlineStr">
        <is>
          <t>Porsche Boxster 986</t>
        </is>
      </c>
      <c r="B292" s="10" t="inlineStr">
        <is>
          <t>Porsche BOXSTER (986) 2.7 220cv</t>
        </is>
      </c>
      <c r="C292" s="10" t="inlineStr">
        <is>
          <t>En vente</t>
        </is>
      </c>
      <c r="D292" s="18" t="n">
        <v>45995</v>
      </c>
      <c r="E292" s="18" t="n">
        <v>45995</v>
      </c>
      <c r="F292" s="18" t="n">
        <v>46296</v>
      </c>
      <c r="G292" s="18" t="n"/>
      <c r="H292" s="17">
        <f>IF(OR(ISNUMBER(D292),ISNUMBER(E292)),IF(ISNUMBER(G292),G292,F292)-IF(ISNUMBER(D292),D292,E292),"")</f>
        <v/>
      </c>
      <c r="I292" s="12" t="n">
        <v>19990</v>
      </c>
      <c r="J292" s="12" t="n">
        <v>19990</v>
      </c>
      <c r="K292" s="13">
        <f>IF(AND(ISNUMBER(I292),ISNUMBER(J292),I292&gt;0),1-J292/I292,"")</f>
        <v/>
      </c>
      <c r="L292" s="16" t="n">
        <v>0</v>
      </c>
      <c r="M292" s="15" t="n">
        <v>97400</v>
      </c>
      <c r="N292" s="16" t="n">
        <v>2000</v>
      </c>
      <c r="O292" s="10" t="inlineStr">
        <is>
          <t>1</t>
        </is>
      </c>
      <c r="P292" s="10" t="inlineStr">
        <is>
          <t>1</t>
        </is>
      </c>
      <c r="Q292" s="16" t="n">
        <v>220</v>
      </c>
      <c r="R292" s="16" t="n">
        <v>15</v>
      </c>
      <c r="S292" s="10" t="inlineStr">
        <is>
          <t>gris</t>
        </is>
      </c>
      <c r="T292" s="16" t="n">
        <v>2</v>
      </c>
      <c r="U292" s="10" t="n"/>
      <c r="V292" s="10" t="inlineStr">
        <is>
          <t>3</t>
        </is>
      </c>
      <c r="W292" s="10" t="inlineStr">
        <is>
          <t>Pro</t>
        </is>
      </c>
      <c r="X292" s="10" t="inlineStr">
        <is>
          <t>Beauchamp</t>
        </is>
      </c>
      <c r="Y292" s="10" t="inlineStr">
        <is>
          <t>95250</t>
        </is>
      </c>
      <c r="Z292" s="10" t="inlineStr">
        <is>
          <t>Val-d'Oise</t>
        </is>
      </c>
      <c r="AA292" s="10" t="inlineStr">
        <is>
          <t>Ile-de-France</t>
        </is>
      </c>
      <c r="AB292" s="16" t="n"/>
      <c r="AC292" s="16" t="n"/>
      <c r="AD292" s="10" t="n"/>
      <c r="AE292"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F292" s="10" t="inlineStr">
        <is>
          <t>1 : 1 ; 2 : 2 ; 3 : 3 ; 37 : 37 ; 2000 : 2000 ; 20490 : 20490 ; 720743 : 720743 ; 6794825 : 6794825 ; Porsche : Porsche ; Boxster : Boxster ; PORSCHE : PORSCHE ; 97400 km : 97400 ; Essence : 1 ; Manuelle : 1 ; Base : PORSCHE_Boxster_Base ; Boxster 2.7 BV6 : Boxster 2.7 BV6 ; 01/2000 : 01/2000 ; Cabriolet : cabriolet ; Gris : gris ; 15 Cv : 15 ; 220 Ch : 220 ; Avec permis : avecpermis ; false : false ; true : true ; https://img.leboncoin.fr/api/v1/lbcpb1/images/9b/6f/0d/9b6f0d39-328e-48d3-ade2-76457feb06e1?rule=bo-thumb : https://img.leboncoin.fr/api/v1/lbcpb1/images/9b/6f/0d/9b6f0d39-328e-48d3-ade2-76457feb06e1?rule=bo-thumb ; PRESTEAM AUTOMOBILES : PRESTEAM AUTOMOBILES ; Non renseignée : non_renseignee ; activity_sector : 1 ; u_car_brand : PORSCHE ; u_car_model : Boxster ; u_car_finition : Base ; u_car_version : Boxster 2.7 BV6 ; vehicle_vsp : Avec permis ; recent_used_vehicle : false ; has_visibility_option : true ; store_logo : https://img.leboncoin.fr/api/v1/lbcpb1/images/9b/6f/0d/9b6f0d39-328e-48d3-ade2-76457feb06e1?rule=bo-thumb ; store_name : PRESTEAM AUTOMOBILES ; online_store_id : 6794825 ; custom_ref : 37 ; is_import : true ; old_price : 20490 ; argus_object_id : 720743 ; spare_parts_availability : Non renseignée</t>
        </is>
      </c>
      <c r="AG292" s="19" t="inlineStr">
        <is>
          <t>Voir</t>
        </is>
      </c>
      <c r="AH292" s="10" t="inlineStr">
        <is>
          <t>3106206580</t>
        </is>
      </c>
    </row>
    <row r="293">
      <c r="A293" s="10" t="inlineStr">
        <is>
          <t>Porsche Boxster 986</t>
        </is>
      </c>
      <c r="B293" s="10" t="inlineStr">
        <is>
          <t>Porsche Boxster 986</t>
        </is>
      </c>
      <c r="C293" s="10" t="inlineStr">
        <is>
          <t>En vente</t>
        </is>
      </c>
      <c r="D293" s="18" t="n">
        <v>46274</v>
      </c>
      <c r="E293" s="18" t="n">
        <v>46274</v>
      </c>
      <c r="F293" s="18" t="n">
        <v>46296</v>
      </c>
      <c r="G293" s="18" t="n"/>
      <c r="H293" s="17">
        <f>IF(OR(ISNUMBER(D293),ISNUMBER(E293)),IF(ISNUMBER(G293),G293,F293)-IF(ISNUMBER(D293),D293,E293),"")</f>
        <v/>
      </c>
      <c r="I293" s="12" t="n">
        <v>14500</v>
      </c>
      <c r="J293" s="12" t="n">
        <v>14500</v>
      </c>
      <c r="K293" s="13">
        <f>IF(AND(ISNUMBER(I293),ISNUMBER(J293),I293&gt;0),1-J293/I293,"")</f>
        <v/>
      </c>
      <c r="L293" s="16" t="n">
        <v>0</v>
      </c>
      <c r="M293" s="15" t="n">
        <v>192000</v>
      </c>
      <c r="N293" s="16" t="n">
        <v>1999</v>
      </c>
      <c r="O293" s="10" t="inlineStr">
        <is>
          <t>1</t>
        </is>
      </c>
      <c r="P293" s="10" t="inlineStr">
        <is>
          <t>2</t>
        </is>
      </c>
      <c r="Q293" s="16" t="n">
        <v>204</v>
      </c>
      <c r="R293" s="16" t="n">
        <v>14</v>
      </c>
      <c r="S293" s="10" t="inlineStr">
        <is>
          <t>gris</t>
        </is>
      </c>
      <c r="T293" s="16" t="n">
        <v>2</v>
      </c>
      <c r="U293" s="10" t="n"/>
      <c r="V293" s="10" t="n"/>
      <c r="W293" s="10" t="inlineStr">
        <is>
          <t>Particulier</t>
        </is>
      </c>
      <c r="X293" s="10" t="inlineStr">
        <is>
          <t>Mondragon</t>
        </is>
      </c>
      <c r="Y293" s="10" t="inlineStr">
        <is>
          <t>84430</t>
        </is>
      </c>
      <c r="Z293" s="10" t="inlineStr">
        <is>
          <t>Vaucluse</t>
        </is>
      </c>
      <c r="AA293" s="10" t="inlineStr">
        <is>
          <t>Provence-Alpes-Côte d'Azur</t>
        </is>
      </c>
      <c r="AB293" s="16" t="n"/>
      <c r="AC293" s="16" t="n"/>
      <c r="AD293" s="10" t="n"/>
      <c r="AE2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F293" s="10" t="inlineStr">
        <is>
          <t>2 : 2 ; 10 : 10 ; 1999 : 1999 ; 720744 : 720744 ; 0.98 : 0.98 ; https://img.leboncoin.fr/api/v1/tenants/9a6387a1-6259-4f2c-a887-7e67f23dd4cb/domains/20bda58f-d650-462e-a72a-a5a7ecf2bf88/buckets/21d2b0bc-e54c-4b64-a30b-89127b18b785/images/profile/pictures/default/2a3eeb60-a317-5eff-9395-ff24eb477e79?rule=pp-small : https://img.leboncoin.fr/api/v1/tenants/9a6387a1-6259-4f2c-a887-7e67f23dd4cb/domains/20bda58f-d650-462e-a72a-a5a7ecf2bf88/buckets/21d2b0bc-e54c-4b64-a30b-89127b18b785/images/profile/pictures/default/2a3eeb60-a317-5eff-9395-ff24eb477e79?rule=pp-small ; Porsche : Porsche ; Boxster : Boxster ; PORSCHE : PORSCHE ; 192000 km : 192000 ; Essence : 1 ; Automatique : 2 ; 06/1999 : 06/1999 ; Bon état général : good_overall_condition ; Cabriolet : cabriolet ; Gris : gris ; 14 Cv : 14 ; 204 Ch : 204 ; Avec permis : avecpermis ; credit_card : credit_card ; false : false ; true : true ; rating_score : 0.98 ; rating_count : 10 ; u_car_brand : PORSCHE ; u_car_model : Boxster ; vehicle_damage : Bon état général ; vehicle_upholstery : Tout cuir ; vehicle_vsp : Avec permis ; vehicle_available_payment_methods : credit_card ; is_import : false ; vehicle_is_eligible_p2p : 2 ; argus_object_id : 720744 ; licence_plate_available : true</t>
        </is>
      </c>
      <c r="AG293" s="19" t="inlineStr">
        <is>
          <t>Voir</t>
        </is>
      </c>
      <c r="AH293" s="10" t="inlineStr">
        <is>
          <t>3147288483</t>
        </is>
      </c>
    </row>
    <row r="294">
      <c r="A294" s="10" t="inlineStr">
        <is>
          <t>Porsche Boxster 986</t>
        </is>
      </c>
      <c r="B294" s="10" t="inlineStr">
        <is>
          <t>Porsche Boxster 986 2.7 i Roadster 220cv</t>
        </is>
      </c>
      <c r="C294" s="10" t="inlineStr">
        <is>
          <t>En vente</t>
        </is>
      </c>
      <c r="D294" s="18" t="n">
        <v>46078</v>
      </c>
      <c r="E294" s="18" t="n">
        <v>46078</v>
      </c>
      <c r="F294" s="18" t="n">
        <v>46296</v>
      </c>
      <c r="G294" s="18" t="n"/>
      <c r="H294" s="17">
        <f>IF(OR(ISNUMBER(D294),ISNUMBER(E294)),IF(ISNUMBER(G294),G294,F294)-IF(ISNUMBER(D294),D294,E294),"")</f>
        <v/>
      </c>
      <c r="I294" s="12" t="n">
        <v>18490</v>
      </c>
      <c r="J294" s="12" t="n">
        <v>18490</v>
      </c>
      <c r="K294" s="13">
        <f>IF(AND(ISNUMBER(I294),ISNUMBER(J294),I294&gt;0),1-J294/I294,"")</f>
        <v/>
      </c>
      <c r="L294" s="16" t="n">
        <v>0</v>
      </c>
      <c r="M294" s="15" t="n">
        <v>166600</v>
      </c>
      <c r="N294" s="16" t="n">
        <v>1999</v>
      </c>
      <c r="O294" s="10" t="inlineStr">
        <is>
          <t>1</t>
        </is>
      </c>
      <c r="P294" s="10" t="inlineStr">
        <is>
          <t>1</t>
        </is>
      </c>
      <c r="Q294" s="16" t="n">
        <v>220</v>
      </c>
      <c r="R294" s="16" t="n">
        <v>15</v>
      </c>
      <c r="S294" s="10" t="inlineStr">
        <is>
          <t>vert</t>
        </is>
      </c>
      <c r="T294" s="16" t="n">
        <v>2</v>
      </c>
      <c r="U294" s="10" t="n"/>
      <c r="V294" s="10" t="inlineStr">
        <is>
          <t>5</t>
        </is>
      </c>
      <c r="W294" s="10" t="inlineStr">
        <is>
          <t>Pro</t>
        </is>
      </c>
      <c r="X294" s="10" t="inlineStr">
        <is>
          <t>Feytiat</t>
        </is>
      </c>
      <c r="Y294" s="10" t="inlineStr">
        <is>
          <t>87220</t>
        </is>
      </c>
      <c r="Z294" s="10" t="inlineStr">
        <is>
          <t>Haute-Vienne</t>
        </is>
      </c>
      <c r="AA294" s="10" t="inlineStr">
        <is>
          <t>Limousin</t>
        </is>
      </c>
      <c r="AB294" s="16" t="n"/>
      <c r="AC294" s="16" t="n"/>
      <c r="AD294" s="10" t="inlineStr">
        <is>
          <t>Oui</t>
        </is>
      </c>
      <c r="AE294"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F294" s="10" t="inlineStr">
        <is>
          <t>1 : 1 ; 2 : 2 ; 5 : 5 ; 1999 : 1999 ; 19990 : 19990 ; 720743 : 720743 ; 7146245 : 7146245 ; Porsche : Porsche ; Boxster : Boxster ; PORSCHE : PORSCHE ; 166600 km : 166600 ; Essence : 1 ; Manuelle : 1 ; Base : PORSCHE_Boxster_Base ; Boxster 2.7 BV6 : Boxster 2.7 BV6 ; 12/1999 : 12/1999 ; Cabriolet : cabriolet ; Vert : vert ; 15 Cv : 15 ; 220 Ch : 220 ; Avec permis : avecpermis ; false : false ; true : true ; https://img.leboncoin.fr/api/v1/lbcpb1/images/3e/2a/f8/3e2af8ee-bd74-49ee-85bf-698a8e59f5e5?rule=bo-thumb : https://img.leboncoin.fr/api/v1/lbcpb1/images/3e/2a/f8/3e2af8ee-bd74-49ee-85bf-698a8e59f5e5?rule=bo-thumb ; ADV AUTOSPORT : ADV AUTOSPORT ; BIZ_DC8F4B : BIZ_DC8F4B ; https://autoviza.fr/report/report?uid=2a5d3bb7-ff48-46ed-910d-4c7d1145ef6c : https://autoviza.fr/report/report?uid=2a5d3bb7-ff48-46ed-910d-4c7d1145ef6c ; visible : visible ; Non renseignée : non_renseignee ; activity_sector : 1 ; u_car_brand : PORSCHE ; u_car_model : Boxster ; u_car_finition : Base ; u_car_version : Boxster 2.7 BV6 ; vehicle_interior_specs : 4 roues motrices ; vehicle_vsp : Avec permis ; recent_used_vehicle : false ; has_visibility_option : true ; store_logo : https://img.leboncoin.fr/api/v1/lbcpb1/images/3e/2a/f8/3e2af8ee-bd74-49ee-85bf-698a8e59f5e5?rule=bo-thumb ; store_name : ADV AUTOSPORT ; online_store_id : 7146245 ; custom_ref : BIZ_DC8F4B ; is_import : true ; old_price : 19990 ; vehicle_history_report_public_url : https://autoviza.fr/report/report?uid=2a5d3bb7-ff48-46ed-910d-4c7d1145ef6c ; vehicle_history_report_status : visible ; argus_object_id : 720743 ; spare_parts_availability : Non renseignée ; licence_plate_available : true</t>
        </is>
      </c>
      <c r="AG294" s="19" t="inlineStr">
        <is>
          <t>Voir</t>
        </is>
      </c>
      <c r="AH294" s="10" t="inlineStr">
        <is>
          <t>3151264594</t>
        </is>
      </c>
    </row>
    <row r="295">
      <c r="A295" s="10" t="inlineStr">
        <is>
          <t>Porsche Boxster 986</t>
        </is>
      </c>
      <c r="B295" s="10" t="inlineStr">
        <is>
          <t>Porsche BOXSTER (986) 3.2 S</t>
        </is>
      </c>
      <c r="C295" s="10" t="inlineStr">
        <is>
          <t>En vente</t>
        </is>
      </c>
      <c r="D295" s="18" t="n">
        <v>46263</v>
      </c>
      <c r="E295" s="18" t="n">
        <v>46263</v>
      </c>
      <c r="F295" s="18" t="n">
        <v>46296</v>
      </c>
      <c r="G295" s="18" t="n"/>
      <c r="H295" s="17">
        <f>IF(OR(ISNUMBER(D295),ISNUMBER(E295)),IF(ISNUMBER(G295),G295,F295)-IF(ISNUMBER(D295),D295,E295),"")</f>
        <v/>
      </c>
      <c r="I295" s="12" t="n">
        <v>25950</v>
      </c>
      <c r="J295" s="12" t="n">
        <v>25950</v>
      </c>
      <c r="K295" s="13">
        <f>IF(AND(ISNUMBER(I295),ISNUMBER(J295),I295&gt;0),1-J295/I295,"")</f>
        <v/>
      </c>
      <c r="L295" s="16" t="n">
        <v>0</v>
      </c>
      <c r="M295" s="15" t="n">
        <v>101130</v>
      </c>
      <c r="N295" s="16" t="n">
        <v>2003</v>
      </c>
      <c r="O295" s="10" t="inlineStr">
        <is>
          <t>1</t>
        </is>
      </c>
      <c r="P295" s="10" t="inlineStr">
        <is>
          <t>1</t>
        </is>
      </c>
      <c r="Q295" s="16" t="n">
        <v>260</v>
      </c>
      <c r="R295" s="16" t="n">
        <v>18</v>
      </c>
      <c r="S295" s="10" t="inlineStr">
        <is>
          <t>noir</t>
        </is>
      </c>
      <c r="T295" s="16" t="n"/>
      <c r="U295" s="10" t="n"/>
      <c r="V295" s="10" t="inlineStr">
        <is>
          <t>3</t>
        </is>
      </c>
      <c r="W295" s="10" t="inlineStr">
        <is>
          <t>Pro</t>
        </is>
      </c>
      <c r="X295" s="10" t="inlineStr">
        <is>
          <t>Sainte-Marguerite</t>
        </is>
      </c>
      <c r="Y295" s="10" t="inlineStr">
        <is>
          <t>88100</t>
        </is>
      </c>
      <c r="Z295" s="10" t="inlineStr">
        <is>
          <t>Vosges</t>
        </is>
      </c>
      <c r="AA295" s="10" t="inlineStr">
        <is>
          <t>Lorraine</t>
        </is>
      </c>
      <c r="AB295" s="16" t="n"/>
      <c r="AC295" s="16" t="n"/>
      <c r="AD295" s="10" t="n"/>
      <c r="AE295"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F295" s="10" t="inlineStr">
        <is>
          <t>1 : 1 ; 3 : 3 ; 2003 : 2003 ; 3914 : 3914 ; 48761 : 48761 ; 720751 : 720751 ; Porsche : Porsche ; Boxster : Boxster ; PORSCHE : PORSCHE ; 101130 km : 101130 ; Essence : 1 ; Manuelle : 1 ; S : PORSCHE_Boxster_S ; Boxster 3.2 S : Boxster 3.2 S ; 10/2003 : 10/2003 ; Cabriolet : cabriolet ; Noir : noir ; 18 Cv : 18 ; 260 Ch : 260 ; Avec permis : avecpermis ; false : false ; true : true ; https://img.leboncoin.fr/api/v1/lbcpb1/images/37/37/28/373728087725852.jpg?rule=bo-thumb : https://img.leboncoin.fr/api/v1/lbcpb1/images/37/37/28/373728087725852.jpg?rule=bo-thumb ; AUTO RM : AUTO RM ; https://autoviza.fr/report/report?uid=25ce477e-0e6a-42a3-a7e0-3068b22a81e4 : https://autoviza.fr/report/report?uid=25ce477e-0e6a-42a3-a7e0-3068b22a81e4 ; visible : visible ; Non renseignée : non_renseignee ; activity_sector : 1 ; u_car_brand : PORSCHE ; u_car_model : Boxster ; u_car_finition : S ; u_car_version : Boxster 3.2 S ; vehicle_vsp : Avec permis ; recent_used_vehicle : false ; has_visibility_option : true ; store_logo : https://img.leboncoin.fr/api/v1/lbcpb1/images/37/37/28/373728087725852.jpg?rule=bo-thumb ; store_name : AUTO RM ; online_store_id : 48761 ; custom_ref : 3914 ; is_import : true ; vehicle_history_report_public_url : https://autoviza.fr/report/report?uid=25ce477e-0e6a-42a3-a7e0-3068b22a81e4 ; vehicle_history_report_status : visible ; argus_object_id : 720751 ; spare_parts_availability : Non renseignée ; licence_plate_available : true</t>
        </is>
      </c>
      <c r="AG295" s="19" t="inlineStr">
        <is>
          <t>Voir</t>
        </is>
      </c>
      <c r="AH295" s="10" t="inlineStr">
        <is>
          <t>3161953342</t>
        </is>
      </c>
    </row>
    <row r="296">
      <c r="A296" s="10" t="inlineStr">
        <is>
          <t>Porsche Boxster 986</t>
        </is>
      </c>
      <c r="B296" s="10" t="inlineStr">
        <is>
          <t>Porsche Boxster 986 (Vente ou Echange)</t>
        </is>
      </c>
      <c r="C296" s="10" t="inlineStr">
        <is>
          <t>En vente</t>
        </is>
      </c>
      <c r="D296" s="18" t="n">
        <v>46293</v>
      </c>
      <c r="E296" s="18" t="n">
        <v>46293</v>
      </c>
      <c r="F296" s="18" t="n">
        <v>46296</v>
      </c>
      <c r="G296" s="18" t="n"/>
      <c r="H296" s="17">
        <f>IF(OR(ISNUMBER(D296),ISNUMBER(E296)),IF(ISNUMBER(G296),G296,F296)-IF(ISNUMBER(D296),D296,E296),"")</f>
        <v/>
      </c>
      <c r="I296" s="12" t="n">
        <v>9700</v>
      </c>
      <c r="J296" s="12" t="n">
        <v>9700</v>
      </c>
      <c r="K296" s="13">
        <f>IF(AND(ISNUMBER(I296),ISNUMBER(J296),I296&gt;0),1-J296/I296,"")</f>
        <v/>
      </c>
      <c r="L296" s="16" t="n">
        <v>0</v>
      </c>
      <c r="M296" s="15" t="n">
        <v>225000</v>
      </c>
      <c r="N296" s="16" t="n">
        <v>1999</v>
      </c>
      <c r="O296" s="10" t="inlineStr">
        <is>
          <t>1</t>
        </is>
      </c>
      <c r="P296" s="10" t="inlineStr">
        <is>
          <t>1</t>
        </is>
      </c>
      <c r="Q296" s="16" t="n">
        <v>204</v>
      </c>
      <c r="R296" s="16" t="n">
        <v>13</v>
      </c>
      <c r="S296" s="10" t="inlineStr">
        <is>
          <t>bleu</t>
        </is>
      </c>
      <c r="T296" s="16" t="n">
        <v>2</v>
      </c>
      <c r="U296" s="10" t="n"/>
      <c r="V296" s="10" t="n"/>
      <c r="W296" s="10" t="inlineStr">
        <is>
          <t>Particulier</t>
        </is>
      </c>
      <c r="X296" s="10" t="inlineStr">
        <is>
          <t>Hagetmau</t>
        </is>
      </c>
      <c r="Y296" s="10" t="inlineStr">
        <is>
          <t>40700</t>
        </is>
      </c>
      <c r="Z296" s="10" t="inlineStr">
        <is>
          <t>Landes</t>
        </is>
      </c>
      <c r="AA296" s="10" t="inlineStr">
        <is>
          <t>Aquitaine</t>
        </is>
      </c>
      <c r="AB296" s="16" t="n"/>
      <c r="AC296" s="16" t="n"/>
      <c r="AD296" s="10" t="n"/>
      <c r="AE296"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F296" s="10" t="inlineStr">
        <is>
          <t>1 : 1 ; 2 : 2 ; 1999 : 1999 ; 9900 : 9900 ; 720742 : 720742 ; https://img.leboncoin.fr/api/v1/tenants/9a6387a1-6259-4f2c-a887-7e67f23dd4cb/domains/20bda58f-d650-462e-a72a-a5a7ecf2bf88/buckets/21d2b0bc-e54c-4b64-a30b-89127b18b785/images/profile/pictures/default/e7b3c444-743b-5fed-a0d9-70a8056685aa?rule=pp-small : https://img.leboncoin.fr/api/v1/tenants/9a6387a1-6259-4f2c-a887-7e67f23dd4cb/domains/20bda58f-d650-462e-a72a-a5a7ecf2bf88/buckets/21d2b0bc-e54c-4b64-a30b-89127b18b785/images/profile/pictures/default/e7b3c444-743b-5fed-a0d9-70a8056685aa?rule=pp-small ; Porsche : Porsche ; Boxster : Boxster ; PORSCHE : PORSCHE ; 225000 km : 225000 ; Essence : 1 ; Manuelle : 1 ; Non : false ; 12/1999 : 12/1999 ; Bon état général : good_overall_condition ; Cabriolet : cabriolet ; Bleu : bleu ; 13 Cv : 13 ; 204 Ch : 204 ; Avec permis : avecpermis ; credit_card : credit_card ; false : false ; https://autoviza.fr/report/report?uid=a19fe328-0ade-40f8-892b-a031c1e0443b : https://autoviza.fr/report/report?uid=a19fe328-0ade-40f8-892b-a031c1e0443b ; true : true ; rating_score : 1 ; rating_count : 1 ; u_car_brand : PORSCHE ; u_car_model : Boxster ; vehicle_technical_inspection_valid : Non ; vehicle_damage : Bon état général ; vehicle_upholstery : Tout cuir ; vehicle_interior_specs : Climatisation, Jantes en alliage, Sièges en cuir ; vehicle_vsp : Avec permis ; vehicle_available_payment_methods : credit_card ; is_import : false ; old_price : 9900 ; vehicle_is_eligible_p2p : 2 ; vehicle_history_report_public_url : https://autoviza.fr/report/report?uid=a19fe328-0ade-40f8-892b-a031c1e0443b ; argus_object_id : 720742 ; licence_plate_available : true</t>
        </is>
      </c>
      <c r="AG296" s="19" t="inlineStr">
        <is>
          <t>Voir</t>
        </is>
      </c>
      <c r="AH296" s="10" t="inlineStr">
        <is>
          <t>3171445222</t>
        </is>
      </c>
    </row>
    <row r="297">
      <c r="A297" s="10" t="inlineStr">
        <is>
          <t>Porsche Boxster 986</t>
        </is>
      </c>
      <c r="B297" s="10" t="inlineStr">
        <is>
          <t>PORSCHE BOXSTER 986 1998 avec HARD TOP</t>
        </is>
      </c>
      <c r="C297" s="10" t="inlineStr">
        <is>
          <t>En vente</t>
        </is>
      </c>
      <c r="D297" s="18" t="n">
        <v>46294</v>
      </c>
      <c r="E297" s="18" t="n">
        <v>46294</v>
      </c>
      <c r="F297" s="18" t="n">
        <v>46296</v>
      </c>
      <c r="G297" s="18" t="n"/>
      <c r="H297" s="17">
        <f>IF(OR(ISNUMBER(D297),ISNUMBER(E297)),IF(ISNUMBER(G297),G297,F297)-IF(ISNUMBER(D297),D297,E297),"")</f>
        <v/>
      </c>
      <c r="I297" s="12" t="n">
        <v>16000</v>
      </c>
      <c r="J297" s="12" t="n">
        <v>16000</v>
      </c>
      <c r="K297" s="13">
        <f>IF(AND(ISNUMBER(I297),ISNUMBER(J297),I297&gt;0),1-J297/I297,"")</f>
        <v/>
      </c>
      <c r="L297" s="16" t="n">
        <v>0</v>
      </c>
      <c r="M297" s="15" t="n">
        <v>129400</v>
      </c>
      <c r="N297" s="16" t="n">
        <v>1998</v>
      </c>
      <c r="O297" s="10" t="inlineStr">
        <is>
          <t>1</t>
        </is>
      </c>
      <c r="P297" s="10" t="inlineStr">
        <is>
          <t>2</t>
        </is>
      </c>
      <c r="Q297" s="16" t="n">
        <v>220</v>
      </c>
      <c r="R297" s="16" t="n">
        <v>14</v>
      </c>
      <c r="S297" s="10" t="inlineStr">
        <is>
          <t>bleu</t>
        </is>
      </c>
      <c r="T297" s="16" t="n">
        <v>2</v>
      </c>
      <c r="U297" s="10" t="n"/>
      <c r="V297" s="10" t="inlineStr">
        <is>
          <t>3</t>
        </is>
      </c>
      <c r="W297" s="10" t="inlineStr">
        <is>
          <t>Particulier</t>
        </is>
      </c>
      <c r="X297" s="10" t="inlineStr">
        <is>
          <t>Duclair</t>
        </is>
      </c>
      <c r="Y297" s="10" t="inlineStr">
        <is>
          <t>76480</t>
        </is>
      </c>
      <c r="Z297" s="10" t="inlineStr">
        <is>
          <t>Seine-Maritime</t>
        </is>
      </c>
      <c r="AA297" s="10" t="inlineStr">
        <is>
          <t>Haute-Normandie</t>
        </is>
      </c>
      <c r="AB297" s="16" t="n"/>
      <c r="AC297" s="16" t="n"/>
      <c r="AD297" s="10" t="n"/>
      <c r="AE297"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F297" s="10" t="inlineStr">
        <is>
          <t>2 : 2 ; 3 : 3 ; 1998 : 1998 ; 2027 : 2027 ; 19500 : 19500 ; 720744 : 720744 ; https://img.leboncoin.fr/api/v1/tenants/9a6387a1-6259-4f2c-a887-7e67f23dd4cb/domains/20bda58f-d650-462e-a72a-a5a7ecf2bf88/buckets/21d2b0bc-e54c-4b64-a30b-89127b18b785/images/profile/pictures/default/83582e5e-4f2d-5e26-a39b-3414c1b7ccff?rule=pp-small : https://img.leboncoin.fr/api/v1/tenants/9a6387a1-6259-4f2c-a887-7e67f23dd4cb/domains/20bda58f-d650-462e-a72a-a5a7ecf2bf88/buckets/21d2b0bc-e54c-4b64-a30b-89127b18b785/images/profile/pictures/default/83582e5e-4f2d-5e26-a39b-3414c1b7ccff?rule=pp-small ; Porsche : Porsche ; Boxster : Boxster ; PORSCHE : PORSCHE ; 129400 km : 129400 ; Essence : 1 ; Automatique : 2 ; Oui : true ; 06/1998 : 06/1998 ; Bon état général : good_overall_condition ; Cabriolet : cabriolet ; Bleu : bleu ; Euro 3 : euro3 ; 14 Cv : 14 ; 220 Ch : 220 ; Avec permis : avecpermis ; credit_card : credit_card ; false : false ; https://autoviza.fr/report/report?uid=cd89de54-1160-438d-b5a3-5a5f5ef05c4a : https://autoviza.fr/report/report?uid=cd89de54-1160-438d-b5a3-5a5f5ef05c4a ; true : true ; u_car_brand : PORSCHE ; u_car_model : Boxster ; vehicle_technical_inspection_valid : Oui ; vehicle_technical_inspection_a : 2027 ; vehicle_damage : Bon état général ; vehicle_upholstery : Tout cuir ; vehicle_maintenance : Carnet d'entretien disponible, Factures disponibles, Véhicule non fumeur, Réparations utiles déjà faites ; vehicle_interior_specs : Aide au stationnement, Alarme antivol, Apple CarPlay / Android Auto, Bluetooth, Chargeurs USB, Climatisation, Coffre à ouverture électrique, Phares anti-brouillard, Roue de secours, Régulateur de vitesse, Rétroviseurs dégivrants, Sièges chauffants, Sièges en cuir, Sièges électriques, Volant réglable en profondeur ; vehicle_euro_emissions_standard : Euro 3 ; vehicle_vsp : Avec permis ; vehicle_available_payment_methods : credit_card ; is_import : false ; old_price : 19500 ; vehicle_is_eligible_p2p : 2 ; vehicle_history_report_public_url : https://autoviza.fr/report/report?uid=cd89de54-1160-438d-b5a3-5a5f5ef05c4a ; argus_object_id : 720744 ; licence_plate_available : true</t>
        </is>
      </c>
      <c r="AG297" s="19" t="inlineStr">
        <is>
          <t>Voir</t>
        </is>
      </c>
      <c r="AH297" s="10" t="inlineStr">
        <is>
          <t>3194804756</t>
        </is>
      </c>
    </row>
    <row r="298">
      <c r="A298" s="10" t="inlineStr">
        <is>
          <t>Porsche Boxster 986</t>
        </is>
      </c>
      <c r="B298" s="10" t="inlineStr">
        <is>
          <t>Porsche Boxster 986 S</t>
        </is>
      </c>
      <c r="C298" s="10" t="inlineStr">
        <is>
          <t>En vente</t>
        </is>
      </c>
      <c r="D298" s="18" t="n">
        <v>46288</v>
      </c>
      <c r="E298" s="18" t="n">
        <v>46288</v>
      </c>
      <c r="F298" s="18" t="n">
        <v>46296</v>
      </c>
      <c r="G298" s="18" t="n"/>
      <c r="H298" s="17">
        <f>IF(OR(ISNUMBER(D298),ISNUMBER(E298)),IF(ISNUMBER(G298),G298,F298)-IF(ISNUMBER(D298),D298,E298),"")</f>
        <v/>
      </c>
      <c r="I298" s="12" t="n">
        <v>26000</v>
      </c>
      <c r="J298" s="12" t="n">
        <v>26000</v>
      </c>
      <c r="K298" s="13">
        <f>IF(AND(ISNUMBER(I298),ISNUMBER(J298),I298&gt;0),1-J298/I298,"")</f>
        <v/>
      </c>
      <c r="L298" s="16" t="n">
        <v>0</v>
      </c>
      <c r="M298" s="15" t="n">
        <v>107000</v>
      </c>
      <c r="N298" s="16" t="n">
        <v>2002</v>
      </c>
      <c r="O298" s="10" t="inlineStr">
        <is>
          <t>1</t>
        </is>
      </c>
      <c r="P298" s="10" t="inlineStr">
        <is>
          <t>1</t>
        </is>
      </c>
      <c r="Q298" s="16" t="n">
        <v>252</v>
      </c>
      <c r="R298" s="16" t="n">
        <v>17</v>
      </c>
      <c r="S298" s="10" t="inlineStr">
        <is>
          <t>argent</t>
        </is>
      </c>
      <c r="T298" s="16" t="n">
        <v>2</v>
      </c>
      <c r="U298" s="10" t="n"/>
      <c r="V298" s="10" t="n"/>
      <c r="W298" s="10" t="inlineStr">
        <is>
          <t>Particulier</t>
        </is>
      </c>
      <c r="X298" s="10" t="inlineStr">
        <is>
          <t>Perpignan</t>
        </is>
      </c>
      <c r="Y298" s="10" t="inlineStr">
        <is>
          <t>66000</t>
        </is>
      </c>
      <c r="Z298" s="10" t="inlineStr">
        <is>
          <t>Pyrénées-Orientales</t>
        </is>
      </c>
      <c r="AA298" s="10" t="inlineStr">
        <is>
          <t>Languedoc-Roussillon</t>
        </is>
      </c>
      <c r="AB298" s="16" t="n"/>
      <c r="AC298" s="16" t="n"/>
      <c r="AD298" s="10" t="n"/>
      <c r="AE29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F298" s="10" t="inlineStr">
        <is>
          <t>1 : 1 ; 2 : 2 ; 33 : 33 ; 2002 : 2002 ; 720747 : 720747 ; https://img.leboncoin.fr/api/v1/tenants/9a6387a1-6259-4f2c-a887-7e67f23dd4cb/domains/20bda58f-d650-462e-a72a-a5a7ecf2bf88/buckets/21d2b0bc-e54c-4b64-a30b-89127b18b785/images/profile/pictures/default/a42f249f-b019-5532-84e9-f74655ba4c9f?rule=pp-small : https://img.leboncoin.fr/api/v1/tenants/9a6387a1-6259-4f2c-a887-7e67f23dd4cb/domains/20bda58f-d650-462e-a72a-a5a7ecf2bf88/buckets/21d2b0bc-e54c-4b64-a30b-89127b18b785/images/profile/pictures/default/a42f249f-b019-5532-84e9-f74655ba4c9f?rule=pp-small ; Porsche : Porsche ; Boxster : Boxster ; PORSCHE : PORSCHE ; 107000 km : 107000 ; Essence : 1 ; Manuelle : 1 ; S : PORSCHE_Boxster_S ; S_Boxster 3.2 S : S_Boxster 3.2 S ; 02/2002 : 02/2002 ; Non endommagé : undamaged ; Cabriolet : cabriolet ; Argent : argent ; 17 Cv : 17 ; 252 Ch : 252 ; Avec permis : avecpermis ; false : false ; true : true ; rating_score : 1 ; rating_count : 33 ; u_car_brand : PORSCHE ; u_car_model : Boxster ; u_car_finition : S ; u_car_version : S_Boxster 3.2 S ; vehicle_damage : Non endommagé ; vehicle_vsp : Avec permis ; is_import : false ; vehicle_is_eligible_p2p : 2 ; argus_object_id : 720747 ; licence_plate_available : true</t>
        </is>
      </c>
      <c r="AG298" s="19" t="inlineStr">
        <is>
          <t>Voir</t>
        </is>
      </c>
      <c r="AH298" s="10" t="inlineStr">
        <is>
          <t>3205141466</t>
        </is>
      </c>
    </row>
    <row r="299">
      <c r="A299" s="10" t="inlineStr">
        <is>
          <t>Porsche Boxster 986</t>
        </is>
      </c>
      <c r="B299" s="10" t="inlineStr">
        <is>
          <t>Porsche BOXSTER (986) 3.2 S Cabriolet</t>
        </is>
      </c>
      <c r="C299" s="10" t="inlineStr">
        <is>
          <t>En vente</t>
        </is>
      </c>
      <c r="D299" s="18" t="n">
        <v>46286</v>
      </c>
      <c r="E299" s="18" t="n">
        <v>46286</v>
      </c>
      <c r="F299" s="18" t="n">
        <v>46296</v>
      </c>
      <c r="G299" s="18" t="n"/>
      <c r="H299" s="17">
        <f>IF(OR(ISNUMBER(D299),ISNUMBER(E299)),IF(ISNUMBER(G299),G299,F299)-IF(ISNUMBER(D299),D299,E299),"")</f>
        <v/>
      </c>
      <c r="I299" s="12" t="n">
        <v>18990</v>
      </c>
      <c r="J299" s="12" t="n">
        <v>18990</v>
      </c>
      <c r="K299" s="13">
        <f>IF(AND(ISNUMBER(I299),ISNUMBER(J299),I299&gt;0),1-J299/I299,"")</f>
        <v/>
      </c>
      <c r="L299" s="16" t="n">
        <v>0</v>
      </c>
      <c r="M299" s="15" t="n">
        <v>111100</v>
      </c>
      <c r="N299" s="16" t="n">
        <v>2002</v>
      </c>
      <c r="O299" s="10" t="inlineStr">
        <is>
          <t>1</t>
        </is>
      </c>
      <c r="P299" s="10" t="inlineStr">
        <is>
          <t>1</t>
        </is>
      </c>
      <c r="Q299" s="16" t="n">
        <v>252</v>
      </c>
      <c r="R299" s="16" t="n">
        <v>17</v>
      </c>
      <c r="S299" s="10" t="inlineStr">
        <is>
          <t>gris</t>
        </is>
      </c>
      <c r="T299" s="16" t="n"/>
      <c r="U299" s="10" t="n"/>
      <c r="V299" s="10" t="inlineStr">
        <is>
          <t>3</t>
        </is>
      </c>
      <c r="W299" s="10" t="inlineStr">
        <is>
          <t>Pro</t>
        </is>
      </c>
      <c r="X299" s="10" t="inlineStr">
        <is>
          <t>Noyal-Châtillon-sur-Seiche</t>
        </is>
      </c>
      <c r="Y299" s="10" t="inlineStr">
        <is>
          <t>35230</t>
        </is>
      </c>
      <c r="Z299" s="10" t="inlineStr">
        <is>
          <t>Ille-et-Vilaine</t>
        </is>
      </c>
      <c r="AA299" s="10" t="inlineStr">
        <is>
          <t>Bretagne</t>
        </is>
      </c>
      <c r="AB299" s="16" t="n"/>
      <c r="AC299" s="16" t="n"/>
      <c r="AD299" s="10" t="n"/>
      <c r="AE29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F299" s="10" t="inlineStr">
        <is>
          <t>1 : 1 ; 3 : 3 ; 455 : 455 ; 2002 : 2002 ; 21990 : 21990 ; 720747 : 720747 ; 7012414 : 7012414 ; Porsche : Porsche ; Boxster : Boxster ; PORSCHE : PORSCHE ; 111100 km : 111100 ; Essence : 1 ; Manuelle : 1 ; S : PORSCHE_Boxster_S ; Boxster 3.2 S : Boxster 3.2 S ; 01/2002 : 01/2002 ; Cabriolet : cabriolet ; Gris : gris ; 17 Cv : 17 ; 252 Ch : 252 ; Avec permis : avecpermis ; false : false ; true : true ; https://img.leboncoin.fr/api/v1/lbcpb1/images/36/3e/d0/363ed010-e858-4d7f-99c8-d8307888445e?rule=bo-thumb : https://img.leboncoin.fr/api/v1/lbcpb1/images/36/3e/d0/363ed010-e858-4d7f-99c8-d8307888445e?rule=bo-thumb ; CARWELL : CARWELL ; https://autoviza.fr/report/report?uid=a7a5387e-085d-4964-96d7-d3f1b090f93f : https://autoviza.fr/report/report?uid=a7a5387e-085d-4964-96d7-d3f1b090f93f ; visible : visible ; Non renseignée : non_renseignee ; activity_sector : 1 ; u_car_brand : PORSCHE ; u_car_model : Boxster ; u_car_finition : S ; u_car_version : Boxster 3.2 S ; vehicle_vsp : Avec permis ; recent_used_vehicle : false ; has_visibility_option : true ; store_logo : https://img.leboncoin.fr/api/v1/lbcpb1/images/36/3e/d0/363ed010-e858-4d7f-99c8-d8307888445e?rule=bo-thumb ; store_name : CARWELL ; online_store_id : 7012414 ; custom_ref : 455 ; is_import : true ; old_price : 21990 ; vehicle_history_report_public_url : https://autoviza.fr/report/report?uid=a7a5387e-085d-4964-96d7-d3f1b090f93f ; vehicle_history_report_status : visible ; argus_object_id : 720747 ; spare_parts_availability : Non renseignée ; licence_plate_available : true</t>
        </is>
      </c>
      <c r="AG299" s="19" t="inlineStr">
        <is>
          <t>Voir</t>
        </is>
      </c>
      <c r="AH299" s="10" t="inlineStr">
        <is>
          <t>3208942462</t>
        </is>
      </c>
    </row>
    <row r="300">
      <c r="A300" s="10" t="inlineStr">
        <is>
          <t>Porsche Boxster 986</t>
        </is>
      </c>
      <c r="B300" s="10" t="inlineStr">
        <is>
          <t>Porsche BOXSTER (986) 3.2 S BV6 252CH JTES 18 PCM ÉCHAP SPORT XÉNON CARNET ET FACTURES</t>
        </is>
      </c>
      <c r="C300" s="10" t="inlineStr">
        <is>
          <t>En vente</t>
        </is>
      </c>
      <c r="D300" s="18" t="n">
        <v>46240</v>
      </c>
      <c r="E300" s="18" t="n">
        <v>46240</v>
      </c>
      <c r="F300" s="18" t="n">
        <v>46296</v>
      </c>
      <c r="G300" s="18" t="n"/>
      <c r="H300" s="17">
        <f>IF(OR(ISNUMBER(D300),ISNUMBER(E300)),IF(ISNUMBER(G300),G300,F300)-IF(ISNUMBER(D300),D300,E300),"")</f>
        <v/>
      </c>
      <c r="I300" s="12" t="n">
        <v>19990</v>
      </c>
      <c r="J300" s="12" t="n">
        <v>19990</v>
      </c>
      <c r="K300" s="13">
        <f>IF(AND(ISNUMBER(I300),ISNUMBER(J300),I300&gt;0),1-J300/I300,"")</f>
        <v/>
      </c>
      <c r="L300" s="16" t="n">
        <v>0</v>
      </c>
      <c r="M300" s="15" t="n">
        <v>139900</v>
      </c>
      <c r="N300" s="16" t="n">
        <v>2002</v>
      </c>
      <c r="O300" s="10" t="inlineStr">
        <is>
          <t>1</t>
        </is>
      </c>
      <c r="P300" s="10" t="inlineStr">
        <is>
          <t>1</t>
        </is>
      </c>
      <c r="Q300" s="16" t="n"/>
      <c r="R300" s="16" t="n"/>
      <c r="S300" s="10" t="inlineStr">
        <is>
          <t>noir</t>
        </is>
      </c>
      <c r="T300" s="16" t="n"/>
      <c r="U300" s="10" t="n"/>
      <c r="V300" s="10" t="n"/>
      <c r="W300" s="10" t="inlineStr">
        <is>
          <t>Pro</t>
        </is>
      </c>
      <c r="X300" s="10" t="inlineStr">
        <is>
          <t>Chassieu</t>
        </is>
      </c>
      <c r="Y300" s="10" t="inlineStr">
        <is>
          <t>69680</t>
        </is>
      </c>
      <c r="Z300" s="10" t="inlineStr">
        <is>
          <t>Rhône</t>
        </is>
      </c>
      <c r="AA300" s="10" t="inlineStr">
        <is>
          <t>Rhône-Alpes</t>
        </is>
      </c>
      <c r="AB300" s="16" t="n"/>
      <c r="AC300" s="16" t="n"/>
      <c r="AD300" s="10" t="inlineStr">
        <is>
          <t>Oui</t>
        </is>
      </c>
      <c r="AE300"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F300" s="10" t="inlineStr">
        <is>
          <t>1 : 1 ; 197 : 197 ; 2002 : 2002 ; 12860 : 12860 ; 20890 : 20890 ; 720747 : 720747 ; Porsche : Porsche ; Boxster : Boxster ; PORSCHE : PORSCHE ; 139900 km : 139900 ; Essence : 1 ; Manuelle : 1 ; S : PORSCHE_Boxster_S ; Boxster 3.2 S : Boxster 3.2 S ; 02/2002 : 02/2002 ; Cabriolet : cabriolet ; Noir : noir ; Avec permis : avecpermis ; false : false ; true : true ; https://img.leboncoin.fr/api/v1/lbcpb1/images/47/63/22/476322003786996.jpg?rule=bo-thumb : https://img.leboncoin.fr/api/v1/lbcpb1/images/47/63/22/476322003786996.jpg?rule=bo-thumb ; RSLYON : RSLYON ; Non renseignée : non_renseignee ; activity_sector : 1 ; u_car_brand : PORSCHE ; u_car_model : Boxster ; u_car_finition : S ; u_car_version : Boxster 3.2 S ; vehicle_vsp : Avec permis ; recent_used_vehicle : false ; has_visibility_option : true ; store_logo : https://img.leboncoin.fr/api/v1/lbcpb1/images/47/63/22/476322003786996.jpg?rule=bo-thumb ; store_name : RSLYON ; online_store_id : 12860 ; custom_ref : 197 ; is_import : true ; old_price : 20890 ; argus_object_id : 720747 ; spare_parts_availability : Non renseignée</t>
        </is>
      </c>
      <c r="AG300" s="19" t="inlineStr">
        <is>
          <t>Voir</t>
        </is>
      </c>
      <c r="AH300" s="10" t="inlineStr">
        <is>
          <t>3214892442</t>
        </is>
      </c>
    </row>
    <row r="301">
      <c r="A301" s="10" t="inlineStr">
        <is>
          <t>Porsche Boxster 986</t>
        </is>
      </c>
      <c r="B301" s="10" t="inlineStr">
        <is>
          <t>Boxster 986</t>
        </is>
      </c>
      <c r="C301" s="10" t="inlineStr">
        <is>
          <t>En vente</t>
        </is>
      </c>
      <c r="D301" s="18" t="n">
        <v>46265</v>
      </c>
      <c r="E301" s="18" t="n">
        <v>46265</v>
      </c>
      <c r="F301" s="18" t="n">
        <v>46296</v>
      </c>
      <c r="G301" s="18" t="n"/>
      <c r="H301" s="17">
        <f>IF(OR(ISNUMBER(D301),ISNUMBER(E301)),IF(ISNUMBER(G301),G301,F301)-IF(ISNUMBER(D301),D301,E301),"")</f>
        <v/>
      </c>
      <c r="I301" s="12" t="n">
        <v>14900</v>
      </c>
      <c r="J301" s="12" t="n">
        <v>14900</v>
      </c>
      <c r="K301" s="13">
        <f>IF(AND(ISNUMBER(I301),ISNUMBER(J301),I301&gt;0),1-J301/I301,"")</f>
        <v/>
      </c>
      <c r="L301" s="16" t="n">
        <v>0</v>
      </c>
      <c r="M301" s="15" t="n">
        <v>157225</v>
      </c>
      <c r="N301" s="16" t="n">
        <v>1997</v>
      </c>
      <c r="O301" s="10" t="inlineStr">
        <is>
          <t>1</t>
        </is>
      </c>
      <c r="P301" s="10" t="inlineStr">
        <is>
          <t>1</t>
        </is>
      </c>
      <c r="Q301" s="16" t="n">
        <v>204</v>
      </c>
      <c r="R301" s="16" t="n">
        <v>14</v>
      </c>
      <c r="S301" s="10" t="inlineStr">
        <is>
          <t>bleu</t>
        </is>
      </c>
      <c r="T301" s="16" t="n">
        <v>2</v>
      </c>
      <c r="U301" s="10" t="n"/>
      <c r="V301" s="10" t="inlineStr">
        <is>
          <t>3</t>
        </is>
      </c>
      <c r="W301" s="10" t="inlineStr">
        <is>
          <t>Particulier</t>
        </is>
      </c>
      <c r="X301" s="10" t="inlineStr">
        <is>
          <t>Pîtres</t>
        </is>
      </c>
      <c r="Y301" s="10" t="inlineStr">
        <is>
          <t>27590</t>
        </is>
      </c>
      <c r="Z301" s="10" t="inlineStr">
        <is>
          <t>Eure</t>
        </is>
      </c>
      <c r="AA301" s="10" t="inlineStr">
        <is>
          <t>Haute-Normandie</t>
        </is>
      </c>
      <c r="AB301" s="16" t="n"/>
      <c r="AC301" s="16" t="n"/>
      <c r="AD301" s="10" t="n"/>
      <c r="AE301"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F301" s="10" t="inlineStr">
        <is>
          <t>2 : 2 ; 3 : 3 ; 1997 : 1997 ; 2028 : 2028 ; https://img.leboncoin.fr/api/v1/tenants/9a6387a1-6259-4f2c-a887-7e67f23dd4cb/domains/20bda58f-d650-462e-a72a-a5a7ecf2bf88/buckets/21d2b0bc-e54c-4b64-a30b-89127b18b785/images/profile/pictures/default/67aabc62-86e3-5db9-83fe-02f97ebbc594?rule=pp-small : https://img.leboncoin.fr/api/v1/tenants/9a6387a1-6259-4f2c-a887-7e67f23dd4cb/domains/20bda58f-d650-462e-a72a-a5a7ecf2bf88/buckets/21d2b0bc-e54c-4b64-a30b-89127b18b785/images/profile/pictures/default/67aabc62-86e3-5db9-83fe-02f97ebbc594?rule=pp-small ; Porsche : Porsche ; Boxster : Boxster ; PORSCHE : PORSCHE ; 157225 km : 157225 ; Essence : 1 ; Manuelle : 1 ; Oui : true ; 03/1997 : 03/1997 ; Bon état général : good_overall_condition ; Cabriolet : cabriolet ; Bleu : bleu ; Euro 2 : euro2 ; 14 Cv : 14 ; 204 Ch : 204 ; Avec permis : avecpermis ; credit_card : credit_card ; false : false ; https://autoviza.fr/report/report?uid=4718079f-9ac9-4d19-950a-a0ea28b0c95a : https://autoviza.fr/report/report?uid=4718079f-9ac9-4d19-950a-a0ea28b0c95a ; visible : visible ; true : true ; u_car_brand : PORSCHE ; u_car_model : Boxster ; vehicle_technical_inspection_valid : Oui ; vehicle_technical_inspection_a : 2028 ; vehicle_damage : Bon état général ; vehicle_upholstery : Tout cuir ; vehicle_euro_emissions_standard : Euro 2 ; vehicle_vsp : Avec permis ; vehicle_available_payment_methods : credit_card ; is_import : false ; vehicle_is_eligible_p2p : 2 ; vehicle_history_report_public_url : https://autoviza.fr/report/report?uid=4718079f-9ac9-4d19-950a-a0ea28b0c95a ; vehicle_history_report_status : visible ; licence_plate_available : true</t>
        </is>
      </c>
      <c r="AG301" s="19" t="inlineStr">
        <is>
          <t>Voir</t>
        </is>
      </c>
      <c r="AH301" s="10" t="inlineStr">
        <is>
          <t>3223210758</t>
        </is>
      </c>
    </row>
    <row r="302">
      <c r="A302" s="10" t="inlineStr">
        <is>
          <t>Porsche Boxster 986</t>
        </is>
      </c>
      <c r="B302" s="10" t="inlineStr">
        <is>
          <t>Porsche boxster 986</t>
        </is>
      </c>
      <c r="C302" s="10" t="inlineStr">
        <is>
          <t>En vente</t>
        </is>
      </c>
      <c r="D302" s="18" t="n">
        <v>46265</v>
      </c>
      <c r="E302" s="18" t="n">
        <v>46265</v>
      </c>
      <c r="F302" s="18" t="n">
        <v>46296</v>
      </c>
      <c r="G302" s="18" t="n"/>
      <c r="H302" s="17">
        <f>IF(OR(ISNUMBER(D302),ISNUMBER(E302)),IF(ISNUMBER(G302),G302,F302)-IF(ISNUMBER(D302),D302,E302),"")</f>
        <v/>
      </c>
      <c r="I302" s="12" t="n">
        <v>21500</v>
      </c>
      <c r="J302" s="12" t="n">
        <v>21500</v>
      </c>
      <c r="K302" s="13">
        <f>IF(AND(ISNUMBER(I302),ISNUMBER(J302),I302&gt;0),1-J302/I302,"")</f>
        <v/>
      </c>
      <c r="L302" s="16" t="n">
        <v>0</v>
      </c>
      <c r="M302" s="15" t="n">
        <v>129800</v>
      </c>
      <c r="N302" s="16" t="n">
        <v>2004</v>
      </c>
      <c r="O302" s="10" t="inlineStr">
        <is>
          <t>1</t>
        </is>
      </c>
      <c r="P302" s="10" t="inlineStr">
        <is>
          <t>1</t>
        </is>
      </c>
      <c r="Q302" s="16" t="n">
        <v>228</v>
      </c>
      <c r="R302" s="16" t="n">
        <v>15</v>
      </c>
      <c r="S302" s="10" t="inlineStr">
        <is>
          <t>noir</t>
        </is>
      </c>
      <c r="T302" s="16" t="n">
        <v>2</v>
      </c>
      <c r="U302" s="10" t="n"/>
      <c r="V302" s="10" t="inlineStr">
        <is>
          <t>3</t>
        </is>
      </c>
      <c r="W302" s="10" t="inlineStr">
        <is>
          <t>Particulier</t>
        </is>
      </c>
      <c r="X302" s="10" t="inlineStr">
        <is>
          <t>Six-Fours-les-Plages</t>
        </is>
      </c>
      <c r="Y302" s="10" t="inlineStr">
        <is>
          <t>83140</t>
        </is>
      </c>
      <c r="Z302" s="10" t="inlineStr">
        <is>
          <t>Var</t>
        </is>
      </c>
      <c r="AA302" s="10" t="inlineStr">
        <is>
          <t>Provence-Alpes-Côte d'Azur</t>
        </is>
      </c>
      <c r="AB302" s="16" t="n"/>
      <c r="AC302" s="16" t="n"/>
      <c r="AD302" s="10" t="n"/>
      <c r="AE302"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F302" s="10" t="inlineStr">
        <is>
          <t>2 : 2 ; 3 : 3 ; 2004 : 2004 ; 2027 : 2027 ; 21900 : 21900 ; https://img.leboncoin.fr/api/v1/tenants/9a6387a1-6259-4f2c-a887-7e67f23dd4cb/domains/20bda58f-d650-462e-a72a-a5a7ecf2bf88/buckets/21d2b0bc-e54c-4b64-a30b-89127b18b785/images/profile/pictures/default/d976de1a-3dbf-5524-82a9-7cf9eaf4062e?rule=pp-small : https://img.leboncoin.fr/api/v1/tenants/9a6387a1-6259-4f2c-a887-7e67f23dd4cb/domains/20bda58f-d650-462e-a72a-a5a7ecf2bf88/buckets/21d2b0bc-e54c-4b64-a30b-89127b18b785/images/profile/pictures/default/d976de1a-3dbf-5524-82a9-7cf9eaf4062e?rule=pp-small ; Porsche : Porsche ; Boxster : Boxster ; PORSCHE : PORSCHE ; 129800 km : 129800 ; Essence : 1 ; Manuelle : 1 ; Oui : true ; 10/2004 : 10/2004 ; Bon état général : good_overall_condition ; Cabriolet : cabriolet ; Noir : noir ; 15 Cv : 15 ; 228 Ch : 228 ; Avec permis : avecpermis ; false : false ; true : true ; u_car_brand : PORSCHE ; u_car_model : Boxster ; vehicle_technical_inspection_valid : Oui ; vehicle_technical_inspection_a : 2027 ; vehicle_damage : Bon état général ; vehicle_upholstery : Tout cuir ; vehicle_maintenance : Carnet d'entretien disponible, Véhicule non fumeur, Factures disponibles ; vehicle_interior_specs : Alarme antivol, Climatisation, Coffre à ouverture électrique, Jantes en alliage, Pare-brise chauffant, Phares anti-brouillard, Phares LED / Xenon, Roue de secours, Régulateur de vitesse, Siège arrière rabattable, Siège réglable en hauteur, Sièges chauffants, Sièges en cuir, Sièges électriques, Système audio haut de gamme, Volant réglable en profondeur ; vehicle_vsp : Avec permis ; is_import : false ; old_price : 21900 ; vehicle_is_eligible_p2p : 2 ; licence_plate_available : true</t>
        </is>
      </c>
      <c r="AG302" s="19" t="inlineStr">
        <is>
          <t>Voir</t>
        </is>
      </c>
      <c r="AH302" s="10" t="inlineStr">
        <is>
          <t>3226389764</t>
        </is>
      </c>
    </row>
    <row r="303">
      <c r="A303" s="10" t="inlineStr">
        <is>
          <t>Porsche Boxster 986</t>
        </is>
      </c>
      <c r="B303" s="10" t="inlineStr">
        <is>
          <t>Porsche Boxster 986 2.7 228 ch BVM</t>
        </is>
      </c>
      <c r="C303" s="10" t="inlineStr">
        <is>
          <t>En vente</t>
        </is>
      </c>
      <c r="D303" s="18" t="n">
        <v>46263</v>
      </c>
      <c r="E303" s="18" t="n">
        <v>46263</v>
      </c>
      <c r="F303" s="18" t="n">
        <v>46296</v>
      </c>
      <c r="G303" s="18" t="n"/>
      <c r="H303" s="17">
        <f>IF(OR(ISNUMBER(D303),ISNUMBER(E303)),IF(ISNUMBER(G303),G303,F303)-IF(ISNUMBER(D303),D303,E303),"")</f>
        <v/>
      </c>
      <c r="I303" s="12" t="n">
        <v>20990</v>
      </c>
      <c r="J303" s="12" t="n">
        <v>20990</v>
      </c>
      <c r="K303" s="13">
        <f>IF(AND(ISNUMBER(I303),ISNUMBER(J303),I303&gt;0),1-J303/I303,"")</f>
        <v/>
      </c>
      <c r="L303" s="16" t="n">
        <v>0</v>
      </c>
      <c r="M303" s="15" t="n">
        <v>137900</v>
      </c>
      <c r="N303" s="16" t="n">
        <v>2003</v>
      </c>
      <c r="O303" s="10" t="inlineStr">
        <is>
          <t>1</t>
        </is>
      </c>
      <c r="P303" s="10" t="inlineStr">
        <is>
          <t>1</t>
        </is>
      </c>
      <c r="Q303" s="16" t="n">
        <v>228</v>
      </c>
      <c r="R303" s="16" t="n">
        <v>15</v>
      </c>
      <c r="S303" s="10" t="inlineStr">
        <is>
          <t>gris</t>
        </is>
      </c>
      <c r="T303" s="16" t="n">
        <v>2</v>
      </c>
      <c r="U303" s="10" t="n"/>
      <c r="V303" s="10" t="inlineStr">
        <is>
          <t>3</t>
        </is>
      </c>
      <c r="W303" s="10" t="inlineStr">
        <is>
          <t>Pro</t>
        </is>
      </c>
      <c r="X303" s="10" t="inlineStr">
        <is>
          <t>Jouy-le-Potier</t>
        </is>
      </c>
      <c r="Y303" s="10" t="inlineStr">
        <is>
          <t>45370</t>
        </is>
      </c>
      <c r="Z303" s="10" t="inlineStr">
        <is>
          <t>Loiret</t>
        </is>
      </c>
      <c r="AA303" s="10" t="inlineStr">
        <is>
          <t>Centre</t>
        </is>
      </c>
      <c r="AB303" s="16" t="n"/>
      <c r="AC303" s="16" t="n"/>
      <c r="AD303" s="10" t="n"/>
      <c r="AE303"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F303" s="10" t="inlineStr">
        <is>
          <t>1 : 1 ; 2 : 2 ; 3 : 3 ; 613 : 613 ; 2003 : 2003 ; 2402 : 2402 ; 21990 : 21990 ; 720749 : 720749 ; Porsche : Porsche ; Boxster : Boxster ; PORSCHE : PORSCHE ; 137900 km : 137900 ; Essence : 1 ; Manuelle : 1 ; Base : PORSCHE_Boxster_Base ; Boxster 2.7 : Boxster 2.7 ; 07/2003 : 07/2003 ; Cabriolet : cabriolet ; Gris : gris ; 15 Cv : 15 ; 228 Ch : 228 ; Avec permis : avecpermis ; false : false ; true : true ; https://img.leboncoin.fr/api/v1/lbcpb1/images/09/67/12/096712016775959.jpg?rule=bo-thumb : https://img.leboncoin.fr/api/v1/lbcpb1/images/09/67/12/096712016775959.jpg?rule=bo-thumb ; 45 autosport : 45 autosport ; https://autoviza.fr/report/report?uid=42c0c8be-d5c8-4f07-a391-9ab902489945 : https://autoviza.fr/report/report?uid=42c0c8be-d5c8-4f07-a391-9ab902489945 ; visible : visible ; Non renseignée : non_renseignee ; activity_sector : 1 ; u_car_brand : PORSCHE ; u_car_model : Boxster ; u_car_finition : Base ; u_car_version : Boxster 2.7 ; vehicle_maintenance : Carnet d'entretien disponible ; vehicle_interior_specs : Climatisation, Sièges en cuir, Vitres électriques arrières ; vehicle_vsp : Avec permis ; recent_used_vehicle : false ; has_visibility_option : true ; store_logo : https://img.leboncoin.fr/api/v1/lbcpb1/images/09/67/12/096712016775959.jpg?rule=bo-thumb ; store_name : 45 autosport ; online_store_id : 2402 ; custom_ref : 613 ; is_import : true ; old_price : 21990 ; vehicle_history_report_public_url : https://autoviza.fr/report/report?uid=42c0c8be-d5c8-4f07-a391-9ab902489945 ; vehicle_history_report_status : visible ; argus_object_id : 720749 ; spare_parts_availability : Non renseignée ; licence_plate_available : true</t>
        </is>
      </c>
      <c r="AG303" s="19" t="inlineStr">
        <is>
          <t>Voir</t>
        </is>
      </c>
      <c r="AH303" s="10" t="inlineStr">
        <is>
          <t>3227346667</t>
        </is>
      </c>
    </row>
    <row r="304">
      <c r="A304" s="10" t="inlineStr">
        <is>
          <t>Porsche Boxster 986</t>
        </is>
      </c>
      <c r="B304" s="10" t="inlineStr">
        <is>
          <t>Porsche Boxster 986</t>
        </is>
      </c>
      <c r="C304" s="10" t="inlineStr">
        <is>
          <t>En vente</t>
        </is>
      </c>
      <c r="D304" s="18" t="n">
        <v>46292</v>
      </c>
      <c r="E304" s="18" t="n">
        <v>46292</v>
      </c>
      <c r="F304" s="18" t="n">
        <v>46296</v>
      </c>
      <c r="G304" s="18" t="n"/>
      <c r="H304" s="17">
        <f>IF(OR(ISNUMBER(D304),ISNUMBER(E304)),IF(ISNUMBER(G304),G304,F304)-IF(ISNUMBER(D304),D304,E304),"")</f>
        <v/>
      </c>
      <c r="I304" s="12" t="n">
        <v>21000</v>
      </c>
      <c r="J304" s="12" t="n">
        <v>21000</v>
      </c>
      <c r="K304" s="13">
        <f>IF(AND(ISNUMBER(I304),ISNUMBER(J304),I304&gt;0),1-J304/I304,"")</f>
        <v/>
      </c>
      <c r="L304" s="16" t="n">
        <v>0</v>
      </c>
      <c r="M304" s="15" t="n">
        <v>85700</v>
      </c>
      <c r="N304" s="16" t="n">
        <v>1998</v>
      </c>
      <c r="O304" s="10" t="inlineStr">
        <is>
          <t>1</t>
        </is>
      </c>
      <c r="P304" s="10" t="inlineStr">
        <is>
          <t>2</t>
        </is>
      </c>
      <c r="Q304" s="16" t="n">
        <v>204</v>
      </c>
      <c r="R304" s="16" t="n">
        <v>13</v>
      </c>
      <c r="S304" s="10" t="n"/>
      <c r="T304" s="16" t="n"/>
      <c r="U304" s="10" t="n"/>
      <c r="V304" s="10" t="n"/>
      <c r="W304" s="10" t="inlineStr">
        <is>
          <t>Particulier</t>
        </is>
      </c>
      <c r="X304" s="10" t="inlineStr">
        <is>
          <t>Paris</t>
        </is>
      </c>
      <c r="Y304" s="10" t="inlineStr">
        <is>
          <t>75001</t>
        </is>
      </c>
      <c r="Z304" s="10" t="inlineStr">
        <is>
          <t>Paris</t>
        </is>
      </c>
      <c r="AA304" s="10" t="inlineStr">
        <is>
          <t>Ile-de-France</t>
        </is>
      </c>
      <c r="AB304" s="16" t="n"/>
      <c r="AC304" s="16" t="n"/>
      <c r="AD304" s="10" t="n"/>
      <c r="AE30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F304" s="10" t="inlineStr">
        <is>
          <t>1 : 1 ; 2 : 2 ; 1998 : 1998 ; https://img.leboncoin.fr/api/v1/tenants/9a6387a1-6259-4f2c-a887-7e67f23dd4cb/domains/20bda58f-d650-462e-a72a-a5a7ecf2bf88/buckets/21d2b0bc-e54c-4b64-a30b-89127b18b785/images/profile/pictures/default/7205e0a5-6506-502c-ba63-868e55733dd1?rule=pp-small : https://img.leboncoin.fr/api/v1/tenants/9a6387a1-6259-4f2c-a887-7e67f23dd4cb/domains/20bda58f-d650-462e-a72a-a5a7ecf2bf88/buckets/21d2b0bc-e54c-4b64-a30b-89127b18b785/images/profile/pictures/default/7205e0a5-6506-502c-ba63-868e55733dd1?rule=pp-small ; Porsche : Porsche ; Boxster : Boxster ; PORSCHE : PORSCHE ; 85700 km : 85700 ; Essence : 1 ; Automatique : 2 ; Non : false ; 02/1998 : 02/1998 ; Excellent état (proche du neuf) : excellent_condition ; Cabriolet : cabriolet ; 13 Cv : 13 ; 204 Ch : 204 ; Avec permis : avecpermis ; false : false ; true : true ; rating_score : 1 ; rating_count : 2 ; u_car_brand : PORSCHE ; u_car_model : Boxster ; vehicle_technical_inspection_valid : Non ; vehicle_damage : Excellent état (proche du neuf) ; vehicle_upholstery : Tout cuir ; vehicle_vsp : Avec permis ; is_import : false ; vehicle_is_eligible_p2p : 2 ; licence_plate_available : true</t>
        </is>
      </c>
      <c r="AG304" s="19" t="inlineStr">
        <is>
          <t>Voir</t>
        </is>
      </c>
      <c r="AH304" s="10" t="inlineStr">
        <is>
          <t>3228200524</t>
        </is>
      </c>
    </row>
    <row r="305">
      <c r="A305" s="10" t="inlineStr">
        <is>
          <t>Porsche Boxster 986</t>
        </is>
      </c>
      <c r="B305" s="10" t="inlineStr">
        <is>
          <t>Porsche Boxster 986 2.7 228 BVM</t>
        </is>
      </c>
      <c r="C305" s="10" t="inlineStr">
        <is>
          <t>En vente</t>
        </is>
      </c>
      <c r="D305" s="18" t="n">
        <v>46296</v>
      </c>
      <c r="E305" s="18" t="n">
        <v>46296</v>
      </c>
      <c r="F305" s="18" t="n">
        <v>46296</v>
      </c>
      <c r="G305" s="18" t="n"/>
      <c r="H305" s="17">
        <f>IF(OR(ISNUMBER(D305),ISNUMBER(E305)),IF(ISNUMBER(G305),G305,F305)-IF(ISNUMBER(D305),D305,E305),"")</f>
        <v/>
      </c>
      <c r="I305" s="12" t="n">
        <v>22990</v>
      </c>
      <c r="J305" s="12" t="n">
        <v>22990</v>
      </c>
      <c r="K305" s="13">
        <f>IF(AND(ISNUMBER(I305),ISNUMBER(J305),I305&gt;0),1-J305/I305,"")</f>
        <v/>
      </c>
      <c r="L305" s="16" t="n">
        <v>0</v>
      </c>
      <c r="M305" s="15" t="n">
        <v>97000</v>
      </c>
      <c r="N305" s="16" t="n">
        <v>2003</v>
      </c>
      <c r="O305" s="10" t="inlineStr">
        <is>
          <t>1</t>
        </is>
      </c>
      <c r="P305" s="10" t="inlineStr">
        <is>
          <t>1</t>
        </is>
      </c>
      <c r="Q305" s="16" t="n">
        <v>228</v>
      </c>
      <c r="R305" s="16" t="n">
        <v>15</v>
      </c>
      <c r="S305" s="10" t="inlineStr">
        <is>
          <t>gris</t>
        </is>
      </c>
      <c r="T305" s="16" t="n">
        <v>2</v>
      </c>
      <c r="U305" s="10" t="n"/>
      <c r="V305" s="10" t="n"/>
      <c r="W305" s="10" t="inlineStr">
        <is>
          <t>Pro</t>
        </is>
      </c>
      <c r="X305" s="10" t="inlineStr">
        <is>
          <t>Chantonnay</t>
        </is>
      </c>
      <c r="Y305" s="10" t="inlineStr">
        <is>
          <t>85110</t>
        </is>
      </c>
      <c r="Z305" s="10" t="inlineStr">
        <is>
          <t>Vendée</t>
        </is>
      </c>
      <c r="AA305" s="10" t="inlineStr">
        <is>
          <t>Pays de la Loire</t>
        </is>
      </c>
      <c r="AB305" s="16" t="n"/>
      <c r="AC305" s="16" t="n"/>
      <c r="AD305" s="10" t="n"/>
      <c r="AE305"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F305" s="10" t="inlineStr">
        <is>
          <t>1 : 1 ; 2 : 2 ; 11 : 11 ; 2003 : 2003 ; Porsche : Porsche ; Boxster : Boxster ; PORSCHE : PORSCHE ; 97000 km : 97000 ; Essence : 1 ; Manuelle : 1 ; 05/2003 : 05/2003 ; Cabriolet : cabriolet ; Gris : gris ; 15 Cv : 15 ; 228 Ch : 228 ; Avec permis : avecpermis ; Non : 1 ; false : false ; https://autoviza.fr/report/report?uid=a11f66e3-16b8-4d51-83f1-70b66dc5d020 : https://autoviza.fr/report/report?uid=a11f66e3-16b8-4d51-83f1-70b66dc5d020 ; visible : visible ; Non renseignée : non_renseignee ; true : true ; activity_sector : 1 ; u_car_brand : PORSCHE ; u_car_model : Boxster ; vehicle_upholstery : Tout cuir ; vehicle_vsp : Avec permis ; car_contract : Non ; recent_used_vehicle : false ; vehicle_commercial_warranty : Non ; vehicle_manufacturer_warranty : Non ; custom_ref : 11 ; is_import : false ; vehicle_history_report_public_url : https://autoviza.fr/report/report?uid=a11f66e3-16b8-4d51-83f1-70b66dc5d020 ; vehicle_history_report_status : visible ; spare_parts_availability : Non renseignée ; licence_plate_available : true</t>
        </is>
      </c>
      <c r="AG305" s="19" t="inlineStr">
        <is>
          <t>Voir</t>
        </is>
      </c>
      <c r="AH305" s="10" t="inlineStr">
        <is>
          <t>3234830440</t>
        </is>
      </c>
    </row>
    <row r="306">
      <c r="A306" s="10" t="inlineStr">
        <is>
          <t>Porsche Boxster 986</t>
        </is>
      </c>
      <c r="B306" s="10" t="inlineStr">
        <is>
          <t>Porsche Boxster 986 2,5 L</t>
        </is>
      </c>
      <c r="C306" s="10" t="inlineStr">
        <is>
          <t>En vente</t>
        </is>
      </c>
      <c r="D306" s="18" t="n">
        <v>46281</v>
      </c>
      <c r="E306" s="18" t="n">
        <v>46281</v>
      </c>
      <c r="F306" s="18" t="n">
        <v>46296</v>
      </c>
      <c r="G306" s="18" t="n"/>
      <c r="H306" s="17">
        <f>IF(OR(ISNUMBER(D306),ISNUMBER(E306)),IF(ISNUMBER(G306),G306,F306)-IF(ISNUMBER(D306),D306,E306),"")</f>
        <v/>
      </c>
      <c r="I306" s="12" t="n">
        <v>18000</v>
      </c>
      <c r="J306" s="12" t="n">
        <v>18000</v>
      </c>
      <c r="K306" s="13">
        <f>IF(AND(ISNUMBER(I306),ISNUMBER(J306),I306&gt;0),1-J306/I306,"")</f>
        <v/>
      </c>
      <c r="L306" s="16" t="n">
        <v>0</v>
      </c>
      <c r="M306" s="15" t="n">
        <v>110000</v>
      </c>
      <c r="N306" s="16" t="n">
        <v>2000</v>
      </c>
      <c r="O306" s="10" t="inlineStr">
        <is>
          <t>1</t>
        </is>
      </c>
      <c r="P306" s="10" t="inlineStr">
        <is>
          <t>1</t>
        </is>
      </c>
      <c r="Q306" s="16" t="n">
        <v>204</v>
      </c>
      <c r="R306" s="16" t="n">
        <v>14</v>
      </c>
      <c r="S306" s="10" t="inlineStr">
        <is>
          <t>noir</t>
        </is>
      </c>
      <c r="T306" s="16" t="n">
        <v>2</v>
      </c>
      <c r="U306" s="10" t="n"/>
      <c r="V306" s="10" t="n"/>
      <c r="W306" s="10" t="inlineStr">
        <is>
          <t>Particulier</t>
        </is>
      </c>
      <c r="X306" s="10" t="inlineStr">
        <is>
          <t>Pont-l'Évêque</t>
        </is>
      </c>
      <c r="Y306" s="10" t="inlineStr">
        <is>
          <t>14130</t>
        </is>
      </c>
      <c r="Z306" s="10" t="inlineStr">
        <is>
          <t>Calvados</t>
        </is>
      </c>
      <c r="AA306" s="10" t="inlineStr">
        <is>
          <t>Basse-Normandie</t>
        </is>
      </c>
      <c r="AB306" s="16" t="n"/>
      <c r="AC306" s="16" t="n"/>
      <c r="AD306" s="10" t="n"/>
      <c r="AE306" s="10" t="inlineStr">
        <is>
          <t>PORSCHE BOXSTER 986 Année 2000 14 CV. 110000 KM 2L5 - 204cv Capote neuve avec vitre en verre et dégivrage KIT échappement inox 2 soties type turbo autres photos sur demande</t>
        </is>
      </c>
      <c r="AF306" s="10" t="inlineStr">
        <is>
          <t>2 : 2 ; 80 : 80 ; 2000 : 2000 ; 0.98 : 0.98 ; https://img.leboncoin.fr/api/v1/tenants/9a6387a1-6259-4f2c-a887-7e67f23dd4cb/domains/20bda58f-d650-462e-a72a-a5a7ecf2bf88/buckets/21d2b0bc-e54c-4b64-a30b-89127b18b785/images/profile/pictures/default/bc80c8b0-03be-54d4-a29c-ea78b0483e73?rule=pp-small : https://img.leboncoin.fr/api/v1/tenants/9a6387a1-6259-4f2c-a887-7e67f23dd4cb/domains/20bda58f-d650-462e-a72a-a5a7ecf2bf88/buckets/21d2b0bc-e54c-4b64-a30b-89127b18b785/images/profile/pictures/default/bc80c8b0-03be-54d4-a29c-ea78b0483e73?rule=pp-small ; Porsche : Porsche ; Boxster : Boxster ; PORSCHE : PORSCHE ; 110000 km : 110000 ; Essence : 1 ; Manuelle : 1 ; 06/2000 : 06/2000 ; Bon état général : good_overall_condition ; Cabriolet : cabriolet ; Noir : noir ; 14 Cv : 14 ; 204 Ch : 204 ; Avec permis : avecpermis ; credit_card : credit_card ; false : false ; https://autoviza.fr/report/report?uid=ba00fc50-23ae-4d4c-81d3-005faa8a430a : https://autoviza.fr/report/report?uid=ba00fc50-23ae-4d4c-81d3-005faa8a430a ; true : true ; rating_score : 0.98 ; rating_count : 80 ; u_car_brand : PORSCHE ; u_car_model : Boxster ; vehicle_damage : Bon état général ; vehicle_upholstery : Tout cuir ; vehicle_interior_specs : Roue de secours, Sièges chauffants, Sièges en cuir, Sièges électriques ; vehicle_vsp : Avec permis ; vehicle_available_payment_methods : credit_card ; is_import : false ; vehicle_is_eligible_p2p : 2 ; vehicle_history_report_public_url : https://autoviza.fr/report/report?uid=ba00fc50-23ae-4d4c-81d3-005faa8a430a ; licence_plate_available : true</t>
        </is>
      </c>
      <c r="AG306" s="19" t="inlineStr">
        <is>
          <t>Voir</t>
        </is>
      </c>
      <c r="AH306" s="10" t="inlineStr">
        <is>
          <t>3235072145</t>
        </is>
      </c>
    </row>
    <row r="307">
      <c r="A307" s="10" t="inlineStr">
        <is>
          <t>Porsche Boxster 986</t>
        </is>
      </c>
      <c r="B307" s="10" t="inlineStr">
        <is>
          <t>PORSCHE BOXSTER 986 3.2 i Roadster Cabriolet 252cv - Suivi d'entretien - Hardtop - Capote Alpaga -</t>
        </is>
      </c>
      <c r="C307" s="10" t="inlineStr">
        <is>
          <t>En vente</t>
        </is>
      </c>
      <c r="D307" s="18" t="n">
        <v>46224</v>
      </c>
      <c r="E307" s="18" t="n">
        <v>46224</v>
      </c>
      <c r="F307" s="18" t="n">
        <v>46296</v>
      </c>
      <c r="G307" s="18" t="n"/>
      <c r="H307" s="17">
        <f>IF(OR(ISNUMBER(D307),ISNUMBER(E307)),IF(ISNUMBER(G307),G307,F307)-IF(ISNUMBER(D307),D307,E307),"")</f>
        <v/>
      </c>
      <c r="I307" s="12" t="n">
        <v>16990</v>
      </c>
      <c r="J307" s="12" t="n">
        <v>16990</v>
      </c>
      <c r="K307" s="13">
        <f>IF(AND(ISNUMBER(I307),ISNUMBER(J307),I307&gt;0),1-J307/I307,"")</f>
        <v/>
      </c>
      <c r="L307" s="16" t="n">
        <v>0</v>
      </c>
      <c r="M307" s="15" t="n">
        <v>115000</v>
      </c>
      <c r="N307" s="16" t="n">
        <v>2001</v>
      </c>
      <c r="O307" s="10" t="inlineStr">
        <is>
          <t>1</t>
        </is>
      </c>
      <c r="P307" s="10" t="inlineStr">
        <is>
          <t>1</t>
        </is>
      </c>
      <c r="Q307" s="16" t="n">
        <v>252</v>
      </c>
      <c r="R307" s="16" t="n">
        <v>17</v>
      </c>
      <c r="S307" s="10" t="inlineStr">
        <is>
          <t>noir</t>
        </is>
      </c>
      <c r="T307" s="16" t="n">
        <v>2</v>
      </c>
      <c r="U307" s="10" t="n"/>
      <c r="V307" s="10" t="n"/>
      <c r="W307" s="10" t="inlineStr">
        <is>
          <t>Pro</t>
        </is>
      </c>
      <c r="X307" s="10" t="inlineStr">
        <is>
          <t>Aix-en-Provence</t>
        </is>
      </c>
      <c r="Y307" s="10" t="inlineStr">
        <is>
          <t>13290</t>
        </is>
      </c>
      <c r="Z307" s="10" t="inlineStr">
        <is>
          <t>Bouches-du-Rhône</t>
        </is>
      </c>
      <c r="AA307" s="10" t="inlineStr">
        <is>
          <t>Provence-Alpes-Côte d'Azur</t>
        </is>
      </c>
      <c r="AB307" s="16" t="n"/>
      <c r="AC307" s="16" t="n"/>
      <c r="AD307" s="10" t="inlineStr">
        <is>
          <t>Oui</t>
        </is>
      </c>
      <c r="AE307"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F307" s="10" t="inlineStr">
        <is>
          <t>1 : 1 ; 2 : 2 ; 2001 : 2001 ; 17990 : 17990 ; 49643 : 49643 ; 720747 : 720747 ; Porsche : Porsche ; Boxster : Boxster ; PORSCHE : PORSCHE ; 115000 km : 115000 ; Essence : 1 ; Manuelle : 1 ; S : PORSCHE_Boxster_S ; Boxster 3.2 S : Boxster 3.2 S ; 09/2001 : 09/2001 ; Noir : noir ; 17 Cv : 17 ; 252 Ch : 252 ; false : false ; true : true ; https://img.leboncoin.fr/api/v1/lbcpb1/images/c4/48/5e/c4485e62-5279-4950-849e-cbb4a447f365?rule=bo-thumb : https://img.leboncoin.fr/api/v1/lbcpb1/images/c4/48/5e/c4485e62-5279-4950-849e-cbb4a447f365?rule=bo-thumb ; TRANSAKAUTO PAYS D'AIX : TRANSAKAUTO PAYS D'AIX ; VO42451039 : VO42451039 ; https://autoviza.fr/report/report?uid=8ffb496d-b9b6-49cf-bd43-6785ef2f555a : https://autoviza.fr/report/report?uid=8ffb496d-b9b6-49cf-bd43-6785ef2f555a ; visible : visible ; Non renseignée : non_renseignee ; activity_sector : 1 ; u_car_brand : PORSCHE ; u_car_model : Boxster ; u_car_finition : S ; u_car_version : Boxster 3.2 S ; vehicle_interior_specs : Climatisation, Jantes en alliage, Ordinateur de bord, Roue de secours, Sièges chauffants, Sièges en cuir ; recent_used_vehicle : false ; has_visibility_option : true ; store_logo : https://img.leboncoin.fr/api/v1/lbcpb1/images/c4/48/5e/c4485e62-5279-4950-849e-cbb4a447f365?rule=bo-thumb ; store_name : TRANSAKAUTO PAYS D'AIX ; online_store_id : 49643 ; custom_ref : VO42451039 ; is_import : true ; old_price : 17990 ; vehicle_history_report_public_url : https://autoviza.fr/report/report?uid=8ffb496d-b9b6-49cf-bd43-6785ef2f555a ; vehicle_history_report_status : visible ; argus_object_id : 720747 ; spare_parts_availability : Non renseignée ; licence_plate_available : true</t>
        </is>
      </c>
      <c r="AG307" s="19" t="inlineStr">
        <is>
          <t>Voir</t>
        </is>
      </c>
      <c r="AH307" s="10" t="inlineStr">
        <is>
          <t>3236629923</t>
        </is>
      </c>
    </row>
    <row r="308">
      <c r="A308" s="10" t="inlineStr">
        <is>
          <t>Porsche Boxster 986</t>
        </is>
      </c>
      <c r="B308" s="10" t="inlineStr">
        <is>
          <t>Porsche Boxster I (986) 3.2 S</t>
        </is>
      </c>
      <c r="C308" s="10" t="inlineStr">
        <is>
          <t>En vente</t>
        </is>
      </c>
      <c r="D308" s="18" t="n">
        <v>46246</v>
      </c>
      <c r="E308" s="18" t="n">
        <v>46246</v>
      </c>
      <c r="F308" s="18" t="n">
        <v>46296</v>
      </c>
      <c r="G308" s="18" t="n"/>
      <c r="H308" s="17">
        <f>IF(OR(ISNUMBER(D308),ISNUMBER(E308)),IF(ISNUMBER(G308),G308,F308)-IF(ISNUMBER(D308),D308,E308),"")</f>
        <v/>
      </c>
      <c r="I308" s="12" t="n">
        <v>25380</v>
      </c>
      <c r="J308" s="12" t="n">
        <v>25380</v>
      </c>
      <c r="K308" s="13">
        <f>IF(AND(ISNUMBER(I308),ISNUMBER(J308),I308&gt;0),1-J308/I308,"")</f>
        <v/>
      </c>
      <c r="L308" s="16" t="n">
        <v>0</v>
      </c>
      <c r="M308" s="15" t="n">
        <v>118000</v>
      </c>
      <c r="N308" s="16" t="n">
        <v>2002</v>
      </c>
      <c r="O308" s="10" t="inlineStr">
        <is>
          <t>1</t>
        </is>
      </c>
      <c r="P308" s="10" t="inlineStr">
        <is>
          <t>1</t>
        </is>
      </c>
      <c r="Q308" s="16" t="n">
        <v>260</v>
      </c>
      <c r="R308" s="16" t="n">
        <v>18</v>
      </c>
      <c r="S308" s="10" t="inlineStr">
        <is>
          <t>gris</t>
        </is>
      </c>
      <c r="T308" s="16" t="n">
        <v>2</v>
      </c>
      <c r="U308" s="10" t="n"/>
      <c r="V308" s="10" t="inlineStr">
        <is>
          <t>3</t>
        </is>
      </c>
      <c r="W308" s="10" t="inlineStr">
        <is>
          <t>Pro</t>
        </is>
      </c>
      <c r="X308" s="10" t="inlineStr">
        <is>
          <t>Saint-Priest</t>
        </is>
      </c>
      <c r="Y308" s="10" t="inlineStr">
        <is>
          <t>69800</t>
        </is>
      </c>
      <c r="Z308" s="10" t="inlineStr">
        <is>
          <t>Rhône</t>
        </is>
      </c>
      <c r="AA308" s="10" t="inlineStr">
        <is>
          <t>Rhône-Alpes</t>
        </is>
      </c>
      <c r="AB308" s="16" t="n"/>
      <c r="AC308" s="16" t="n"/>
      <c r="AD308" s="10" t="inlineStr">
        <is>
          <t>Oui</t>
        </is>
      </c>
      <c r="AE30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F308" s="10" t="inlineStr">
        <is>
          <t>1 : 1 ; 2 : 2 ; 3 : 3 ; 1319 : 1319 ; 2002 : 2002 ; 4293 : 4293 ; 720751 : 720751 ; Porsche : Porsche ; Boxster : Boxster ; PORSCHE : PORSCHE ; 118000 km : 118000 ; Essence : 1 ; Manuelle : 1 ; S : PORSCHE_Boxster_S ; Boxster 3.2 S : Boxster 3.2 S ; Oui : true ; 12/2002 : 12/2002 ; Cabriolet : cabriolet ; Gris : gris ; 18 Cv : 18 ; 260 Ch : 260 ; Avec permis : avecpermis ; false : false ; true : true ; https://img.leboncoin.fr/api/v1/lbcpb1/images/66/90/14/669014035910966.jpg?rule=bo-thumb : https://img.leboncoin.fr/api/v1/lbcpb1/images/66/90/14/669014035910966.jpg?rule=bo-thumb ; S3 AUTO LYON : S3 AUTO LYON ; https://autoviza.fr/report/report?uid=78b008f8-c966-4be5-aa75-b4fc76e1ebbd : https://autoviza.fr/report/report?uid=78b008f8-c966-4be5-aa75-b4fc76e1ebbd ; visible : visible ; Non renseignée : non_renseignee ; activity_sector : 1 ; u_car_brand : PORSCHE ; u_car_model : Boxster ; u_car_finition : S ; u_car_version : Boxster 3.2 S ; vehicle_technical_inspection_valid : Oui ; vehicle_vsp : Avec permis ; recent_used_vehicle : false ; has_visibility_option : true ; store_logo : https://img.leboncoin.fr/api/v1/lbcpb1/images/66/90/14/669014035910966.jpg?rule=bo-thumb ; store_name : S3 AUTO LYON ; online_store_id : 1319 ; custom_ref : 4293 ; is_import : true ; vehicle_history_report_public_url : https://autoviza.fr/report/report?uid=78b008f8-c966-4be5-aa75-b4fc76e1ebbd ; vehicle_history_report_status : visible ; argus_object_id : 720751 ; spare_parts_availability : Non renseignée ; licence_plate_available : true</t>
        </is>
      </c>
      <c r="AG308" s="19" t="inlineStr">
        <is>
          <t>Voir</t>
        </is>
      </c>
      <c r="AH308" s="10" t="inlineStr">
        <is>
          <t>3249044905</t>
        </is>
      </c>
    </row>
    <row r="309">
      <c r="A309" s="10" t="inlineStr">
        <is>
          <t>Porsche Boxster 986</t>
        </is>
      </c>
      <c r="B309" s="10" t="inlineStr">
        <is>
          <t>Porsche Boxster 986</t>
        </is>
      </c>
      <c r="C309" s="10" t="inlineStr">
        <is>
          <t>En vente</t>
        </is>
      </c>
      <c r="D309" s="18" t="n">
        <v>46260</v>
      </c>
      <c r="E309" s="18" t="n">
        <v>46260</v>
      </c>
      <c r="F309" s="18" t="n">
        <v>46296</v>
      </c>
      <c r="G309" s="18" t="n"/>
      <c r="H309" s="17">
        <f>IF(OR(ISNUMBER(D309),ISNUMBER(E309)),IF(ISNUMBER(G309),G309,F309)-IF(ISNUMBER(D309),D309,E309),"")</f>
        <v/>
      </c>
      <c r="I309" s="12" t="n">
        <v>18500</v>
      </c>
      <c r="J309" s="12" t="n">
        <v>18500</v>
      </c>
      <c r="K309" s="13">
        <f>IF(AND(ISNUMBER(I309),ISNUMBER(J309),I309&gt;0),1-J309/I309,"")</f>
        <v/>
      </c>
      <c r="L309" s="16" t="n">
        <v>0</v>
      </c>
      <c r="M309" s="15" t="n">
        <v>145000</v>
      </c>
      <c r="N309" s="16" t="n">
        <v>2001</v>
      </c>
      <c r="O309" s="10" t="inlineStr">
        <is>
          <t>1</t>
        </is>
      </c>
      <c r="P309" s="10" t="inlineStr">
        <is>
          <t>1</t>
        </is>
      </c>
      <c r="Q309" s="16" t="n">
        <v>220</v>
      </c>
      <c r="R309" s="16" t="n">
        <v>15</v>
      </c>
      <c r="S309" s="10" t="inlineStr">
        <is>
          <t>noir</t>
        </is>
      </c>
      <c r="T309" s="16" t="n">
        <v>2</v>
      </c>
      <c r="U309" s="10" t="n"/>
      <c r="V309" s="10" t="n"/>
      <c r="W309" s="10" t="inlineStr">
        <is>
          <t>Particulier</t>
        </is>
      </c>
      <c r="X309" s="10" t="inlineStr">
        <is>
          <t>Montlhéry</t>
        </is>
      </c>
      <c r="Y309" s="10" t="inlineStr">
        <is>
          <t>91310</t>
        </is>
      </c>
      <c r="Z309" s="10" t="inlineStr">
        <is>
          <t>Essonne</t>
        </is>
      </c>
      <c r="AA309" s="10" t="inlineStr">
        <is>
          <t>Ile-de-France</t>
        </is>
      </c>
      <c r="AB309" s="16" t="n"/>
      <c r="AC309" s="16" t="n"/>
      <c r="AD309" s="10" t="n"/>
      <c r="AE309"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F309" s="10" t="inlineStr">
        <is>
          <t>1 : 1 ; 2 : 2 ; 12 : 12 ; 2001 : 2001 ; https://img.leboncoin.fr/api/v1/tenants/9a6387a1-6259-4f2c-a887-7e67f23dd4cb/domains/20bda58f-d650-462e-a72a-a5a7ecf2bf88/buckets/21d2b0bc-e54c-4b64-a30b-89127b18b785/images/profile/pictures/c56950a9-5f2e-51c3-8a9b-767c50fafdbc?rule=pp-small : https://img.leboncoin.fr/api/v1/tenants/9a6387a1-6259-4f2c-a887-7e67f23dd4cb/domains/20bda58f-d650-462e-a72a-a5a7ecf2bf88/buckets/21d2b0bc-e54c-4b64-a30b-89127b18b785/images/profile/pictures/c56950a9-5f2e-51c3-8a9b-767c50fafdbc?rule=pp-small ; Porsche : Porsche ; Boxster : Boxster ; PORSCHE : PORSCHE ; 145000 km : 145000 ; Essence : 1 ; Manuelle : 1 ; 07/2001 : 07/2001 ; Cabriolet : cabriolet ; Noir : noir ; 15 Cv : 15 ; 220 Ch : 220 ; Avec permis : avecpermis ; credit_card : credit_card ; false : false ; true : true ; rating_score : 1 ; rating_count : 12 ; u_car_brand : PORSCHE ; u_car_model : Boxster ; vehicle_vsp : Avec permis ; vehicle_available_payment_methods : credit_card ; is_import : false ; vehicle_is_eligible_p2p : 2 ; licence_plate_available : true</t>
        </is>
      </c>
      <c r="AG309" s="19" t="inlineStr">
        <is>
          <t>Voir</t>
        </is>
      </c>
      <c r="AH309" s="10" t="inlineStr">
        <is>
          <t>3257381352</t>
        </is>
      </c>
    </row>
    <row r="310">
      <c r="A310" s="10" t="inlineStr">
        <is>
          <t>Porsche Boxster 986</t>
        </is>
      </c>
      <c r="B310" s="10" t="inlineStr">
        <is>
          <t>PORSCHE Boxster 986 2.7 220 BV5 - Historique complet - Origine France</t>
        </is>
      </c>
      <c r="C310" s="10" t="inlineStr">
        <is>
          <t>En vente</t>
        </is>
      </c>
      <c r="D310" s="18" t="n">
        <v>46266</v>
      </c>
      <c r="E310" s="18" t="n">
        <v>46266</v>
      </c>
      <c r="F310" s="18" t="n">
        <v>46296</v>
      </c>
      <c r="G310" s="18" t="n"/>
      <c r="H310" s="17">
        <f>IF(OR(ISNUMBER(D310),ISNUMBER(E310)),IF(ISNUMBER(G310),G310,F310)-IF(ISNUMBER(D310),D310,E310),"")</f>
        <v/>
      </c>
      <c r="I310" s="12" t="n">
        <v>14490</v>
      </c>
      <c r="J310" s="12" t="n">
        <v>14490</v>
      </c>
      <c r="K310" s="13">
        <f>IF(AND(ISNUMBER(I310),ISNUMBER(J310),I310&gt;0),1-J310/I310,"")</f>
        <v/>
      </c>
      <c r="L310" s="16" t="n">
        <v>0</v>
      </c>
      <c r="M310" s="15" t="n">
        <v>163000</v>
      </c>
      <c r="N310" s="16" t="n">
        <v>2001</v>
      </c>
      <c r="O310" s="10" t="inlineStr">
        <is>
          <t>1</t>
        </is>
      </c>
      <c r="P310" s="10" t="inlineStr">
        <is>
          <t>1</t>
        </is>
      </c>
      <c r="Q310" s="16" t="n">
        <v>220</v>
      </c>
      <c r="R310" s="16" t="n">
        <v>15</v>
      </c>
      <c r="S310" s="10" t="inlineStr">
        <is>
          <t>argent</t>
        </is>
      </c>
      <c r="T310" s="16" t="n">
        <v>2</v>
      </c>
      <c r="U310" s="10" t="n"/>
      <c r="V310" s="10" t="n"/>
      <c r="W310" s="10" t="inlineStr">
        <is>
          <t>Pro</t>
        </is>
      </c>
      <c r="X310" s="10" t="inlineStr">
        <is>
          <t>Bidart</t>
        </is>
      </c>
      <c r="Y310" s="10" t="inlineStr">
        <is>
          <t>64210</t>
        </is>
      </c>
      <c r="Z310" s="10" t="inlineStr">
        <is>
          <t>Pyrénées-Atlantiques</t>
        </is>
      </c>
      <c r="AA310" s="10" t="inlineStr">
        <is>
          <t>Aquitaine</t>
        </is>
      </c>
      <c r="AB310" s="16" t="n"/>
      <c r="AC310" s="16" t="n"/>
      <c r="AD310" s="10" t="inlineStr">
        <is>
          <t>Oui</t>
        </is>
      </c>
      <c r="AE310"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F310" s="10" t="inlineStr">
        <is>
          <t>1 : 1 ; 2 : 2 ; 2001 : 2001 ; 507794 : 507794 ; 720743 : 720743 ; 4093840 : 4093840 ; Porsche : Porsche ; Boxster : Boxster ; PORSCHE : PORSCHE ; 163000 km : 163000 ; Essence : 1 ; Manuelle : 1 ; Base : PORSCHE_Boxster_Base ; Boxster 2.7 BV6 : Boxster 2.7 BV6 ; 01/2001 : 01/2001 ; Cabriolet : cabriolet ; Argent : argent ; 15 Cv : 15 ; 220 Ch : 220 ; false : false ; true : true ; https://img.leboncoin.fr/api/v1/lbcpb1/images/2a/ae/fe/2aaefe8d-ef93-4dc3-bc56-0e664c0f61f3?rule=bo-thumb : https://img.leboncoin.fr/api/v1/lbcpb1/images/2a/ae/fe/2aaefe8d-ef93-4dc3-bc56-0e664c0f61f3?rule=bo-thumb ; Agence Automobilière du BAB-Biarritz : Agence Automobilière du BAB-Biarritz ; https://autoviza.fr/report/report?uid=062abdd0-2dc7-41fe-aaec-0b8317ef96ea : https://autoviza.fr/report/report?uid=062abdd0-2dc7-41fe-aaec-0b8317ef96ea ; visible : visible ; Non renseignée : non_renseignee ; activity_sector : 1 ; u_car_brand : PORSCHE ; u_car_model : Boxster ; u_car_finition : Base ; u_car_version : Boxster 2.7 BV6 ; vehicle_interior_specs : Ordinateur de bord, Sièges en cuir, Vitres électriques arrières ; recent_used_vehicle : false ; has_visibility_option : true ; store_logo : https://img.leboncoin.fr/api/v1/lbcpb1/images/2a/ae/fe/2aaefe8d-ef93-4dc3-bc56-0e664c0f61f3?rule=bo-thumb ; store_name : Agence Automobilière du BAB-Biarritz ; online_store_id : 4093840 ; custom_ref : 507794 ; is_import : true ; vehicle_history_report_public_url : https://autoviza.fr/report/report?uid=062abdd0-2dc7-41fe-aaec-0b8317ef96ea ; vehicle_history_report_status : visible ; argus_object_id : 720743 ; spare_parts_availability : Non renseignée ; licence_plate_available : true</t>
        </is>
      </c>
      <c r="AG310" s="19" t="inlineStr">
        <is>
          <t>Voir</t>
        </is>
      </c>
      <c r="AH310" s="10" t="inlineStr">
        <is>
          <t>3261091532</t>
        </is>
      </c>
    </row>
    <row r="311">
      <c r="A311" s="10" t="inlineStr">
        <is>
          <t>Porsche Boxster 986</t>
        </is>
      </c>
      <c r="B311" s="10" t="inlineStr">
        <is>
          <t>Porsche boxster 986 phase 2</t>
        </is>
      </c>
      <c r="C311" s="10" t="inlineStr">
        <is>
          <t>En vente</t>
        </is>
      </c>
      <c r="D311" s="18" t="n">
        <v>46266</v>
      </c>
      <c r="E311" s="18" t="n">
        <v>46266</v>
      </c>
      <c r="F311" s="18" t="n">
        <v>46296</v>
      </c>
      <c r="G311" s="18" t="n"/>
      <c r="H311" s="17">
        <f>IF(OR(ISNUMBER(D311),ISNUMBER(E311)),IF(ISNUMBER(G311),G311,F311)-IF(ISNUMBER(D311),D311,E311),"")</f>
        <v/>
      </c>
      <c r="I311" s="12" t="n">
        <v>19900</v>
      </c>
      <c r="J311" s="12" t="n">
        <v>19900</v>
      </c>
      <c r="K311" s="13">
        <f>IF(AND(ISNUMBER(I311),ISNUMBER(J311),I311&gt;0),1-J311/I311,"")</f>
        <v/>
      </c>
      <c r="L311" s="16" t="n">
        <v>0</v>
      </c>
      <c r="M311" s="15" t="n">
        <v>91000</v>
      </c>
      <c r="N311" s="16" t="n">
        <v>2004</v>
      </c>
      <c r="O311" s="10" t="inlineStr">
        <is>
          <t>1</t>
        </is>
      </c>
      <c r="P311" s="10" t="inlineStr">
        <is>
          <t>1</t>
        </is>
      </c>
      <c r="Q311" s="16" t="n">
        <v>228</v>
      </c>
      <c r="R311" s="16" t="n">
        <v>15</v>
      </c>
      <c r="S311" s="10" t="inlineStr">
        <is>
          <t>rouge</t>
        </is>
      </c>
      <c r="T311" s="16" t="n">
        <v>2</v>
      </c>
      <c r="U311" s="10" t="n"/>
      <c r="V311" s="10" t="n"/>
      <c r="W311" s="10" t="inlineStr">
        <is>
          <t>Particulier</t>
        </is>
      </c>
      <c r="X311" s="10" t="inlineStr">
        <is>
          <t>Valence</t>
        </is>
      </c>
      <c r="Y311" s="10" t="inlineStr">
        <is>
          <t>26000</t>
        </is>
      </c>
      <c r="Z311" s="10" t="inlineStr">
        <is>
          <t>Drôme</t>
        </is>
      </c>
      <c r="AA311" s="10" t="inlineStr">
        <is>
          <t>Rhône-Alpes</t>
        </is>
      </c>
      <c r="AB311" s="16" t="n"/>
      <c r="AC311" s="16" t="n"/>
      <c r="AD311" s="10" t="n"/>
      <c r="AE311"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F311" s="10" t="inlineStr">
        <is>
          <t>2 : 2 ; 146 : 146 ; 2004 : 2004 ; 0.99 : 0.99 ; https://img.leboncoin.fr/api/v1/tenants/9a6387a1-6259-4f2c-a887-7e67f23dd4cb/domains/20bda58f-d650-462e-a72a-a5a7ecf2bf88/buckets/21d2b0bc-e54c-4b64-a30b-89127b18b785/images/profile/pictures/default/74d9c71f-670a-5c68-9ff9-5fb50af09dd3?rule=pp-small : https://img.leboncoin.fr/api/v1/tenants/9a6387a1-6259-4f2c-a887-7e67f23dd4cb/domains/20bda58f-d650-462e-a72a-a5a7ecf2bf88/buckets/21d2b0bc-e54c-4b64-a30b-89127b18b785/images/profile/pictures/default/74d9c71f-670a-5c68-9ff9-5fb50af09dd3?rule=pp-small ; Porsche : Porsche ; Boxster : Boxster ; PORSCHE : PORSCHE ; 91000 km : 91000 ; Essence : 1 ; Manuelle : 1 ; 09/2004 : 09/2004 ; Bon état général : good_overall_condition ; Cabriolet : cabriolet ; Rouge : rouge ; 15 Cv : 15 ; 228 Ch : 228 ; Avec permis : avecpermis ; credit_card : credit_card ; false : false ; true : true ; rating_score : 0.99 ; rating_count : 146 ; u_car_brand : PORSCHE ; u_car_model : Boxster ; vehicle_damage : Bon état général ; vehicle_upholstery : Cuir partiel ; vehicle_vsp : Avec permis ; vehicle_available_payment_methods : credit_card ; is_import : false ; vehicle_is_eligible_p2p : 2 ; licence_plate_available : true</t>
        </is>
      </c>
      <c r="AG311" s="19" t="inlineStr">
        <is>
          <t>Voir</t>
        </is>
      </c>
      <c r="AH311" s="10" t="inlineStr">
        <is>
          <t>3261152041</t>
        </is>
      </c>
    </row>
    <row r="312">
      <c r="A312" s="10" t="inlineStr">
        <is>
          <t>Porsche Boxster 986</t>
        </is>
      </c>
      <c r="B312" s="10" t="inlineStr">
        <is>
          <t>Boxster 986</t>
        </is>
      </c>
      <c r="C312" s="10" t="inlineStr">
        <is>
          <t>En vente</t>
        </is>
      </c>
      <c r="D312" s="18" t="n">
        <v>46272</v>
      </c>
      <c r="E312" s="18" t="n">
        <v>46272</v>
      </c>
      <c r="F312" s="18" t="n">
        <v>46296</v>
      </c>
      <c r="G312" s="18" t="n"/>
      <c r="H312" s="17">
        <f>IF(OR(ISNUMBER(D312),ISNUMBER(E312)),IF(ISNUMBER(G312),G312,F312)-IF(ISNUMBER(D312),D312,E312),"")</f>
        <v/>
      </c>
      <c r="I312" s="12" t="n">
        <v>17500</v>
      </c>
      <c r="J312" s="12" t="n">
        <v>17500</v>
      </c>
      <c r="K312" s="13">
        <f>IF(AND(ISNUMBER(I312),ISNUMBER(J312),I312&gt;0),1-J312/I312,"")</f>
        <v/>
      </c>
      <c r="L312" s="16" t="n">
        <v>0</v>
      </c>
      <c r="M312" s="15" t="n">
        <v>141600</v>
      </c>
      <c r="N312" s="16" t="n">
        <v>2004</v>
      </c>
      <c r="O312" s="10" t="inlineStr">
        <is>
          <t>1</t>
        </is>
      </c>
      <c r="P312" s="10" t="inlineStr">
        <is>
          <t>1</t>
        </is>
      </c>
      <c r="Q312" s="16" t="n">
        <v>228</v>
      </c>
      <c r="R312" s="16" t="n">
        <v>15</v>
      </c>
      <c r="S312" s="10" t="inlineStr">
        <is>
          <t>noir</t>
        </is>
      </c>
      <c r="T312" s="16" t="n">
        <v>2</v>
      </c>
      <c r="U312" s="10" t="n"/>
      <c r="V312" s="10" t="n"/>
      <c r="W312" s="10" t="inlineStr">
        <is>
          <t>Particulier</t>
        </is>
      </c>
      <c r="X312" s="10" t="inlineStr">
        <is>
          <t>Lesménils</t>
        </is>
      </c>
      <c r="Y312" s="10" t="inlineStr">
        <is>
          <t>54700</t>
        </is>
      </c>
      <c r="Z312" s="10" t="inlineStr">
        <is>
          <t>Meurthe-et-Moselle</t>
        </is>
      </c>
      <c r="AA312" s="10" t="inlineStr">
        <is>
          <t>Lorraine</t>
        </is>
      </c>
      <c r="AB312" s="16" t="n"/>
      <c r="AC312" s="16" t="n"/>
      <c r="AD312" s="10" t="n"/>
      <c r="AE312" s="10" t="inlineStr">
        <is>
          <t>Boxster, 2.7 l 228cv. Pompe à eau, calorstat, bouchon vase expansion et liquide remplacés. Bon état. Laisse hardtop avec son chariot. Tout est fonctionnel</t>
        </is>
      </c>
      <c r="AF312" s="10" t="inlineStr">
        <is>
          <t>1 : 1 ; 2 : 2 ; 2004 : 2004 ; 0.8 : 0.8 ; https://img.leboncoin.fr/api/v1/tenants/9a6387a1-6259-4f2c-a887-7e67f23dd4cb/domains/20bda58f-d650-462e-a72a-a5a7ecf2bf88/buckets/21d2b0bc-e54c-4b64-a30b-89127b18b785/images/profile/pictures/default/660bba23-dd0c-5d85-9a91-40df8d2a60d7?rule=pp-small : https://img.leboncoin.fr/api/v1/tenants/9a6387a1-6259-4f2c-a887-7e67f23dd4cb/domains/20bda58f-d650-462e-a72a-a5a7ecf2bf88/buckets/21d2b0bc-e54c-4b64-a30b-89127b18b785/images/profile/pictures/default/660bba23-dd0c-5d85-9a91-40df8d2a60d7?rule=pp-small ; Porsche : Porsche ; Boxster : Boxster ; PORSCHE : PORSCHE ; 141600 km : 141600 ; Essence : 1 ; Manuelle : 1 ; 10/2004 : 10/2004 ; Cabriolet : cabriolet ; Noir : noir ; 15 Cv : 15 ; 228 Ch : 228 ; Avec permis : avecpermis ; credit_card : credit_card ; false : false ; true : true ; rating_score : 0.8 ; rating_count : 1 ; u_car_brand : PORSCHE ; u_car_model : Boxster ; vehicle_upholstery : Tout cuir ; vehicle_vsp : Avec permis ; vehicle_available_payment_methods : credit_card ; is_import : false ; vehicle_is_eligible_p2p : 2 ; licence_plate_available : true</t>
        </is>
      </c>
      <c r="AG312" s="19" t="inlineStr">
        <is>
          <t>Voir</t>
        </is>
      </c>
      <c r="AH312" s="10" t="inlineStr">
        <is>
          <t>3265294019</t>
        </is>
      </c>
    </row>
    <row r="313">
      <c r="A313" s="10" t="inlineStr">
        <is>
          <t>Porsche Boxster 986</t>
        </is>
      </c>
      <c r="B313" s="10" t="inlineStr">
        <is>
          <t>Porsche BOXSTER (986) 3.2 S 252 CH</t>
        </is>
      </c>
      <c r="C313" s="10" t="inlineStr">
        <is>
          <t>En vente</t>
        </is>
      </c>
      <c r="D313" s="18" t="n">
        <v>46274</v>
      </c>
      <c r="E313" s="18" t="n">
        <v>46274</v>
      </c>
      <c r="F313" s="18" t="n">
        <v>46296</v>
      </c>
      <c r="G313" s="18" t="n"/>
      <c r="H313" s="17">
        <f>IF(OR(ISNUMBER(D313),ISNUMBER(E313)),IF(ISNUMBER(G313),G313,F313)-IF(ISNUMBER(D313),D313,E313),"")</f>
        <v/>
      </c>
      <c r="I313" s="12" t="n">
        <v>6990</v>
      </c>
      <c r="J313" s="12" t="n">
        <v>6990</v>
      </c>
      <c r="K313" s="13">
        <f>IF(AND(ISNUMBER(I313),ISNUMBER(J313),I313&gt;0),1-J313/I313,"")</f>
        <v/>
      </c>
      <c r="L313" s="16" t="n">
        <v>0</v>
      </c>
      <c r="M313" s="15" t="n">
        <v>118900</v>
      </c>
      <c r="N313" s="16" t="n">
        <v>1999</v>
      </c>
      <c r="O313" s="10" t="inlineStr">
        <is>
          <t>1</t>
        </is>
      </c>
      <c r="P313" s="10" t="inlineStr">
        <is>
          <t>1</t>
        </is>
      </c>
      <c r="Q313" s="16" t="n">
        <v>252</v>
      </c>
      <c r="R313" s="16" t="n">
        <v>18</v>
      </c>
      <c r="S313" s="10" t="inlineStr">
        <is>
          <t>bleu</t>
        </is>
      </c>
      <c r="T313" s="16" t="n">
        <v>2</v>
      </c>
      <c r="U313" s="10" t="n"/>
      <c r="V313" s="10" t="inlineStr">
        <is>
          <t>3</t>
        </is>
      </c>
      <c r="W313" s="10" t="inlineStr">
        <is>
          <t>Pro</t>
        </is>
      </c>
      <c r="X313" s="10" t="inlineStr">
        <is>
          <t>Perreux</t>
        </is>
      </c>
      <c r="Y313" s="10" t="inlineStr">
        <is>
          <t>42120</t>
        </is>
      </c>
      <c r="Z313" s="10" t="inlineStr">
        <is>
          <t>Loire</t>
        </is>
      </c>
      <c r="AA313" s="10" t="inlineStr">
        <is>
          <t>Rhône-Alpes</t>
        </is>
      </c>
      <c r="AB313" s="16" t="n"/>
      <c r="AC313" s="16" t="n"/>
      <c r="AD313" s="10" t="n"/>
      <c r="AE313"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F313" s="10" t="inlineStr">
        <is>
          <t>1 : 1 ; 2 : 2 ; 3 : 3 ; 218 : 218 ; 1999 : 1999 ; 720747 : 720747 ; 6014534 : 6014534 ; Porsche : Porsche ; Boxster : Boxster ; PORSCHE : PORSCHE ; 118900 km : 118900 ; Essence : 1 ; Manuelle : 1 ; S : PORSCHE_Boxster_S ; Boxster 3.2 S : Boxster 3.2 S ; 11/1999 : 11/1999 ; Cabriolet : cabriolet ; Bleu : bleu ; 18 Cv : 18 ; 252 Ch : 252 ; Avec permis : avecpermis ; false : false ; https://img.leboncoin.fr/api/v1/lbcpb1/images/33/35/59/33355934-68c0-473b-9d3d-544690872a18?rule=bo-thumb : https://img.leboncoin.fr/api/v1/lbcpb1/images/33/35/59/33355934-68c0-473b-9d3d-544690872a18?rule=bo-thumb ; EGA AUTOMOBILE : EGA AUTOMOBILE ; true : true ; https://autoviza.fr/report/report?uid=f26b6320-e3b9-42f6-814a-e5e91debbed8 : https://autoviza.fr/report/report?uid=f26b6320-e3b9-42f6-814a-e5e91debbed8 ; visible : visible ; Non renseignée : non_renseignee ; activity_sector : 1 ; u_car_brand : PORSCHE ; u_car_model : Boxster ; u_car_finition : S ; u_car_version : Boxster 3.2 S ; vehicle_vsp : Avec permis ; recent_used_vehicle : false ; has_visibility_option : false ; store_logo : https://img.leboncoin.fr/api/v1/lbcpb1/images/33/35/59/33355934-68c0-473b-9d3d-544690872a18?rule=bo-thumb ; store_name : EGA AUTOMOBILE ; online_store_id : 6014534 ; custom_ref : 218 ; is_import : true ; vehicle_history_report_public_url : https://autoviza.fr/report/report?uid=f26b6320-e3b9-42f6-814a-e5e91debbed8 ; vehicle_history_report_status : visible ; argus_object_id : 720747 ; spare_parts_availability : Non renseignée ; licence_plate_available : true</t>
        </is>
      </c>
      <c r="AG313" s="19" t="inlineStr">
        <is>
          <t>Voir</t>
        </is>
      </c>
      <c r="AH313" s="10" t="inlineStr">
        <is>
          <t>3266137442</t>
        </is>
      </c>
    </row>
    <row r="314">
      <c r="A314" s="10" t="inlineStr">
        <is>
          <t>Porsche Boxster 986</t>
        </is>
      </c>
      <c r="B314" s="10" t="inlineStr">
        <is>
          <t>Porsche Boxster (986) 260 S</t>
        </is>
      </c>
      <c r="C314" s="10" t="inlineStr">
        <is>
          <t>En vente</t>
        </is>
      </c>
      <c r="D314" s="18" t="n">
        <v>46274</v>
      </c>
      <c r="E314" s="18" t="n">
        <v>46274</v>
      </c>
      <c r="F314" s="18" t="n">
        <v>46296</v>
      </c>
      <c r="G314" s="18" t="n"/>
      <c r="H314" s="17">
        <f>IF(OR(ISNUMBER(D314),ISNUMBER(E314)),IF(ISNUMBER(G314),G314,F314)-IF(ISNUMBER(D314),D314,E314),"")</f>
        <v/>
      </c>
      <c r="I314" s="12" t="n">
        <v>14900</v>
      </c>
      <c r="J314" s="12" t="n">
        <v>14900</v>
      </c>
      <c r="K314" s="13">
        <f>IF(AND(ISNUMBER(I314),ISNUMBER(J314),I314&gt;0),1-J314/I314,"")</f>
        <v/>
      </c>
      <c r="L314" s="16" t="n">
        <v>0</v>
      </c>
      <c r="M314" s="15" t="n">
        <v>225000</v>
      </c>
      <c r="N314" s="16" t="n">
        <v>2003</v>
      </c>
      <c r="O314" s="10" t="inlineStr">
        <is>
          <t>1</t>
        </is>
      </c>
      <c r="P314" s="10" t="inlineStr">
        <is>
          <t>1</t>
        </is>
      </c>
      <c r="Q314" s="16" t="n">
        <v>260</v>
      </c>
      <c r="R314" s="16" t="n">
        <v>18</v>
      </c>
      <c r="S314" s="10" t="inlineStr">
        <is>
          <t>noir</t>
        </is>
      </c>
      <c r="T314" s="16" t="n">
        <v>2</v>
      </c>
      <c r="U314" s="10" t="n"/>
      <c r="V314" s="10" t="n"/>
      <c r="W314" s="10" t="inlineStr">
        <is>
          <t>Particulier</t>
        </is>
      </c>
      <c r="X314" s="10" t="inlineStr">
        <is>
          <t>Saint-Sauveur</t>
        </is>
      </c>
      <c r="Y314" s="10" t="inlineStr">
        <is>
          <t>24520</t>
        </is>
      </c>
      <c r="Z314" s="10" t="inlineStr">
        <is>
          <t>Dordogne</t>
        </is>
      </c>
      <c r="AA314" s="10" t="inlineStr">
        <is>
          <t>Aquitaine</t>
        </is>
      </c>
      <c r="AB314" s="16" t="n"/>
      <c r="AC314" s="16" t="n"/>
      <c r="AD314" s="10" t="n"/>
      <c r="AE314"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F314" s="10" t="inlineStr">
        <is>
          <t>1 : 1 ; 2 : 2 ; 47 : 47 ; 2003 : 2003 ; 720751 : 720751 ; 0.98 : 0.98 ; https://img.leboncoin.fr/api/v1/tenants/9a6387a1-6259-4f2c-a887-7e67f23dd4cb/domains/20bda58f-d650-462e-a72a-a5a7ecf2bf88/buckets/21d2b0bc-e54c-4b64-a30b-89127b18b785/images/profile/pictures/e5cdadba-0cfd-5122-bf59-faaf3bb7cf8d?rule=pp-small : https://img.leboncoin.fr/api/v1/tenants/9a6387a1-6259-4f2c-a887-7e67f23dd4cb/domains/20bda58f-d650-462e-a72a-a5a7ecf2bf88/buckets/21d2b0bc-e54c-4b64-a30b-89127b18b785/images/profile/pictures/e5cdadba-0cfd-5122-bf59-faaf3bb7cf8d?rule=pp-small ; Porsche : Porsche ; Boxster : Boxster ; PORSCHE : PORSCHE ; 225000 km : 225000 ; Essence : 1 ; Manuelle : 1 ; S : PORSCHE_Boxster_S ; Boxster 3.2 S : Boxster 3.2 S ; Non : false ; 04/2003 : 04/2003 ; Réparations mineures à prévoir : minor_repairs_needed ; Cabriolet : cabriolet ; Noir : noir ; 18 Cv : 18 ; 260 Ch : 260 ; Avec permis : avecpermis ; credit_card : credit_card ; false : false ; https://autoviza.fr/report/report?uid=4c347a12-3f70-4cfe-963b-3ed467df96da : https://autoviza.fr/report/report?uid=4c347a12-3f70-4cfe-963b-3ed467df96da ; visible : visible ; true : true ; rating_score : 0.98 ; rating_count : 47 ; u_car_brand : PORSCHE ; u_car_model : Boxster ; u_car_finition : S ; u_car_version : Boxster 3.2 S ; vehicle_technical_inspection_valid : Non ; vehicle_damage : Réparations mineures à prévoir ; vehicle_upholstery : Tout cuir ; vehicle_interior_specs : Climatisation, Sièges en cuir ; vehicle_vsp : Avec permis ; vehicle_available_payment_methods : credit_card ; is_import : false ; vehicle_is_eligible_p2p : 2 ; vehicle_history_report_public_url : https://autoviza.fr/report/report?uid=4c347a12-3f70-4cfe-963b-3ed467df96da ; vehicle_history_report_status : visible ; argus_object_id : 720751 ; licence_plate_available : true</t>
        </is>
      </c>
      <c r="AG314" s="19" t="inlineStr">
        <is>
          <t>Voir</t>
        </is>
      </c>
      <c r="AH314" s="10" t="inlineStr">
        <is>
          <t>3266468992</t>
        </is>
      </c>
    </row>
    <row r="315">
      <c r="A315" s="10" t="inlineStr">
        <is>
          <t>Porsche Boxster 986</t>
        </is>
      </c>
      <c r="B315" s="10" t="inlineStr">
        <is>
          <t>Porsche Boxster 986 2.5l</t>
        </is>
      </c>
      <c r="C315" s="10" t="inlineStr">
        <is>
          <t>En vente</t>
        </is>
      </c>
      <c r="D315" s="18" t="n">
        <v>46275</v>
      </c>
      <c r="E315" s="18" t="n">
        <v>46275</v>
      </c>
      <c r="F315" s="18" t="n">
        <v>46296</v>
      </c>
      <c r="G315" s="18" t="n"/>
      <c r="H315" s="17">
        <f>IF(OR(ISNUMBER(D315),ISNUMBER(E315)),IF(ISNUMBER(G315),G315,F315)-IF(ISNUMBER(D315),D315,E315),"")</f>
        <v/>
      </c>
      <c r="I315" s="12" t="n">
        <v>14800</v>
      </c>
      <c r="J315" s="12" t="n">
        <v>14800</v>
      </c>
      <c r="K315" s="13">
        <f>IF(AND(ISNUMBER(I315),ISNUMBER(J315),I315&gt;0),1-J315/I315,"")</f>
        <v/>
      </c>
      <c r="L315" s="16" t="n">
        <v>0</v>
      </c>
      <c r="M315" s="15" t="n">
        <v>218650</v>
      </c>
      <c r="N315" s="16" t="n">
        <v>1997</v>
      </c>
      <c r="O315" s="10" t="inlineStr">
        <is>
          <t>1</t>
        </is>
      </c>
      <c r="P315" s="10" t="inlineStr">
        <is>
          <t>1</t>
        </is>
      </c>
      <c r="Q315" s="16" t="n">
        <v>204</v>
      </c>
      <c r="R315" s="16" t="n">
        <v>13</v>
      </c>
      <c r="S315" s="10" t="inlineStr">
        <is>
          <t>noir</t>
        </is>
      </c>
      <c r="T315" s="16" t="n">
        <v>2</v>
      </c>
      <c r="U315" s="10" t="n"/>
      <c r="V315" s="10" t="n"/>
      <c r="W315" s="10" t="inlineStr">
        <is>
          <t>Particulier</t>
        </is>
      </c>
      <c r="X315" s="10" t="inlineStr">
        <is>
          <t>Celles-sur-Durolle</t>
        </is>
      </c>
      <c r="Y315" s="10" t="inlineStr">
        <is>
          <t>63250</t>
        </is>
      </c>
      <c r="Z315" s="10" t="inlineStr">
        <is>
          <t>Puy-de-Dôme</t>
        </is>
      </c>
      <c r="AA315" s="10" t="inlineStr">
        <is>
          <t>Auvergne</t>
        </is>
      </c>
      <c r="AB315" s="16" t="n"/>
      <c r="AC315" s="16" t="n"/>
      <c r="AD315" s="10" t="n"/>
      <c r="AE315"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F315" s="10" t="inlineStr">
        <is>
          <t>2 : 2 ; 29 : 29 ; 1997 : 1997 ; 0.99 : 0.99 ; https://img.leboncoin.fr/api/v1/tenants/9a6387a1-6259-4f2c-a887-7e67f23dd4cb/domains/20bda58f-d650-462e-a72a-a5a7ecf2bf88/buckets/21d2b0bc-e54c-4b64-a30b-89127b18b785/images/profile/pictures/default/84075900-9812-5232-9d20-d2bfe119720f?rule=pp-small : https://img.leboncoin.fr/api/v1/tenants/9a6387a1-6259-4f2c-a887-7e67f23dd4cb/domains/20bda58f-d650-462e-a72a-a5a7ecf2bf88/buckets/21d2b0bc-e54c-4b64-a30b-89127b18b785/images/profile/pictures/default/84075900-9812-5232-9d20-d2bfe119720f?rule=pp-small ; Porsche : Porsche ; Boxster : Boxster ; PORSCHE : PORSCHE ; 218650 km : 218650 ; Essence : 1 ; Manuelle : 1 ; 06/1997 : 06/1997 ; Traces d’usure normales : normal_wear_and_tear ; Cabriolet : cabriolet ; Noir : noir ; 13 Cv : 13 ; 204 Ch : 204 ; Avec permis : avecpermis ; credit_card : credit_card ; false : false ; https://autoviza.fr/report/report?uid=d7e7fd77-1557-4a87-9b94-978ee748fa04 : https://autoviza.fr/report/report?uid=d7e7fd77-1557-4a87-9b94-978ee748fa04 ; true : true ; rating_score : 0.99 ; rating_count : 29 ; u_car_brand : PORSCHE ; u_car_model : Boxster ; vehicle_damage : Traces d’usure normales ; vehicle_upholstery : Tout cuir ; vehicle_maintenance : Factures disponibles, Réparations utiles déjà faites ; vehicle_interior_specs : Jantes en alliage, Roue de secours, Siège réglable en hauteur, Sièges en cuir, Sièges électriques, Volant réglable en hauteur ; vehicle_vsp : Avec permis ; vehicle_available_payment_methods : credit_card ; is_import : false ; vehicle_is_eligible_p2p : 2 ; vehicle_history_report_public_url : https://autoviza.fr/report/report?uid=d7e7fd77-1557-4a87-9b94-978ee748fa04 ; licence_plate_available : true</t>
        </is>
      </c>
      <c r="AG315" s="19" t="inlineStr">
        <is>
          <t>Voir</t>
        </is>
      </c>
      <c r="AH315" s="10" t="inlineStr">
        <is>
          <t>3267019398</t>
        </is>
      </c>
    </row>
    <row r="316">
      <c r="A316" s="10" t="inlineStr">
        <is>
          <t>Porsche Boxster 986</t>
        </is>
      </c>
      <c r="B316" s="10" t="inlineStr">
        <is>
          <t>Porsche Boxster 986</t>
        </is>
      </c>
      <c r="C316" s="10" t="inlineStr">
        <is>
          <t>En vente</t>
        </is>
      </c>
      <c r="D316" s="18" t="n">
        <v>46276</v>
      </c>
      <c r="E316" s="18" t="n">
        <v>46276</v>
      </c>
      <c r="F316" s="18" t="n">
        <v>46296</v>
      </c>
      <c r="G316" s="18" t="n"/>
      <c r="H316" s="17">
        <f>IF(OR(ISNUMBER(D316),ISNUMBER(E316)),IF(ISNUMBER(G316),G316,F316)-IF(ISNUMBER(D316),D316,E316),"")</f>
        <v/>
      </c>
      <c r="I316" s="12" t="n">
        <v>13990</v>
      </c>
      <c r="J316" s="12" t="n">
        <v>13990</v>
      </c>
      <c r="K316" s="13">
        <f>IF(AND(ISNUMBER(I316),ISNUMBER(J316),I316&gt;0),1-J316/I316,"")</f>
        <v/>
      </c>
      <c r="L316" s="16" t="n">
        <v>0</v>
      </c>
      <c r="M316" s="15" t="n">
        <v>162000</v>
      </c>
      <c r="N316" s="16" t="n">
        <v>2001</v>
      </c>
      <c r="O316" s="10" t="inlineStr">
        <is>
          <t>1</t>
        </is>
      </c>
      <c r="P316" s="10" t="inlineStr">
        <is>
          <t>1</t>
        </is>
      </c>
      <c r="Q316" s="16" t="n">
        <v>220</v>
      </c>
      <c r="R316" s="16" t="n">
        <v>15</v>
      </c>
      <c r="S316" s="10" t="inlineStr">
        <is>
          <t>autre</t>
        </is>
      </c>
      <c r="T316" s="16" t="n">
        <v>2</v>
      </c>
      <c r="U316" s="10" t="n"/>
      <c r="V316" s="10" t="n"/>
      <c r="W316" s="10" t="inlineStr">
        <is>
          <t>Particulier</t>
        </is>
      </c>
      <c r="X316" s="10" t="inlineStr">
        <is>
          <t>Seltz</t>
        </is>
      </c>
      <c r="Y316" s="10" t="inlineStr">
        <is>
          <t>67470</t>
        </is>
      </c>
      <c r="Z316" s="10" t="inlineStr">
        <is>
          <t>Bas-Rhin</t>
        </is>
      </c>
      <c r="AA316" s="10" t="inlineStr">
        <is>
          <t>Alsace</t>
        </is>
      </c>
      <c r="AB316" s="16" t="n"/>
      <c r="AC316" s="16" t="n"/>
      <c r="AD316" s="10" t="n"/>
      <c r="AE316" s="10" t="inlineStr">
        <is>
          <t>Découvrez à la vente une superbe 986 en excellent état. Les pneus sont quasi neufs et l'embrayage a été récemment remplacé. LA CAPOTE EST EN BON ETAT</t>
        </is>
      </c>
      <c r="AF316" s="10" t="inlineStr">
        <is>
          <t>1 : 1 ; 2 : 2 ; 3 : 3 ; 8 : 8 ; 2001 : 2001 ; https://img.leboncoin.fr/api/v1/tenants/9a6387a1-6259-4f2c-a887-7e67f23dd4cb/domains/20bda58f-d650-462e-a72a-a5a7ecf2bf88/buckets/21d2b0bc-e54c-4b64-a30b-89127b18b785/images/profile/pictures/default/a5501e46-bbeb-59fa-9763-b16ac3ce7af8?rule=pp-small : https://img.leboncoin.fr/api/v1/tenants/9a6387a1-6259-4f2c-a887-7e67f23dd4cb/domains/20bda58f-d650-462e-a72a-a5a7ecf2bf88/buckets/21d2b0bc-e54c-4b64-a30b-89127b18b785/images/profile/pictures/default/a5501e46-bbeb-59fa-9763-b16ac3ce7af8?rule=pp-small ; Porsche : Porsche ; Boxster : Boxster ; PORSCHE : PORSCHE ; 162000 km : 162000 ; Essence : 1 ; Manuelle : 1 ; Non : false ; 10/2001 : 10/2001 ; Cabriolet : cabriolet ; Autre : autre ; 15 Cv : 15 ; 220 Ch : 220 ; Avec permis : avecpermis ; credit_card : credit_card ; false : false ; https://autoviza.fr/report/report?uid=03bc3924-3026-4f23-ae02-b67f4a3e8b23 : https://autoviza.fr/report/report?uid=03bc3924-3026-4f23-ae02-b67f4a3e8b23 ; true : true ; rating_score : 1 ; rating_count : 8 ; u_car_brand : PORSCHE ; u_car_model : Boxster ; vehicle_technical_inspection_valid : Non ; vehicle_vsp : Avec permis ; vehicle_available_payment_methods : credit_card ; is_import : false ; vehicle_is_eligible_p2p : 2 ; vehicle_history_report_public_url : https://autoviza.fr/report/report?uid=03bc3924-3026-4f23-ae02-b67f4a3e8b23 ; vehicle_history_teaser_critair : 3 ; vehicle_history_teaser_owners : 2 ; vehicle_history_teaser_expertises : false ; vehicle_history_teaser_special_uses : false ; vehicle_history_teaser_atypical_operations : true ; vehicle_history_teaser_importations : true ; licence_plate_available : true</t>
        </is>
      </c>
      <c r="AG316" s="19" t="inlineStr">
        <is>
          <t>Voir</t>
        </is>
      </c>
      <c r="AH316" s="10" t="inlineStr">
        <is>
          <t>3267529893</t>
        </is>
      </c>
    </row>
    <row r="317">
      <c r="A317" s="10" t="inlineStr">
        <is>
          <t>Porsche Boxster 986</t>
        </is>
      </c>
      <c r="B317" s="10" t="inlineStr">
        <is>
          <t>Porsche Boxster 986</t>
        </is>
      </c>
      <c r="C317" s="10" t="inlineStr">
        <is>
          <t>En vente</t>
        </is>
      </c>
      <c r="D317" s="18" t="n">
        <v>46276</v>
      </c>
      <c r="E317" s="18" t="n">
        <v>46276</v>
      </c>
      <c r="F317" s="18" t="n">
        <v>46296</v>
      </c>
      <c r="G317" s="18" t="n"/>
      <c r="H317" s="17">
        <f>IF(OR(ISNUMBER(D317),ISNUMBER(E317)),IF(ISNUMBER(G317),G317,F317)-IF(ISNUMBER(D317),D317,E317),"")</f>
        <v/>
      </c>
      <c r="I317" s="12" t="n">
        <v>11450</v>
      </c>
      <c r="J317" s="12" t="n">
        <v>11450</v>
      </c>
      <c r="K317" s="13">
        <f>IF(AND(ISNUMBER(I317),ISNUMBER(J317),I317&gt;0),1-J317/I317,"")</f>
        <v/>
      </c>
      <c r="L317" s="16" t="n">
        <v>0</v>
      </c>
      <c r="M317" s="15" t="n">
        <v>238000</v>
      </c>
      <c r="N317" s="16" t="n">
        <v>1997</v>
      </c>
      <c r="O317" s="10" t="inlineStr">
        <is>
          <t>1</t>
        </is>
      </c>
      <c r="P317" s="10" t="inlineStr">
        <is>
          <t>1</t>
        </is>
      </c>
      <c r="Q317" s="16" t="n">
        <v>204</v>
      </c>
      <c r="R317" s="16" t="n">
        <v>13</v>
      </c>
      <c r="S317" s="10" t="inlineStr">
        <is>
          <t>gris</t>
        </is>
      </c>
      <c r="T317" s="16" t="n">
        <v>2</v>
      </c>
      <c r="U317" s="10" t="n"/>
      <c r="V317" s="10" t="n"/>
      <c r="W317" s="10" t="inlineStr">
        <is>
          <t>Particulier</t>
        </is>
      </c>
      <c r="X317" s="10" t="inlineStr">
        <is>
          <t>Étalans</t>
        </is>
      </c>
      <c r="Y317" s="10" t="inlineStr">
        <is>
          <t>25580</t>
        </is>
      </c>
      <c r="Z317" s="10" t="inlineStr">
        <is>
          <t>Doubs</t>
        </is>
      </c>
      <c r="AA317" s="10" t="inlineStr">
        <is>
          <t>Franche-Comté</t>
        </is>
      </c>
      <c r="AB317" s="16" t="n"/>
      <c r="AC317" s="16" t="n"/>
      <c r="AD317" s="10" t="n"/>
      <c r="AE317"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F317" s="10" t="inlineStr">
        <is>
          <t>2 : 2 ; 3 : 3 ; 4 : 4 ; 1997 : 1997 ; https://img.leboncoin.fr/api/v1/tenants/9a6387a1-6259-4f2c-a887-7e67f23dd4cb/domains/20bda58f-d650-462e-a72a-a5a7ecf2bf88/buckets/21d2b0bc-e54c-4b64-a30b-89127b18b785/images/profile/pictures/default/97ab5a37-f037-5ec0-b359-487caad6df3d?rule=pp-small : https://img.leboncoin.fr/api/v1/tenants/9a6387a1-6259-4f2c-a887-7e67f23dd4cb/domains/20bda58f-d650-462e-a72a-a5a7ecf2bf88/buckets/21d2b0bc-e54c-4b64-a30b-89127b18b785/images/profile/pictures/default/97ab5a37-f037-5ec0-b359-487caad6df3d?rule=pp-small ; Porsche : Porsche ; Boxster : Boxster ; PORSCHE : PORSCHE ; 238000 km : 238000 ; Essence : 1 ; Manuelle : 1 ; Non : false ; 10/1997 : 10/1997 ; Cabriolet : cabriolet ; Gris : gris ; 13 Cv : 13 ; 204 Ch : 204 ; Avec permis : avecpermis ; credit_card : credit_card ; false : false ; https://autoviza.fr/report/report?uid=4d7f86f7-e43e-4ab2-8d6f-2b5538c0d378 : https://autoviza.fr/report/report?uid=4d7f86f7-e43e-4ab2-8d6f-2b5538c0d378 ; true : true ; u_car_brand : PORSCHE ; u_car_model : Boxster ; vehicle_technical_inspection_valid : Non ; vehicle_vsp : Avec permis ; vehicle_available_payment_methods : credit_card ; is_import : false ; vehicle_is_eligible_p2p : 2 ; vehicle_history_report_public_url : https://autoviza.fr/report/report?uid=4d7f86f7-e43e-4ab2-8d6f-2b5538c0d378 ; vehicle_history_teaser_critair : 3 ; vehicle_history_teaser_owners : 4 ; vehicle_history_teaser_expertises : false ; vehicle_history_teaser_special_uses : false ; vehicle_history_teaser_atypical_operations : true ; vehicle_history_teaser_importations : true ; licence_plate_available : true</t>
        </is>
      </c>
      <c r="AG317" s="19" t="inlineStr">
        <is>
          <t>Voir</t>
        </is>
      </c>
      <c r="AH317" s="10" t="inlineStr">
        <is>
          <t>3267627094</t>
        </is>
      </c>
    </row>
    <row r="318">
      <c r="A318" s="10" t="inlineStr">
        <is>
          <t>Porsche Boxster 986</t>
        </is>
      </c>
      <c r="B318" s="10" t="inlineStr">
        <is>
          <t>Porsche boxster 986</t>
        </is>
      </c>
      <c r="C318" s="10" t="inlineStr">
        <is>
          <t>En vente</t>
        </is>
      </c>
      <c r="D318" s="18" t="n">
        <v>46278</v>
      </c>
      <c r="E318" s="18" t="n">
        <v>46278</v>
      </c>
      <c r="F318" s="18" t="n">
        <v>46296</v>
      </c>
      <c r="G318" s="18" t="n"/>
      <c r="H318" s="17">
        <f>IF(OR(ISNUMBER(D318),ISNUMBER(E318)),IF(ISNUMBER(G318),G318,F318)-IF(ISNUMBER(D318),D318,E318),"")</f>
        <v/>
      </c>
      <c r="I318" s="12" t="n">
        <v>17900</v>
      </c>
      <c r="J318" s="12" t="n">
        <v>17900</v>
      </c>
      <c r="K318" s="13">
        <f>IF(AND(ISNUMBER(I318),ISNUMBER(J318),I318&gt;0),1-J318/I318,"")</f>
        <v/>
      </c>
      <c r="L318" s="16" t="n">
        <v>0</v>
      </c>
      <c r="M318" s="15" t="n">
        <v>133000</v>
      </c>
      <c r="N318" s="16" t="n">
        <v>1997</v>
      </c>
      <c r="O318" s="10" t="inlineStr">
        <is>
          <t>1</t>
        </is>
      </c>
      <c r="P318" s="10" t="inlineStr">
        <is>
          <t>2</t>
        </is>
      </c>
      <c r="Q318" s="16" t="n">
        <v>204</v>
      </c>
      <c r="R318" s="16" t="n">
        <v>14</v>
      </c>
      <c r="S318" s="10" t="inlineStr">
        <is>
          <t>gris</t>
        </is>
      </c>
      <c r="T318" s="16" t="n">
        <v>2</v>
      </c>
      <c r="U318" s="10" t="n"/>
      <c r="V318" s="10" t="inlineStr">
        <is>
          <t>3</t>
        </is>
      </c>
      <c r="W318" s="10" t="inlineStr">
        <is>
          <t>Particulier</t>
        </is>
      </c>
      <c r="X318" s="10" t="inlineStr">
        <is>
          <t>Dole</t>
        </is>
      </c>
      <c r="Y318" s="10" t="inlineStr">
        <is>
          <t>39100</t>
        </is>
      </c>
      <c r="Z318" s="10" t="inlineStr">
        <is>
          <t>Jura</t>
        </is>
      </c>
      <c r="AA318" s="10" t="inlineStr">
        <is>
          <t>Franche-Comté</t>
        </is>
      </c>
      <c r="AB318" s="16" t="n"/>
      <c r="AC318" s="16" t="n"/>
      <c r="AD318" s="10" t="n"/>
      <c r="AE31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F318" s="10" t="inlineStr">
        <is>
          <t>1 : 1 ; 2 : 2 ; 3 : 3 ; 72 : 72 ; 1997 : 1997 ; 2027 : 2027 ; https://img.leboncoin.fr/api/v1/tenants/9a6387a1-6259-4f2c-a887-7e67f23dd4cb/domains/20bda58f-d650-462e-a72a-a5a7ecf2bf88/buckets/21d2b0bc-e54c-4b64-a30b-89127b18b785/images/profile/pictures/default/20496063-0de5-57db-bbdc-29f2e6f697a3?rule=pp-small : https://img.leboncoin.fr/api/v1/tenants/9a6387a1-6259-4f2c-a887-7e67f23dd4cb/domains/20bda58f-d650-462e-a72a-a5a7ecf2bf88/buckets/21d2b0bc-e54c-4b64-a30b-89127b18b785/images/profile/pictures/default/20496063-0de5-57db-bbdc-29f2e6f697a3?rule=pp-small ; Porsche : Porsche ; Boxster : Boxster ; PORSCHE : PORSCHE ; 133000 km : 133000 ; Essence : 1 ; Automatique : 2 ; Oui : true ; 06/1997 : 06/1997 ; Bon état général : good_overall_condition ; Cabriolet : cabriolet ; Gris : gris ; 14 Cv : 14 ; 204 Ch : 204 ; Avec permis : avecpermis ; credit_card : credit_card ; false : false ; https://autoviza.fr/report/report?uid=21af3a3f-9b3d-43e1-b602-0947cc623603 : https://autoviza.fr/report/report?uid=21af3a3f-9b3d-43e1-b602-0947cc623603 ; true : true ; rating_score : 1 ; rating_count : 72 ; u_car_brand : PORSCHE ; u_car_model : Boxster ; vehicle_technical_inspection_valid : Oui ; vehicle_technical_inspection_a : 2027 ; vehicle_damage : Bon état général ; vehicle_upholstery : Tout cuir ; vehicle_maintenance : Carnet d'entretien disponible, Factures disponibles, Réparations utiles déjà faites ; vehicle_interior_specs : Apple CarPlay / Android Auto, Climatisation, Jantes en alliage, Phares anti-brouillard, Roue de secours, Régulateur de vitesse, Sièges chauffants, Sièges en cuir, Sièges électriques, Système audio haut de gamme, Vitres électriques arrières ; vehicle_vsp : Avec permis ; vehicle_available_payment_methods : credit_card ; is_import : false ; vehicle_is_eligible_p2p : 2 ; vehicle_history_report_public_url : https://autoviza.fr/report/report?uid=21af3a3f-9b3d-43e1-b602-0947cc623603 ; licence_plate_available : true</t>
        </is>
      </c>
      <c r="AG318" s="19" t="inlineStr">
        <is>
          <t>Voir</t>
        </is>
      </c>
      <c r="AH318" s="10" t="inlineStr">
        <is>
          <t>3269059217</t>
        </is>
      </c>
    </row>
    <row r="319">
      <c r="A319" s="10" t="inlineStr">
        <is>
          <t>Porsche Boxster 986</t>
        </is>
      </c>
      <c r="B319" s="10" t="inlineStr">
        <is>
          <t>Porsche boxster 986 2.5</t>
        </is>
      </c>
      <c r="C319" s="10" t="inlineStr">
        <is>
          <t>En vente</t>
        </is>
      </c>
      <c r="D319" s="18" t="n">
        <v>46281</v>
      </c>
      <c r="E319" s="18" t="n">
        <v>46281</v>
      </c>
      <c r="F319" s="18" t="n">
        <v>46296</v>
      </c>
      <c r="G319" s="18" t="n"/>
      <c r="H319" s="17">
        <f>IF(OR(ISNUMBER(D319),ISNUMBER(E319)),IF(ISNUMBER(G319),G319,F319)-IF(ISNUMBER(D319),D319,E319),"")</f>
        <v/>
      </c>
      <c r="I319" s="12" t="n">
        <v>11500</v>
      </c>
      <c r="J319" s="12" t="n">
        <v>11500</v>
      </c>
      <c r="K319" s="13">
        <f>IF(AND(ISNUMBER(I319),ISNUMBER(J319),I319&gt;0),1-J319/I319,"")</f>
        <v/>
      </c>
      <c r="L319" s="16" t="n">
        <v>0</v>
      </c>
      <c r="M319" s="15" t="n">
        <v>212000</v>
      </c>
      <c r="N319" s="16" t="n">
        <v>1997</v>
      </c>
      <c r="O319" s="10" t="inlineStr">
        <is>
          <t>1</t>
        </is>
      </c>
      <c r="P319" s="10" t="inlineStr">
        <is>
          <t>1</t>
        </is>
      </c>
      <c r="Q319" s="16" t="n">
        <v>204</v>
      </c>
      <c r="R319" s="16" t="n">
        <v>13</v>
      </c>
      <c r="S319" s="10" t="inlineStr">
        <is>
          <t>autre</t>
        </is>
      </c>
      <c r="T319" s="16" t="n">
        <v>2</v>
      </c>
      <c r="U319" s="10" t="n"/>
      <c r="V319" s="10" t="n"/>
      <c r="W319" s="10" t="inlineStr">
        <is>
          <t>Particulier</t>
        </is>
      </c>
      <c r="X319" s="10" t="inlineStr">
        <is>
          <t>Sarrebourg</t>
        </is>
      </c>
      <c r="Y319" s="10" t="inlineStr">
        <is>
          <t>57400</t>
        </is>
      </c>
      <c r="Z319" s="10" t="inlineStr">
        <is>
          <t>Moselle</t>
        </is>
      </c>
      <c r="AA319" s="10" t="inlineStr">
        <is>
          <t>Lorraine</t>
        </is>
      </c>
      <c r="AB319" s="16" t="n"/>
      <c r="AC319" s="16" t="n"/>
      <c r="AD319" s="10" t="n"/>
      <c r="AE31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F319" s="10" t="inlineStr">
        <is>
          <t>1 : 1 ; 2 : 2 ; 31 : 31 ; 1997 : 1997 ; https://img.leboncoin.fr/api/v1/tenants/9a6387a1-6259-4f2c-a887-7e67f23dd4cb/domains/20bda58f-d650-462e-a72a-a5a7ecf2bf88/buckets/21d2b0bc-e54c-4b64-a30b-89127b18b785/images/profile/pictures/default/a44a596b-d035-5e74-a6e5-6793988ece89?rule=pp-small : https://img.leboncoin.fr/api/v1/tenants/9a6387a1-6259-4f2c-a887-7e67f23dd4cb/domains/20bda58f-d650-462e-a72a-a5a7ecf2bf88/buckets/21d2b0bc-e54c-4b64-a30b-89127b18b785/images/profile/pictures/default/a44a596b-d035-5e74-a6e5-6793988ece89?rule=pp-small ; Porsche : Porsche ; Boxster : Boxster ; PORSCHE : PORSCHE ; 212000 km : 212000 ; Essence : 1 ; Manuelle : 1 ; 03/1997 : 03/1997 ; Cabriolet : cabriolet ; Autre : autre ; 13 Cv : 13 ; 204 Ch : 204 ; Avec permis : avecpermis ; credit_card : credit_card ; false : false ; https://autoviza.fr/report/report?uid=f46e00e8-66a6-46c4-96d0-2bc360435746 : https://autoviza.fr/report/report?uid=f46e00e8-66a6-46c4-96d0-2bc360435746 ; true : true ; rating_score : 1 ; rating_count : 31 ; u_car_brand : PORSCHE ; u_car_model : Boxster ; vehicle_vsp : Avec permis ; vehicle_available_payment_methods : credit_card ; is_import : false ; vehicle_is_eligible_p2p : 2 ; vehicle_history_report_public_url : https://autoviza.fr/report/report?uid=f46e00e8-66a6-46c4-96d0-2bc360435746 ; licence_plate_available : true</t>
        </is>
      </c>
      <c r="AG319" s="19" t="inlineStr">
        <is>
          <t>Voir</t>
        </is>
      </c>
      <c r="AH319" s="10" t="inlineStr">
        <is>
          <t>3270983963</t>
        </is>
      </c>
    </row>
    <row r="320">
      <c r="A320" s="10" t="inlineStr">
        <is>
          <t>Porsche Boxster 986</t>
        </is>
      </c>
      <c r="B320" s="10" t="inlineStr">
        <is>
          <t>Porsche boxster 986</t>
        </is>
      </c>
      <c r="C320" s="10" t="inlineStr">
        <is>
          <t>En vente</t>
        </is>
      </c>
      <c r="D320" s="18" t="n">
        <v>46282</v>
      </c>
      <c r="E320" s="18" t="n">
        <v>46282</v>
      </c>
      <c r="F320" s="18" t="n">
        <v>46296</v>
      </c>
      <c r="G320" s="18" t="n"/>
      <c r="H320" s="17">
        <f>IF(OR(ISNUMBER(D320),ISNUMBER(E320)),IF(ISNUMBER(G320),G320,F320)-IF(ISNUMBER(D320),D320,E320),"")</f>
        <v/>
      </c>
      <c r="I320" s="12" t="n">
        <v>17500</v>
      </c>
      <c r="J320" s="12" t="n">
        <v>17500</v>
      </c>
      <c r="K320" s="13">
        <f>IF(AND(ISNUMBER(I320),ISNUMBER(J320),I320&gt;0),1-J320/I320,"")</f>
        <v/>
      </c>
      <c r="L320" s="16" t="n">
        <v>0</v>
      </c>
      <c r="M320" s="15" t="n">
        <v>162995</v>
      </c>
      <c r="N320" s="16" t="n">
        <v>2001</v>
      </c>
      <c r="O320" s="10" t="inlineStr">
        <is>
          <t>1</t>
        </is>
      </c>
      <c r="P320" s="10" t="inlineStr">
        <is>
          <t>1</t>
        </is>
      </c>
      <c r="Q320" s="16" t="n">
        <v>220</v>
      </c>
      <c r="R320" s="16" t="n">
        <v>15</v>
      </c>
      <c r="S320" s="10" t="inlineStr">
        <is>
          <t>noir</t>
        </is>
      </c>
      <c r="T320" s="16" t="n">
        <v>2</v>
      </c>
      <c r="U320" s="10" t="n"/>
      <c r="V320" s="10" t="n"/>
      <c r="W320" s="10" t="inlineStr">
        <is>
          <t>Particulier</t>
        </is>
      </c>
      <c r="X320" s="10" t="inlineStr">
        <is>
          <t>Heugueville-sur-Sienne</t>
        </is>
      </c>
      <c r="Y320" s="10" t="inlineStr">
        <is>
          <t>50200</t>
        </is>
      </c>
      <c r="Z320" s="10" t="inlineStr">
        <is>
          <t>Manche</t>
        </is>
      </c>
      <c r="AA320" s="10" t="inlineStr">
        <is>
          <t>Basse-Normandie</t>
        </is>
      </c>
      <c r="AB320" s="16" t="n"/>
      <c r="AC320" s="16" t="n"/>
      <c r="AD320" s="10" t="n"/>
      <c r="AE32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F320" s="10" t="inlineStr">
        <is>
          <t>2 : 2 ; 53 : 53 ; 2001 : 2001 ; 0.99 : 0.99 ; https://img.leboncoin.fr/api/v1/tenants/9a6387a1-6259-4f2c-a887-7e67f23dd4cb/domains/20bda58f-d650-462e-a72a-a5a7ecf2bf88/buckets/21d2b0bc-e54c-4b64-a30b-89127b18b785/images/profile/pictures/default/cd1efabb-8de9-556a-accf-847d40852c00?rule=pp-small : https://img.leboncoin.fr/api/v1/tenants/9a6387a1-6259-4f2c-a887-7e67f23dd4cb/domains/20bda58f-d650-462e-a72a-a5a7ecf2bf88/buckets/21d2b0bc-e54c-4b64-a30b-89127b18b785/images/profile/pictures/default/cd1efabb-8de9-556a-accf-847d40852c00?rule=pp-small ; Porsche : Porsche ; Boxster : Boxster ; PORSCHE : PORSCHE ; 162995 km : 162995 ; Essence : 1 ; Manuelle : 1 ; 04/2001 : 04/2001 ; Bon état général : good_overall_condition ; Cabriolet : cabriolet ; Noir : noir ; 15 Cv : 15 ; 220 Ch : 220 ; Avec permis : avecpermis ; credit_card : credit_card ; false : false ; true : true ; rating_score : 0.99 ; rating_count : 53 ; u_car_brand : PORSCHE ; u_car_model : Boxster ; vehicle_damage : Bon état général ; vehicle_upholstery : Cuir partiel ; vehicle_maintenance : Factures disponibles ; vehicle_interior_specs : Alarme antivol, Climatisation, Coffre à ouverture électrique, Jantes en alliage, Ordinateur de bord, Phares anti-brouillard, Roue de secours, Sièges chauffants, Toit ouvrant / Toit panoramique ; vehicle_vsp : Avec permis ; vehicle_available_payment_methods : credit_card ; is_import : false ; vehicle_is_eligible_p2p : 2 ; licence_plate_available : true</t>
        </is>
      </c>
      <c r="AG320" s="19" t="inlineStr">
        <is>
          <t>Voir</t>
        </is>
      </c>
      <c r="AH320" s="10" t="inlineStr">
        <is>
          <t>3271472221</t>
        </is>
      </c>
    </row>
    <row r="321">
      <c r="A321" s="10" t="inlineStr">
        <is>
          <t>Porsche Boxster 986</t>
        </is>
      </c>
      <c r="B321" s="10" t="inlineStr">
        <is>
          <t>Porsche boxster 986</t>
        </is>
      </c>
      <c r="C321" s="10" t="inlineStr">
        <is>
          <t>En vente</t>
        </is>
      </c>
      <c r="D321" s="18" t="n">
        <v>46284</v>
      </c>
      <c r="E321" s="18" t="n">
        <v>46284</v>
      </c>
      <c r="F321" s="18" t="n">
        <v>46296</v>
      </c>
      <c r="G321" s="18" t="n"/>
      <c r="H321" s="17">
        <f>IF(OR(ISNUMBER(D321),ISNUMBER(E321)),IF(ISNUMBER(G321),G321,F321)-IF(ISNUMBER(D321),D321,E321),"")</f>
        <v/>
      </c>
      <c r="I321" s="12" t="n">
        <v>12000</v>
      </c>
      <c r="J321" s="12" t="n">
        <v>12000</v>
      </c>
      <c r="K321" s="13">
        <f>IF(AND(ISNUMBER(I321),ISNUMBER(J321),I321&gt;0),1-J321/I321,"")</f>
        <v/>
      </c>
      <c r="L321" s="16" t="n">
        <v>0</v>
      </c>
      <c r="M321" s="15" t="n">
        <v>192000</v>
      </c>
      <c r="N321" s="16" t="n">
        <v>1998</v>
      </c>
      <c r="O321" s="10" t="inlineStr">
        <is>
          <t>1</t>
        </is>
      </c>
      <c r="P321" s="10" t="inlineStr">
        <is>
          <t>1</t>
        </is>
      </c>
      <c r="Q321" s="16" t="n">
        <v>204</v>
      </c>
      <c r="R321" s="16" t="n">
        <v>13</v>
      </c>
      <c r="S321" s="10" t="inlineStr">
        <is>
          <t>autre</t>
        </is>
      </c>
      <c r="T321" s="16" t="n">
        <v>2</v>
      </c>
      <c r="U321" s="10" t="n"/>
      <c r="V321" s="10" t="n"/>
      <c r="W321" s="10" t="inlineStr">
        <is>
          <t>Particulier</t>
        </is>
      </c>
      <c r="X321" s="10" t="inlineStr">
        <is>
          <t>Brens</t>
        </is>
      </c>
      <c r="Y321" s="10" t="inlineStr">
        <is>
          <t>81600</t>
        </is>
      </c>
      <c r="Z321" s="10" t="inlineStr">
        <is>
          <t>Tarn</t>
        </is>
      </c>
      <c r="AA321" s="10" t="inlineStr">
        <is>
          <t>Midi-Pyrénées</t>
        </is>
      </c>
      <c r="AB321" s="16" t="n"/>
      <c r="AC321" s="16" t="n"/>
      <c r="AD321" s="10" t="n"/>
      <c r="AE321" s="10" t="inlineStr">
        <is>
          <t>À vendre Porsche Boxster, 98 Amortisseur avant amortisseur arrière neuf Puit de bougies neuf Bougies neuve Six bobine allumage neuf Plastique capote à changer</t>
        </is>
      </c>
      <c r="AF321" s="10" t="inlineStr">
        <is>
          <t>1 : 1 ; 2 : 2 ; 264 : 264 ; 1998 : 1998 ; 0.99 : 0.99 ; https://img.leboncoin.fr/api/v1/tenants/9a6387a1-6259-4f2c-a887-7e67f23dd4cb/domains/20bda58f-d650-462e-a72a-a5a7ecf2bf88/buckets/21d2b0bc-e54c-4b64-a30b-89127b18b785/images/profile/pictures/cf45ae72-4e85-5bd6-847e-ad96bff6bdef?rule=pp-small : https://img.leboncoin.fr/api/v1/tenants/9a6387a1-6259-4f2c-a887-7e67f23dd4cb/domains/20bda58f-d650-462e-a72a-a5a7ecf2bf88/buckets/21d2b0bc-e54c-4b64-a30b-89127b18b785/images/profile/pictures/cf45ae72-4e85-5bd6-847e-ad96bff6bdef?rule=pp-small ; Porsche : Porsche ; Boxster : Boxster ; PORSCHE : PORSCHE ; 192000 km : 192000 ; Essence : 1 ; Manuelle : 1 ; 05/1998 : 05/1998 ; Cabriolet : cabriolet ; Autre : autre ; 13 Cv : 13 ; 204 Ch : 204 ; Avec permis : avecpermis ; credit_card : credit_card ; false : false ; https://autoviza.fr/report/report?uid=3f33a341-6466-4ed4-89f0-c345851ebc7c : https://autoviza.fr/report/report?uid=3f33a341-6466-4ed4-89f0-c345851ebc7c ; visible : visible ; true : true ; rating_score : 0.99 ; rating_count : 264 ; u_car_brand : PORSCHE ; u_car_model : Boxster ; vehicle_vsp : Avec permis ; vehicle_available_payment_methods : credit_card ; is_import : false ; vehicle_is_eligible_p2p : 2 ; vehicle_history_report_public_url : https://autoviza.fr/report/report?uid=3f33a341-6466-4ed4-89f0-c345851ebc7c ; vehicle_history_report_status : visible ; licence_plate_available : true</t>
        </is>
      </c>
      <c r="AG321" s="19" t="inlineStr">
        <is>
          <t>Voir</t>
        </is>
      </c>
      <c r="AH321" s="10" t="inlineStr">
        <is>
          <t>3272892582</t>
        </is>
      </c>
    </row>
    <row r="322">
      <c r="A322" s="10" t="inlineStr">
        <is>
          <t>Porsche Boxster 986</t>
        </is>
      </c>
      <c r="B322" s="10" t="inlineStr">
        <is>
          <t>Porsche BOXSTER (986) 2.7</t>
        </is>
      </c>
      <c r="C322" s="10" t="inlineStr">
        <is>
          <t>En vente</t>
        </is>
      </c>
      <c r="D322" s="18" t="n">
        <v>46285</v>
      </c>
      <c r="E322" s="18" t="n">
        <v>46285</v>
      </c>
      <c r="F322" s="18" t="n">
        <v>46296</v>
      </c>
      <c r="G322" s="18" t="n"/>
      <c r="H322" s="17">
        <f>IF(OR(ISNUMBER(D322),ISNUMBER(E322)),IF(ISNUMBER(G322),G322,F322)-IF(ISNUMBER(D322),D322,E322),"")</f>
        <v/>
      </c>
      <c r="I322" s="12" t="n">
        <v>18990</v>
      </c>
      <c r="J322" s="12" t="n">
        <v>18990</v>
      </c>
      <c r="K322" s="13">
        <f>IF(AND(ISNUMBER(I322),ISNUMBER(J322),I322&gt;0),1-J322/I322,"")</f>
        <v/>
      </c>
      <c r="L322" s="16" t="n">
        <v>0</v>
      </c>
      <c r="M322" s="15" t="n">
        <v>134354</v>
      </c>
      <c r="N322" s="16" t="n">
        <v>2003</v>
      </c>
      <c r="O322" s="10" t="inlineStr">
        <is>
          <t>1</t>
        </is>
      </c>
      <c r="P322" s="10" t="inlineStr">
        <is>
          <t>1</t>
        </is>
      </c>
      <c r="Q322" s="16" t="n">
        <v>228</v>
      </c>
      <c r="R322" s="16" t="n">
        <v>15</v>
      </c>
      <c r="S322" s="10" t="inlineStr">
        <is>
          <t>gris</t>
        </is>
      </c>
      <c r="T322" s="16" t="n"/>
      <c r="U322" s="10" t="n"/>
      <c r="V322" s="10" t="inlineStr">
        <is>
          <t>3</t>
        </is>
      </c>
      <c r="W322" s="10" t="inlineStr">
        <is>
          <t>Pro</t>
        </is>
      </c>
      <c r="X322" s="10" t="inlineStr">
        <is>
          <t>Aubagne</t>
        </is>
      </c>
      <c r="Y322" s="10" t="inlineStr">
        <is>
          <t>13400</t>
        </is>
      </c>
      <c r="Z322" s="10" t="inlineStr">
        <is>
          <t>Bouches-du-Rhône</t>
        </is>
      </c>
      <c r="AA322" s="10" t="inlineStr">
        <is>
          <t>Provence-Alpes-Côte d'Azur</t>
        </is>
      </c>
      <c r="AB322" s="16" t="n"/>
      <c r="AC322" s="16" t="n"/>
      <c r="AD322" s="10" t="inlineStr">
        <is>
          <t>Oui</t>
        </is>
      </c>
      <c r="AE322"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F322" s="10" t="inlineStr">
        <is>
          <t>1 : 1 ; 2 : 2 ; 3 : 3 ; 423 : 423 ; 2003 : 2003 ; 15424 : 15424 ; 720749 : 720749 ; Porsche : Porsche ; Boxster : Boxster ; PORSCHE : PORSCHE ; 134354 km : 134354 ; Essence : 1 ; Manuelle : 1 ; Base : PORSCHE_Boxster_Base ; Boxster 2.7 : Boxster 2.7 ; 02/2003 : 02/2003 ; Cabriolet : cabriolet ; Gris : gris ; 15 Cv : 15 ; 228 Ch : 228 ; Avec permis : avecpermis ; false : false ; true : true ; https://img.leboncoin.fr/api/v1/lbcpb1/images/41/63/02/416302115379852.jpg?rule=bo-thumb : https://img.leboncoin.fr/api/v1/lbcpb1/images/41/63/02/416302115379852.jpg?rule=bo-thumb ; Automobile Phoceenne : Automobile Phoceenne ; https://autoviza.fr/report/report?uid=a1ef87de-f011-4629-8cc0-24028607587a : https://autoviza.fr/report/report?uid=a1ef87de-f011-4629-8cc0-24028607587a ; visible : visible ; Non renseignée : non_renseignee ; activity_sector : 1 ; u_car_brand : PORSCHE ; u_car_model : Boxster ; u_car_finition : Base ; u_car_version : Boxster 2.7 ; vehicle_vsp : Avec permis ; recent_used_vehicle : false ; has_visibility_option : true ; store_logo : https://img.leboncoin.fr/api/v1/lbcpb1/images/41/63/02/416302115379852.jpg?rule=bo-thumb ; store_name : Automobile Phoceenne ; online_store_id : 15424 ; custom_ref : 423 ; is_import : true ; vehicle_history_report_public_url : https://autoviza.fr/report/report?uid=a1ef87de-f011-4629-8cc0-24028607587a ; vehicle_history_report_status : visible ; argus_object_id : 720749 ; spare_parts_availability : Non renseignée ; licence_plate_available : true</t>
        </is>
      </c>
      <c r="AG322" s="19" t="inlineStr">
        <is>
          <t>Voir</t>
        </is>
      </c>
      <c r="AH322" s="10" t="inlineStr">
        <is>
          <t>3272963366</t>
        </is>
      </c>
    </row>
    <row r="323">
      <c r="A323" s="10" t="inlineStr">
        <is>
          <t>Porsche Boxster 986</t>
        </is>
      </c>
      <c r="B323" s="10" t="inlineStr">
        <is>
          <t>Porsche Boxster 986</t>
        </is>
      </c>
      <c r="C323" s="10" t="inlineStr">
        <is>
          <t>En vente</t>
        </is>
      </c>
      <c r="D323" s="18" t="n">
        <v>46288</v>
      </c>
      <c r="E323" s="18" t="n">
        <v>46288</v>
      </c>
      <c r="F323" s="18" t="n">
        <v>46296</v>
      </c>
      <c r="G323" s="18" t="n"/>
      <c r="H323" s="17">
        <f>IF(OR(ISNUMBER(D323),ISNUMBER(E323)),IF(ISNUMBER(G323),G323,F323)-IF(ISNUMBER(D323),D323,E323),"")</f>
        <v/>
      </c>
      <c r="I323" s="12" t="n">
        <v>19500</v>
      </c>
      <c r="J323" s="12" t="n">
        <v>19500</v>
      </c>
      <c r="K323" s="13">
        <f>IF(AND(ISNUMBER(I323),ISNUMBER(J323),I323&gt;0),1-J323/I323,"")</f>
        <v/>
      </c>
      <c r="L323" s="16" t="n">
        <v>0</v>
      </c>
      <c r="M323" s="15" t="n">
        <v>125000</v>
      </c>
      <c r="N323" s="16" t="n">
        <v>2003</v>
      </c>
      <c r="O323" s="10" t="inlineStr">
        <is>
          <t>1</t>
        </is>
      </c>
      <c r="P323" s="10" t="inlineStr">
        <is>
          <t>1</t>
        </is>
      </c>
      <c r="Q323" s="16" t="n">
        <v>228</v>
      </c>
      <c r="R323" s="16" t="n">
        <v>15</v>
      </c>
      <c r="S323" s="10" t="inlineStr">
        <is>
          <t>noir</t>
        </is>
      </c>
      <c r="T323" s="16" t="n">
        <v>2</v>
      </c>
      <c r="U323" s="10" t="n"/>
      <c r="V323" s="10" t="n"/>
      <c r="W323" s="10" t="inlineStr">
        <is>
          <t>Particulier</t>
        </is>
      </c>
      <c r="X323" s="10" t="inlineStr">
        <is>
          <t>Orchies</t>
        </is>
      </c>
      <c r="Y323" s="10" t="inlineStr">
        <is>
          <t>59310</t>
        </is>
      </c>
      <c r="Z323" s="10" t="inlineStr">
        <is>
          <t>Nord</t>
        </is>
      </c>
      <c r="AA323" s="10" t="inlineStr">
        <is>
          <t>Nord-Pas-de-Calais</t>
        </is>
      </c>
      <c r="AB323" s="16" t="n"/>
      <c r="AC323" s="16" t="n"/>
      <c r="AD323" s="10" t="n"/>
      <c r="AE323"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F323" s="10" t="inlineStr">
        <is>
          <t>1 : 1 ; 2 : 2 ; 2003 : 2003 ; https://img.leboncoin.fr/api/v1/tenants/9a6387a1-6259-4f2c-a887-7e67f23dd4cb/domains/20bda58f-d650-462e-a72a-a5a7ecf2bf88/buckets/21d2b0bc-e54c-4b64-a30b-89127b18b785/images/profile/pictures/default/83b93ba0-d27e-5213-b7f6-d2fc9d897dee?rule=pp-small : https://img.leboncoin.fr/api/v1/tenants/9a6387a1-6259-4f2c-a887-7e67f23dd4cb/domains/20bda58f-d650-462e-a72a-a5a7ecf2bf88/buckets/21d2b0bc-e54c-4b64-a30b-89127b18b785/images/profile/pictures/default/83b93ba0-d27e-5213-b7f6-d2fc9d897dee?rule=pp-small ; Porsche : Porsche ; Boxster : Boxster ; PORSCHE : PORSCHE ; 125000 km : 125000 ; Essence : 1 ; Manuelle : 1 ; 11/2003 : 11/2003 ; Cabriolet : cabriolet ; Noir : noir ; 15 Cv : 15 ; 228 Ch : 228 ; Avec permis : avecpermis ; credit_card : credit_card ; false : false ; true : true ; rating_score : 1 ; rating_count : 2 ; u_car_brand : PORSCHE ; u_car_model : Boxster ; vehicle_vsp : Avec permis ; vehicle_available_payment_methods : credit_card ; is_import : false ; vehicle_is_eligible_p2p : 2 ; licence_plate_available : true</t>
        </is>
      </c>
      <c r="AG323" s="19" t="inlineStr">
        <is>
          <t>Voir</t>
        </is>
      </c>
      <c r="AH323" s="10" t="inlineStr">
        <is>
          <t>3275167558</t>
        </is>
      </c>
    </row>
    <row r="324">
      <c r="A324" s="10" t="inlineStr">
        <is>
          <t>Porsche Boxster 986</t>
        </is>
      </c>
      <c r="B324" s="10" t="inlineStr">
        <is>
          <t>Porsche Boxster 986 2.5 éthanol</t>
        </is>
      </c>
      <c r="C324" s="10" t="inlineStr">
        <is>
          <t>En vente</t>
        </is>
      </c>
      <c r="D324" s="18" t="n">
        <v>46288</v>
      </c>
      <c r="E324" s="18" t="n">
        <v>46288</v>
      </c>
      <c r="F324" s="18" t="n">
        <v>46296</v>
      </c>
      <c r="G324" s="18" t="n"/>
      <c r="H324" s="17">
        <f>IF(OR(ISNUMBER(D324),ISNUMBER(E324)),IF(ISNUMBER(G324),G324,F324)-IF(ISNUMBER(D324),D324,E324),"")</f>
        <v/>
      </c>
      <c r="I324" s="12" t="n">
        <v>10900</v>
      </c>
      <c r="J324" s="12" t="n">
        <v>10900</v>
      </c>
      <c r="K324" s="13">
        <f>IF(AND(ISNUMBER(I324),ISNUMBER(J324),I324&gt;0),1-J324/I324,"")</f>
        <v/>
      </c>
      <c r="L324" s="16" t="n">
        <v>0</v>
      </c>
      <c r="M324" s="15" t="n">
        <v>252000</v>
      </c>
      <c r="N324" s="16" t="n">
        <v>1997</v>
      </c>
      <c r="O324" s="10" t="inlineStr">
        <is>
          <t>5</t>
        </is>
      </c>
      <c r="P324" s="10" t="inlineStr">
        <is>
          <t>2</t>
        </is>
      </c>
      <c r="Q324" s="16" t="n">
        <v>204</v>
      </c>
      <c r="R324" s="16" t="n">
        <v>14</v>
      </c>
      <c r="S324" s="10" t="inlineStr">
        <is>
          <t>autre</t>
        </is>
      </c>
      <c r="T324" s="16" t="n">
        <v>2</v>
      </c>
      <c r="U324" s="10" t="n"/>
      <c r="V324" s="10" t="n"/>
      <c r="W324" s="10" t="inlineStr">
        <is>
          <t>Particulier</t>
        </is>
      </c>
      <c r="X324" s="10" t="inlineStr">
        <is>
          <t>Vieux-Condé</t>
        </is>
      </c>
      <c r="Y324" s="10" t="inlineStr">
        <is>
          <t>59690</t>
        </is>
      </c>
      <c r="Z324" s="10" t="inlineStr">
        <is>
          <t>Nord</t>
        </is>
      </c>
      <c r="AA324" s="10" t="inlineStr">
        <is>
          <t>Nord-Pas-de-Calais</t>
        </is>
      </c>
      <c r="AB324" s="16" t="n"/>
      <c r="AC324" s="16" t="n"/>
      <c r="AD324" s="10" t="n"/>
      <c r="AE324"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F324" s="10" t="inlineStr">
        <is>
          <t>1 : 1 ; 2 : 2 ; 5 : 5 ; 1997 : 1997 ; https://img.leboncoin.fr/api/v1/tenants/9a6387a1-6259-4f2c-a887-7e67f23dd4cb/domains/20bda58f-d650-462e-a72a-a5a7ecf2bf88/buckets/21d2b0bc-e54c-4b64-a30b-89127b18b785/images/profile/pictures/default/5ab56155-c186-59a5-aa1c-3a4155637cda?rule=pp-small : https://img.leboncoin.fr/api/v1/tenants/9a6387a1-6259-4f2c-a887-7e67f23dd4cb/domains/20bda58f-d650-462e-a72a-a5a7ecf2bf88/buckets/21d2b0bc-e54c-4b64-a30b-89127b18b785/images/profile/pictures/default/5ab56155-c186-59a5-aa1c-3a4155637cda?rule=pp-small ; Porsche : Porsche ; Boxster : Boxster ; PORSCHE : PORSCHE ; 252000 km : 252000 ; Autre : 5 ; Automatique : 2 ; 01/1997 : 01/1997 ; Traces d’usure normales : normal_wear_and_tear ; Cabriolet : cabriolet ; 14 Cv : 14 ; 204 Ch : 204 ; Avec permis : avecpermis ; credit_card : credit_card ; false : false ; true : true ; rating_score : 1 ; rating_count : 5 ; u_car_brand : PORSCHE ; u_car_model : Boxster ; vehicle_damage : Traces d’usure normales ; vehicle_maintenance : Factures disponibles ; vehicle_vsp : Avec permis ; vehicle_available_payment_methods : credit_card ; is_import : false ; vehicle_is_eligible_p2p : 2 ; licence_plate_available : true</t>
        </is>
      </c>
      <c r="AG324" s="19" t="inlineStr">
        <is>
          <t>Voir</t>
        </is>
      </c>
      <c r="AH324" s="10" t="inlineStr">
        <is>
          <t>3275432969</t>
        </is>
      </c>
    </row>
    <row r="325">
      <c r="A325" s="10" t="inlineStr">
        <is>
          <t>Porsche Boxster 986</t>
        </is>
      </c>
      <c r="B325" s="10" t="inlineStr">
        <is>
          <t>Porsche Boxster 986 2.7</t>
        </is>
      </c>
      <c r="C325" s="10" t="inlineStr">
        <is>
          <t>En vente</t>
        </is>
      </c>
      <c r="D325" s="18" t="n">
        <v>46290</v>
      </c>
      <c r="E325" s="18" t="n">
        <v>46290</v>
      </c>
      <c r="F325" s="18" t="n">
        <v>46296</v>
      </c>
      <c r="G325" s="18" t="n"/>
      <c r="H325" s="17">
        <f>IF(OR(ISNUMBER(D325),ISNUMBER(E325)),IF(ISNUMBER(G325),G325,F325)-IF(ISNUMBER(D325),D325,E325),"")</f>
        <v/>
      </c>
      <c r="I325" s="12" t="n">
        <v>5000</v>
      </c>
      <c r="J325" s="12" t="n">
        <v>5000</v>
      </c>
      <c r="K325" s="13">
        <f>IF(AND(ISNUMBER(I325),ISNUMBER(J325),I325&gt;0),1-J325/I325,"")</f>
        <v/>
      </c>
      <c r="L325" s="16" t="n">
        <v>0</v>
      </c>
      <c r="M325" s="15" t="n">
        <v>169000</v>
      </c>
      <c r="N325" s="16" t="n">
        <v>2003</v>
      </c>
      <c r="O325" s="10" t="inlineStr">
        <is>
          <t>1</t>
        </is>
      </c>
      <c r="P325" s="10" t="inlineStr">
        <is>
          <t>1</t>
        </is>
      </c>
      <c r="Q325" s="16" t="n">
        <v>228</v>
      </c>
      <c r="R325" s="16" t="n">
        <v>16</v>
      </c>
      <c r="S325" s="10" t="inlineStr">
        <is>
          <t>noir</t>
        </is>
      </c>
      <c r="T325" s="16" t="n">
        <v>2</v>
      </c>
      <c r="U325" s="10" t="n"/>
      <c r="V325" s="10" t="n"/>
      <c r="W325" s="10" t="inlineStr">
        <is>
          <t>Particulier</t>
        </is>
      </c>
      <c r="X325" s="10" t="inlineStr">
        <is>
          <t>Alfortville</t>
        </is>
      </c>
      <c r="Y325" s="10" t="inlineStr">
        <is>
          <t>94140</t>
        </is>
      </c>
      <c r="Z325" s="10" t="inlineStr">
        <is>
          <t>Val-de-Marne</t>
        </is>
      </c>
      <c r="AA325" s="10" t="inlineStr">
        <is>
          <t>Ile-de-France</t>
        </is>
      </c>
      <c r="AB325" s="16" t="n"/>
      <c r="AC325" s="16" t="n"/>
      <c r="AD325" s="10" t="n"/>
      <c r="AE325"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F325" s="10" t="inlineStr">
        <is>
          <t>1 : 1 ; 2 : 2 ; 135 : 135 ; 2003 : 2003 ; 2027 : 2027 ; https://img.leboncoin.fr/api/v1/tenants/9a6387a1-6259-4f2c-a887-7e67f23dd4cb/domains/20bda58f-d650-462e-a72a-a5a7ecf2bf88/buckets/21d2b0bc-e54c-4b64-a30b-89127b18b785/images/profile/pictures/0abecd1c-5b71-5068-87a8-efa2206f9eb6?rule=pp-small : https://img.leboncoin.fr/api/v1/tenants/9a6387a1-6259-4f2c-a887-7e67f23dd4cb/domains/20bda58f-d650-462e-a72a-a5a7ecf2bf88/buckets/21d2b0bc-e54c-4b64-a30b-89127b18b785/images/profile/pictures/0abecd1c-5b71-5068-87a8-efa2206f9eb6?rule=pp-small ; Porsche : Porsche ; Boxster : Boxster ; PORSCHE : PORSCHE ; 169000 km : 169000 ; Essence : 1 ; Manuelle : 1 ; Oui : true ; 11/2003 : 11/2003 ; Excellent état (proche du neuf) : excellent_condition ; Cabriolet : cabriolet ; Noir : noir ; 16 Cv : 16 ; 228 Ch : 228 ; Avec permis : avecpermis ; credit_card : credit_card ; false : false ; true : true ; rating_score : 1 ; rating_count : 135 ; u_car_brand : PORSCHE ; u_car_model : Boxster ; vehicle_technical_inspection_valid : Oui ; vehicle_technical_inspection_a : 2027 ; vehicle_damage : Excellent état (proche du neuf) ; vehicle_upholstery : Cuir partiel ; vehicle_maintenance : Carnet d'entretien disponible, Factures disponibles ; vehicle_interior_specs : Bluetooth ; vehicle_vsp : Avec permis ; vehicle_available_payment_methods : credit_card ; is_import : false ; vehicle_is_eligible_p2p : 2 ; licence_plate_available : true</t>
        </is>
      </c>
      <c r="AG325" s="19" t="inlineStr">
        <is>
          <t>Voir</t>
        </is>
      </c>
      <c r="AH325" s="10" t="inlineStr">
        <is>
          <t>3276464340</t>
        </is>
      </c>
    </row>
    <row r="326">
      <c r="A326" s="10" t="inlineStr">
        <is>
          <t>Porsche Boxster 986</t>
        </is>
      </c>
      <c r="B326" s="10" t="inlineStr">
        <is>
          <t>Porsche Boxster 986 avec 77053 km</t>
        </is>
      </c>
      <c r="C326" s="10" t="inlineStr">
        <is>
          <t>En vente</t>
        </is>
      </c>
      <c r="D326" s="18" t="n">
        <v>46291</v>
      </c>
      <c r="E326" s="18" t="n">
        <v>46291</v>
      </c>
      <c r="F326" s="18" t="n">
        <v>46296</v>
      </c>
      <c r="G326" s="18" t="n"/>
      <c r="H326" s="17">
        <f>IF(OR(ISNUMBER(D326),ISNUMBER(E326)),IF(ISNUMBER(G326),G326,F326)-IF(ISNUMBER(D326),D326,E326),"")</f>
        <v/>
      </c>
      <c r="I326" s="12" t="n">
        <v>13650</v>
      </c>
      <c r="J326" s="12" t="n">
        <v>13650</v>
      </c>
      <c r="K326" s="13">
        <f>IF(AND(ISNUMBER(I326),ISNUMBER(J326),I326&gt;0),1-J326/I326,"")</f>
        <v/>
      </c>
      <c r="L326" s="16" t="n">
        <v>0</v>
      </c>
      <c r="M326" s="15" t="n">
        <v>77053</v>
      </c>
      <c r="N326" s="16" t="n">
        <v>1998</v>
      </c>
      <c r="O326" s="10" t="inlineStr">
        <is>
          <t>1</t>
        </is>
      </c>
      <c r="P326" s="10" t="inlineStr">
        <is>
          <t>2</t>
        </is>
      </c>
      <c r="Q326" s="16" t="n">
        <v>204</v>
      </c>
      <c r="R326" s="16" t="n">
        <v>14</v>
      </c>
      <c r="S326" s="10" t="inlineStr">
        <is>
          <t>bleu</t>
        </is>
      </c>
      <c r="T326" s="16" t="n">
        <v>2</v>
      </c>
      <c r="U326" s="10" t="n"/>
      <c r="V326" s="10" t="n"/>
      <c r="W326" s="10" t="inlineStr">
        <is>
          <t>Particulier</t>
        </is>
      </c>
      <c r="X326" s="10" t="inlineStr">
        <is>
          <t>La Valette-du-Var</t>
        </is>
      </c>
      <c r="Y326" s="10" t="inlineStr">
        <is>
          <t>83160</t>
        </is>
      </c>
      <c r="Z326" s="10" t="inlineStr">
        <is>
          <t>Var</t>
        </is>
      </c>
      <c r="AA326" s="10" t="inlineStr">
        <is>
          <t>Provence-Alpes-Côte d'Azur</t>
        </is>
      </c>
      <c r="AB326" s="16" t="n"/>
      <c r="AC326" s="16" t="n"/>
      <c r="AD326" s="10" t="n"/>
      <c r="AE326"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F326" s="10" t="inlineStr">
        <is>
          <t>1 : 1 ; 2 : 2 ; 4 : 4 ; 1998 : 1998 ; https://img.leboncoin.fr/api/v1/tenants/9a6387a1-6259-4f2c-a887-7e67f23dd4cb/domains/20bda58f-d650-462e-a72a-a5a7ecf2bf88/buckets/21d2b0bc-e54c-4b64-a30b-89127b18b785/images/profile/pictures/default/1b5e0af1-c3d4-5253-9087-dff6b5ced430?rule=pp-small : https://img.leboncoin.fr/api/v1/tenants/9a6387a1-6259-4f2c-a887-7e67f23dd4cb/domains/20bda58f-d650-462e-a72a-a5a7ecf2bf88/buckets/21d2b0bc-e54c-4b64-a30b-89127b18b785/images/profile/pictures/default/1b5e0af1-c3d4-5253-9087-dff6b5ced430?rule=pp-small ; Porsche : Porsche ; Boxster : Boxster ; PORSCHE : PORSCHE ; 77053 km : 77053 ; Essence : 1 ; Automatique : 2 ; 08/1998 : 08/1998 ; Bon état général : good_overall_condition ; Cabriolet : cabriolet ; Bleu : bleu ; 14 Cv : 14 ; 204 Ch : 204 ; Avec permis : avecpermis ; credit_card : credit_card ; false : false ; true : true ; rating_score : 1 ; rating_count : 4 ; u_car_brand : PORSCHE ; u_car_model : Boxster ; vehicle_damage : Bon état général ; vehicle_upholstery : Cuir partiel, Velours ; vehicle_vsp : Avec permis ; vehicle_available_payment_methods : credit_card ; is_import : false ; vehicle_is_eligible_p2p : 2 ; licence_plate_available : true</t>
        </is>
      </c>
      <c r="AG326" s="19" t="inlineStr">
        <is>
          <t>Voir</t>
        </is>
      </c>
      <c r="AH326" s="10" t="inlineStr">
        <is>
          <t>3277303432</t>
        </is>
      </c>
    </row>
    <row r="327">
      <c r="A327" s="10" t="inlineStr">
        <is>
          <t>Porsche Boxster 986</t>
        </is>
      </c>
      <c r="B327" s="10" t="inlineStr">
        <is>
          <t>Porsche Boxster 986</t>
        </is>
      </c>
      <c r="C327" s="10" t="inlineStr">
        <is>
          <t>En vente</t>
        </is>
      </c>
      <c r="D327" s="18" t="n">
        <v>46292</v>
      </c>
      <c r="E327" s="18" t="n">
        <v>46292</v>
      </c>
      <c r="F327" s="18" t="n">
        <v>46296</v>
      </c>
      <c r="G327" s="18" t="n"/>
      <c r="H327" s="17">
        <f>IF(OR(ISNUMBER(D327),ISNUMBER(E327)),IF(ISNUMBER(G327),G327,F327)-IF(ISNUMBER(D327),D327,E327),"")</f>
        <v/>
      </c>
      <c r="I327" s="12" t="n">
        <v>14000</v>
      </c>
      <c r="J327" s="12" t="n">
        <v>14000</v>
      </c>
      <c r="K327" s="13">
        <f>IF(AND(ISNUMBER(I327),ISNUMBER(J327),I327&gt;0),1-J327/I327,"")</f>
        <v/>
      </c>
      <c r="L327" s="16" t="n">
        <v>0</v>
      </c>
      <c r="M327" s="15" t="n">
        <v>131500</v>
      </c>
      <c r="N327" s="16" t="n">
        <v>1999</v>
      </c>
      <c r="O327" s="10" t="inlineStr">
        <is>
          <t>1</t>
        </is>
      </c>
      <c r="P327" s="10" t="inlineStr">
        <is>
          <t>1</t>
        </is>
      </c>
      <c r="Q327" s="16" t="n">
        <v>204</v>
      </c>
      <c r="R327" s="16" t="n">
        <v>13</v>
      </c>
      <c r="S327" s="10" t="inlineStr">
        <is>
          <t>gris</t>
        </is>
      </c>
      <c r="T327" s="16" t="n">
        <v>2</v>
      </c>
      <c r="U327" s="10" t="n"/>
      <c r="V327" s="10" t="n"/>
      <c r="W327" s="10" t="inlineStr">
        <is>
          <t>Particulier</t>
        </is>
      </c>
      <c r="X327" s="10" t="inlineStr">
        <is>
          <t>Montpellier</t>
        </is>
      </c>
      <c r="Y327" s="10" t="inlineStr">
        <is>
          <t>34000</t>
        </is>
      </c>
      <c r="Z327" s="10" t="inlineStr">
        <is>
          <t>Hérault</t>
        </is>
      </c>
      <c r="AA327" s="10" t="inlineStr">
        <is>
          <t>Languedoc-Roussillon</t>
        </is>
      </c>
      <c r="AB327" s="16" t="n"/>
      <c r="AC327" s="16" t="n"/>
      <c r="AD327" s="10" t="n"/>
      <c r="AE32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F327" s="10" t="inlineStr">
        <is>
          <t>1 : 1 ; 2 : 2 ; 3 : 3 ; 5 : 5 ; 1999 : 1999 ; 2028 : 2028 ; 720742 : 720742 ; https://img.leboncoin.fr/api/v1/tenants/9a6387a1-6259-4f2c-a887-7e67f23dd4cb/domains/20bda58f-d650-462e-a72a-a5a7ecf2bf88/buckets/21d2b0bc-e54c-4b64-a30b-89127b18b785/images/profile/pictures/default/3594a1d0-856c-518b-8355-5ef3422447b2?rule=pp-small : https://img.leboncoin.fr/api/v1/tenants/9a6387a1-6259-4f2c-a887-7e67f23dd4cb/domains/20bda58f-d650-462e-a72a-a5a7ecf2bf88/buckets/21d2b0bc-e54c-4b64-a30b-89127b18b785/images/profile/pictures/default/3594a1d0-856c-518b-8355-5ef3422447b2?rule=pp-small ; Porsche : Porsche ; Boxster : Boxster ; PORSCHE : PORSCHE ; 131500 km : 131500 ; Essence : 1 ; Manuelle : 1 ; Base : PORSCHE_Boxster_Base ; Boxster 2.5 : Boxster 2.5 ; Oui : true ; 05/1999 : 05/1999 ; Traces d’usure normales : normal_wear_and_tear ; Cabriolet : cabriolet ; Gris : gris ; 13 Cv : 13 ; 204 Ch : 204 ; Avec permis : avecpermis ; credit_card : credit_card ; false : false ; https://autoviza.fr/report/report?uid=ff491796-c4f5-486e-bcfe-94b545437d81 : https://autoviza.fr/report/report?uid=ff491796-c4f5-486e-bcfe-94b545437d81 ; true : true ; rating_score : 1 ; rating_count : 2 ; u_car_brand : PORSCHE ; u_car_model : Boxster ; u_car_finition : Base ; u_car_version : Boxster 2.5 ; vehicle_technical_inspection_valid : Oui ; vehicle_technical_inspection_a : 2028 ; vehicle_damage : Traces d’usure normales ; vehicle_upholstery : Tout cuir ; vehicle_maintenance : Factures disponibles ; vehicle_vsp : Avec permis ; vehicle_available_payment_methods : credit_card ; is_import : false ; vehicle_is_eligible_p2p : 2 ; vehicle_history_report_public_url : https://autoviza.fr/report/report?uid=ff491796-c4f5-486e-bcfe-94b545437d81 ; vehicle_history_teaser_critair : 3 ; vehicle_history_teaser_owners : 5 ; vehicle_history_teaser_expertises : false ; vehicle_history_teaser_special_uses : false ; vehicle_history_teaser_atypical_operations : false ; vehicle_history_teaser_importations : false ; argus_object_id : 720742 ; licence_plate_available : true</t>
        </is>
      </c>
      <c r="AG327" s="19" t="inlineStr">
        <is>
          <t>Voir</t>
        </is>
      </c>
      <c r="AH327" s="10" t="inlineStr">
        <is>
          <t>3277850572</t>
        </is>
      </c>
    </row>
    <row r="328">
      <c r="A328" s="10" t="inlineStr">
        <is>
          <t>Porsche Boxster 986</t>
        </is>
      </c>
      <c r="B328" s="10" t="inlineStr">
        <is>
          <t>PORSCHE BOXSTER 2.7i - 228ch TYPE 986 CABRIOLET PHASE 2</t>
        </is>
      </c>
      <c r="C328" s="10" t="inlineStr">
        <is>
          <t>En vente</t>
        </is>
      </c>
      <c r="D328" s="18" t="n">
        <v>46293</v>
      </c>
      <c r="E328" s="18" t="n">
        <v>46293</v>
      </c>
      <c r="F328" s="18" t="n">
        <v>46296</v>
      </c>
      <c r="G328" s="18" t="n"/>
      <c r="H328" s="17">
        <f>IF(OR(ISNUMBER(D328),ISNUMBER(E328)),IF(ISNUMBER(G328),G328,F328)-IF(ISNUMBER(D328),D328,E328),"")</f>
        <v/>
      </c>
      <c r="I328" s="12" t="n">
        <v>18290</v>
      </c>
      <c r="J328" s="12" t="n">
        <v>18290</v>
      </c>
      <c r="K328" s="13">
        <f>IF(AND(ISNUMBER(I328),ISNUMBER(J328),I328&gt;0),1-J328/I328,"")</f>
        <v/>
      </c>
      <c r="L328" s="16" t="n">
        <v>0</v>
      </c>
      <c r="M328" s="15" t="n">
        <v>171000</v>
      </c>
      <c r="N328" s="16" t="n">
        <v>2003</v>
      </c>
      <c r="O328" s="10" t="inlineStr">
        <is>
          <t>1</t>
        </is>
      </c>
      <c r="P328" s="10" t="inlineStr">
        <is>
          <t>1</t>
        </is>
      </c>
      <c r="Q328" s="16" t="n">
        <v>228</v>
      </c>
      <c r="R328" s="16" t="n">
        <v>15</v>
      </c>
      <c r="S328" s="10" t="inlineStr">
        <is>
          <t>noir</t>
        </is>
      </c>
      <c r="T328" s="16" t="n">
        <v>2</v>
      </c>
      <c r="U328" s="10" t="n"/>
      <c r="V328" s="10" t="inlineStr">
        <is>
          <t>3</t>
        </is>
      </c>
      <c r="W328" s="10" t="inlineStr">
        <is>
          <t>Pro</t>
        </is>
      </c>
      <c r="X328" s="10" t="inlineStr">
        <is>
          <t>Eysines</t>
        </is>
      </c>
      <c r="Y328" s="10" t="inlineStr">
        <is>
          <t>33320</t>
        </is>
      </c>
      <c r="Z328" s="10" t="inlineStr">
        <is>
          <t>Gironde</t>
        </is>
      </c>
      <c r="AA328" s="10" t="inlineStr">
        <is>
          <t>Aquitaine</t>
        </is>
      </c>
      <c r="AB328" s="16" t="n"/>
      <c r="AC328" s="16" t="n"/>
      <c r="AD328" s="10" t="inlineStr">
        <is>
          <t>Oui</t>
        </is>
      </c>
      <c r="AE328"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F328" s="10" t="inlineStr">
        <is>
          <t>1 : 1 ; 2 : 2 ; 3 : 3 ; 2003 : 2003 ; 50411 : 50411 ; 720749 : 720749 ; Porsche : Porsche ; Boxster : Boxster ; PORSCHE : PORSCHE ; 171000 km : 171000 ; Essence : 1 ; Manuelle : 1 ; Base : PORSCHE_Boxster_Base ; Boxster 2.7 : Boxster 2.7 ; 01/2003 : 01/2003 ; Bon état général : good_overall_condition ; Cabriolet : cabriolet ; Noir : noir ; 15 Cv : 15 ; 228 Ch : 228 ; Sans permis : sanspermis ; false : false ; true : true ; https://img.leboncoin.fr/api/v1/lbcpb1/images/66/54/a1/6654a1a8-1a82-4e33-9a54-77fa83dac45b?rule=bo-thumb : https://img.leboncoin.fr/api/v1/lbcpb1/images/66/54/a1/6654a1a8-1a82-4e33-9a54-77fa83dac45b?rule=bo-thumb ; NEWAY MOTORS : NEWAY MOTORS ; 0789-0001443 : 0789-0001443 ; Non renseignée : non_renseignee ; activity_sector : 1 ; u_car_brand : PORSCHE ; u_car_model : Boxster ; u_car_finition : Base ; u_car_version : Boxster 2.7 ; vehicle_damage : Bon état général ; vehicle_interior_specs : Climatisation, Jantes en alliage, Roue de secours, Régulateur de vitesse, Volant réglable en profondeur ; vehicle_vsp : Sans permis ; recent_used_vehicle : false ; has_visibility_option : true ; store_logo : https://img.leboncoin.fr/api/v1/lbcpb1/images/66/54/a1/6654a1a8-1a82-4e33-9a54-77fa83dac45b?rule=bo-thumb ; store_name : NEWAY MOTORS ; online_store_id : 50411 ; custom_ref : 0789-0001443 ; is_import : true ; argus_object_id : 720749 ; spare_parts_availability : Non renseignée ; licence_plate_available : true</t>
        </is>
      </c>
      <c r="AG328" s="19" t="inlineStr">
        <is>
          <t>Voir</t>
        </is>
      </c>
      <c r="AH328" s="10" t="inlineStr">
        <is>
          <t>3278140957</t>
        </is>
      </c>
    </row>
    <row r="329">
      <c r="A329" s="10" t="inlineStr">
        <is>
          <t>Porsche Boxster 986</t>
        </is>
      </c>
      <c r="B329" s="10" t="inlineStr">
        <is>
          <t>Porsche Boxster 986 - 2L7</t>
        </is>
      </c>
      <c r="C329" s="10" t="inlineStr">
        <is>
          <t>En vente</t>
        </is>
      </c>
      <c r="D329" s="18" t="n">
        <v>46295</v>
      </c>
      <c r="E329" s="18" t="n">
        <v>46295</v>
      </c>
      <c r="F329" s="18" t="n">
        <v>46296</v>
      </c>
      <c r="G329" s="18" t="n"/>
      <c r="H329" s="17">
        <f>IF(OR(ISNUMBER(D329),ISNUMBER(E329)),IF(ISNUMBER(G329),G329,F329)-IF(ISNUMBER(D329),D329,E329),"")</f>
        <v/>
      </c>
      <c r="I329" s="12" t="n">
        <v>17800</v>
      </c>
      <c r="J329" s="12" t="n">
        <v>17800</v>
      </c>
      <c r="K329" s="13">
        <f>IF(AND(ISNUMBER(I329),ISNUMBER(J329),I329&gt;0),1-J329/I329,"")</f>
        <v/>
      </c>
      <c r="L329" s="16" t="n">
        <v>0</v>
      </c>
      <c r="M329" s="15" t="n">
        <v>135000</v>
      </c>
      <c r="N329" s="16" t="n">
        <v>2001</v>
      </c>
      <c r="O329" s="10" t="inlineStr">
        <is>
          <t>1</t>
        </is>
      </c>
      <c r="P329" s="10" t="inlineStr">
        <is>
          <t>1</t>
        </is>
      </c>
      <c r="Q329" s="16" t="n">
        <v>220</v>
      </c>
      <c r="R329" s="16" t="n">
        <v>15</v>
      </c>
      <c r="S329" s="10" t="inlineStr">
        <is>
          <t>autre</t>
        </is>
      </c>
      <c r="T329" s="16" t="n">
        <v>2</v>
      </c>
      <c r="U329" s="10" t="n"/>
      <c r="V329" s="10" t="n"/>
      <c r="W329" s="10" t="inlineStr">
        <is>
          <t>Particulier</t>
        </is>
      </c>
      <c r="X329" s="10" t="inlineStr">
        <is>
          <t>Les Ponts-de-Cé</t>
        </is>
      </c>
      <c r="Y329" s="10" t="inlineStr">
        <is>
          <t>49130</t>
        </is>
      </c>
      <c r="Z329" s="10" t="inlineStr">
        <is>
          <t>Maine-et-Loire</t>
        </is>
      </c>
      <c r="AA329" s="10" t="inlineStr">
        <is>
          <t>Pays de la Loire</t>
        </is>
      </c>
      <c r="AB329" s="16" t="n"/>
      <c r="AC329" s="16" t="n"/>
      <c r="AD329" s="10" t="n"/>
      <c r="AE32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F329" s="10" t="inlineStr">
        <is>
          <t>1 : 1 ; 2 : 2 ; 7 : 7 ; 2001 : 2001 ; https://img.leboncoin.fr/api/v1/tenants/9a6387a1-6259-4f2c-a887-7e67f23dd4cb/domains/20bda58f-d650-462e-a72a-a5a7ecf2bf88/buckets/21d2b0bc-e54c-4b64-a30b-89127b18b785/images/profile/pictures/default/bda8c366-a0f4-5430-ac32-a40b239e49be?rule=pp-small : https://img.leboncoin.fr/api/v1/tenants/9a6387a1-6259-4f2c-a887-7e67f23dd4cb/domains/20bda58f-d650-462e-a72a-a5a7ecf2bf88/buckets/21d2b0bc-e54c-4b64-a30b-89127b18b785/images/profile/pictures/default/bda8c366-a0f4-5430-ac32-a40b239e49be?rule=pp-small ; Porsche : Porsche ; Boxster : Boxster ; PORSCHE : PORSCHE ; 135000 km : 135000 ; Essence : 1 ; Manuelle : 1 ; 06/2001 : 06/2001 ; Cabriolet : cabriolet ; Autre : autre ; 15 Cv : 15 ; 220 Ch : 220 ; Avec permis : avecpermis ; credit_card : credit_card ; false : false ; https://autoviza.fr/report/report?uid=799e43ef-a6d2-4153-9476-e0edeb7a7b9e : https://autoviza.fr/report/report?uid=799e43ef-a6d2-4153-9476-e0edeb7a7b9e ; true : true ; rating_score : 1 ; rating_count : 7 ; u_car_brand : PORSCHE ; u_car_model : Boxster ; vehicle_vsp : Avec permis ; vehicle_available_payment_methods : credit_card ; is_import : false ; vehicle_is_eligible_p2p : 2 ; vehicle_history_report_public_url : https://autoviza.fr/report/report?uid=799e43ef-a6d2-4153-9476-e0edeb7a7b9e ; licence_plate_available : true</t>
        </is>
      </c>
      <c r="AG329" s="19" t="inlineStr">
        <is>
          <t>Voir</t>
        </is>
      </c>
      <c r="AH329" s="10" t="inlineStr">
        <is>
          <t>3279539872</t>
        </is>
      </c>
    </row>
    <row r="330">
      <c r="A330" s="10" t="inlineStr">
        <is>
          <t>Porsche Boxster 986</t>
        </is>
      </c>
      <c r="B330" s="10" t="inlineStr">
        <is>
          <t>Porsche boxster 986</t>
        </is>
      </c>
      <c r="C330" s="10" t="inlineStr">
        <is>
          <t>En vente</t>
        </is>
      </c>
      <c r="D330" s="18" t="n">
        <v>46295</v>
      </c>
      <c r="E330" s="18" t="n">
        <v>46295</v>
      </c>
      <c r="F330" s="18" t="n">
        <v>46296</v>
      </c>
      <c r="G330" s="18" t="n"/>
      <c r="H330" s="17">
        <f>IF(OR(ISNUMBER(D330),ISNUMBER(E330)),IF(ISNUMBER(G330),G330,F330)-IF(ISNUMBER(D330),D330,E330),"")</f>
        <v/>
      </c>
      <c r="I330" s="12" t="n">
        <v>19900</v>
      </c>
      <c r="J330" s="12" t="n">
        <v>19900</v>
      </c>
      <c r="K330" s="13">
        <f>IF(AND(ISNUMBER(I330),ISNUMBER(J330),I330&gt;0),1-J330/I330,"")</f>
        <v/>
      </c>
      <c r="L330" s="16" t="n">
        <v>0</v>
      </c>
      <c r="M330" s="15" t="n">
        <v>127152</v>
      </c>
      <c r="N330" s="16" t="n">
        <v>2001</v>
      </c>
      <c r="O330" s="10" t="inlineStr">
        <is>
          <t>1</t>
        </is>
      </c>
      <c r="P330" s="10" t="inlineStr">
        <is>
          <t>1</t>
        </is>
      </c>
      <c r="Q330" s="16" t="n">
        <v>220</v>
      </c>
      <c r="R330" s="16" t="n">
        <v>15</v>
      </c>
      <c r="S330" s="10" t="inlineStr">
        <is>
          <t>noir</t>
        </is>
      </c>
      <c r="T330" s="16" t="n">
        <v>2</v>
      </c>
      <c r="U330" s="10" t="n"/>
      <c r="V330" s="10" t="n"/>
      <c r="W330" s="10" t="inlineStr">
        <is>
          <t>Particulier</t>
        </is>
      </c>
      <c r="X330" s="10" t="inlineStr">
        <is>
          <t>Crossac</t>
        </is>
      </c>
      <c r="Y330" s="10" t="inlineStr">
        <is>
          <t>44160</t>
        </is>
      </c>
      <c r="Z330" s="10" t="inlineStr">
        <is>
          <t>Loire-Atlantique</t>
        </is>
      </c>
      <c r="AA330" s="10" t="inlineStr">
        <is>
          <t>Pays de la Loire</t>
        </is>
      </c>
      <c r="AB330" s="16" t="n"/>
      <c r="AC330" s="16" t="n"/>
      <c r="AD330" s="10" t="n"/>
      <c r="AE330"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F330" s="10" t="inlineStr">
        <is>
          <t>1 : 1 ; 2 : 2 ; 2001 : 2001 ; 2027 : 2027 ; https://img.leboncoin.fr/api/v1/tenants/9a6387a1-6259-4f2c-a887-7e67f23dd4cb/domains/20bda58f-d650-462e-a72a-a5a7ecf2bf88/buckets/21d2b0bc-e54c-4b64-a30b-89127b18b785/images/profile/pictures/default/51d9e055-245a-545f-82a6-b16ef59c618d?rule=pp-small : https://img.leboncoin.fr/api/v1/tenants/9a6387a1-6259-4f2c-a887-7e67f23dd4cb/domains/20bda58f-d650-462e-a72a-a5a7ecf2bf88/buckets/21d2b0bc-e54c-4b64-a30b-89127b18b785/images/profile/pictures/default/51d9e055-245a-545f-82a6-b16ef59c618d?rule=pp-small ; Porsche : Porsche ; Boxster : Boxster ; PORSCHE : PORSCHE ; 127152 km : 127152 ; Essence : 1 ; Manuelle : 1 ; Oui : true ; 04/2001 : 04/2001 ; Cabriolet : cabriolet ; Noir : noir ; 15 Cv : 15 ; 220 Ch : 220 ; Avec permis : avecpermis ; credit_card : credit_card ; false : false ; https://autoviza.fr/report/report?uid=0cb37eed-6b75-4673-9c59-974b9f4ac529 : https://autoviza.fr/report/report?uid=0cb37eed-6b75-4673-9c59-974b9f4ac529 ; true : true ; u_car_brand : PORSCHE ; u_car_model : Boxster ; vehicle_technical_inspection_valid : Oui ; vehicle_technical_inspection_a : 2027 ; vehicle_vsp : Avec permis ; vehicle_available_payment_methods : credit_card ; is_import : false ; vehicle_is_eligible_p2p : 2 ; vehicle_history_report_public_url : https://autoviza.fr/report/report?uid=0cb37eed-6b75-4673-9c59-974b9f4ac529 ; licence_plate_available : true</t>
        </is>
      </c>
      <c r="AG330" s="19" t="inlineStr">
        <is>
          <t>Voir</t>
        </is>
      </c>
      <c r="AH330" s="10" t="inlineStr">
        <is>
          <t>3279820769</t>
        </is>
      </c>
    </row>
    <row r="331">
      <c r="A331" s="10" t="inlineStr">
        <is>
          <t>Porsche Boxster 987</t>
        </is>
      </c>
      <c r="B331" s="10" t="inlineStr">
        <is>
          <t>PORSCHE BOXSTER 987-1 2.7 i Cabriolet 240cv</t>
        </is>
      </c>
      <c r="C331" s="10" t="inlineStr">
        <is>
          <t>En vente</t>
        </is>
      </c>
      <c r="D331" s="18" t="n">
        <v>46280</v>
      </c>
      <c r="E331" s="18" t="n">
        <v>46280</v>
      </c>
      <c r="F331" s="18" t="n">
        <v>46296</v>
      </c>
      <c r="G331" s="18" t="n"/>
      <c r="H331" s="17">
        <f>IF(OR(ISNUMBER(D331),ISNUMBER(E331)),IF(ISNUMBER(G331),G331,F331)-IF(ISNUMBER(D331),D331,E331),"")</f>
        <v/>
      </c>
      <c r="I331" s="12" t="n">
        <v>24490</v>
      </c>
      <c r="J331" s="12" t="n">
        <v>24490</v>
      </c>
      <c r="K331" s="13">
        <f>IF(AND(ISNUMBER(I331),ISNUMBER(J331),I331&gt;0),1-J331/I331,"")</f>
        <v/>
      </c>
      <c r="L331" s="16" t="n">
        <v>0</v>
      </c>
      <c r="M331" s="15" t="n">
        <v>151000</v>
      </c>
      <c r="N331" s="16" t="n">
        <v>2005</v>
      </c>
      <c r="O331" s="10" t="inlineStr">
        <is>
          <t>1</t>
        </is>
      </c>
      <c r="P331" s="10" t="inlineStr">
        <is>
          <t>1</t>
        </is>
      </c>
      <c r="Q331" s="16" t="n">
        <v>240</v>
      </c>
      <c r="R331" s="16" t="n">
        <v>16</v>
      </c>
      <c r="S331" s="10" t="inlineStr">
        <is>
          <t>noir</t>
        </is>
      </c>
      <c r="T331" s="16" t="n">
        <v>2</v>
      </c>
      <c r="U331" s="10" t="n"/>
      <c r="V331" s="10" t="n"/>
      <c r="W331" s="10" t="inlineStr">
        <is>
          <t>Pro</t>
        </is>
      </c>
      <c r="X331" s="10" t="inlineStr">
        <is>
          <t>Rennes</t>
        </is>
      </c>
      <c r="Y331" s="10" t="inlineStr">
        <is>
          <t>35000</t>
        </is>
      </c>
      <c r="Z331" s="10" t="inlineStr">
        <is>
          <t>Ille-et-Vilaine</t>
        </is>
      </c>
      <c r="AA331" s="10" t="inlineStr">
        <is>
          <t>Bretagne</t>
        </is>
      </c>
      <c r="AB331" s="16" t="n"/>
      <c r="AC331" s="16" t="n"/>
      <c r="AD331" s="10" t="inlineStr">
        <is>
          <t>Oui</t>
        </is>
      </c>
      <c r="AE331" s="10" t="n"/>
      <c r="AF331" s="10" t="inlineStr">
        <is>
          <t>1 : 1 ; 2 : 2 ; 2005 : 2005 ; 25990 : 25990 ; 83028 : 83028 ; 835017 : 835017 ; Porsche : Porsche ; Boxster : Boxster ; PORSCHE : PORSCHE ; 151000 km : 151000 ; Essence : 1 ; Manuelle : 1 ; Base : PORSCHE_Boxster_Base ; Boxster 2.7 : Boxster 2.7 ; Non : false ; 04/2005 : 04/2005 ; Excellent état (proche du neuf) : excellent_condition ; Cabriolet : cabriolet ; Noir : noir ; 16 Cv : 16 ; 240 Ch : 240 ; Avec permis : avecpermis ; false : false ; true : true ; https://img.leboncoin.fr/api/v1/lbcpb1/images/05/98/01/059801098381856.jpg?rule=bo-thumb : https://img.leboncoin.fr/api/v1/lbcpb1/images/05/98/01/059801098381856.jpg?rule=bo-thumb ; csa automobiles : csa automobiles ; https://autoviza.fr/report/report?uid=208338bc-a8ad-4b55-9701-8ff61963e882 : https://autoviza.fr/report/report?uid=208338bc-a8ad-4b55-9701-8ff61963e882 ; visible : visible ; Non renseignée : non_renseignee ; activity_sector : 1 ; u_car_brand : PORSCHE ; u_car_model : Boxster ; u_car_finition : Base ; u_car_version : Boxster 2.7 ; vehicle_technical_inspection_valid : Non ; vehicle_damage : Excellent état (proche du neuf) ; vehicle_upholstery : Tout cuir ; vehicle_maintenance : Carnet d'entretien disponible, Factures disponibles, Véhicule non fumeur, Réparations utiles déjà faites ; vehicle_interior_specs : Climatisation, Jantes en alliage, Ordinateur de bord, Pare-brise chauffant, Phares anti-brouillard, Radio numérique DAB, Siège réglable en hauteur, Sièges chauffants, Sièges en cuir, Sièges sport, Sièges électriques, Suspension sport / adaptative, Système audio haut de gamme, Système de surveillance pression pneus (TPMS), Toit ouvrant / Toit panoramique, Volant réglable en hauteur, Volant réglable en profondeur ; vehicle_vsp : Avec permis ; car_contract : Non ; recent_used_vehicle : false ; has_visibility_option : true ; store_logo : https://img.leboncoin.fr/api/v1/lbcpb1/images/05/98/01/059801098381856.jpg?rule=bo-thumb ; store_name : csa automobiles ; online_store_id : 83028 ; vehicle_commercial_warranty : Non ; vehicle_manufacturer_warranty : Non ; is_import : false ; old_price : 25990 ; vehicle_history_report_public_url : https://autoviza.fr/report/report?uid=208338bc-a8ad-4b55-9701-8ff61963e882 ; vehicle_history_report_status : visible ; argus_object_id : 835017 ; spare_parts_availability : Non renseignée ; licence_plate_available : true</t>
        </is>
      </c>
      <c r="AG331" s="19" t="inlineStr">
        <is>
          <t>Voir</t>
        </is>
      </c>
      <c r="AH331" s="10" t="inlineStr">
        <is>
          <t>3128001937</t>
        </is>
      </c>
    </row>
    <row r="332">
      <c r="A332" s="10" t="inlineStr">
        <is>
          <t>Porsche Boxster 987</t>
        </is>
      </c>
      <c r="B332" s="10" t="inlineStr">
        <is>
          <t>Porsche BOXSTER (987) 3.4 S</t>
        </is>
      </c>
      <c r="C332" s="10" t="inlineStr">
        <is>
          <t>En vente</t>
        </is>
      </c>
      <c r="D332" s="18" t="n">
        <v>46055</v>
      </c>
      <c r="E332" s="18" t="n">
        <v>46055</v>
      </c>
      <c r="F332" s="18" t="n">
        <v>46296</v>
      </c>
      <c r="G332" s="18" t="n"/>
      <c r="H332" s="17">
        <f>IF(OR(ISNUMBER(D332),ISNUMBER(E332)),IF(ISNUMBER(G332),G332,F332)-IF(ISNUMBER(D332),D332,E332),"")</f>
        <v/>
      </c>
      <c r="I332" s="12" t="n">
        <v>29990</v>
      </c>
      <c r="J332" s="12" t="n">
        <v>29990</v>
      </c>
      <c r="K332" s="13">
        <f>IF(AND(ISNUMBER(I332),ISNUMBER(J332),I332&gt;0),1-J332/I332,"")</f>
        <v/>
      </c>
      <c r="L332" s="16" t="n">
        <v>0</v>
      </c>
      <c r="M332" s="15" t="n">
        <v>128000</v>
      </c>
      <c r="N332" s="16" t="n">
        <v>2007</v>
      </c>
      <c r="O332" s="10" t="inlineStr">
        <is>
          <t>1</t>
        </is>
      </c>
      <c r="P332" s="10" t="inlineStr">
        <is>
          <t>1</t>
        </is>
      </c>
      <c r="Q332" s="16" t="n">
        <v>295</v>
      </c>
      <c r="R332" s="16" t="n">
        <v>21</v>
      </c>
      <c r="S332" s="10" t="inlineStr">
        <is>
          <t>noir</t>
        </is>
      </c>
      <c r="T332" s="16" t="n">
        <v>2</v>
      </c>
      <c r="U332" s="10" t="n"/>
      <c r="V332" s="10" t="n"/>
      <c r="W332" s="10" t="inlineStr">
        <is>
          <t>Pro</t>
        </is>
      </c>
      <c r="X332" s="10" t="inlineStr">
        <is>
          <t>Ranville</t>
        </is>
      </c>
      <c r="Y332" s="10" t="inlineStr">
        <is>
          <t>14860</t>
        </is>
      </c>
      <c r="Z332" s="10" t="inlineStr">
        <is>
          <t>Calvados</t>
        </is>
      </c>
      <c r="AA332" s="10" t="inlineStr">
        <is>
          <t>Basse-Normandie</t>
        </is>
      </c>
      <c r="AB332" s="16" t="n"/>
      <c r="AC332" s="16" t="n"/>
      <c r="AD332" s="10" t="n"/>
      <c r="AE332" s="10" t="n"/>
      <c r="AF332" s="10" t="inlineStr">
        <is>
          <t>1 : 1 ; 2 : 2 ; 1717 : 1717 ; 2007 : 2007 ; 31990 : 31990 ; 87351 : 87351 ; 904766 : 904766 ; Porsche : Porsche ; Boxster : Boxster ; PORSCHE : PORSCHE ; 128000 km : 128000 ; Essence : 1 ; Manuelle : 1 ; S : PORSCHE_Boxster_S ; Boxster 3.4 S : Boxster 3.4 S ; 07/2007 : 07/2007 ; Cabriolet : cabriolet ; Noir : noir ; 21 Cv : 21 ; 295 Ch : 295 ; Avec permis : avecpermis ; false : false ; true : true ; https://img.leboncoin.fr/api/v1/lbcpb1/images/29/dc/27/29dc2737-dff8-4fe8-9224-7f8ae9ef7404?rule=bo-thumb : https://img.leboncoin.fr/api/v1/lbcpb1/images/29/dc/27/29dc2737-dff8-4fe8-9224-7f8ae9ef7404?rule=bo-thumb ; TyKi Auto : TyKi Auto ; https://autoviza.fr/report/report?uid=ae280f4e-9f50-45ee-a21b-0a61f98a3511 : https://autoviza.fr/report/report?uid=ae280f4e-9f50-45ee-a21b-0a61f98a3511 ; visible : visible ; Non renseignée : non_renseignee ; activity_sector : 1 ; u_car_brand : PORSCHE ; u_car_model : Boxster ; u_car_finition : S ; u_car_version : Boxster 3.4 S ; vehicle_vsp : Avec permis ; recent_used_vehicle : false ; has_visibility_option : true ; store_logo : https://img.leboncoin.fr/api/v1/lbcpb1/images/29/dc/27/29dc2737-dff8-4fe8-9224-7f8ae9ef7404?rule=bo-thumb ; store_name : TyKi Auto ; online_store_id : 87351 ; custom_ref : 1717 ; is_import : true ; old_price : 31990 ; vehicle_history_report_public_url : https://autoviza.fr/report/report?uid=ae280f4e-9f50-45ee-a21b-0a61f98a3511 ; vehicle_history_report_status : visible ; argus_object_id : 904766 ; spare_parts_availability : Non renseignée ; licence_plate_available : true</t>
        </is>
      </c>
      <c r="AG332" s="19" t="inlineStr">
        <is>
          <t>Voir</t>
        </is>
      </c>
      <c r="AH332" s="10" t="inlineStr">
        <is>
          <t>3138081600</t>
        </is>
      </c>
    </row>
    <row r="333">
      <c r="A333" s="10" t="inlineStr">
        <is>
          <t>Porsche Boxster 987</t>
        </is>
      </c>
      <c r="B333" s="10" t="inlineStr">
        <is>
          <t>Porsche BOXSTER (987) 3.2 S</t>
        </is>
      </c>
      <c r="C333" s="10" t="inlineStr">
        <is>
          <t>En vente</t>
        </is>
      </c>
      <c r="D333" s="18" t="n">
        <v>46259</v>
      </c>
      <c r="E333" s="18" t="n">
        <v>46259</v>
      </c>
      <c r="F333" s="18" t="n">
        <v>46296</v>
      </c>
      <c r="G333" s="18" t="n"/>
      <c r="H333" s="17">
        <f>IF(OR(ISNUMBER(D333),ISNUMBER(E333)),IF(ISNUMBER(G333),G333,F333)-IF(ISNUMBER(D333),D333,E333),"")</f>
        <v/>
      </c>
      <c r="I333" s="12" t="n">
        <v>37900</v>
      </c>
      <c r="J333" s="12" t="n">
        <v>37900</v>
      </c>
      <c r="K333" s="13">
        <f>IF(AND(ISNUMBER(I333),ISNUMBER(J333),I333&gt;0),1-J333/I333,"")</f>
        <v/>
      </c>
      <c r="L333" s="16" t="n">
        <v>0</v>
      </c>
      <c r="M333" s="15" t="n">
        <v>86340</v>
      </c>
      <c r="N333" s="16" t="n">
        <v>2006</v>
      </c>
      <c r="O333" s="10" t="inlineStr">
        <is>
          <t>1</t>
        </is>
      </c>
      <c r="P333" s="10" t="inlineStr">
        <is>
          <t>1</t>
        </is>
      </c>
      <c r="Q333" s="16" t="n">
        <v>280</v>
      </c>
      <c r="R333" s="16" t="n">
        <v>19</v>
      </c>
      <c r="S333" s="10" t="inlineStr">
        <is>
          <t>noir</t>
        </is>
      </c>
      <c r="T333" s="16" t="n"/>
      <c r="U333" s="10" t="n"/>
      <c r="V333" s="10" t="n"/>
      <c r="W333" s="10" t="inlineStr">
        <is>
          <t>Pro</t>
        </is>
      </c>
      <c r="X333" s="10" t="inlineStr">
        <is>
          <t>Vendenheim</t>
        </is>
      </c>
      <c r="Y333" s="10" t="inlineStr">
        <is>
          <t>67550</t>
        </is>
      </c>
      <c r="Z333" s="10" t="inlineStr">
        <is>
          <t>Bas-Rhin</t>
        </is>
      </c>
      <c r="AA333" s="10" t="inlineStr">
        <is>
          <t>Alsace</t>
        </is>
      </c>
      <c r="AB333" s="16" t="n"/>
      <c r="AC333" s="16" t="n"/>
      <c r="AD333" s="10" t="n"/>
      <c r="AE333" s="10" t="n"/>
      <c r="AF333" s="10" t="inlineStr">
        <is>
          <t>1 : 1 ; 2 : 2 ; 1256 : 1256 ; 2006 : 2006 ; 2480 : 2480 ; 835018 : 835018 ; Porsche : Porsche ; Boxster : Boxster ; PORSCHE : PORSCHE ; 86340 km : 86340 ; Essence : 1 ; Manuelle : 1 ; S : PORSCHE_Boxster_S ; Boxster 3.2 S : Boxster 3.2 S ; 05/2006 : 05/2006 ; Cabriolet : cabriolet ; Noir : noir ; 19 Cv : 19 ; 280 Ch : 280 ; Avec permis : avecpermis ; false : false ; https://img.leboncoin.fr/api/v1/lbcpb1/images/0f/75/51/0f755154-9d69-4258-96de-542d1867f1eb?rule=bo-thumb : https://img.leboncoin.fr/api/v1/lbcpb1/images/0f/75/51/0f755154-9d69-4258-96de-542d1867f1eb?rule=bo-thumb ; FIRST AUTOMOBILE : FIRST AUTOMOBILE ; true : true ; https://autoviza.fr/report/report?uid=30451328-39c2-48e3-b27f-bfa5581a9594 : https://autoviza.fr/report/report?uid=30451328-39c2-48e3-b27f-bfa5581a9594 ; visible : visible ; Non renseignée : non_renseignee ; activity_sector : 1 ; u_car_brand : PORSCHE ; u_car_model : Boxster ; u_car_finition : S ; u_car_version : Boxster 3.2 S ; vehicle_vsp : Avec permis ; recent_used_vehicle : false ; has_visibility_option : false ; store_logo : https://img.leboncoin.fr/api/v1/lbcpb1/images/0f/75/51/0f755154-9d69-4258-96de-542d1867f1eb?rule=bo-thumb ; store_name : FIRST AUTOMOBILE ; online_store_id : 2480 ; custom_ref : 1256 ; is_import : true ; vehicle_history_report_public_url : https://autoviza.fr/report/report?uid=30451328-39c2-48e3-b27f-bfa5581a9594 ; vehicle_history_report_status : visible ; argus_object_id : 835018 ; spare_parts_availability : Non renseignée ; licence_plate_available : true</t>
        </is>
      </c>
      <c r="AG333" s="19" t="inlineStr">
        <is>
          <t>Voir</t>
        </is>
      </c>
      <c r="AH333" s="10" t="inlineStr">
        <is>
          <t>3192502697</t>
        </is>
      </c>
    </row>
    <row r="334">
      <c r="A334" s="10" t="inlineStr">
        <is>
          <t>Porsche Boxster 987</t>
        </is>
      </c>
      <c r="B334" s="10" t="inlineStr">
        <is>
          <t>Porsche BOXSTER (987) 3.4 S</t>
        </is>
      </c>
      <c r="C334" s="10" t="inlineStr">
        <is>
          <t>En vente</t>
        </is>
      </c>
      <c r="D334" s="18" t="n">
        <v>46262</v>
      </c>
      <c r="E334" s="18" t="n">
        <v>46262</v>
      </c>
      <c r="F334" s="18" t="n">
        <v>46296</v>
      </c>
      <c r="G334" s="18" t="n"/>
      <c r="H334" s="17">
        <f>IF(OR(ISNUMBER(D334),ISNUMBER(E334)),IF(ISNUMBER(G334),G334,F334)-IF(ISNUMBER(D334),D334,E334),"")</f>
        <v/>
      </c>
      <c r="I334" s="12" t="n">
        <v>29990</v>
      </c>
      <c r="J334" s="12" t="n">
        <v>29990</v>
      </c>
      <c r="K334" s="13">
        <f>IF(AND(ISNUMBER(I334),ISNUMBER(J334),I334&gt;0),1-J334/I334,"")</f>
        <v/>
      </c>
      <c r="L334" s="16" t="n">
        <v>0</v>
      </c>
      <c r="M334" s="15" t="n">
        <v>110000</v>
      </c>
      <c r="N334" s="16" t="n">
        <v>2008</v>
      </c>
      <c r="O334" s="10" t="inlineStr">
        <is>
          <t>1</t>
        </is>
      </c>
      <c r="P334" s="10" t="inlineStr">
        <is>
          <t>1</t>
        </is>
      </c>
      <c r="Q334" s="16" t="n">
        <v>295</v>
      </c>
      <c r="R334" s="16" t="n"/>
      <c r="S334" s="10" t="inlineStr">
        <is>
          <t>noir</t>
        </is>
      </c>
      <c r="T334" s="16" t="n"/>
      <c r="U334" s="10" t="n"/>
      <c r="V334" s="10" t="inlineStr">
        <is>
          <t>2</t>
        </is>
      </c>
      <c r="W334" s="10" t="inlineStr">
        <is>
          <t>Pro</t>
        </is>
      </c>
      <c r="X334" s="10" t="inlineStr">
        <is>
          <t>Allonzier-la-Caille</t>
        </is>
      </c>
      <c r="Y334" s="10" t="inlineStr">
        <is>
          <t>74350</t>
        </is>
      </c>
      <c r="Z334" s="10" t="inlineStr">
        <is>
          <t>Haute-Savoie</t>
        </is>
      </c>
      <c r="AA334" s="10" t="inlineStr">
        <is>
          <t>Rhône-Alpes</t>
        </is>
      </c>
      <c r="AB334" s="16" t="n"/>
      <c r="AC334" s="16" t="n"/>
      <c r="AD334" s="10" t="n"/>
      <c r="AE334" s="10" t="n"/>
      <c r="AF334" s="10" t="inlineStr">
        <is>
          <t>1 : 1 ; 2 : 2 ; 46 : 46 ; 2008 : 2008 ; 904766 : 904766 ; 7035415 : 7035415 ; Porsche : Porsche ; Boxster : Boxster ; PORSCHE : PORSCHE ; 110000 km : 110000 ; Essence : 1 ; Manuelle : 1 ; S : PORSCHE_Boxster_S ; Boxster 3.4 S : Boxster 3.4 S ; 05/2008 : 05/2008 ; Cabriolet : cabriolet ; Noir : noir ; 295 Ch : 295 ; Avec permis : avecpermis ; false : false ; https://img.leboncoin.fr/api/v1/lbcpb1/images/a6/3e/a9/a63ea97a-e8ec-4313-980b-4d2fb0b443b9?rule=bo-thumb : https://img.leboncoin.fr/api/v1/lbcpb1/images/a6/3e/a9/a63ea97a-e8ec-4313-980b-4d2fb0b443b9?rule=bo-thumb ; SVL CAR'S : SVL CAR'S ; true : true ; Non renseignée : non_renseignee ; activity_sector : 1 ; u_car_brand : PORSCHE ; u_car_model : Boxster ; u_car_finition : S ; u_car_version : Boxster 3.4 S ; vehicle_vsp : Avec permis ; recent_used_vehicle : false ; has_visibility_option : false ; store_logo : https://img.leboncoin.fr/api/v1/lbcpb1/images/a6/3e/a9/a63ea97a-e8ec-4313-980b-4d2fb0b443b9?rule=bo-thumb ; store_name : SVL CAR'S ; online_store_id : 7035415 ; custom_ref : 46 ; is_import : true ; argus_object_id : 904766 ; spare_parts_availability : Non renseignée</t>
        </is>
      </c>
      <c r="AG334" s="19" t="inlineStr">
        <is>
          <t>Voir</t>
        </is>
      </c>
      <c r="AH334" s="10" t="inlineStr">
        <is>
          <t>3194330539</t>
        </is>
      </c>
    </row>
    <row r="335">
      <c r="A335" s="10" t="inlineStr">
        <is>
          <t>Porsche Boxster 987</t>
        </is>
      </c>
      <c r="B335" s="10" t="inlineStr">
        <is>
          <t>Porsche Boxster S (987) 3.4 320 Black Edition</t>
        </is>
      </c>
      <c r="C335" s="10" t="inlineStr">
        <is>
          <t>En vente</t>
        </is>
      </c>
      <c r="D335" s="18" t="n">
        <v>46268</v>
      </c>
      <c r="E335" s="18" t="n">
        <v>46268</v>
      </c>
      <c r="F335" s="18" t="n">
        <v>46296</v>
      </c>
      <c r="G335" s="18" t="n"/>
      <c r="H335" s="17">
        <f>IF(OR(ISNUMBER(D335),ISNUMBER(E335)),IF(ISNUMBER(G335),G335,F335)-IF(ISNUMBER(D335),D335,E335),"")</f>
        <v/>
      </c>
      <c r="I335" s="12" t="n">
        <v>45990</v>
      </c>
      <c r="J335" s="12" t="n">
        <v>45990</v>
      </c>
      <c r="K335" s="13">
        <f>IF(AND(ISNUMBER(I335),ISNUMBER(J335),I335&gt;0),1-J335/I335,"")</f>
        <v/>
      </c>
      <c r="L335" s="16" t="n">
        <v>0</v>
      </c>
      <c r="M335" s="15" t="n">
        <v>89317</v>
      </c>
      <c r="N335" s="16" t="n">
        <v>2011</v>
      </c>
      <c r="O335" s="10" t="inlineStr">
        <is>
          <t>1</t>
        </is>
      </c>
      <c r="P335" s="10" t="inlineStr">
        <is>
          <t>1</t>
        </is>
      </c>
      <c r="Q335" s="16" t="n">
        <v>320</v>
      </c>
      <c r="R335" s="16" t="n">
        <v>22</v>
      </c>
      <c r="S335" s="10" t="inlineStr">
        <is>
          <t>noir</t>
        </is>
      </c>
      <c r="T335" s="16" t="n">
        <v>3</v>
      </c>
      <c r="U335" s="10" t="n"/>
      <c r="V335" s="10" t="inlineStr">
        <is>
          <t>1</t>
        </is>
      </c>
      <c r="W335" s="10" t="inlineStr">
        <is>
          <t>Pro</t>
        </is>
      </c>
      <c r="X335" s="10" t="inlineStr">
        <is>
          <t>Grenoble</t>
        </is>
      </c>
      <c r="Y335" s="10" t="inlineStr">
        <is>
          <t>38000</t>
        </is>
      </c>
      <c r="Z335" s="10" t="inlineStr">
        <is>
          <t>Isère</t>
        </is>
      </c>
      <c r="AA335" s="10" t="inlineStr">
        <is>
          <t>Rhône-Alpes</t>
        </is>
      </c>
      <c r="AB335" s="16" t="n"/>
      <c r="AC335" s="16" t="n"/>
      <c r="AD335" s="10" t="inlineStr">
        <is>
          <t>Oui</t>
        </is>
      </c>
      <c r="AE335" s="10" t="n"/>
      <c r="AF335" s="10" t="inlineStr">
        <is>
          <t>1 : 1 ; 2 : 2 ; 3 : 3 ; 2011 : 2011 ; 46990 : 46990 ; 83458 : 83458 ; 1050310 : 1050310 ; Porsche : Porsche ; Boxster : Boxster ; PORSCHE : PORSCHE ; 89317 km : 89317 ; Essence : 1 ; Manuelle : 1 ; S Black Edition : PORSCHE_Boxster_S Black Edition ; Boxster 3.4 S Black Edition : Boxster 3.4 S Black Edition ; 05/2011 : 05/2011 ; Excellent état (proche du neuf) : excellent_condition ; Cabriolet : cabriolet ; Noir : noir ; 22 Cv : 22 ; 320 Ch : 320 ; Avec permis : avecpermis ; false : false ; https://img.leboncoin.fr/api/v1/lbcpb1/images/90/97/0c/90970c60-e02c-494f-8d93-38cd9523ed98?rule=bo-thumb : https://img.leboncoin.fr/api/v1/lbcpb1/images/90/97/0c/90970c60-e02c-494f-8d93-38cd9523ed98?rule=bo-thumb ; CapCar : CapCar ; r0103592 : r0103592 ; true : true ; https://autoviza.fr/report/report?uid=cb9878e5-57f5-4fbc-a565-c04a52b69a45 : https://autoviza.fr/report/report?uid=cb9878e5-57f5-4fbc-a565-c04a52b69a45 ; visible : visible ; Non renseignée : non_renseignee ; activity_sector : 1 ; u_car_brand : PORSCHE ; u_car_model : Boxster ; u_car_finition : S Black Edition ; u_car_version : Boxster 3.4 S Black Edition ; vehicle_damage : Excellent état (proche du neuf) ; vehicle_upholstery : Tout cuir ; vehicle_interior_specs : 4 roues motrices, Aide au stationnement, Bluetooth, Jantes en alliage, Régulateur de vitesse, Sièges chauffants, Vitres électriques arrières ; vehicle_vsp : Avec permis ; recent_used_vehicle : false ; has_visibility_option : false ; store_logo : https://img.leboncoin.fr/api/v1/lbcpb1/images/90/97/0c/90970c60-e02c-494f-8d93-38cd9523ed98?rule=bo-thumb ; store_name : CapCar ; online_store_id : 83458 ; custom_ref : r0103592 ; is_import : true ; old_price : 46990 ; vehicle_history_report_public_url : https://autoviza.fr/report/report?uid=cb9878e5-57f5-4fbc-a565-c04a52b69a45 ; vehicle_history_report_status : visible ; argus_object_id : 1050310 ; spare_parts_availability : Non renseignée ; licence_plate_available : true</t>
        </is>
      </c>
      <c r="AG335" s="19" t="inlineStr">
        <is>
          <t>Voir</t>
        </is>
      </c>
      <c r="AH335" s="10" t="inlineStr">
        <is>
          <t>3196043714</t>
        </is>
      </c>
    </row>
    <row r="336">
      <c r="A336" s="10" t="inlineStr">
        <is>
          <t>Porsche Boxster 987</t>
        </is>
      </c>
      <c r="B336" s="10" t="inlineStr">
        <is>
          <t>Porche Boxster 987 2,7l 240ch</t>
        </is>
      </c>
      <c r="C336" s="10" t="inlineStr">
        <is>
          <t>En vente</t>
        </is>
      </c>
      <c r="D336" s="18" t="n">
        <v>46293</v>
      </c>
      <c r="E336" s="18" t="n">
        <v>46293</v>
      </c>
      <c r="F336" s="18" t="n">
        <v>46296</v>
      </c>
      <c r="G336" s="18" t="n"/>
      <c r="H336" s="17">
        <f>IF(OR(ISNUMBER(D336),ISNUMBER(E336)),IF(ISNUMBER(G336),G336,F336)-IF(ISNUMBER(D336),D336,E336),"")</f>
        <v/>
      </c>
      <c r="I336" s="12" t="n">
        <v>24000</v>
      </c>
      <c r="J336" s="12" t="n">
        <v>24000</v>
      </c>
      <c r="K336" s="13">
        <f>IF(AND(ISNUMBER(I336),ISNUMBER(J336),I336&gt;0),1-J336/I336,"")</f>
        <v/>
      </c>
      <c r="L336" s="16" t="n">
        <v>0</v>
      </c>
      <c r="M336" s="15" t="n">
        <v>165800</v>
      </c>
      <c r="N336" s="16" t="n">
        <v>2006</v>
      </c>
      <c r="O336" s="10" t="inlineStr">
        <is>
          <t>1</t>
        </is>
      </c>
      <c r="P336" s="10" t="inlineStr">
        <is>
          <t>1</t>
        </is>
      </c>
      <c r="Q336" s="16" t="n">
        <v>240</v>
      </c>
      <c r="R336" s="16" t="n">
        <v>16</v>
      </c>
      <c r="S336" s="10" t="inlineStr">
        <is>
          <t>blanc</t>
        </is>
      </c>
      <c r="T336" s="16" t="n">
        <v>2</v>
      </c>
      <c r="U336" s="10" t="n"/>
      <c r="V336" s="10" t="inlineStr">
        <is>
          <t>2</t>
        </is>
      </c>
      <c r="W336" s="10" t="inlineStr">
        <is>
          <t>Particulier</t>
        </is>
      </c>
      <c r="X336" s="10" t="inlineStr">
        <is>
          <t>Dieulefit</t>
        </is>
      </c>
      <c r="Y336" s="10" t="inlineStr">
        <is>
          <t>26220</t>
        </is>
      </c>
      <c r="Z336" s="10" t="inlineStr">
        <is>
          <t>Drôme</t>
        </is>
      </c>
      <c r="AA336" s="10" t="inlineStr">
        <is>
          <t>Rhône-Alpes</t>
        </is>
      </c>
      <c r="AB336" s="16" t="n"/>
      <c r="AC336" s="16" t="n"/>
      <c r="AD336" s="10" t="n"/>
      <c r="AE336" s="10" t="n"/>
      <c r="AF336" s="10" t="inlineStr">
        <is>
          <t>2 : 2 ; 2006 : 2006 ; 24500 : 24500 ; 835017 : 835017 ; https://img.leboncoin.fr/api/v1/tenants/9a6387a1-6259-4f2c-a887-7e67f23dd4cb/domains/20bda58f-d650-462e-a72a-a5a7ecf2bf88/buckets/21d2b0bc-e54c-4b64-a30b-89127b18b785/images/profile/pictures/default/d59d849e-a6a0-572c-9f2c-6ed0da05081b?rule=pp-small : https://img.leboncoin.fr/api/v1/tenants/9a6387a1-6259-4f2c-a887-7e67f23dd4cb/domains/20bda58f-d650-462e-a72a-a5a7ecf2bf88/buckets/21d2b0bc-e54c-4b64-a30b-89127b18b785/images/profile/pictures/default/d59d849e-a6a0-572c-9f2c-6ed0da05081b?rule=pp-small ; Porsche : Porsche ; Boxster : Boxster ; PORSCHE : PORSCHE ; 165800 km : 165800 ; Essence : 1 ; Manuelle : 1 ; Base : PORSCHE_Boxster_Base ; Base_Boxster 2.7 : Base_Boxster 2.7 ; 05/2006 : 05/2006 ; Bon état général : good_overall_condition ; Cabriolet : cabriolet ; Blanc : blanc ; 16 Cv : 16 ; 240 Ch : 240 ; Avec permis : avecpermis ; false : false ; https://autoviza.fr/report/report?uid=a0a2fbdb-9a44-48e4-a6ab-0ea7c81b9434 : https://autoviza.fr/report/report?uid=a0a2fbdb-9a44-48e4-a6ab-0ea7c81b9434 ; true : true ; u_car_brand : PORSCHE ; u_car_model : Boxster ; u_car_finition : Base ; u_car_version : Base_Boxster 2.7 ; vehicle_damage : Bon état général ; vehicle_upholstery : Tout cuir ; vehicle_interior_specs : Alarme antivol, Bluetooth, Climatisation, Coffre à ouverture électrique, Jantes en alliage, Phares anti-brouillard, Phares LED / Xenon, Régulateur de vitesse, Sièges chauffants, Sièges sport, Système audio haut de gamme ; vehicle_vsp : Avec permis ; is_import : false ; old_price : 24500 ; vehicle_is_eligible_p2p : 2 ; vehicle_history_report_public_url : https://autoviza.fr/report/report?uid=a0a2fbdb-9a44-48e4-a6ab-0ea7c81b9434 ; argus_object_id : 835017 ; licence_plate_available : true</t>
        </is>
      </c>
      <c r="AG336" s="19" t="inlineStr">
        <is>
          <t>Voir</t>
        </is>
      </c>
      <c r="AH336" s="10" t="inlineStr">
        <is>
          <t>3206698877</t>
        </is>
      </c>
    </row>
    <row r="337">
      <c r="A337" s="10" t="inlineStr">
        <is>
          <t>Porsche Boxster 987</t>
        </is>
      </c>
      <c r="B337" s="10" t="inlineStr">
        <is>
          <t>Porsche BOXSTER S 987 PDK BLACK EDITION</t>
        </is>
      </c>
      <c r="C337" s="10" t="inlineStr">
        <is>
          <t>En vente</t>
        </is>
      </c>
      <c r="D337" s="18" t="n">
        <v>46261</v>
      </c>
      <c r="E337" s="18" t="n">
        <v>46261</v>
      </c>
      <c r="F337" s="18" t="n">
        <v>46296</v>
      </c>
      <c r="G337" s="18" t="n"/>
      <c r="H337" s="17">
        <f>IF(OR(ISNUMBER(D337),ISNUMBER(E337)),IF(ISNUMBER(G337),G337,F337)-IF(ISNUMBER(D337),D337,E337),"")</f>
        <v/>
      </c>
      <c r="I337" s="12" t="n">
        <v>44990</v>
      </c>
      <c r="J337" s="12" t="n">
        <v>44990</v>
      </c>
      <c r="K337" s="13">
        <f>IF(AND(ISNUMBER(I337),ISNUMBER(J337),I337&gt;0),1-J337/I337,"")</f>
        <v/>
      </c>
      <c r="L337" s="16" t="n">
        <v>0</v>
      </c>
      <c r="M337" s="15" t="n">
        <v>94600</v>
      </c>
      <c r="N337" s="16" t="n">
        <v>2011</v>
      </c>
      <c r="O337" s="10" t="inlineStr">
        <is>
          <t>1</t>
        </is>
      </c>
      <c r="P337" s="10" t="inlineStr">
        <is>
          <t>2</t>
        </is>
      </c>
      <c r="Q337" s="16" t="n">
        <v>320</v>
      </c>
      <c r="R337" s="16" t="n">
        <v>22</v>
      </c>
      <c r="S337" s="10" t="inlineStr">
        <is>
          <t>noir</t>
        </is>
      </c>
      <c r="T337" s="16" t="n">
        <v>2</v>
      </c>
      <c r="U337" s="10" t="n"/>
      <c r="V337" s="10" t="inlineStr">
        <is>
          <t>1</t>
        </is>
      </c>
      <c r="W337" s="10" t="inlineStr">
        <is>
          <t>Pro</t>
        </is>
      </c>
      <c r="X337" s="10" t="inlineStr">
        <is>
          <t>Haguenau</t>
        </is>
      </c>
      <c r="Y337" s="10" t="inlineStr">
        <is>
          <t>67500</t>
        </is>
      </c>
      <c r="Z337" s="10" t="inlineStr">
        <is>
          <t>Bas-Rhin</t>
        </is>
      </c>
      <c r="AA337" s="10" t="inlineStr">
        <is>
          <t>Alsace</t>
        </is>
      </c>
      <c r="AB337" s="16" t="n"/>
      <c r="AC337" s="16" t="n"/>
      <c r="AD337" s="10" t="inlineStr">
        <is>
          <t>Oui</t>
        </is>
      </c>
      <c r="AE337" s="10" t="n"/>
      <c r="AF337" s="10" t="inlineStr">
        <is>
          <t>1 : 1 ; 2 : 2 ; 2011 : 2011 ; 2028 : 2028 ; 34392 : 34392 ; 46990 : 46990 ; 1050311 : 1050311 ; Porsche : Porsche ; Boxster : Boxster ; PORSCHE : PORSCHE ; 94600 km : 94600 ; Essence : 1 ; Automatique : 2 ; S Black Edition : PORSCHE_Boxster_S Black Edition ; Boxster 3.4 S Black Edition PDK : Boxster 3.4 S Black Edition PDK ; Oui : true ; 04/2011 : 04/2011 ; Excellent état (proche du neuf) : excellent_condition ; Cabriolet : cabriolet ; Noir : noir ; 22 Cv : 22 ; 320 Ch : 320 ; Avec permis : avecpermis ; Non : 1 ; false : false ; true : true ; https://img.leboncoin.fr/api/v1/lbcpb1/images/19/88/5e/19885e17-c4f4-524d-b001-fbbd8e0b41b5?rule=bo-thumb : https://img.leboncoin.fr/api/v1/lbcpb1/images/19/88/5e/19885e17-c4f4-524d-b001-fbbd8e0b41b5?rule=bo-thumb ; EST AUTO IMPORT : EST AUTO IMPORT ; https://autoviza.fr/report/report?uid=98c2f9a9-2303-4245-9749-8508c3c00912 : https://autoviza.fr/report/report?uid=98c2f9a9-2303-4245-9749-8508c3c00912 ; visible : visible ; Non renseignée : non_renseignee ; activity_sector : 1 ; u_car_brand : PORSCHE ; u_car_model : Boxster ; u_car_finition : S Black Edition ; u_car_version : Boxster 3.4 S Black Edition PDK ; vehicle_technical_inspection_valid : Oui ; vehicle_technical_inspection_a : 2028 ; vehicle_damage : Excellent état (proche du neuf) ; vehicle_upholstery : Tout cuir ; vehicle_maintenance : Carnet d'entretien disponible ; vehicle_interior_specs : Alarme antivol, Allumage automatique des phares, Bluetooth, Climatisation, Jantes en alliage, Ordinateur de bord, Phares LED / Xenon, Régulateur de vitesse, Sièges chauffants, Sièges sport, Système de navigation ; vehicle_vsp : Avec permis ; car_contract : Non ; recent_used_vehicle : false ; has_visibility_option : true ; store_logo : https://img.leboncoin.fr/api/v1/lbcpb1/images/19/88/5e/19885e17-c4f4-524d-b001-fbbd8e0b41b5?rule=bo-thumb ; store_name : EST AUTO IMPORT ; online_store_id : 34392 ; vehicle_commercial_warranty : Non ; vehicle_manufacturer_warranty : Non ; is_import : false ; old_price : 46990 ; vehicle_history_report_public_url : https://autoviza.fr/report/report?uid=98c2f9a9-2303-4245-9749-8508c3c00912 ; vehicle_history_report_status : visible ; argus_object_id : 1050311 ; spare_parts_availability : Non renseignée ; licence_plate_available : true</t>
        </is>
      </c>
      <c r="AG337" s="19" t="inlineStr">
        <is>
          <t>Voir</t>
        </is>
      </c>
      <c r="AH337" s="10" t="inlineStr">
        <is>
          <t>3213424345</t>
        </is>
      </c>
    </row>
    <row r="338">
      <c r="A338" s="10" t="inlineStr">
        <is>
          <t>Porsche Boxster 987</t>
        </is>
      </c>
      <c r="B338" s="10" t="inlineStr">
        <is>
          <t>Porsche BOXSTER (987) 3.2 S ENTRETIEN COMPLET</t>
        </is>
      </c>
      <c r="C338" s="10" t="inlineStr">
        <is>
          <t>En vente</t>
        </is>
      </c>
      <c r="D338" s="18" t="n">
        <v>46294</v>
      </c>
      <c r="E338" s="18" t="n">
        <v>46294</v>
      </c>
      <c r="F338" s="18" t="n">
        <v>46296</v>
      </c>
      <c r="G338" s="18" t="n"/>
      <c r="H338" s="17">
        <f>IF(OR(ISNUMBER(D338),ISNUMBER(E338)),IF(ISNUMBER(G338),G338,F338)-IF(ISNUMBER(D338),D338,E338),"")</f>
        <v/>
      </c>
      <c r="I338" s="12" t="n">
        <v>28490</v>
      </c>
      <c r="J338" s="12" t="n">
        <v>28490</v>
      </c>
      <c r="K338" s="13">
        <f>IF(AND(ISNUMBER(I338),ISNUMBER(J338),I338&gt;0),1-J338/I338,"")</f>
        <v/>
      </c>
      <c r="L338" s="16" t="n">
        <v>0</v>
      </c>
      <c r="M338" s="15" t="n">
        <v>138000</v>
      </c>
      <c r="N338" s="16" t="n">
        <v>2005</v>
      </c>
      <c r="O338" s="10" t="inlineStr">
        <is>
          <t>1</t>
        </is>
      </c>
      <c r="P338" s="10" t="inlineStr">
        <is>
          <t>1</t>
        </is>
      </c>
      <c r="Q338" s="16" t="n">
        <v>280</v>
      </c>
      <c r="R338" s="16" t="n">
        <v>19</v>
      </c>
      <c r="S338" s="10" t="inlineStr">
        <is>
          <t>bleu</t>
        </is>
      </c>
      <c r="T338" s="16" t="n"/>
      <c r="U338" s="10" t="n"/>
      <c r="V338" s="10" t="inlineStr">
        <is>
          <t>3</t>
        </is>
      </c>
      <c r="W338" s="10" t="inlineStr">
        <is>
          <t>Pro</t>
        </is>
      </c>
      <c r="X338" s="10" t="inlineStr">
        <is>
          <t>Bazouges Cré sur Loir</t>
        </is>
      </c>
      <c r="Y338" s="10" t="inlineStr">
        <is>
          <t>72200</t>
        </is>
      </c>
      <c r="Z338" s="10" t="inlineStr">
        <is>
          <t>Sarthe</t>
        </is>
      </c>
      <c r="AA338" s="10" t="inlineStr">
        <is>
          <t>Pays de la Loire</t>
        </is>
      </c>
      <c r="AB338" s="16" t="n"/>
      <c r="AC338" s="16" t="n"/>
      <c r="AD338" s="10" t="n"/>
      <c r="AE338" s="10" t="n"/>
      <c r="AF338" s="10" t="inlineStr">
        <is>
          <t>1 : 1 ; 2 : 2 ; 3 : 3 ; 207 : 207 ; 2005 : 2005 ; 45619 : 45619 ; 835018 : 835018 ; Porsche : Porsche ; Boxster : Boxster ; PORSCHE : PORSCHE ; 138000 km : 138000 ; Essence : 1 ; Manuelle : 1 ; S : PORSCHE_Boxster_S ; Boxster 3.2 S : Boxster 3.2 S ; 04/2005 : 04/2005 ; Cabriolet : cabriolet ; Bleu : bleu ; 19 Cv : 19 ; 280 Ch : 280 ; Avec permis : avecpermis ; false : false ; true : true ; https://img.leboncoin.fr/api/v1/lbcpb1/images/b7/24/71/b72471d7-6032-4e5d-bf80-941acb000f4c?rule=bo-thumb : https://img.leboncoin.fr/api/v1/lbcpb1/images/b7/24/71/b72471d7-6032-4e5d-bf80-941acb000f4c?rule=bo-thumb ; REMARS AUTO OUEST : REMARS AUTO OUEST ; https://autoviza.fr/report/report?uid=bfd77814-c600-492e-9ebb-33fb5b8cd3cd : https://autoviza.fr/report/report?uid=bfd77814-c600-492e-9ebb-33fb5b8cd3cd ; visible : visible ; Non renseignée : non_renseignee ; activity_sector : 1 ; u_car_brand : PORSCHE ; u_car_model : Boxster ; u_car_finition : S ; u_car_version : Boxster 3.2 S ; vehicle_vsp : Avec permis ; recent_used_vehicle : false ; has_visibility_option : true ; store_logo : https://img.leboncoin.fr/api/v1/lbcpb1/images/b7/24/71/b72471d7-6032-4e5d-bf80-941acb000f4c?rule=bo-thumb ; store_name : REMARS AUTO OUEST ; online_store_id : 45619 ; custom_ref : 207 ; is_import : true ; vehicle_history_report_public_url : https://autoviza.fr/report/report?uid=bfd77814-c600-492e-9ebb-33fb5b8cd3cd ; vehicle_history_report_status : visible ; argus_object_id : 835018 ; spare_parts_availability : Non renseignée ; licence_plate_available : true</t>
        </is>
      </c>
      <c r="AG338" s="19" t="inlineStr">
        <is>
          <t>Voir</t>
        </is>
      </c>
      <c r="AH338" s="10" t="inlineStr">
        <is>
          <t>3213662086</t>
        </is>
      </c>
    </row>
    <row r="339">
      <c r="A339" s="10" t="inlineStr">
        <is>
          <t>Porsche Boxster 987</t>
        </is>
      </c>
      <c r="B339" s="10" t="inlineStr">
        <is>
          <t>Porsche Boxster 987</t>
        </is>
      </c>
      <c r="C339" s="10" t="inlineStr">
        <is>
          <t>En vente</t>
        </is>
      </c>
      <c r="D339" s="18" t="n">
        <v>46262</v>
      </c>
      <c r="E339" s="18" t="n">
        <v>46262</v>
      </c>
      <c r="F339" s="18" t="n">
        <v>46296</v>
      </c>
      <c r="G339" s="18" t="n"/>
      <c r="H339" s="17">
        <f>IF(OR(ISNUMBER(D339),ISNUMBER(E339)),IF(ISNUMBER(G339),G339,F339)-IF(ISNUMBER(D339),D339,E339),"")</f>
        <v/>
      </c>
      <c r="I339" s="12" t="n">
        <v>27600</v>
      </c>
      <c r="J339" s="12" t="n">
        <v>27600</v>
      </c>
      <c r="K339" s="13">
        <f>IF(AND(ISNUMBER(I339),ISNUMBER(J339),I339&gt;0),1-J339/I339,"")</f>
        <v/>
      </c>
      <c r="L339" s="16" t="n">
        <v>0</v>
      </c>
      <c r="M339" s="15" t="n">
        <v>87500</v>
      </c>
      <c r="N339" s="16" t="n">
        <v>2007</v>
      </c>
      <c r="O339" s="10" t="inlineStr">
        <is>
          <t>1</t>
        </is>
      </c>
      <c r="P339" s="10" t="inlineStr">
        <is>
          <t>1</t>
        </is>
      </c>
      <c r="Q339" s="16" t="n">
        <v>245</v>
      </c>
      <c r="R339" s="16" t="n">
        <v>16</v>
      </c>
      <c r="S339" s="10" t="inlineStr">
        <is>
          <t>gris</t>
        </is>
      </c>
      <c r="T339" s="16" t="n">
        <v>2</v>
      </c>
      <c r="U339" s="10" t="n"/>
      <c r="V339" s="10" t="n"/>
      <c r="W339" s="10" t="inlineStr">
        <is>
          <t>Particulier</t>
        </is>
      </c>
      <c r="X339" s="10" t="inlineStr">
        <is>
          <t>Draché</t>
        </is>
      </c>
      <c r="Y339" s="10" t="inlineStr">
        <is>
          <t>37800</t>
        </is>
      </c>
      <c r="Z339" s="10" t="inlineStr">
        <is>
          <t>Indre-et-Loire</t>
        </is>
      </c>
      <c r="AA339" s="10" t="inlineStr">
        <is>
          <t>Centre</t>
        </is>
      </c>
      <c r="AB339" s="16" t="n"/>
      <c r="AC339" s="16" t="n"/>
      <c r="AD339" s="10" t="n"/>
      <c r="AE339" s="10" t="n"/>
      <c r="AF339" s="10" t="inlineStr">
        <is>
          <t>2 : 2 ; 2007 : 2007 ; https://img.leboncoin.fr/api/v1/tenants/9a6387a1-6259-4f2c-a887-7e67f23dd4cb/domains/20bda58f-d650-462e-a72a-a5a7ecf2bf88/buckets/21d2b0bc-e54c-4b64-a30b-89127b18b785/images/profile/pictures/default/56233ba2-3cfc-5213-b38f-28cdd2a4e179?rule=pp-small : https://img.leboncoin.fr/api/v1/tenants/9a6387a1-6259-4f2c-a887-7e67f23dd4cb/domains/20bda58f-d650-462e-a72a-a5a7ecf2bf88/buckets/21d2b0bc-e54c-4b64-a30b-89127b18b785/images/profile/pictures/default/56233ba2-3cfc-5213-b38f-28cdd2a4e179?rule=pp-small ; Porsche : Porsche ; Boxster : Boxster ; PORSCHE : PORSCHE ; 87500 km : 87500 ; Essence : 1 ; Manuelle : 1 ; 01/2007 : 01/2007 ; Excellent état (proche du neuf) : excellent_condition ; Cabriolet : cabriolet ; Gris : gris ; 16 Cv : 16 ; 245 Ch : 245 ; Avec permis : avecpermis ; essential : essential ; false : false ; true : true ; u_car_brand : PORSCHE ; u_car_model : Boxster ; vehicle_damage : Excellent état (proche du neuf) ; vehicle_vsp : Avec permis ; ad_warranty_type : essential ; is_import : false ; vehicle_is_eligible_p2p : 2 ; licence_plate_available : true</t>
        </is>
      </c>
      <c r="AG339" s="19" t="inlineStr">
        <is>
          <t>Voir</t>
        </is>
      </c>
      <c r="AH339" s="10" t="inlineStr">
        <is>
          <t>3214587287</t>
        </is>
      </c>
    </row>
    <row r="340">
      <c r="A340" s="10" t="inlineStr">
        <is>
          <t>Porsche Boxster 987</t>
        </is>
      </c>
      <c r="B340" s="10" t="inlineStr">
        <is>
          <t>Porsche Boxster 987 S</t>
        </is>
      </c>
      <c r="C340" s="10" t="inlineStr">
        <is>
          <t>En vente</t>
        </is>
      </c>
      <c r="D340" s="18" t="n">
        <v>46268</v>
      </c>
      <c r="E340" s="18" t="n">
        <v>46268</v>
      </c>
      <c r="F340" s="18" t="n">
        <v>46296</v>
      </c>
      <c r="G340" s="18" t="n"/>
      <c r="H340" s="17">
        <f>IF(OR(ISNUMBER(D340),ISNUMBER(E340)),IF(ISNUMBER(G340),G340,F340)-IF(ISNUMBER(D340),D340,E340),"")</f>
        <v/>
      </c>
      <c r="I340" s="12" t="n">
        <v>29500</v>
      </c>
      <c r="J340" s="12" t="n">
        <v>29500</v>
      </c>
      <c r="K340" s="13">
        <f>IF(AND(ISNUMBER(I340),ISNUMBER(J340),I340&gt;0),1-J340/I340,"")</f>
        <v/>
      </c>
      <c r="L340" s="16" t="n">
        <v>0</v>
      </c>
      <c r="M340" s="15" t="n">
        <v>120200</v>
      </c>
      <c r="N340" s="16" t="n">
        <v>2005</v>
      </c>
      <c r="O340" s="10" t="inlineStr">
        <is>
          <t>1</t>
        </is>
      </c>
      <c r="P340" s="10" t="inlineStr">
        <is>
          <t>1</t>
        </is>
      </c>
      <c r="Q340" s="16" t="n">
        <v>280</v>
      </c>
      <c r="R340" s="16" t="n">
        <v>19</v>
      </c>
      <c r="S340" s="10" t="inlineStr">
        <is>
          <t>bleu</t>
        </is>
      </c>
      <c r="T340" s="16" t="n">
        <v>2</v>
      </c>
      <c r="U340" s="10" t="n"/>
      <c r="V340" s="10" t="inlineStr">
        <is>
          <t>3</t>
        </is>
      </c>
      <c r="W340" s="10" t="inlineStr">
        <is>
          <t>Particulier</t>
        </is>
      </c>
      <c r="X340" s="10" t="inlineStr">
        <is>
          <t>L'Isle-d'Abeau</t>
        </is>
      </c>
      <c r="Y340" s="10" t="inlineStr">
        <is>
          <t>38080</t>
        </is>
      </c>
      <c r="Z340" s="10" t="inlineStr">
        <is>
          <t>Isère</t>
        </is>
      </c>
      <c r="AA340" s="10" t="inlineStr">
        <is>
          <t>Rhône-Alpes</t>
        </is>
      </c>
      <c r="AB340" s="16" t="n"/>
      <c r="AC340" s="16" t="n"/>
      <c r="AD340" s="10" t="n"/>
      <c r="AE340" s="10" t="n"/>
      <c r="AF340" s="10" t="inlineStr">
        <is>
          <t>2 : 2 ; 3 : 3 ; 44 : 44 ; 2005 : 2005 ; 2028 : 2028 ; 835018 : 835018 ; 0.99 : 0.99 ; https://img.leboncoin.fr/api/v1/tenants/9a6387a1-6259-4f2c-a887-7e67f23dd4cb/domains/20bda58f-d650-462e-a72a-a5a7ecf2bf88/buckets/21d2b0bc-e54c-4b64-a30b-89127b18b785/images/profile/pictures/default/11c4d20d-1731-585d-b838-695b4e3689d9?rule=pp-small : https://img.leboncoin.fr/api/v1/tenants/9a6387a1-6259-4f2c-a887-7e67f23dd4cb/domains/20bda58f-d650-462e-a72a-a5a7ecf2bf88/buckets/21d2b0bc-e54c-4b64-a30b-89127b18b785/images/profile/pictures/default/11c4d20d-1731-585d-b838-695b4e3689d9?rule=pp-small ; Porsche : Porsche ; Boxster : Boxster ; PORSCHE : PORSCHE ; 120200 km : 120200 ; Essence : 1 ; Manuelle : 1 ; S : PORSCHE_Boxster_S ; Boxster 3.2 S : Boxster 3.2 S ; Oui : true ; 07/2005 : 07/2005 ; Excellent état (proche du neuf) : excellent_condition ; Cabriolet : cabriolet ; Bleu : bleu ; Euro 3 : euro3 ; 19 Cv : 19 ; 280 Ch : 280 ; Avec permis : avecpermis ; false : false ; https://autoviza.fr/report/report?uid=dd1b1ed8-feb4-4b82-b728-48d6aeef9298 : https://autoviza.fr/report/report?uid=dd1b1ed8-feb4-4b82-b728-48d6aeef9298 ; true : true ; rating_score : 0.99 ; rating_count : 44 ; u_car_brand : PORSCHE ; u_car_model : Boxster ; u_car_finition : S ; u_car_version : Boxster 3.2 S ; vehicle_technical_inspection_valid : Oui ; vehicle_technical_inspection_a : 2028 ; vehicle_damage : Excellent état (proche du neuf) ; vehicle_upholstery : Tout cuir ; vehicle_maintenance : Carnet d'entretien disponible ; vehicle_interior_specs : Aide au stationnement, Alarme antivol, Climatisation, Sièges chauffants, Sièges en cuir, Sièges électriques ; vehicle_euro_emissions_standard : Euro 3 ; vehicle_vsp : Avec permis ; is_import : false ; vehicle_is_eligible_p2p : 2 ; vehicle_history_report_public_url : https://autoviza.fr/report/report?uid=dd1b1ed8-feb4-4b82-b728-48d6aeef9298 ; argus_object_id : 835018 ; licence_plate_available : true</t>
        </is>
      </c>
      <c r="AG340" s="19" t="inlineStr">
        <is>
          <t>Voir</t>
        </is>
      </c>
      <c r="AH340" s="10" t="inlineStr">
        <is>
          <t>3228156690</t>
        </is>
      </c>
    </row>
    <row r="341">
      <c r="A341" s="10" t="inlineStr">
        <is>
          <t>Porsche Boxster 987</t>
        </is>
      </c>
      <c r="B341" s="10" t="inlineStr">
        <is>
          <t>Porsche Boxster 987</t>
        </is>
      </c>
      <c r="C341" s="10" t="inlineStr">
        <is>
          <t>En vente</t>
        </is>
      </c>
      <c r="D341" s="18" t="n">
        <v>46279</v>
      </c>
      <c r="E341" s="18" t="n">
        <v>46279</v>
      </c>
      <c r="F341" s="18" t="n">
        <v>46296</v>
      </c>
      <c r="G341" s="18" t="n"/>
      <c r="H341" s="17">
        <f>IF(OR(ISNUMBER(D341),ISNUMBER(E341)),IF(ISNUMBER(G341),G341,F341)-IF(ISNUMBER(D341),D341,E341),"")</f>
        <v/>
      </c>
      <c r="I341" s="12" t="n">
        <v>28990</v>
      </c>
      <c r="J341" s="12" t="n">
        <v>28990</v>
      </c>
      <c r="K341" s="13">
        <f>IF(AND(ISNUMBER(I341),ISNUMBER(J341),I341&gt;0),1-J341/I341,"")</f>
        <v/>
      </c>
      <c r="L341" s="16" t="n">
        <v>0</v>
      </c>
      <c r="M341" s="15" t="n">
        <v>64900</v>
      </c>
      <c r="N341" s="16" t="n">
        <v>2005</v>
      </c>
      <c r="O341" s="10" t="inlineStr">
        <is>
          <t>1</t>
        </is>
      </c>
      <c r="P341" s="10" t="inlineStr">
        <is>
          <t>1</t>
        </is>
      </c>
      <c r="Q341" s="16" t="n">
        <v>240</v>
      </c>
      <c r="R341" s="16" t="n">
        <v>16</v>
      </c>
      <c r="S341" s="10" t="inlineStr">
        <is>
          <t>bleu</t>
        </is>
      </c>
      <c r="T341" s="16" t="n">
        <v>2</v>
      </c>
      <c r="U341" s="10" t="n"/>
      <c r="V341" s="10" t="n"/>
      <c r="W341" s="10" t="inlineStr">
        <is>
          <t>Pro</t>
        </is>
      </c>
      <c r="X341" s="10" t="inlineStr">
        <is>
          <t>Vieux-Charmont</t>
        </is>
      </c>
      <c r="Y341" s="10" t="inlineStr">
        <is>
          <t>25600</t>
        </is>
      </c>
      <c r="Z341" s="10" t="inlineStr">
        <is>
          <t>Doubs</t>
        </is>
      </c>
      <c r="AA341" s="10" t="inlineStr">
        <is>
          <t>Franche-Comté</t>
        </is>
      </c>
      <c r="AB341" s="16" t="n"/>
      <c r="AC341" s="16" t="n"/>
      <c r="AD341" s="10" t="n"/>
      <c r="AE341" s="10" t="n"/>
      <c r="AF341" s="10" t="inlineStr">
        <is>
          <t>1 : 1 ; 2 : 2 ; 2005 : 2005 ; 6890119 : 6890119 ; Porsche : Porsche ; Boxster : Boxster ; PORSCHE : PORSCHE ; 64900 km : 64900 ; Essence : 1 ; Manuelle : 1 ; Non : false ; 02/2005 : 02/2005 ; Cabriolet : cabriolet ; Bleu : bleu ; 16 Cv : 16 ; 240 Ch : 240 ; Avec permis : avecpermis ; false : false ; https://img.leboncoin.fr/api/v1/lbcpb1/images/02/5d/73/025d734f-ec7b-42c9-b69c-9edecce448b6?rule=bo-thumb : https://img.leboncoin.fr/api/v1/lbcpb1/images/02/5d/73/025d734f-ec7b-42c9-b69c-9edecce448b6?rule=bo-thumb ; MCG PROPULSION : MCG PROPULSION ; Non renseignée : non_renseignee ; activity_sector : 1 ; u_car_brand : PORSCHE ; u_car_model : Boxster ; vehicle_technical_inspection_valid : Non ; vehicle_vsp : Avec permis ; car_contract : Non ; recent_used_vehicle : false ; has_visibility_option : false ; store_logo : https://img.leboncoin.fr/api/v1/lbcpb1/images/02/5d/73/025d734f-ec7b-42c9-b69c-9edecce448b6?rule=bo-thumb ; store_name : MCG PROPULSION ; online_store_id : 6890119 ; vehicle_commercial_warranty : Non ; vehicle_manufacturer_warranty : Non ; is_import : false ; spare_parts_availability : Non renseignée</t>
        </is>
      </c>
      <c r="AG341" s="19" t="inlineStr">
        <is>
          <t>Voir</t>
        </is>
      </c>
      <c r="AH341" s="10" t="inlineStr">
        <is>
          <t>3232184088</t>
        </is>
      </c>
    </row>
    <row r="342">
      <c r="A342" s="10" t="inlineStr">
        <is>
          <t>Porsche Boxster 987</t>
        </is>
      </c>
      <c r="B342" s="10" t="inlineStr">
        <is>
          <t>Porsche Boxster 987 Phase 2 - 2.9 L 256 Ch -BVM - 60000 Km -Full Black / Financement &amp; Reprise</t>
        </is>
      </c>
      <c r="C342" s="10" t="inlineStr">
        <is>
          <t>En vente</t>
        </is>
      </c>
      <c r="D342" s="18" t="n">
        <v>46229</v>
      </c>
      <c r="E342" s="18" t="n">
        <v>46229</v>
      </c>
      <c r="F342" s="18" t="n">
        <v>46296</v>
      </c>
      <c r="G342" s="18" t="n"/>
      <c r="H342" s="17">
        <f>IF(OR(ISNUMBER(D342),ISNUMBER(E342)),IF(ISNUMBER(G342),G342,F342)-IF(ISNUMBER(D342),D342,E342),"")</f>
        <v/>
      </c>
      <c r="I342" s="12" t="n">
        <v>35900</v>
      </c>
      <c r="J342" s="12" t="n">
        <v>35900</v>
      </c>
      <c r="K342" s="13">
        <f>IF(AND(ISNUMBER(I342),ISNUMBER(J342),I342&gt;0),1-J342/I342,"")</f>
        <v/>
      </c>
      <c r="L342" s="16" t="n">
        <v>0</v>
      </c>
      <c r="M342" s="15" t="n">
        <v>59500</v>
      </c>
      <c r="N342" s="16" t="n">
        <v>2010</v>
      </c>
      <c r="O342" s="10" t="inlineStr">
        <is>
          <t>1</t>
        </is>
      </c>
      <c r="P342" s="10" t="inlineStr">
        <is>
          <t>1</t>
        </is>
      </c>
      <c r="Q342" s="16" t="n">
        <v>256</v>
      </c>
      <c r="R342" s="16" t="n">
        <v>17</v>
      </c>
      <c r="S342" s="10" t="inlineStr">
        <is>
          <t>noir</t>
        </is>
      </c>
      <c r="T342" s="16" t="n">
        <v>2</v>
      </c>
      <c r="U342" s="10" t="n"/>
      <c r="V342" s="10" t="n"/>
      <c r="W342" s="10" t="inlineStr">
        <is>
          <t>Pro</t>
        </is>
      </c>
      <c r="X342" s="10" t="inlineStr">
        <is>
          <t>Saint-Amand-les-Eaux</t>
        </is>
      </c>
      <c r="Y342" s="10" t="inlineStr">
        <is>
          <t>59230</t>
        </is>
      </c>
      <c r="Z342" s="10" t="inlineStr">
        <is>
          <t>Nord</t>
        </is>
      </c>
      <c r="AA342" s="10" t="inlineStr">
        <is>
          <t>Nord-Pas-de-Calais</t>
        </is>
      </c>
      <c r="AB342" s="16" t="n"/>
      <c r="AC342" s="16" t="n"/>
      <c r="AD342" s="10" t="inlineStr">
        <is>
          <t>Oui</t>
        </is>
      </c>
      <c r="AE342" s="10" t="n"/>
      <c r="AF342" s="10" t="inlineStr">
        <is>
          <t>1 : 1 ; 2 : 2 ; 2010 : 2010 ; 48688 : 48688 ; 473993 : 473993 ; 1479521 : 1479521 ; Porsche : Porsche ; Boxster : Boxster ; PORSCHE : PORSCHE ; 59500 km : 59500 ; Essence : 1 ; Manuelle : 1 ; Black Edition : PORSCHE_Boxster_Black Edition ; Boxster 2.7 265ch Black Edition : Boxster 2.7 265ch Black Edition ; 03/2010 : 03/2010 ; Cabriolet : cabriolet ; Noir : noir ; 17 Cv : 17 ; 256 Ch : 256 ; false : false ; https://img.leboncoin.fr/api/v1/lbcpb1/images/31/15/a3/3115a361-5168-5da0-8e0c-a03d6569b4a9?rule=bo-thumb : https://img.leboncoin.fr/api/v1/lbcpb1/images/31/15/a3/3115a361-5168-5da0-8e0c-a03d6569b4a9?rule=bo-thumb ; BROCHARD AUTOMOBILE : BROCHARD AUTOMOBILE ; true : true ; https://autoviza.fr/report/report?uid=7df4905f-75ba-4330-aa03-0203afa014a4 : https://autoviza.fr/report/report?uid=7df4905f-75ba-4330-aa03-0203afa014a4 ; visible : visible ; Non renseignée : non_renseignee ; activity_sector : 1 ; u_car_brand : PORSCHE ; u_car_model : Boxster ; u_car_finition : Black Edition ; u_car_version : Boxster 2.7 265ch Black Edition ; vehicle_maintenance : Carnet d'entretien disponible ; vehicle_interior_specs : Climatisation, Ordinateur de bord, Phares LED / Xenon ; recent_used_vehicle : false ; has_visibility_option : false ; store_logo : https://img.leboncoin.fr/api/v1/lbcpb1/images/31/15/a3/3115a361-5168-5da0-8e0c-a03d6569b4a9?rule=bo-thumb ; store_name : BROCHARD AUTOMOBILE ; online_store_id : 48688 ; custom_ref : 473993 ; is_import : true ; vehicle_history_report_public_url : https://autoviza.fr/report/report?uid=7df4905f-75ba-4330-aa03-0203afa014a4 ; vehicle_history_report_status : visible ; argus_object_id : 1479521 ; spare_parts_availability : Non renseignée ; licence_plate_available : true</t>
        </is>
      </c>
      <c r="AG342" s="19" t="inlineStr">
        <is>
          <t>Voir</t>
        </is>
      </c>
      <c r="AH342" s="10" t="inlineStr">
        <is>
          <t>3239890949</t>
        </is>
      </c>
    </row>
    <row r="343">
      <c r="A343" s="10" t="inlineStr">
        <is>
          <t>Porsche Boxster 987</t>
        </is>
      </c>
      <c r="B343" s="10" t="inlineStr">
        <is>
          <t>Porsche BOXSTER (987) 2.7 245CH</t>
        </is>
      </c>
      <c r="C343" s="10" t="inlineStr">
        <is>
          <t>En vente</t>
        </is>
      </c>
      <c r="D343" s="18" t="n">
        <v>46288</v>
      </c>
      <c r="E343" s="18" t="n">
        <v>46288</v>
      </c>
      <c r="F343" s="18" t="n">
        <v>46296</v>
      </c>
      <c r="G343" s="18" t="n"/>
      <c r="H343" s="17">
        <f>IF(OR(ISNUMBER(D343),ISNUMBER(E343)),IF(ISNUMBER(G343),G343,F343)-IF(ISNUMBER(D343),D343,E343),"")</f>
        <v/>
      </c>
      <c r="I343" s="12" t="n">
        <v>26900</v>
      </c>
      <c r="J343" s="12" t="n">
        <v>26900</v>
      </c>
      <c r="K343" s="13">
        <f>IF(AND(ISNUMBER(I343),ISNUMBER(J343),I343&gt;0),1-J343/I343,"")</f>
        <v/>
      </c>
      <c r="L343" s="16" t="n">
        <v>0</v>
      </c>
      <c r="M343" s="15" t="n">
        <v>97000</v>
      </c>
      <c r="N343" s="16" t="n">
        <v>2006</v>
      </c>
      <c r="O343" s="10" t="inlineStr">
        <is>
          <t>1</t>
        </is>
      </c>
      <c r="P343" s="10" t="inlineStr">
        <is>
          <t>1</t>
        </is>
      </c>
      <c r="Q343" s="16" t="n">
        <v>245</v>
      </c>
      <c r="R343" s="16" t="n">
        <v>16</v>
      </c>
      <c r="S343" s="10" t="inlineStr">
        <is>
          <t>gris</t>
        </is>
      </c>
      <c r="T343" s="16" t="n">
        <v>2</v>
      </c>
      <c r="U343" s="10" t="n"/>
      <c r="V343" s="10" t="inlineStr">
        <is>
          <t>2</t>
        </is>
      </c>
      <c r="W343" s="10" t="inlineStr">
        <is>
          <t>Pro</t>
        </is>
      </c>
      <c r="X343" s="10" t="inlineStr">
        <is>
          <t>La Chapelle-Gauthier</t>
        </is>
      </c>
      <c r="Y343" s="10" t="inlineStr">
        <is>
          <t>77720</t>
        </is>
      </c>
      <c r="Z343" s="10" t="inlineStr">
        <is>
          <t>Seine-et-Marne</t>
        </is>
      </c>
      <c r="AA343" s="10" t="inlineStr">
        <is>
          <t>Ile-de-France</t>
        </is>
      </c>
      <c r="AB343" s="16" t="n"/>
      <c r="AC343" s="16" t="n"/>
      <c r="AD343" s="10" t="n"/>
      <c r="AE343" s="10" t="n"/>
      <c r="AF343" s="10" t="inlineStr">
        <is>
          <t>1 : 1 ; 2 : 2 ; 1459 : 1459 ; 2006 : 2006 ; 8562 : 8562 ; 904764 : 904764 ; Porsche : Porsche ; Boxster : Boxster ; PORSCHE : PORSCHE ; 97000 km : 97000 ; Essence : 1 ; Manuelle : 1 ; Base : PORSCHE_Boxster_Base ; Boxster 2.7 245ch : Boxster 2.7 245ch ; 09/2006 : 09/2006 ; Cabriolet : cabriolet ; Gris : gris ; 16 Cv : 16 ; 245 Ch : 245 ; Avec permis : avecpermis ; false : false ; https://img.leboncoin.fr/api/v1/lbcpb1/images/23/4a/e4/234ae4c7-e3a1-4692-b752-fd0c99f158a9?rule=bo-thumb : https://img.leboncoin.fr/api/v1/lbcpb1/images/23/4a/e4/234ae4c7-e3a1-4692-b752-fd0c99f158a9?rule=bo-thumb ; PGP : PGP ; true : true ; https://autoviza.fr/report/report?uid=54333795-84bf-4c83-b190-b6ab95ce21d0 : https://autoviza.fr/report/report?uid=54333795-84bf-4c83-b190-b6ab95ce21d0 ; visible : visible ; Non renseignée : non_renseignee ; activity_sector : 1 ; u_car_brand : PORSCHE ; u_car_model : Boxster ; u_car_finition : Base ; u_car_version : Boxster 2.7 245ch ; vehicle_vsp : Avec permis ; recent_used_vehicle : false ; has_visibility_option : false ; store_logo : https://img.leboncoin.fr/api/v1/lbcpb1/images/23/4a/e4/234ae4c7-e3a1-4692-b752-fd0c99f158a9?rule=bo-thumb ; store_name : PGP ; online_store_id : 8562 ; custom_ref : 1459 ; is_import : true ; vehicle_history_report_public_url : https://autoviza.fr/report/report?uid=54333795-84bf-4c83-b190-b6ab95ce21d0 ; vehicle_history_report_status : visible ; argus_object_id : 904764 ; spare_parts_availability : Non renseignée ; licence_plate_available : true</t>
        </is>
      </c>
      <c r="AG343" s="19" t="inlineStr">
        <is>
          <t>Voir</t>
        </is>
      </c>
      <c r="AH343" s="10" t="inlineStr">
        <is>
          <t>3241715497</t>
        </is>
      </c>
    </row>
    <row r="344">
      <c r="A344" s="10" t="inlineStr">
        <is>
          <t>Porsche Boxster 987</t>
        </is>
      </c>
      <c r="B344" s="10" t="inlineStr">
        <is>
          <t>Porsche Boxster 987 S 3.4 310 jaune vitesse CARPLAY boite manuelle</t>
        </is>
      </c>
      <c r="C344" s="10" t="inlineStr">
        <is>
          <t>En vente</t>
        </is>
      </c>
      <c r="D344" s="18" t="n">
        <v>46244</v>
      </c>
      <c r="E344" s="18" t="n">
        <v>46244</v>
      </c>
      <c r="F344" s="18" t="n">
        <v>46296</v>
      </c>
      <c r="G344" s="18" t="n"/>
      <c r="H344" s="17">
        <f>IF(OR(ISNUMBER(D344),ISNUMBER(E344)),IF(ISNUMBER(G344),G344,F344)-IF(ISNUMBER(D344),D344,E344),"")</f>
        <v/>
      </c>
      <c r="I344" s="12" t="n">
        <v>46990</v>
      </c>
      <c r="J344" s="12" t="n">
        <v>46990</v>
      </c>
      <c r="K344" s="13">
        <f>IF(AND(ISNUMBER(I344),ISNUMBER(J344),I344&gt;0),1-J344/I344,"")</f>
        <v/>
      </c>
      <c r="L344" s="16" t="n">
        <v>0</v>
      </c>
      <c r="M344" s="15" t="n">
        <v>52150</v>
      </c>
      <c r="N344" s="16" t="n">
        <v>2011</v>
      </c>
      <c r="O344" s="10" t="inlineStr">
        <is>
          <t>1</t>
        </is>
      </c>
      <c r="P344" s="10" t="inlineStr">
        <is>
          <t>1</t>
        </is>
      </c>
      <c r="Q344" s="16" t="n">
        <v>310</v>
      </c>
      <c r="R344" s="16" t="n">
        <v>21</v>
      </c>
      <c r="S344" s="10" t="inlineStr">
        <is>
          <t>jaune</t>
        </is>
      </c>
      <c r="T344" s="16" t="n">
        <v>2</v>
      </c>
      <c r="U344" s="10" t="n"/>
      <c r="V344" s="10" t="inlineStr">
        <is>
          <t>1</t>
        </is>
      </c>
      <c r="W344" s="10" t="inlineStr">
        <is>
          <t>Pro</t>
        </is>
      </c>
      <c r="X344" s="10" t="inlineStr">
        <is>
          <t>Éguilles</t>
        </is>
      </c>
      <c r="Y344" s="10" t="inlineStr">
        <is>
          <t>13510</t>
        </is>
      </c>
      <c r="Z344" s="10" t="inlineStr">
        <is>
          <t>Bouches-du-Rhône</t>
        </is>
      </c>
      <c r="AA344" s="10" t="inlineStr">
        <is>
          <t>Provence-Alpes-Côte d'Azur</t>
        </is>
      </c>
      <c r="AB344" s="16" t="n"/>
      <c r="AC344" s="16" t="n"/>
      <c r="AD344" s="10" t="inlineStr">
        <is>
          <t>Oui</t>
        </is>
      </c>
      <c r="AE344" s="10" t="n"/>
      <c r="AF344" s="10" t="inlineStr">
        <is>
          <t>1 : 1 ; 2 : 2 ; 2011 : 2011 ; 2028 : 2028 ; 981441 : 981441 ; Porsche : Porsche ; Boxster : Boxster ; PORSCHE : PORSCHE ; 52150 km : 52150 ; Essence : 1 ; Manuelle : 1 ; S : PORSCHE_Boxster_S ; Boxster 3.4 S : Boxster 3.4 S ; Oui : true ; 11/2010 : 11/2010 ; Excellent état (proche du neuf) : excellent_condition ; Cabriolet : cabriolet ; Jaune : jaune ; Euro 5 : euro5 ; 21 Cv : 21 ; 310 Ch : 310 ; Avec permis : avecpermis ; false : false ; 877C : 877C ; https://autoviza.fr/report/report?uid=1f85f6f9-c3cb-44ee-b43f-3788e9fc2a14 : https://autoviza.fr/report/report?uid=1f85f6f9-c3cb-44ee-b43f-3788e9fc2a14 ; visible : visible ; Non renseignée : non_renseignee ; true : true ; activity_sector : 1 ; u_car_brand : PORSCHE ; u_car_model : Boxster ; u_car_finition : S ; u_car_version : Boxster 3.4 S ; vehicle_technical_inspection_valid : Oui ; vehicle_technical_inspection_a : 2028 ; vehicle_damage : Excellent état (proche du neuf) ; vehicle_upholstery : Tout cuir ; vehicle_maintenance : Carnet d'entretien disponible, Véhicule non fumeur, Factures disponibles, Réparations utiles déjà faites ; vehicle_interior_specs : Apple CarPlay / Android Auto, Bluetooth, Caméra de recul, Chargeurs USB, Climatisation, Coffre à ouverture électrique, Jantes en alliage, Ordinateur de bord, Phares directionnels, Phares LED / Xenon, Radio numérique DAB, Reconnaissance des panneaux de signalisation, Régulateur de vitesse, Système de navigation ; vehicle_euro_emissions_standard : Euro 5 ; vehicle_vsp : Avec permis ; recent_used_vehicle : false ; custom_ref : 877C ; is_import : false ; vehicle_history_report_public_url : https://autoviza.fr/report/report?uid=1f85f6f9-c3cb-44ee-b43f-3788e9fc2a14 ; vehicle_history_report_status : visible ; argus_object_id : 981441 ; spare_parts_availability : Non renseignée ; licence_plate_available : true</t>
        </is>
      </c>
      <c r="AG344" s="19" t="inlineStr">
        <is>
          <t>Voir</t>
        </is>
      </c>
      <c r="AH344" s="10" t="inlineStr">
        <is>
          <t>3247666341</t>
        </is>
      </c>
    </row>
    <row r="345">
      <c r="A345" s="10" t="inlineStr">
        <is>
          <t>Porsche Boxster 987</t>
        </is>
      </c>
      <c r="B345" s="10" t="inlineStr">
        <is>
          <t>Porsche Boxster S 987.2 3.4 310CH PDK – SPORT CHRONO PLUS | CUIR ÉTENDU | PCM | XÉNON | 19”</t>
        </is>
      </c>
      <c r="C345" s="10" t="inlineStr">
        <is>
          <t>En vente</t>
        </is>
      </c>
      <c r="D345" s="18" t="n">
        <v>46254</v>
      </c>
      <c r="E345" s="18" t="n">
        <v>46254</v>
      </c>
      <c r="F345" s="18" t="n">
        <v>46296</v>
      </c>
      <c r="G345" s="18" t="n"/>
      <c r="H345" s="17">
        <f>IF(OR(ISNUMBER(D345),ISNUMBER(E345)),IF(ISNUMBER(G345),G345,F345)-IF(ISNUMBER(D345),D345,E345),"")</f>
        <v/>
      </c>
      <c r="I345" s="12" t="n">
        <v>34990</v>
      </c>
      <c r="J345" s="12" t="n">
        <v>34990</v>
      </c>
      <c r="K345" s="13">
        <f>IF(AND(ISNUMBER(I345),ISNUMBER(J345),I345&gt;0),1-J345/I345,"")</f>
        <v/>
      </c>
      <c r="L345" s="16" t="n">
        <v>0</v>
      </c>
      <c r="M345" s="15" t="n">
        <v>159900</v>
      </c>
      <c r="N345" s="16" t="n">
        <v>2010</v>
      </c>
      <c r="O345" s="10" t="inlineStr">
        <is>
          <t>1</t>
        </is>
      </c>
      <c r="P345" s="10" t="inlineStr">
        <is>
          <t>2</t>
        </is>
      </c>
      <c r="Q345" s="16" t="n">
        <v>310</v>
      </c>
      <c r="R345" s="16" t="n">
        <v>21</v>
      </c>
      <c r="S345" s="10" t="inlineStr">
        <is>
          <t>argent</t>
        </is>
      </c>
      <c r="T345" s="16" t="n">
        <v>2</v>
      </c>
      <c r="U345" s="10" t="n"/>
      <c r="V345" s="10" t="n"/>
      <c r="W345" s="10" t="inlineStr">
        <is>
          <t>Pro</t>
        </is>
      </c>
      <c r="X345" s="10" t="inlineStr">
        <is>
          <t>Trappes</t>
        </is>
      </c>
      <c r="Y345" s="10" t="inlineStr">
        <is>
          <t>78190</t>
        </is>
      </c>
      <c r="Z345" s="10" t="inlineStr">
        <is>
          <t>Yvelines</t>
        </is>
      </c>
      <c r="AA345" s="10" t="inlineStr">
        <is>
          <t>Ile-de-France</t>
        </is>
      </c>
      <c r="AB345" s="16" t="n"/>
      <c r="AC345" s="16" t="n"/>
      <c r="AD345" s="10" t="n"/>
      <c r="AE345" s="10" t="n"/>
      <c r="AF345" s="10" t="inlineStr">
        <is>
          <t>1 : 1 ; 2 : 2 ; 2010 : 2010 ; 981442 : 981442 ; 1512675 : 1512675 ; 3969141 : 3969141 ; Porsche : Porsche ; Boxster : Boxster ; PORSCHE : PORSCHE ; 159900 km : 159900 ; Essence : 1 ; Automatique : 2 ; S : PORSCHE_Boxster_S ; Boxster 3.4 S PDK : Boxster 3.4 S PDK ; 04/2010 : 04/2010 ; Excellent état (proche du neuf) : excellent_condition ; Cabriolet : cabriolet ; Argent : argent ; Euro 1 : euro1 ; 21 Cv : 21 ; 310 Ch : 310 ; false : false ; https://img.leboncoin.fr/api/v1/lbcpb1/images/91/0c/5a/910c5ac2-d472-4c69-9ebe-dbfa57ec9fb8?rule=bo-thumb : https://img.leboncoin.fr/api/v1/lbcpb1/images/91/0c/5a/910c5ac2-d472-4c69-9ebe-dbfa57ec9fb8?rule=bo-thumb ; PHAETON WORKSHOP : PHAETON WORKSHOP ; true : true ; https://autoviza.fr/report/report?uid=fbe356ee-628b-4fce-ade9-6afb31523098 : https://autoviza.fr/report/report?uid=fbe356ee-628b-4fce-ade9-6afb31523098 ; visible : visible ; Non renseignée : non_renseignee ; activity_sector : 1 ; u_car_brand : PORSCHE ; u_car_model : Boxster ; u_car_finition : S ; u_car_version : Boxster 3.4 S PDK ; vehicle_damage : Excellent état (proche du neuf) ; vehicle_upholstery : Tout cuir ; vehicle_interior_specs : Aide au stationnement, Alarme antivol, Allumage automatique des phares, Bluetooth, Climatisation, Jantes en alliage, Ordinateur de bord, Phares LED / Xenon, Régulateur de vitesse, Rétroviseurs rabattables électriquement, Sièges chauffants, Sièges en cuir, Vitres électriques arrières ; vehicle_euro_emissions_standard : Euro 1 ; recent_used_vehicle : false ; has_visibility_option : false ; store_logo : https://img.leboncoin.fr/api/v1/lbcpb1/images/91/0c/5a/910c5ac2-d472-4c69-9ebe-dbfa57ec9fb8?rule=bo-thumb ; store_name : PHAETON WORKSHOP ; online_store_id : 3969141 ; custom_ref : 1512675 ; is_import : true ; vehicle_history_report_public_url : https://autoviza.fr/report/report?uid=fbe356ee-628b-4fce-ade9-6afb31523098 ; vehicle_history_report_status : visible ; argus_object_id : 981442 ; spare_parts_availability : Non renseignée ; licence_plate_available : true</t>
        </is>
      </c>
      <c r="AG345" s="19" t="inlineStr">
        <is>
          <t>Voir</t>
        </is>
      </c>
      <c r="AH345" s="10" t="inlineStr">
        <is>
          <t>3253304934</t>
        </is>
      </c>
    </row>
    <row r="346">
      <c r="A346" s="10" t="inlineStr">
        <is>
          <t>Porsche Boxster 987</t>
        </is>
      </c>
      <c r="B346" s="10" t="inlineStr">
        <is>
          <t>Porsche boxster 987</t>
        </is>
      </c>
      <c r="C346" s="10" t="inlineStr">
        <is>
          <t>En vente</t>
        </is>
      </c>
      <c r="D346" s="18" t="n">
        <v>46262</v>
      </c>
      <c r="E346" s="18" t="n">
        <v>46262</v>
      </c>
      <c r="F346" s="18" t="n">
        <v>46296</v>
      </c>
      <c r="G346" s="18" t="n"/>
      <c r="H346" s="17">
        <f>IF(OR(ISNUMBER(D346),ISNUMBER(E346)),IF(ISNUMBER(G346),G346,F346)-IF(ISNUMBER(D346),D346,E346),"")</f>
        <v/>
      </c>
      <c r="I346" s="12" t="n">
        <v>20000</v>
      </c>
      <c r="J346" s="12" t="n">
        <v>20000</v>
      </c>
      <c r="K346" s="13">
        <f>IF(AND(ISNUMBER(I346),ISNUMBER(J346),I346&gt;0),1-J346/I346,"")</f>
        <v/>
      </c>
      <c r="L346" s="16" t="n">
        <v>0</v>
      </c>
      <c r="M346" s="15" t="n">
        <v>116000</v>
      </c>
      <c r="N346" s="16" t="n">
        <v>2005</v>
      </c>
      <c r="O346" s="10" t="inlineStr">
        <is>
          <t>1</t>
        </is>
      </c>
      <c r="P346" s="10" t="inlineStr">
        <is>
          <t>1</t>
        </is>
      </c>
      <c r="Q346" s="16" t="n">
        <v>240</v>
      </c>
      <c r="R346" s="16" t="n">
        <v>16</v>
      </c>
      <c r="S346" s="10" t="inlineStr">
        <is>
          <t>noir</t>
        </is>
      </c>
      <c r="T346" s="16" t="n">
        <v>2</v>
      </c>
      <c r="U346" s="10" t="n"/>
      <c r="V346" s="10" t="n"/>
      <c r="W346" s="10" t="inlineStr">
        <is>
          <t>Particulier</t>
        </is>
      </c>
      <c r="X346" s="10" t="inlineStr">
        <is>
          <t>Sèvremoine</t>
        </is>
      </c>
      <c r="Y346" s="10" t="inlineStr">
        <is>
          <t>49230</t>
        </is>
      </c>
      <c r="Z346" s="10" t="inlineStr">
        <is>
          <t>Maine-et-Loire</t>
        </is>
      </c>
      <c r="AA346" s="10" t="inlineStr">
        <is>
          <t>Pays de la Loire</t>
        </is>
      </c>
      <c r="AB346" s="16" t="n"/>
      <c r="AC346" s="16" t="n"/>
      <c r="AD346" s="10" t="n"/>
      <c r="AE346" s="10" t="n"/>
      <c r="AF346" s="10" t="inlineStr">
        <is>
          <t>2 : 2 ; 167 : 167 ; 2005 : 2005 ; 835017 : 835017 ; 0.99 : 0.99 ; https://img.leboncoin.fr/api/v1/tenants/9a6387a1-6259-4f2c-a887-7e67f23dd4cb/domains/20bda58f-d650-462e-a72a-a5a7ecf2bf88/buckets/21d2b0bc-e54c-4b64-a30b-89127b18b785/images/profile/pictures/default/5126e805-8061-522b-8d0a-137c113b5b21?rule=pp-small : https://img.leboncoin.fr/api/v1/tenants/9a6387a1-6259-4f2c-a887-7e67f23dd4cb/domains/20bda58f-d650-462e-a72a-a5a7ecf2bf88/buckets/21d2b0bc-e54c-4b64-a30b-89127b18b785/images/profile/pictures/default/5126e805-8061-522b-8d0a-137c113b5b21?rule=pp-small ; Porsche : Porsche ; Boxster : Boxster ; PORSCHE : PORSCHE ; 116000 km : 116000 ; Essence : 1 ; Manuelle : 1 ; Base : PORSCHE_Boxster_Base ; Base_Boxster 2.7 : Base_Boxster 2.7 ; 01/2005 : 01/2005 ; Cabriolet : cabriolet ; Noir : noir ; 16 Cv : 16 ; 240 Ch : 240 ; Avec permis : avecpermis ; credit_card : credit_card ; false : false ; https://autoviza.fr/report/report?uid=4c1b92be-0916-4f56-87b0-b77a182562a5 : https://autoviza.fr/report/report?uid=4c1b92be-0916-4f56-87b0-b77a182562a5 ; true : true ; rating_score : 0.99 ; rating_count : 167 ; u_car_brand : PORSCHE ; u_car_model : Boxster ; u_car_finition : Base ; u_car_version : Base_Boxster 2.7 ; vehicle_vsp : Avec permis ; vehicle_available_payment_methods : credit_card ; is_import : false ; vehicle_is_eligible_p2p : 2 ; vehicle_history_report_public_url : https://autoviza.fr/report/report?uid=4c1b92be-0916-4f56-87b0-b77a182562a5 ; argus_object_id : 835017 ; licence_plate_available : true</t>
        </is>
      </c>
      <c r="AG346" s="19" t="inlineStr">
        <is>
          <t>Voir</t>
        </is>
      </c>
      <c r="AH346" s="10" t="inlineStr">
        <is>
          <t>3258419971</t>
        </is>
      </c>
    </row>
    <row r="347">
      <c r="A347" s="10" t="inlineStr">
        <is>
          <t>Porsche Boxster 987</t>
        </is>
      </c>
      <c r="B347" s="10" t="inlineStr">
        <is>
          <t>Porsche Boxster II (987) 2.9</t>
        </is>
      </c>
      <c r="C347" s="10" t="inlineStr">
        <is>
          <t>En vente</t>
        </is>
      </c>
      <c r="D347" s="18" t="n">
        <v>46262</v>
      </c>
      <c r="E347" s="18" t="n">
        <v>46262</v>
      </c>
      <c r="F347" s="18" t="n">
        <v>46296</v>
      </c>
      <c r="G347" s="18" t="n"/>
      <c r="H347" s="17">
        <f>IF(OR(ISNUMBER(D347),ISNUMBER(E347)),IF(ISNUMBER(G347),G347,F347)-IF(ISNUMBER(D347),D347,E347),"")</f>
        <v/>
      </c>
      <c r="I347" s="12" t="n">
        <v>39990</v>
      </c>
      <c r="J347" s="12" t="n">
        <v>39990</v>
      </c>
      <c r="K347" s="13">
        <f>IF(AND(ISNUMBER(I347),ISNUMBER(J347),I347&gt;0),1-J347/I347,"")</f>
        <v/>
      </c>
      <c r="L347" s="16" t="n">
        <v>0</v>
      </c>
      <c r="M347" s="15" t="n">
        <v>97000</v>
      </c>
      <c r="N347" s="16" t="n">
        <v>2010</v>
      </c>
      <c r="O347" s="10" t="inlineStr">
        <is>
          <t>1</t>
        </is>
      </c>
      <c r="P347" s="10" t="inlineStr">
        <is>
          <t>1</t>
        </is>
      </c>
      <c r="Q347" s="16" t="n">
        <v>256</v>
      </c>
      <c r="R347" s="16" t="n">
        <v>17</v>
      </c>
      <c r="S347" s="10" t="inlineStr">
        <is>
          <t>rouge</t>
        </is>
      </c>
      <c r="T347" s="16" t="n">
        <v>2</v>
      </c>
      <c r="U347" s="10" t="n"/>
      <c r="V347" s="10" t="inlineStr">
        <is>
          <t>2</t>
        </is>
      </c>
      <c r="W347" s="10" t="inlineStr">
        <is>
          <t>Pro</t>
        </is>
      </c>
      <c r="X347" s="10" t="inlineStr">
        <is>
          <t>Roquebrune-sur-Argens</t>
        </is>
      </c>
      <c r="Y347" s="10" t="inlineStr">
        <is>
          <t>83520</t>
        </is>
      </c>
      <c r="Z347" s="10" t="inlineStr">
        <is>
          <t>Var</t>
        </is>
      </c>
      <c r="AA347" s="10" t="inlineStr">
        <is>
          <t>Provence-Alpes-Côte d'Azur</t>
        </is>
      </c>
      <c r="AB347" s="16" t="n"/>
      <c r="AC347" s="16" t="n"/>
      <c r="AD347" s="10" t="inlineStr">
        <is>
          <t>Oui</t>
        </is>
      </c>
      <c r="AE347" s="10" t="n"/>
      <c r="AF347" s="10" t="inlineStr">
        <is>
          <t>1 : 1 ; 2 : 2 ; 420 : 420 ; 2010 : 2010 ; 981439 : 981439 ; 6913504 : 6913504 ; Porsche : Porsche ; Boxster : Boxster ; PORSCHE : PORSCHE ; 97000 km : 97000 ; Essence : 1 ; Manuelle : 1 ; Base : PORSCHE_Boxster_Base ; Boxster 2.9 : Boxster 2.9 ; Oui : true ; 04/2010 : 04/2010 ; Cabriolet : cabriolet ; Rouge : rouge ; 17 Cv : 17 ; 256 Ch : 256 ; Avec permis : avecpermis ; false : false ; true : true ; https://img.leboncoin.fr/api/v1/lbcpb1/images/ed/c8/45/edc84552-22f7-4650-9942-efba414a10fe?rule=bo-thumb : https://img.leboncoin.fr/api/v1/lbcpb1/images/ed/c8/45/edc84552-22f7-4650-9942-efba414a10fe?rule=bo-thumb ; LPM - Luxe Passion Moteur : LPM - Luxe Passion Moteur ; https://autoviza.fr/report/report?uid=152ba581-c780-4022-bdfd-ce776d689f98 : https://autoviza.fr/report/report?uid=152ba581-c780-4022-bdfd-ce776d689f98 ; visible : visible ; Non renseignée : non_renseignee ; activity_sector : 1 ; u_car_brand : PORSCHE ; u_car_model : Boxster ; u_car_finition : Base ; u_car_version : Boxster 2.9 ; vehicle_technical_inspection_valid : Oui ; vehicle_maintenance : Carnet d'entretien disponible ; vehicle_interior_specs : Aide au stationnement, Climatisation ; vehicle_vsp : Avec permis ; recent_used_vehicle : false ; has_visibility_option : true ; store_logo : https://img.leboncoin.fr/api/v1/lbcpb1/images/ed/c8/45/edc84552-22f7-4650-9942-efba414a10fe?rule=bo-thumb ; store_name : LPM - Luxe Passion Moteur ; online_store_id : 6913504 ; custom_ref : 420 ; is_import : true ; vehicle_history_report_public_url : https://autoviza.fr/report/report?uid=152ba581-c780-4022-bdfd-ce776d689f98 ; vehicle_history_report_status : visible ; argus_object_id : 981439 ; spare_parts_availability : Non renseignée ; licence_plate_available : true</t>
        </is>
      </c>
      <c r="AG347" s="19" t="inlineStr">
        <is>
          <t>Voir</t>
        </is>
      </c>
      <c r="AH347" s="10" t="inlineStr">
        <is>
          <t>3258520263</t>
        </is>
      </c>
    </row>
    <row r="348">
      <c r="A348" s="10" t="inlineStr">
        <is>
          <t>Porsche Boxster 987</t>
        </is>
      </c>
      <c r="B348" s="10" t="inlineStr">
        <is>
          <t>Porsche Boxster 987 S</t>
        </is>
      </c>
      <c r="C348" s="10" t="inlineStr">
        <is>
          <t>En vente</t>
        </is>
      </c>
      <c r="D348" s="18" t="n">
        <v>46269</v>
      </c>
      <c r="E348" s="18" t="n">
        <v>46269</v>
      </c>
      <c r="F348" s="18" t="n">
        <v>46296</v>
      </c>
      <c r="G348" s="18" t="n"/>
      <c r="H348" s="17">
        <f>IF(OR(ISNUMBER(D348),ISNUMBER(E348)),IF(ISNUMBER(G348),G348,F348)-IF(ISNUMBER(D348),D348,E348),"")</f>
        <v/>
      </c>
      <c r="I348" s="12" t="n">
        <v>18950</v>
      </c>
      <c r="J348" s="12" t="n">
        <v>18950</v>
      </c>
      <c r="K348" s="13">
        <f>IF(AND(ISNUMBER(I348),ISNUMBER(J348),I348&gt;0),1-J348/I348,"")</f>
        <v/>
      </c>
      <c r="L348" s="16" t="n">
        <v>0</v>
      </c>
      <c r="M348" s="15" t="n">
        <v>240145</v>
      </c>
      <c r="N348" s="16" t="n">
        <v>2005</v>
      </c>
      <c r="O348" s="10" t="inlineStr">
        <is>
          <t>1</t>
        </is>
      </c>
      <c r="P348" s="10" t="inlineStr">
        <is>
          <t>1</t>
        </is>
      </c>
      <c r="Q348" s="16" t="n"/>
      <c r="R348" s="16" t="n">
        <v>19</v>
      </c>
      <c r="S348" s="10" t="inlineStr">
        <is>
          <t>gris</t>
        </is>
      </c>
      <c r="T348" s="16" t="n"/>
      <c r="U348" s="10" t="n"/>
      <c r="V348" s="10" t="inlineStr">
        <is>
          <t>3</t>
        </is>
      </c>
      <c r="W348" s="10" t="inlineStr">
        <is>
          <t>Pro</t>
        </is>
      </c>
      <c r="X348" s="10" t="inlineStr">
        <is>
          <t>Monlezun</t>
        </is>
      </c>
      <c r="Y348" s="10" t="inlineStr">
        <is>
          <t>32230</t>
        </is>
      </c>
      <c r="Z348" s="10" t="inlineStr">
        <is>
          <t>Gers</t>
        </is>
      </c>
      <c r="AA348" s="10" t="inlineStr">
        <is>
          <t>Midi-Pyrénées</t>
        </is>
      </c>
      <c r="AB348" s="16" t="n"/>
      <c r="AC348" s="16" t="n"/>
      <c r="AD348" s="10" t="n"/>
      <c r="AE348" s="10" t="n"/>
      <c r="AF348" s="10" t="inlineStr">
        <is>
          <t>1 : 1 ; 3 : 3 ; 2005 : 2005 ; 835018 : 835018 ; 2247468 : 2247468 ; Porsche : Porsche ; Boxster : Boxster ; PORSCHE : PORSCHE ; 240145 km : 240145 ; Essence : 1 ; Manuelle : 1 ; S : PORSCHE_Boxster_S ; Boxster 3.2 S : Boxster 3.2 S ; 05/2005 : 05/2005 ; Cabriolet : cabriolet ; Gris : gris ; 19 Cv : 19 ; Avec permis : avecpermis ; false : false ; true : true ; https://autoviza.fr/report/report?uid=f4796302-b28f-4c47-b4ea-4d2e270ad7b8 : https://autoviza.fr/report/report?uid=f4796302-b28f-4c47-b4ea-4d2e270ad7b8 ; visible : visible ; Non renseignée : non_renseignee ; activity_sector : 1 ; u_car_brand : PORSCHE ; u_car_model : Boxster ; u_car_finition : S ; u_car_version : Boxster 3.2 S ; vehicle_interior_specs : Aide au stationnement, Régulateur de vitesse ; vehicle_vsp : Avec permis ; recent_used_vehicle : false ; custom_ref : 2247468 ; is_import : true ; vehicle_history_report_public_url : https://autoviza.fr/report/report?uid=f4796302-b28f-4c47-b4ea-4d2e270ad7b8 ; vehicle_history_report_status : visible ; argus_object_id : 835018 ; spare_parts_availability : Non renseignée ; licence_plate_available : true</t>
        </is>
      </c>
      <c r="AG348" s="19" t="inlineStr">
        <is>
          <t>Voir</t>
        </is>
      </c>
      <c r="AH348" s="10" t="inlineStr">
        <is>
          <t>3263120554</t>
        </is>
      </c>
    </row>
    <row r="349">
      <c r="A349" s="10" t="inlineStr">
        <is>
          <t>Porsche Boxster 987</t>
        </is>
      </c>
      <c r="B349" s="10" t="inlineStr">
        <is>
          <t>Porsche Boxster 987.1 2.7L 240CV</t>
        </is>
      </c>
      <c r="C349" s="10" t="inlineStr">
        <is>
          <t>En vente</t>
        </is>
      </c>
      <c r="D349" s="18" t="n">
        <v>46274</v>
      </c>
      <c r="E349" s="18" t="n">
        <v>46274</v>
      </c>
      <c r="F349" s="18" t="n">
        <v>46296</v>
      </c>
      <c r="G349" s="18" t="n"/>
      <c r="H349" s="17">
        <f>IF(OR(ISNUMBER(D349),ISNUMBER(E349)),IF(ISNUMBER(G349),G349,F349)-IF(ISNUMBER(D349),D349,E349),"")</f>
        <v/>
      </c>
      <c r="I349" s="12" t="n">
        <v>28000</v>
      </c>
      <c r="J349" s="12" t="n">
        <v>28000</v>
      </c>
      <c r="K349" s="13">
        <f>IF(AND(ISNUMBER(I349),ISNUMBER(J349),I349&gt;0),1-J349/I349,"")</f>
        <v/>
      </c>
      <c r="L349" s="16" t="n">
        <v>0</v>
      </c>
      <c r="M349" s="15" t="n">
        <v>35000</v>
      </c>
      <c r="N349" s="16" t="n">
        <v>2005</v>
      </c>
      <c r="O349" s="10" t="inlineStr">
        <is>
          <t>1</t>
        </is>
      </c>
      <c r="P349" s="10" t="inlineStr">
        <is>
          <t>1</t>
        </is>
      </c>
      <c r="Q349" s="16" t="n">
        <v>240</v>
      </c>
      <c r="R349" s="16" t="n">
        <v>16</v>
      </c>
      <c r="S349" s="10" t="inlineStr">
        <is>
          <t>noir</t>
        </is>
      </c>
      <c r="T349" s="16" t="n">
        <v>2</v>
      </c>
      <c r="U349" s="10" t="n"/>
      <c r="V349" s="10" t="inlineStr">
        <is>
          <t>3</t>
        </is>
      </c>
      <c r="W349" s="10" t="inlineStr">
        <is>
          <t>Particulier</t>
        </is>
      </c>
      <c r="X349" s="10" t="inlineStr">
        <is>
          <t>Chaumes-en-Retz</t>
        </is>
      </c>
      <c r="Y349" s="10" t="inlineStr">
        <is>
          <t>44320</t>
        </is>
      </c>
      <c r="Z349" s="10" t="inlineStr">
        <is>
          <t>Loire-Atlantique</t>
        </is>
      </c>
      <c r="AA349" s="10" t="inlineStr">
        <is>
          <t>Pays de la Loire</t>
        </is>
      </c>
      <c r="AB349" s="16" t="n"/>
      <c r="AC349" s="16" t="n"/>
      <c r="AD349" s="10" t="n"/>
      <c r="AE349" s="10" t="n"/>
      <c r="AF349" s="10" t="inlineStr">
        <is>
          <t>1 : 1 ; 2 : 2 ; 3 : 3 ; 2005 : 2005 ; 29990 : 29990 ; 835017 : 835017 ; https://img.leboncoin.fr/api/v1/tenants/9a6387a1-6259-4f2c-a887-7e67f23dd4cb/domains/20bda58f-d650-462e-a72a-a5a7ecf2bf88/buckets/21d2b0bc-e54c-4b64-a30b-89127b18b785/images/profile/pictures/fc161b7f-6bb6-5e5f-8a10-de070662fcb3?rule=pp-small : https://img.leboncoin.fr/api/v1/tenants/9a6387a1-6259-4f2c-a887-7e67f23dd4cb/domains/20bda58f-d650-462e-a72a-a5a7ecf2bf88/buckets/21d2b0bc-e54c-4b64-a30b-89127b18b785/images/profile/pictures/fc161b7f-6bb6-5e5f-8a10-de070662fcb3?rule=pp-small ; Porsche : Porsche ; Boxster : Boxster ; PORSCHE : PORSCHE ; 35000 km : 35000 ; Essence : 1 ; Manuelle : 1 ; Base : PORSCHE_Boxster_Base ; Boxster 2.7 : Boxster 2.7 ; 06/2005 : 06/2005 ; Bon état général : good_overall_condition ; Cabriolet : cabriolet ; Noir : noir ; Euro 3 : euro3 ; 16 Cv : 16 ; 240 Ch : 240 ; Avec permis : avecpermis ; false : false ; https://autoviza.fr/report/report?uid=ec365913-55c6-493a-b134-a704791e0fbd : https://autoviza.fr/report/report?uid=ec365913-55c6-493a-b134-a704791e0fbd ; true : true ; rating_score : 1 ; rating_count : 1 ; u_car_brand : PORSCHE ; u_car_model : Boxster ; u_car_finition : Base ; u_car_version : Boxster 2.7 ; vehicle_damage : Bon état général ; vehicle_upholstery : Tout cuir ; vehicle_maintenance : Carnet d'entretien disponible, Réparations utiles déjà faites ; vehicle_interior_specs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vehicle_vsp : Avec permis ; is_import : false ; old_price : 29990 ; vehicle_is_eligible_p2p : 2 ; vehicle_history_report_public_url : https://autoviza.fr/report/report?uid=ec365913-55c6-493a-b134-a704791e0fbd ; argus_object_id : 835017 ; licence_plate_available : true</t>
        </is>
      </c>
      <c r="AG349" s="19" t="inlineStr">
        <is>
          <t>Voir</t>
        </is>
      </c>
      <c r="AH349" s="10" t="inlineStr">
        <is>
          <t>3266721735</t>
        </is>
      </c>
    </row>
    <row r="350">
      <c r="A350" s="10" t="inlineStr">
        <is>
          <t>Porsche Boxster 987</t>
        </is>
      </c>
      <c r="B350" s="10" t="inlineStr">
        <is>
          <t>Porsche Boxster 987 2.9 6 cyl. 256 ch PDK / 48 973 km Bi-Xénon Alcantara-Cuir Sièges chauffants</t>
        </is>
      </c>
      <c r="C350" s="10" t="inlineStr">
        <is>
          <t>En vente</t>
        </is>
      </c>
      <c r="D350" s="18" t="n">
        <v>46275</v>
      </c>
      <c r="E350" s="18" t="n">
        <v>46275</v>
      </c>
      <c r="F350" s="18" t="n">
        <v>46296</v>
      </c>
      <c r="G350" s="18" t="n"/>
      <c r="H350" s="17">
        <f>IF(OR(ISNUMBER(D350),ISNUMBER(E350)),IF(ISNUMBER(G350),G350,F350)-IF(ISNUMBER(D350),D350,E350),"")</f>
        <v/>
      </c>
      <c r="I350" s="12" t="n">
        <v>34350</v>
      </c>
      <c r="J350" s="12" t="n">
        <v>34350</v>
      </c>
      <c r="K350" s="13">
        <f>IF(AND(ISNUMBER(I350),ISNUMBER(J350),I350&gt;0),1-J350/I350,"")</f>
        <v/>
      </c>
      <c r="L350" s="16" t="n">
        <v>0</v>
      </c>
      <c r="M350" s="15" t="n">
        <v>48973</v>
      </c>
      <c r="N350" s="16" t="n">
        <v>2009</v>
      </c>
      <c r="O350" s="10" t="inlineStr">
        <is>
          <t>1</t>
        </is>
      </c>
      <c r="P350" s="10" t="inlineStr">
        <is>
          <t>2</t>
        </is>
      </c>
      <c r="Q350" s="16" t="n">
        <v>256</v>
      </c>
      <c r="R350" s="16" t="n"/>
      <c r="S350" s="10" t="inlineStr">
        <is>
          <t>rouge</t>
        </is>
      </c>
      <c r="T350" s="16" t="n"/>
      <c r="U350" s="10" t="n"/>
      <c r="V350" s="10" t="inlineStr">
        <is>
          <t>2</t>
        </is>
      </c>
      <c r="W350" s="10" t="inlineStr">
        <is>
          <t>Pro</t>
        </is>
      </c>
      <c r="X350" s="10" t="inlineStr">
        <is>
          <t>Vieux-Charmont</t>
        </is>
      </c>
      <c r="Y350" s="10" t="inlineStr">
        <is>
          <t>25600</t>
        </is>
      </c>
      <c r="Z350" s="10" t="inlineStr">
        <is>
          <t>Doubs</t>
        </is>
      </c>
      <c r="AA350" s="10" t="inlineStr">
        <is>
          <t>Franche-Comté</t>
        </is>
      </c>
      <c r="AB350" s="16" t="n"/>
      <c r="AC350" s="16" t="n"/>
      <c r="AD350" s="10" t="inlineStr">
        <is>
          <t>Oui</t>
        </is>
      </c>
      <c r="AE350" s="10" t="n"/>
      <c r="AF350" s="10" t="inlineStr">
        <is>
          <t>1 : 1 ; 2 : 2 ; 2009 : 2009 ; 18974 : 18974 ; 981440 : 981440 ; Porsche : Porsche ; Boxster : Boxster ; PORSCHE : PORSCHE ; 48973 km : 48973 ; Essence : 1 ; Automatique : 2 ; Base : PORSCHE_Boxster_Base ; Boxster 2.9 PDK : Boxster 2.9 PDK ; 04/2009 : 04/2009 ; Cabriolet : cabriolet ; Rouge : rouge ; 256 Ch : 256 ; Avec permis : avecpermis ; false : false ; https://img.leboncoin.fr/api/v1/lbcpb1/images/1d/f7/1d/1df71d59-8db6-5cbc-9538-83303a15aa41?rule=bo-thumb : https://img.leboncoin.fr/api/v1/lbcpb1/images/1d/f7/1d/1df71d59-8db6-5cbc-9538-83303a15aa41?rule=bo-thumb ; COURTAGE AUTO : COURTAGE AUTO ; CA-3772 : CA-3772 ; true : true ; Non renseignée : non_renseignee ; activity_sector : 1 ; u_car_brand : PORSCHE ; u_car_model : Boxster ; u_car_finition : Base ; u_car_version : Boxster 2.9 PDK ; vehicle_upholstery : Tout cuir ; vehicle_interior_specs : Ordinateur de bord, Radio numérique DAB, Sièges chauffants, Sièges sport, Vitres électriques arrières ; vehicle_vsp : Avec permis ; recent_used_vehicle : false ; has_visibility_option : false ; store_logo : https://img.leboncoin.fr/api/v1/lbcpb1/images/1d/f7/1d/1df71d59-8db6-5cbc-9538-83303a15aa41?rule=bo-thumb ; store_name : COURTAGE AUTO ; online_store_id : 18974 ; custom_ref : CA-3772 ; is_import : true ; argus_object_id : 981440 ; spare_parts_availability : Non renseignée</t>
        </is>
      </c>
      <c r="AG350" s="19" t="inlineStr">
        <is>
          <t>Voir</t>
        </is>
      </c>
      <c r="AH350" s="10" t="inlineStr">
        <is>
          <t>3267035560</t>
        </is>
      </c>
    </row>
    <row r="351">
      <c r="A351" s="10" t="inlineStr">
        <is>
          <t>Porsche Boxster 987</t>
        </is>
      </c>
      <c r="B351" s="10" t="inlineStr">
        <is>
          <t>Porsche Boxster S (987.2) 3.4 310ch PDK - Pack Chrono / Sport Design PCM</t>
        </is>
      </c>
      <c r="C351" s="10" t="inlineStr">
        <is>
          <t>En vente</t>
        </is>
      </c>
      <c r="D351" s="18" t="n">
        <v>46280</v>
      </c>
      <c r="E351" s="18" t="n">
        <v>46280</v>
      </c>
      <c r="F351" s="18" t="n">
        <v>46296</v>
      </c>
      <c r="G351" s="18" t="n"/>
      <c r="H351" s="17">
        <f>IF(OR(ISNUMBER(D351),ISNUMBER(E351)),IF(ISNUMBER(G351),G351,F351)-IF(ISNUMBER(D351),D351,E351),"")</f>
        <v/>
      </c>
      <c r="I351" s="12" t="n">
        <v>36990</v>
      </c>
      <c r="J351" s="12" t="n">
        <v>36990</v>
      </c>
      <c r="K351" s="13">
        <f>IF(AND(ISNUMBER(I351),ISNUMBER(J351),I351&gt;0),1-J351/I351,"")</f>
        <v/>
      </c>
      <c r="L351" s="16" t="n">
        <v>0</v>
      </c>
      <c r="M351" s="15" t="n">
        <v>74600</v>
      </c>
      <c r="N351" s="16" t="n">
        <v>2011</v>
      </c>
      <c r="O351" s="10" t="inlineStr">
        <is>
          <t>1</t>
        </is>
      </c>
      <c r="P351" s="10" t="inlineStr">
        <is>
          <t>2</t>
        </is>
      </c>
      <c r="Q351" s="16" t="n">
        <v>310</v>
      </c>
      <c r="R351" s="16" t="n">
        <v>21</v>
      </c>
      <c r="S351" s="10" t="inlineStr">
        <is>
          <t>noir</t>
        </is>
      </c>
      <c r="T351" s="16" t="n">
        <v>2</v>
      </c>
      <c r="U351" s="10" t="n"/>
      <c r="V351" s="10" t="inlineStr">
        <is>
          <t>1</t>
        </is>
      </c>
      <c r="W351" s="10" t="inlineStr">
        <is>
          <t>Pro</t>
        </is>
      </c>
      <c r="X351" s="10" t="inlineStr">
        <is>
          <t>Jons</t>
        </is>
      </c>
      <c r="Y351" s="10" t="inlineStr">
        <is>
          <t>69330</t>
        </is>
      </c>
      <c r="Z351" s="10" t="inlineStr">
        <is>
          <t>Rhône</t>
        </is>
      </c>
      <c r="AA351" s="10" t="inlineStr">
        <is>
          <t>Rhône-Alpes</t>
        </is>
      </c>
      <c r="AB351" s="16" t="n"/>
      <c r="AC351" s="16" t="n"/>
      <c r="AD351" s="10" t="inlineStr">
        <is>
          <t>Oui</t>
        </is>
      </c>
      <c r="AE351" s="10" t="n"/>
      <c r="AF351" s="10" t="inlineStr">
        <is>
          <t>1 : 1 ; 2 : 2 ; 238 : 238 ; 2011 : 2011 ; 981442 : 981442 ; 6956461 : 6956461 ; Porsche : Porsche ; Boxster : Boxster ; PORSCHE : PORSCHE ; 74600 km : 74600 ; Essence : 1 ; Automatique : 2 ; S : PORSCHE_Boxster_S ; Boxster 3.4 S PDK : Boxster 3.4 S PDK ; Oui : true ; 11/2011 : 11/2011 ; Cabriolet : cabriolet ; Noir : noir ; 21 Cv : 21 ; 310 Ch : 310 ; Avec permis : avecpermis ; false : false ; true : true ; https://img.leboncoin.fr/api/v1/lbcpb1/images/7d/fa/61/7dfa61be-49bc-4293-be7e-e39a2f56c8c8?rule=bo-thumb : https://img.leboncoin.fr/api/v1/lbcpb1/images/7d/fa/61/7dfa61be-49bc-4293-be7e-e39a2f56c8c8?rule=bo-thumb ; HEXAGONE MOTORS : HEXAGONE MOTORS ; Non renseignée : non_renseignee ; activity_sector : 1 ; u_car_brand : PORSCHE ; u_car_model : Boxster ; u_car_finition : S ; u_car_version : Boxster 3.4 S PDK ; vehicle_technical_inspection_valid : Oui ; vehicle_maintenance : Carnet d'entretien disponible ; vehicle_interior_specs : 4 roues motrices, Aide au stationnement, Climatisation, Jantes en alliage, Ordinateur de bord, Phares anti-brouillard, Système de navigation, Vitres électriques arrières, Volant chauffant ; vehicle_vsp : Avec permis ; recent_used_vehicle : false ; has_visibility_option : true ; store_logo : https://img.leboncoin.fr/api/v1/lbcpb1/images/7d/fa/61/7dfa61be-49bc-4293-be7e-e39a2f56c8c8?rule=bo-thumb ; store_name : HEXAGONE MOTORS ; online_store_id : 6956461 ; custom_ref : 238 ; is_import : true ; argus_object_id : 981442 ; spare_parts_availability : Non renseignée</t>
        </is>
      </c>
      <c r="AG351" s="19" t="inlineStr">
        <is>
          <t>Voir</t>
        </is>
      </c>
      <c r="AH351" s="10" t="inlineStr">
        <is>
          <t>3270378486</t>
        </is>
      </c>
    </row>
    <row r="352">
      <c r="A352" s="10" t="inlineStr">
        <is>
          <t>Porsche Boxster 987</t>
        </is>
      </c>
      <c r="B352" s="10" t="inlineStr">
        <is>
          <t>Porsche boxster 987</t>
        </is>
      </c>
      <c r="C352" s="10" t="inlineStr">
        <is>
          <t>En vente</t>
        </is>
      </c>
      <c r="D352" s="18" t="n">
        <v>46281</v>
      </c>
      <c r="E352" s="18" t="n">
        <v>46281</v>
      </c>
      <c r="F352" s="18" t="n">
        <v>46296</v>
      </c>
      <c r="G352" s="18" t="n"/>
      <c r="H352" s="17">
        <f>IF(OR(ISNUMBER(D352),ISNUMBER(E352)),IF(ISNUMBER(G352),G352,F352)-IF(ISNUMBER(D352),D352,E352),"")</f>
        <v/>
      </c>
      <c r="I352" s="12" t="n">
        <v>25000</v>
      </c>
      <c r="J352" s="12" t="n">
        <v>25000</v>
      </c>
      <c r="K352" s="13">
        <f>IF(AND(ISNUMBER(I352),ISNUMBER(J352),I352&gt;0),1-J352/I352,"")</f>
        <v/>
      </c>
      <c r="L352" s="16" t="n">
        <v>0</v>
      </c>
      <c r="M352" s="15" t="n">
        <v>118000</v>
      </c>
      <c r="N352" s="16" t="n">
        <v>2006</v>
      </c>
      <c r="O352" s="10" t="inlineStr">
        <is>
          <t>1</t>
        </is>
      </c>
      <c r="P352" s="10" t="inlineStr">
        <is>
          <t>2</t>
        </is>
      </c>
      <c r="Q352" s="16" t="n">
        <v>240</v>
      </c>
      <c r="R352" s="16" t="n">
        <v>16</v>
      </c>
      <c r="S352" s="10" t="inlineStr">
        <is>
          <t>bleu</t>
        </is>
      </c>
      <c r="T352" s="16" t="n">
        <v>2</v>
      </c>
      <c r="U352" s="10" t="n"/>
      <c r="V352" s="10" t="inlineStr">
        <is>
          <t>2</t>
        </is>
      </c>
      <c r="W352" s="10" t="inlineStr">
        <is>
          <t>Particulier</t>
        </is>
      </c>
      <c r="X352" s="10" t="inlineStr">
        <is>
          <t>Banteux</t>
        </is>
      </c>
      <c r="Y352" s="10" t="inlineStr">
        <is>
          <t>59266</t>
        </is>
      </c>
      <c r="Z352" s="10" t="inlineStr">
        <is>
          <t>Nord</t>
        </is>
      </c>
      <c r="AA352" s="10" t="inlineStr">
        <is>
          <t>Nord-Pas-de-Calais</t>
        </is>
      </c>
      <c r="AB352" s="16" t="n"/>
      <c r="AC352" s="16" t="n"/>
      <c r="AD352" s="10" t="n"/>
      <c r="AE352" s="10" t="n"/>
      <c r="AF352" s="10" t="inlineStr">
        <is>
          <t>1 : 1 ; 2 : 2 ; 8 : 8 ; 2006 : 2006 ; 2027 : 2027 ; 881591 : 881591 ; https://img.leboncoin.fr/api/v1/tenants/9a6387a1-6259-4f2c-a887-7e67f23dd4cb/domains/20bda58f-d650-462e-a72a-a5a7ecf2bf88/buckets/21d2b0bc-e54c-4b64-a30b-89127b18b785/images/profile/pictures/default/bce3457f-def4-52b1-82c5-9a754208a3b7?rule=pp-small : https://img.leboncoin.fr/api/v1/tenants/9a6387a1-6259-4f2c-a887-7e67f23dd4cb/domains/20bda58f-d650-462e-a72a-a5a7ecf2bf88/buckets/21d2b0bc-e54c-4b64-a30b-89127b18b785/images/profile/pictures/default/bce3457f-def4-52b1-82c5-9a754208a3b7?rule=pp-small ; Porsche : Porsche ; Boxster : Boxster ; PORSCHE : PORSCHE ; 118000 km : 118000 ; Essence : 1 ; Automatique : 2 ; Base : PORSCHE_Boxster_Base ; Boxster 2.7 TipTronic S : Boxster 2.7 TipTronic S ; Oui : true ; 03/2006 : 03/2006 ; Excellent état (proche du neuf) : excellent_condition ; Cabriolet : cabriolet ; Bleu : bleu ; 16 Cv : 16 ; 240 Ch : 240 ; Avec permis : avecpermis ; false : false ; true : true ; rating_score : 1 ; rating_count : 8 ; u_car_brand : PORSCHE ; u_car_model : Boxster ; u_car_finition : Base ; u_car_version : Boxster 2.7 TipTronic S ; vehicle_technical_inspection_valid : Oui ; vehicle_technical_inspection_a : 2027 ; vehicle_damage : Excellent état (proche du neuf) ; vehicle_upholstery : Tout cuir ; vehicle_maintenance : Factures disponibles, Véhicule non fumeur, Réparations utiles déjà faites ; vehicle_interior_specs : Alarme antivol, Bluetooth, Climatisation, Coffre à ouverture électrique, Jantes en alliage, Ordinateur de bord, Pare-brise chauffant, Phares LED / Xenon, Régulateur de vitesse, Siège réglable en hauteur, Sièges en cuir, Sièges sport, Volant réglable en hauteur ; vehicle_vsp : Avec permis ; is_import : false ; vehicle_is_eligible_p2p : 2 ; argus_object_id : 881591 ; licence_plate_available : true</t>
        </is>
      </c>
      <c r="AG352" s="19" t="inlineStr">
        <is>
          <t>Voir</t>
        </is>
      </c>
      <c r="AH352" s="10" t="inlineStr">
        <is>
          <t>3270568277</t>
        </is>
      </c>
    </row>
    <row r="353">
      <c r="A353" s="10" t="inlineStr">
        <is>
          <t>Porsche Boxster 987</t>
        </is>
      </c>
      <c r="B353" s="10" t="inlineStr">
        <is>
          <t>Porsche Boxster 987 Phase 2</t>
        </is>
      </c>
      <c r="C353" s="10" t="inlineStr">
        <is>
          <t>En vente</t>
        </is>
      </c>
      <c r="D353" s="18" t="n">
        <v>46281</v>
      </c>
      <c r="E353" s="18" t="n">
        <v>46281</v>
      </c>
      <c r="F353" s="18" t="n">
        <v>46296</v>
      </c>
      <c r="G353" s="18" t="n"/>
      <c r="H353" s="17">
        <f>IF(OR(ISNUMBER(D353),ISNUMBER(E353)),IF(ISNUMBER(G353),G353,F353)-IF(ISNUMBER(D353),D353,E353),"")</f>
        <v/>
      </c>
      <c r="I353" s="12" t="n">
        <v>38900</v>
      </c>
      <c r="J353" s="12" t="n">
        <v>38900</v>
      </c>
      <c r="K353" s="13">
        <f>IF(AND(ISNUMBER(I353),ISNUMBER(J353),I353&gt;0),1-J353/I353,"")</f>
        <v/>
      </c>
      <c r="L353" s="16" t="n">
        <v>0</v>
      </c>
      <c r="M353" s="15" t="n">
        <v>37900</v>
      </c>
      <c r="N353" s="16" t="n">
        <v>2012</v>
      </c>
      <c r="O353" s="10" t="inlineStr">
        <is>
          <t>1</t>
        </is>
      </c>
      <c r="P353" s="10" t="inlineStr">
        <is>
          <t>1</t>
        </is>
      </c>
      <c r="Q353" s="16" t="n">
        <v>255</v>
      </c>
      <c r="R353" s="16" t="n">
        <v>17</v>
      </c>
      <c r="S353" s="10" t="inlineStr">
        <is>
          <t>blanc</t>
        </is>
      </c>
      <c r="T353" s="16" t="n">
        <v>2</v>
      </c>
      <c r="U353" s="10" t="n"/>
      <c r="V353" s="10" t="inlineStr">
        <is>
          <t>1</t>
        </is>
      </c>
      <c r="W353" s="10" t="inlineStr">
        <is>
          <t>Pro</t>
        </is>
      </c>
      <c r="X353" s="10" t="inlineStr">
        <is>
          <t>Pont-l'Évêque</t>
        </is>
      </c>
      <c r="Y353" s="10" t="inlineStr">
        <is>
          <t>14130</t>
        </is>
      </c>
      <c r="Z353" s="10" t="inlineStr">
        <is>
          <t>Calvados</t>
        </is>
      </c>
      <c r="AA353" s="10" t="inlineStr">
        <is>
          <t>Basse-Normandie</t>
        </is>
      </c>
      <c r="AB353" s="16" t="n"/>
      <c r="AC353" s="16" t="n"/>
      <c r="AD353" s="10" t="n"/>
      <c r="AE353" s="10" t="n"/>
      <c r="AF353" s="10" t="inlineStr">
        <is>
          <t>1 : 1 ; 2 : 2 ; 3 : 3 ; 2012 : 2012 ; 981439 : 981439 ; Porsche : Porsche ; Boxster : Boxster ; PORSCHE : PORSCHE ; 37900 km : 37900 ; Essence : 1 ; Manuelle : 1 ; Base : PORSCHE_Boxster_Base ; Boxster 2.9 : Boxster 2.9 ; 05/2012 : 05/2012 ; Excellent état (proche du neuf) : excellent_condition ; Cabriolet : cabriolet ; Blanc : blanc ; Euro 5 : euro5 ; 17 Cv : 17 ; 255 Ch : 255 ; Avec permis : avecpermis ; false : false ; https://autoviza.fr/report/report?uid=908040f7-df30-4ccc-b9fb-17965423c8c3 : https://autoviza.fr/report/report?uid=908040f7-df30-4ccc-b9fb-17965423c8c3 ; visible : visible ; Non renseignée : non_renseignee ; true : true ; activity_sector : 1 ; u_car_brand : PORSCHE ; u_car_model : Boxster ; u_car_finition : Base ; u_car_version : Boxster 2.9 ; vehicle_damage : Excellent état (proche du neuf) ; vehicle_upholstery : Cuir partiel ; vehicle_maintenance : Carnet d'entretien disponible, Factures disponibles ; vehicle_euro_emissions_standard : Euro 5 ; vehicle_vsp : Avec permis ; recent_used_vehicle : false ; is_import : false ; vehicle_history_report_public_url : https://autoviza.fr/report/report?uid=908040f7-df30-4ccc-b9fb-17965423c8c3 ; vehicle_history_report_status : visible ; vehicle_history_teaser_critair : 1 ; vehicle_history_teaser_owners : 3 ; vehicle_history_teaser_expertises : false ; vehicle_history_teaser_special_uses : false ; vehicle_history_teaser_atypical_operations : false ; vehicle_history_teaser_importations : false ; argus_object_id : 981439 ; spare_parts_availability : Non renseignée ; licence_plate_available : true</t>
        </is>
      </c>
      <c r="AG353" s="19" t="inlineStr">
        <is>
          <t>Voir</t>
        </is>
      </c>
      <c r="AH353" s="10" t="inlineStr">
        <is>
          <t>3270821976</t>
        </is>
      </c>
    </row>
    <row r="354">
      <c r="A354" s="10" t="inlineStr">
        <is>
          <t>Porsche Boxster 987</t>
        </is>
      </c>
      <c r="B354" s="10" t="inlineStr">
        <is>
          <t>Porsche Boxster 987 2.7L BVA</t>
        </is>
      </c>
      <c r="C354" s="10" t="inlineStr">
        <is>
          <t>En vente</t>
        </is>
      </c>
      <c r="D354" s="18" t="n">
        <v>46282</v>
      </c>
      <c r="E354" s="18" t="n">
        <v>46282</v>
      </c>
      <c r="F354" s="18" t="n">
        <v>46296</v>
      </c>
      <c r="G354" s="18" t="n"/>
      <c r="H354" s="17">
        <f>IF(OR(ISNUMBER(D354),ISNUMBER(E354)),IF(ISNUMBER(G354),G354,F354)-IF(ISNUMBER(D354),D354,E354),"")</f>
        <v/>
      </c>
      <c r="I354" s="12" t="n">
        <v>23500</v>
      </c>
      <c r="J354" s="12" t="n">
        <v>23500</v>
      </c>
      <c r="K354" s="13">
        <f>IF(AND(ISNUMBER(I354),ISNUMBER(J354),I354&gt;0),1-J354/I354,"")</f>
        <v/>
      </c>
      <c r="L354" s="16" t="n">
        <v>0</v>
      </c>
      <c r="M354" s="15" t="n">
        <v>69900</v>
      </c>
      <c r="N354" s="16" t="n">
        <v>2006</v>
      </c>
      <c r="O354" s="10" t="inlineStr">
        <is>
          <t>1</t>
        </is>
      </c>
      <c r="P354" s="10" t="inlineStr">
        <is>
          <t>2</t>
        </is>
      </c>
      <c r="Q354" s="16" t="n">
        <v>245</v>
      </c>
      <c r="R354" s="16" t="n">
        <v>16</v>
      </c>
      <c r="S354" s="10" t="inlineStr">
        <is>
          <t>noir</t>
        </is>
      </c>
      <c r="T354" s="16" t="n">
        <v>2</v>
      </c>
      <c r="U354" s="10" t="n"/>
      <c r="V354" s="10" t="n"/>
      <c r="W354" s="10" t="inlineStr">
        <is>
          <t>Particulier</t>
        </is>
      </c>
      <c r="X354" s="10" t="inlineStr">
        <is>
          <t>Vigneux-de-Bretagne</t>
        </is>
      </c>
      <c r="Y354" s="10" t="inlineStr">
        <is>
          <t>44360</t>
        </is>
      </c>
      <c r="Z354" s="10" t="inlineStr">
        <is>
          <t>Loire-Atlantique</t>
        </is>
      </c>
      <c r="AA354" s="10" t="inlineStr">
        <is>
          <t>Pays de la Loire</t>
        </is>
      </c>
      <c r="AB354" s="16" t="n"/>
      <c r="AC354" s="16" t="n"/>
      <c r="AD354" s="10" t="n"/>
      <c r="AE354" s="10" t="n"/>
      <c r="AF354" s="10" t="inlineStr">
        <is>
          <t>1 : 1 ; 2 : 2 ; 53 : 53 ; 2006 : 2006 ; https://img.leboncoin.fr/api/v1/tenants/9a6387a1-6259-4f2c-a887-7e67f23dd4cb/domains/20bda58f-d650-462e-a72a-a5a7ecf2bf88/buckets/21d2b0bc-e54c-4b64-a30b-89127b18b785/images/profile/pictures/default/38304dca-f4bf-5c5c-a9bd-d5a86cbf3145?rule=pp-small : https://img.leboncoin.fr/api/v1/tenants/9a6387a1-6259-4f2c-a887-7e67f23dd4cb/domains/20bda58f-d650-462e-a72a-a5a7ecf2bf88/buckets/21d2b0bc-e54c-4b64-a30b-89127b18b785/images/profile/pictures/default/38304dca-f4bf-5c5c-a9bd-d5a86cbf3145?rule=pp-small ; Porsche : Porsche ; Boxster : Boxster ; PORSCHE : PORSCHE ; 69900 km : 69900 ; Essence : 1 ; Automatique : 2 ; Non : false ; 04/2006 : 04/2006 ; Bon état général : good_overall_condition ; Cabriolet : cabriolet ; Noir : noir ; 16 Cv : 16 ; 245 Ch : 245 ; Avec permis : avecpermis ; false : false ; https://autoviza.fr/report/report?uid=0de78991-73c4-4177-be20-cb9273df88d6 : https://autoviza.fr/report/report?uid=0de78991-73c4-4177-be20-cb9273df88d6 ; visible : visible ; true : true ; rating_score : 1 ; rating_count : 53 ; u_car_brand : PORSCHE ; u_car_model : Boxster ; vehicle_technical_inspection_valid : Non ; vehicle_damage : Bon état général ; vehicle_vsp : Avec permis ; is_import : false ; vehicle_is_eligible_p2p : 2 ; vehicle_history_report_public_url : https://autoviza.fr/report/report?uid=0de78991-73c4-4177-be20-cb9273df88d6 ; vehicle_history_report_status : visible ; licence_plate_available : true</t>
        </is>
      </c>
      <c r="AG354" s="19" t="inlineStr">
        <is>
          <t>Voir</t>
        </is>
      </c>
      <c r="AH354" s="10" t="inlineStr">
        <is>
          <t>3271574505</t>
        </is>
      </c>
    </row>
    <row r="355">
      <c r="A355" s="10" t="inlineStr">
        <is>
          <t>Porsche Boxster 987</t>
        </is>
      </c>
      <c r="B355" s="10" t="inlineStr">
        <is>
          <t>Boxster 987.2</t>
        </is>
      </c>
      <c r="C355" s="10" t="inlineStr">
        <is>
          <t>En vente</t>
        </is>
      </c>
      <c r="D355" s="18" t="n">
        <v>46283</v>
      </c>
      <c r="E355" s="18" t="n">
        <v>46283</v>
      </c>
      <c r="F355" s="18" t="n">
        <v>46296</v>
      </c>
      <c r="G355" s="18" t="n"/>
      <c r="H355" s="17">
        <f>IF(OR(ISNUMBER(D355),ISNUMBER(E355)),IF(ISNUMBER(G355),G355,F355)-IF(ISNUMBER(D355),D355,E355),"")</f>
        <v/>
      </c>
      <c r="I355" s="12" t="n">
        <v>32000</v>
      </c>
      <c r="J355" s="12" t="n">
        <v>32000</v>
      </c>
      <c r="K355" s="13">
        <f>IF(AND(ISNUMBER(I355),ISNUMBER(J355),I355&gt;0),1-J355/I355,"")</f>
        <v/>
      </c>
      <c r="L355" s="16" t="n">
        <v>0</v>
      </c>
      <c r="M355" s="15" t="n">
        <v>126000</v>
      </c>
      <c r="N355" s="16" t="n">
        <v>2010</v>
      </c>
      <c r="O355" s="10" t="inlineStr">
        <is>
          <t>1</t>
        </is>
      </c>
      <c r="P355" s="10" t="inlineStr">
        <is>
          <t>2</t>
        </is>
      </c>
      <c r="Q355" s="16" t="n">
        <v>255</v>
      </c>
      <c r="R355" s="16" t="n">
        <v>17</v>
      </c>
      <c r="S355" s="10" t="inlineStr">
        <is>
          <t>bleu</t>
        </is>
      </c>
      <c r="T355" s="16" t="n">
        <v>2</v>
      </c>
      <c r="U355" s="10" t="n"/>
      <c r="V355" s="10" t="inlineStr">
        <is>
          <t>1</t>
        </is>
      </c>
      <c r="W355" s="10" t="inlineStr">
        <is>
          <t>Particulier</t>
        </is>
      </c>
      <c r="X355" s="10" t="inlineStr">
        <is>
          <t>Bézac</t>
        </is>
      </c>
      <c r="Y355" s="10" t="inlineStr">
        <is>
          <t>09100</t>
        </is>
      </c>
      <c r="Z355" s="10" t="inlineStr">
        <is>
          <t>Ariège</t>
        </is>
      </c>
      <c r="AA355" s="10" t="inlineStr">
        <is>
          <t>Midi-Pyrénées</t>
        </is>
      </c>
      <c r="AB355" s="16" t="n"/>
      <c r="AC355" s="16" t="n"/>
      <c r="AD355" s="10" t="n"/>
      <c r="AE355" s="10" t="n"/>
      <c r="AF355" s="10" t="inlineStr">
        <is>
          <t>1 : 1 ; 2 : 2 ; 12 : 12 ; 2010 : 2010 ; https://img.leboncoin.fr/api/v1/tenants/9a6387a1-6259-4f2c-a887-7e67f23dd4cb/domains/20bda58f-d650-462e-a72a-a5a7ecf2bf88/buckets/21d2b0bc-e54c-4b64-a30b-89127b18b785/images/profile/pictures/5d917a97-ce36-5271-8a4a-cdefaefbf35f?rule=pp-small : https://img.leboncoin.fr/api/v1/tenants/9a6387a1-6259-4f2c-a887-7e67f23dd4cb/domains/20bda58f-d650-462e-a72a-a5a7ecf2bf88/buckets/21d2b0bc-e54c-4b64-a30b-89127b18b785/images/profile/pictures/5d917a97-ce36-5271-8a4a-cdefaefbf35f?rule=pp-small ; Porsche : Porsche ; Boxster : Boxster ; PORSCHE : PORSCHE ; 126000 km : 126000 ; Essence : 1 ; Automatique : 2 ; 07/2010 : 07/2010 ; Excellent état (proche du neuf) : excellent_condition ; Cabriolet : cabriolet ; Bleu : bleu ; 17 Cv : 17 ; 255 Ch : 255 ; Avec permis : avecpermis ; essential : essential ; false : false ; https://autoviza.fr/report/report?uid=8efbb295-b4e6-40c2-99c2-3d0027db9512 : https://autoviza.fr/report/report?uid=8efbb295-b4e6-40c2-99c2-3d0027db9512 ; true : true ; rating_score : 1 ; rating_count : 12 ; u_car_brand : PORSCHE ; u_car_model : Boxster ; vehicle_damage : Excellent état (proche du neuf) ; vehicle_maintenance : Carnet d'entretien disponible, Factures disponibles, Véhicule non fumeur, Réparations utiles déjà faites ; vehicle_interior_specs : Aide au stationnement, Apple CarPlay / Android Auto, Bluetooth, Chargeurs USB, Climatisation, Coffre à ouverture électrique, Essuie-glaces automatiques, Ordinateur de bord, Phares directionnels, Phares LED / Xenon, Régulateur de vitesse, Rétroviseurs dégivrants, Sièges chauffants, Suspension sport / adaptative, Volant réglable en hauteur, Volant réglable en profondeur ; vehicle_vsp : Avec permis ; ad_warranty_type : essential ; is_import : false ; vehicle_is_eligible_p2p : 2 ; vehicle_history_report_public_url : https://autoviza.fr/report/report?uid=8efbb295-b4e6-40c2-99c2-3d0027db9512 ; licence_plate_available : true</t>
        </is>
      </c>
      <c r="AG355" s="19" t="inlineStr">
        <is>
          <t>Voir</t>
        </is>
      </c>
      <c r="AH355" s="10" t="inlineStr">
        <is>
          <t>3271944032</t>
        </is>
      </c>
    </row>
    <row r="356">
      <c r="A356" s="10" t="inlineStr">
        <is>
          <t>Porsche Boxster 987</t>
        </is>
      </c>
      <c r="B356" s="10" t="inlineStr">
        <is>
          <t>PORSCHE BOXSTER Type 987 3.4 295 S Entretien Porsche</t>
        </is>
      </c>
      <c r="C356" s="10" t="inlineStr">
        <is>
          <t>En vente</t>
        </is>
      </c>
      <c r="D356" s="18" t="n">
        <v>46283</v>
      </c>
      <c r="E356" s="18" t="n">
        <v>46283</v>
      </c>
      <c r="F356" s="18" t="n">
        <v>46296</v>
      </c>
      <c r="G356" s="18" t="n"/>
      <c r="H356" s="17">
        <f>IF(OR(ISNUMBER(D356),ISNUMBER(E356)),IF(ISNUMBER(G356),G356,F356)-IF(ISNUMBER(D356),D356,E356),"")</f>
        <v/>
      </c>
      <c r="I356" s="12" t="n">
        <v>23990</v>
      </c>
      <c r="J356" s="12" t="n">
        <v>23990</v>
      </c>
      <c r="K356" s="13">
        <f>IF(AND(ISNUMBER(I356),ISNUMBER(J356),I356&gt;0),1-J356/I356,"")</f>
        <v/>
      </c>
      <c r="L356" s="16" t="n">
        <v>0</v>
      </c>
      <c r="M356" s="15" t="n">
        <v>181145</v>
      </c>
      <c r="N356" s="16" t="n">
        <v>2007</v>
      </c>
      <c r="O356" s="10" t="inlineStr">
        <is>
          <t>1</t>
        </is>
      </c>
      <c r="P356" s="10" t="inlineStr">
        <is>
          <t>1</t>
        </is>
      </c>
      <c r="Q356" s="16" t="n">
        <v>295</v>
      </c>
      <c r="R356" s="16" t="n">
        <v>21</v>
      </c>
      <c r="S356" s="10" t="inlineStr">
        <is>
          <t>noir</t>
        </is>
      </c>
      <c r="T356" s="16" t="n">
        <v>2</v>
      </c>
      <c r="U356" s="10" t="n"/>
      <c r="V356" s="10" t="n"/>
      <c r="W356" s="10" t="inlineStr">
        <is>
          <t>Pro</t>
        </is>
      </c>
      <c r="X356" s="10" t="inlineStr">
        <is>
          <t>Colombelles</t>
        </is>
      </c>
      <c r="Y356" s="10" t="inlineStr">
        <is>
          <t>14460</t>
        </is>
      </c>
      <c r="Z356" s="10" t="inlineStr">
        <is>
          <t>Calvados</t>
        </is>
      </c>
      <c r="AA356" s="10" t="inlineStr">
        <is>
          <t>Basse-Normandie</t>
        </is>
      </c>
      <c r="AB356" s="16" t="n"/>
      <c r="AC356" s="16" t="n"/>
      <c r="AD356" s="10" t="inlineStr">
        <is>
          <t>Oui</t>
        </is>
      </c>
      <c r="AE356" s="10" t="n"/>
      <c r="AF356" s="10" t="inlineStr">
        <is>
          <t>1 : 1 ; 2 : 2 ; 2007 : 2007 ; 904766 : 904766 ; 7201495 : 7201495 ; Porsche : Porsche ; Boxster : Boxster ; PORSCHE : PORSCHE ; 181145 km : 181145 ; Essence : 1 ; Manuelle : 1 ; S : PORSCHE_Boxster_S ; Boxster 3.4 S : Boxster 3.4 S ; 08/2007 : 08/2007 ; Traces d’usure normales : normal_wear_and_tear ; Coupé : coupe ; Noir : noir ; 21 Cv : 21 ; 295 Ch : 295 ; Avec permis : avecpermis ; false : false ; true : true ; https://img.leboncoin.fr/api/v1/lbcpb1/images/73/1d/06/731d0628-82c5-448b-b547-5a74b89e632d?rule=bo-thumb : https://img.leboncoin.fr/api/v1/lbcpb1/images/73/1d/06/731d0628-82c5-448b-b547-5a74b89e632d?rule=bo-thumb ; EWIGO CAEN EST : EWIGO CAEN EST ; D196109 : D196109 ; https://autoviza.fr/report/report?uid=af257c30-ae17-4306-baa2-88bc3db70461 : https://autoviza.fr/report/report?uid=af257c30-ae17-4306-baa2-88bc3db70461 ; visible : visible ; Non renseignée : non_renseignee ; activity_sector : 1 ; u_car_brand : PORSCHE ; u_car_model : Boxster ; u_car_finition : S ; u_car_version : Boxster 3.4 S ; vehicle_damage : Traces d’usure normales ; vehicle_maintenance : Carnet d'entretien disponible, Factures disponibles, Véhicule non fumeur ; vehicle_interior_specs : Sièges sport ; vehicle_vsp : Avec permis ; recent_used_vehicle : false ; has_visibility_option : true ; store_logo : https://img.leboncoin.fr/api/v1/lbcpb1/images/73/1d/06/731d0628-82c5-448b-b547-5a74b89e632d?rule=bo-thumb ; store_name : EWIGO CAEN EST ; online_store_id : 7201495 ; custom_ref : D196109 ; is_import : true ; vehicle_history_report_public_url : https://autoviza.fr/report/report?uid=af257c30-ae17-4306-baa2-88bc3db70461 ; vehicle_history_report_status : visible ; argus_object_id : 904766 ; spare_parts_availability : Non renseignée ; licence_plate_available : true</t>
        </is>
      </c>
      <c r="AG356" s="19" t="inlineStr">
        <is>
          <t>Voir</t>
        </is>
      </c>
      <c r="AH356" s="10" t="inlineStr">
        <is>
          <t>3272175602</t>
        </is>
      </c>
    </row>
    <row r="357">
      <c r="A357" s="10" t="inlineStr">
        <is>
          <t>Porsche Boxster 987</t>
        </is>
      </c>
      <c r="B357" s="10" t="inlineStr">
        <is>
          <t>Porsche Boxster Type 987.1 (2.7) *BVM / Intérieur Cuir / Sièges chauffants / Jantes Boxster S 18"</t>
        </is>
      </c>
      <c r="C357" s="10" t="inlineStr">
        <is>
          <t>En vente</t>
        </is>
      </c>
      <c r="D357" s="18" t="n">
        <v>46284</v>
      </c>
      <c r="E357" s="18" t="n">
        <v>46284</v>
      </c>
      <c r="F357" s="18" t="n">
        <v>46296</v>
      </c>
      <c r="G357" s="18" t="n"/>
      <c r="H357" s="17">
        <f>IF(OR(ISNUMBER(D357),ISNUMBER(E357)),IF(ISNUMBER(G357),G357,F357)-IF(ISNUMBER(D357),D357,E357),"")</f>
        <v/>
      </c>
      <c r="I357" s="12" t="n">
        <v>27490</v>
      </c>
      <c r="J357" s="12" t="n">
        <v>27490</v>
      </c>
      <c r="K357" s="13">
        <f>IF(AND(ISNUMBER(I357),ISNUMBER(J357),I357&gt;0),1-J357/I357,"")</f>
        <v/>
      </c>
      <c r="L357" s="16" t="n">
        <v>0</v>
      </c>
      <c r="M357" s="15" t="n">
        <v>95000</v>
      </c>
      <c r="N357" s="16" t="n">
        <v>2005</v>
      </c>
      <c r="O357" s="10" t="inlineStr">
        <is>
          <t>1</t>
        </is>
      </c>
      <c r="P357" s="10" t="inlineStr">
        <is>
          <t>1</t>
        </is>
      </c>
      <c r="Q357" s="16" t="n">
        <v>240</v>
      </c>
      <c r="R357" s="16" t="n">
        <v>16</v>
      </c>
      <c r="S357" s="10" t="inlineStr">
        <is>
          <t>noir</t>
        </is>
      </c>
      <c r="T357" s="16" t="n">
        <v>2</v>
      </c>
      <c r="U357" s="10" t="n"/>
      <c r="V357" s="10" t="n"/>
      <c r="W357" s="10" t="inlineStr">
        <is>
          <t>Pro</t>
        </is>
      </c>
      <c r="X357" s="10" t="inlineStr">
        <is>
          <t>Oyonnax</t>
        </is>
      </c>
      <c r="Y357" s="10" t="inlineStr">
        <is>
          <t>01100</t>
        </is>
      </c>
      <c r="Z357" s="10" t="inlineStr">
        <is>
          <t>Ain</t>
        </is>
      </c>
      <c r="AA357" s="10" t="inlineStr">
        <is>
          <t>Rhône-Alpes</t>
        </is>
      </c>
      <c r="AB357" s="16" t="n"/>
      <c r="AC357" s="16" t="n"/>
      <c r="AD357" s="10" t="inlineStr">
        <is>
          <t>Oui</t>
        </is>
      </c>
      <c r="AE357" s="10" t="n"/>
      <c r="AF357" s="10" t="inlineStr">
        <is>
          <t>1 : 1 ; 2 : 2 ; 10 : 10 ; 2005 : 2005 ; 90555 : 90555 ; 835017 : 835017 ; Porsche : Porsche ; Boxster : Boxster ; PORSCHE : PORSCHE ; 95000 km : 95000 ; Essence : 1 ; Manuelle : 1 ; Base : PORSCHE_Boxster_Base ; Boxster 2.7 : Boxster 2.7 ; Non : false ; 05/2005 : 05/2005 ; Cabriolet : cabriolet ; Noir : noir ; 16 Cv : 16 ; 240 Ch : 240 ; Avec permis : avecpermis ; false : false ; true : true ; https://img.leboncoin.fr/api/v1/lbcpb1/images/d7/e3/88/d7e3881a-f212-4976-912b-e9f751c4370a?rule=bo-thumb : https://img.leboncoin.fr/api/v1/lbcpb1/images/d7/e3/88/d7e3881a-f212-4976-912b-e9f751c4370a?rule=bo-thumb ; GARAGE CONFIDENTIEL : GARAGE CONFIDENTIEL ; https://autoviza.fr/report/report?uid=4d9c3281-54f3-4c84-a2b0-33fdf6d90f68 : https://autoviza.fr/report/report?uid=4d9c3281-54f3-4c84-a2b0-33fdf6d90f68 ; visible : visible ; Non renseignée : non_renseignee ; activity_sector : 1 ; rating_score : 1 ; rating_count : 1 ; u_car_brand : PORSCHE ; u_car_model : Boxster ; u_car_finition : Base ; u_car_version : Boxster 2.7 ; vehicle_technical_inspection_valid : Non ; vehicle_upholstery : Tout cuir ; vehicle_maintenance : Carnet d'entretien disponible, Factures disponibles ; vehicle_interior_specs : Climatisation, Jantes en alliage, Siège réglable en hauteur, Sièges chauffants, Sièges en cuir ; vehicle_vsp : Avec permis ; car_contract : Non ; recent_used_vehicle : false ; has_visibility_option : true ; store_logo : https://img.leboncoin.fr/api/v1/lbcpb1/images/d7/e3/88/d7e3881a-f212-4976-912b-e9f751c4370a?rule=bo-thumb ; store_name : GARAGE CONFIDENTIEL ; online_store_id : 90555 ; vehicle_commercial_warranty : Non ; vehicle_manufacturer_warranty : Non ; is_import : false ; vehicle_history_report_public_url : https://autoviza.fr/report/report?uid=4d9c3281-54f3-4c84-a2b0-33fdf6d90f68 ; vehicle_history_report_status : visible ; vehicle_history_teaser_critair : 2 ; vehicle_history_teaser_owners : 10 ; vehicle_history_teaser_expertises : false ; vehicle_history_teaser_special_uses : false ; vehicle_history_teaser_atypical_operations : false ; vehicle_history_teaser_importations : false ; argus_object_id : 835017 ; spare_parts_availability : Non renseignée ; licence_plate_available : true</t>
        </is>
      </c>
      <c r="AG357" s="19" t="inlineStr">
        <is>
          <t>Voir</t>
        </is>
      </c>
      <c r="AH357" s="10" t="inlineStr">
        <is>
          <t>3272603300</t>
        </is>
      </c>
    </row>
    <row r="358">
      <c r="A358" s="10" t="inlineStr">
        <is>
          <t>Porsche Boxster 987</t>
        </is>
      </c>
      <c r="B358" s="10" t="inlineStr">
        <is>
          <t>Porsche boxster 987</t>
        </is>
      </c>
      <c r="C358" s="10" t="inlineStr">
        <is>
          <t>En vente</t>
        </is>
      </c>
      <c r="D358" s="18" t="n">
        <v>46286</v>
      </c>
      <c r="E358" s="18" t="n">
        <v>46286</v>
      </c>
      <c r="F358" s="18" t="n">
        <v>46296</v>
      </c>
      <c r="G358" s="18" t="n"/>
      <c r="H358" s="17">
        <f>IF(OR(ISNUMBER(D358),ISNUMBER(E358)),IF(ISNUMBER(G358),G358,F358)-IF(ISNUMBER(D358),D358,E358),"")</f>
        <v/>
      </c>
      <c r="I358" s="12" t="n">
        <v>25900</v>
      </c>
      <c r="J358" s="12" t="n">
        <v>25900</v>
      </c>
      <c r="K358" s="13">
        <f>IF(AND(ISNUMBER(I358),ISNUMBER(J358),I358&gt;0),1-J358/I358,"")</f>
        <v/>
      </c>
      <c r="L358" s="16" t="n">
        <v>0</v>
      </c>
      <c r="M358" s="15" t="n">
        <v>100900</v>
      </c>
      <c r="N358" s="16" t="n">
        <v>2006</v>
      </c>
      <c r="O358" s="10" t="inlineStr">
        <is>
          <t>1</t>
        </is>
      </c>
      <c r="P358" s="10" t="inlineStr">
        <is>
          <t>2</t>
        </is>
      </c>
      <c r="Q358" s="16" t="n">
        <v>240</v>
      </c>
      <c r="R358" s="16" t="n">
        <v>16</v>
      </c>
      <c r="S358" s="10" t="inlineStr">
        <is>
          <t>autre</t>
        </is>
      </c>
      <c r="T358" s="16" t="n">
        <v>2</v>
      </c>
      <c r="U358" s="10" t="n"/>
      <c r="V358" s="10" t="n"/>
      <c r="W358" s="10" t="inlineStr">
        <is>
          <t>Particulier</t>
        </is>
      </c>
      <c r="X358" s="10" t="inlineStr">
        <is>
          <t>Bourg-la-Reine</t>
        </is>
      </c>
      <c r="Y358" s="10" t="inlineStr">
        <is>
          <t>92340</t>
        </is>
      </c>
      <c r="Z358" s="10" t="inlineStr">
        <is>
          <t>Hauts-de-Seine</t>
        </is>
      </c>
      <c r="AA358" s="10" t="inlineStr">
        <is>
          <t>Ile-de-France</t>
        </is>
      </c>
      <c r="AB358" s="16" t="n"/>
      <c r="AC358" s="16" t="n"/>
      <c r="AD358" s="10" t="n"/>
      <c r="AE358" s="10" t="n"/>
      <c r="AF358" s="10" t="inlineStr">
        <is>
          <t>2 : 2 ; 2006 : 2006 ; https://img.leboncoin.fr/api/v1/tenants/9a6387a1-6259-4f2c-a887-7e67f23dd4cb/domains/20bda58f-d650-462e-a72a-a5a7ecf2bf88/buckets/21d2b0bc-e54c-4b64-a30b-89127b18b785/images/profile/pictures/default/616fe3f8-fc2b-5e48-8b16-e4afd04b590e?rule=pp-small : https://img.leboncoin.fr/api/v1/tenants/9a6387a1-6259-4f2c-a887-7e67f23dd4cb/domains/20bda58f-d650-462e-a72a-a5a7ecf2bf88/buckets/21d2b0bc-e54c-4b64-a30b-89127b18b785/images/profile/pictures/default/616fe3f8-fc2b-5e48-8b16-e4afd04b590e?rule=pp-small ; Porsche : Porsche ; Boxster : Boxster ; PORSCHE : PORSCHE ; 100900 km : 100900 ; Essence : 1 ; Automatique : 2 ; Cabriolet : cabriolet ; Autre : autre ; 16 Cv : 16 ; 240 Ch : 240 ; Avec permis : avecpermis ; false : false ; true : true ; u_car_brand : PORSCHE ; u_car_model : Boxster ; vehicle_upholstery : Cuir partiel, Alcantara ; vehicle_maintenance : Factures disponibles ; vehicle_interior_specs : Allumage automatique des phares, Apple CarPlay / Android Auto, Bluetooth, Caméra de recul, Climatisation, Essuie-glaces automatiques, Jantes en alliage ; vehicle_vsp : Avec permis ; is_import : false ; vehicle_is_eligible_p2p : 2 ; licence_plate_available : true</t>
        </is>
      </c>
      <c r="AG358" s="19" t="inlineStr">
        <is>
          <t>Voir</t>
        </is>
      </c>
      <c r="AH358" s="10" t="inlineStr">
        <is>
          <t>3273797460</t>
        </is>
      </c>
    </row>
    <row r="359">
      <c r="A359" s="10" t="inlineStr">
        <is>
          <t>Porsche Boxster 987</t>
        </is>
      </c>
      <c r="B359" s="10" t="inlineStr">
        <is>
          <t>PORSCHE BOXSTER 987 2.7 245ch Boite Mécanique Origine France</t>
        </is>
      </c>
      <c r="C359" s="10" t="inlineStr">
        <is>
          <t>En vente</t>
        </is>
      </c>
      <c r="D359" s="18" t="n">
        <v>46287</v>
      </c>
      <c r="E359" s="18" t="n">
        <v>46287</v>
      </c>
      <c r="F359" s="18" t="n">
        <v>46296</v>
      </c>
      <c r="G359" s="18" t="n"/>
      <c r="H359" s="17">
        <f>IF(OR(ISNUMBER(D359),ISNUMBER(E359)),IF(ISNUMBER(G359),G359,F359)-IF(ISNUMBER(D359),D359,E359),"")</f>
        <v/>
      </c>
      <c r="I359" s="12" t="n">
        <v>29900</v>
      </c>
      <c r="J359" s="12" t="n">
        <v>29900</v>
      </c>
      <c r="K359" s="13">
        <f>IF(AND(ISNUMBER(I359),ISNUMBER(J359),I359&gt;0),1-J359/I359,"")</f>
        <v/>
      </c>
      <c r="L359" s="16" t="n">
        <v>0</v>
      </c>
      <c r="M359" s="15" t="n">
        <v>94264</v>
      </c>
      <c r="N359" s="16" t="n">
        <v>2009</v>
      </c>
      <c r="O359" s="10" t="inlineStr">
        <is>
          <t>1</t>
        </is>
      </c>
      <c r="P359" s="10" t="inlineStr">
        <is>
          <t>1</t>
        </is>
      </c>
      <c r="Q359" s="16" t="n">
        <v>245</v>
      </c>
      <c r="R359" s="16" t="n">
        <v>16</v>
      </c>
      <c r="S359" s="10" t="inlineStr">
        <is>
          <t>gris</t>
        </is>
      </c>
      <c r="T359" s="16" t="n">
        <v>2</v>
      </c>
      <c r="U359" s="10" t="n"/>
      <c r="V359" s="10" t="n"/>
      <c r="W359" s="10" t="inlineStr">
        <is>
          <t>Pro</t>
        </is>
      </c>
      <c r="X359" s="10" t="inlineStr">
        <is>
          <t>Perpignan</t>
        </is>
      </c>
      <c r="Y359" s="10" t="inlineStr">
        <is>
          <t>66100</t>
        </is>
      </c>
      <c r="Z359" s="10" t="inlineStr">
        <is>
          <t>Pyrénées-Orientales</t>
        </is>
      </c>
      <c r="AA359" s="10" t="inlineStr">
        <is>
          <t>Languedoc-Roussillon</t>
        </is>
      </c>
      <c r="AB359" s="16" t="n"/>
      <c r="AC359" s="16" t="n"/>
      <c r="AD359" s="10" t="inlineStr">
        <is>
          <t>Oui</t>
        </is>
      </c>
      <c r="AE359" s="10" t="n"/>
      <c r="AF359" s="10" t="inlineStr">
        <is>
          <t>1 : 1 ; 2 : 2 ; 4 : 4 ; 2009 : 2009 ; 43795 : 43795 ; 904764 : 904764 ; Porsche : Porsche ; Boxster : Boxster ; PORSCHE : PORSCHE ; 94264 km : 94264 ; Essence : 1 ; Manuelle : 1 ; Base : PORSCHE_Boxster_Base ; Boxster 2.7 245ch : Boxster 2.7 245ch ; 07/2009 : 07/2009 ; Excellent état (proche du neuf) : excellent_condition ; Cabriolet : cabriolet ; Gris : gris ; 16 Cv : 16 ; 245 Ch : 245 ; Avec permis : avecpermis ; false : false ; https://img.leboncoin.fr/api/v1/lbcpb1/images/17/37/17/173717113451780.jpg?rule=bo-thumb : https://img.leboncoin.fr/api/v1/lbcpb1/images/17/37/17/173717113451780.jpg?rule=bo-thumb ; auto concept 66 : auto concept 66 ; https://autoviza.fr/report/report?uid=d657a365-71b0-477d-a197-1913e703fcf2 : https://autoviza.fr/report/report?uid=d657a365-71b0-477d-a197-1913e703fcf2 ; visible : visible ; Non renseignée : non_renseignee ; true : true ; activity_sector : 1 ; rating_score : 1 ; rating_count : 1 ; u_car_brand : PORSCHE ; u_car_model : Boxster ; u_car_finition : Base ; u_car_version : Boxster 2.7 245ch ; vehicle_damage : Excellent état (proche du neuf) ; vehicle_upholstery : Tout cuir ; vehicle_maintenance : Carnet d'entretien disponible, Factures disponibles, Véhicule non fumeur ; vehicle_interior_specs : Aide au stationnement, Allumage automatique des phares, Climatisation, Jantes en alliage, Ordinateur de bord, Régulateur de vitesse, Sièges en cuir ; vehicle_vsp : Avec permis ; recent_used_vehicle : false ; has_visibility_option : false ; store_logo : https://img.leboncoin.fr/api/v1/lbcpb1/images/17/37/17/173717113451780.jpg?rule=bo-thumb ; store_name : auto concept 66 ; online_store_id : 43795 ; is_import : false ; vehicle_history_report_public_url : https://autoviza.fr/report/report?uid=d657a365-71b0-477d-a197-1913e703fcf2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argus_object_id : 904764 ; spare_parts_availability : Non renseignée ; licence_plate_available : true</t>
        </is>
      </c>
      <c r="AG359" s="19" t="inlineStr">
        <is>
          <t>Voir</t>
        </is>
      </c>
      <c r="AH359" s="10" t="inlineStr">
        <is>
          <t>3274728979</t>
        </is>
      </c>
    </row>
    <row r="360">
      <c r="A360" s="10" t="inlineStr">
        <is>
          <t>Porsche Boxster 987</t>
        </is>
      </c>
      <c r="B360" s="10" t="inlineStr">
        <is>
          <t>Porsche Boxster 987 2.7 240CH</t>
        </is>
      </c>
      <c r="C360" s="10" t="inlineStr">
        <is>
          <t>En vente</t>
        </is>
      </c>
      <c r="D360" s="18" t="n">
        <v>46289</v>
      </c>
      <c r="E360" s="18" t="n">
        <v>46289</v>
      </c>
      <c r="F360" s="18" t="n">
        <v>46296</v>
      </c>
      <c r="G360" s="18" t="n"/>
      <c r="H360" s="17">
        <f>IF(OR(ISNUMBER(D360),ISNUMBER(E360)),IF(ISNUMBER(G360),G360,F360)-IF(ISNUMBER(D360),D360,E360),"")</f>
        <v/>
      </c>
      <c r="I360" s="12" t="n">
        <v>24990</v>
      </c>
      <c r="J360" s="12" t="n">
        <v>24990</v>
      </c>
      <c r="K360" s="13">
        <f>IF(AND(ISNUMBER(I360),ISNUMBER(J360),I360&gt;0),1-J360/I360,"")</f>
        <v/>
      </c>
      <c r="L360" s="16" t="n">
        <v>0</v>
      </c>
      <c r="M360" s="15" t="n">
        <v>160459</v>
      </c>
      <c r="N360" s="16" t="n">
        <v>2005</v>
      </c>
      <c r="O360" s="10" t="inlineStr">
        <is>
          <t>1</t>
        </is>
      </c>
      <c r="P360" s="10" t="inlineStr">
        <is>
          <t>1</t>
        </is>
      </c>
      <c r="Q360" s="16" t="n">
        <v>239</v>
      </c>
      <c r="R360" s="16" t="n">
        <v>16</v>
      </c>
      <c r="S360" s="10" t="inlineStr">
        <is>
          <t>bleu</t>
        </is>
      </c>
      <c r="T360" s="16" t="n">
        <v>2</v>
      </c>
      <c r="U360" s="10" t="n"/>
      <c r="V360" s="10" t="inlineStr">
        <is>
          <t>3</t>
        </is>
      </c>
      <c r="W360" s="10" t="inlineStr">
        <is>
          <t>Pro</t>
        </is>
      </c>
      <c r="X360" s="10" t="inlineStr">
        <is>
          <t>Marquise</t>
        </is>
      </c>
      <c r="Y360" s="10" t="inlineStr">
        <is>
          <t>62250</t>
        </is>
      </c>
      <c r="Z360" s="10" t="inlineStr">
        <is>
          <t>Pas-de-Calais</t>
        </is>
      </c>
      <c r="AA360" s="10" t="inlineStr">
        <is>
          <t>Nord-Pas-de-Calais</t>
        </is>
      </c>
      <c r="AB360" s="16" t="n"/>
      <c r="AC360" s="16" t="n"/>
      <c r="AD360" s="10" t="n"/>
      <c r="AE360" s="10" t="n"/>
      <c r="AF360" s="10" t="inlineStr">
        <is>
          <t>1 : 1 ; 2 : 2 ; 3 : 3 ; 458 : 458 ; 2005 : 2005 ; 835017 : 835017 ; 1209665 : 1209665 ; Porsche : Porsche ; Boxster : Boxster ; PORSCHE : PORSCHE ; 160459 km : 160459 ; Essence : 1 ; Manuelle : 1 ; Base : PORSCHE_Boxster_Base ; Boxster 2.7 : Boxster 2.7 ; 10/2005 : 10/2005 ; Cabriolet : cabriolet ; Bleu : bleu ; 16 Cv : 16 ; 239 Ch : 239 ; Avec permis : avecpermis ; false : false ; https://img.leboncoin.fr/api/v1/lbcpb1/images/73/c1/13/73c1134f-b1ce-47b1-831e-5695e9b56190?rule=bo-thumb : https://img.leboncoin.fr/api/v1/lbcpb1/images/73/c1/13/73c1134f-b1ce-47b1-831e-5695e9b56190?rule=bo-thumb ; Clsprestigeauto : Clsprestigeauto ; true : true ; https://autoviza.fr/report/report?uid=4b46957f-bf83-49e3-b422-2e8cd68e9598 : https://autoviza.fr/report/report?uid=4b46957f-bf83-49e3-b422-2e8cd68e9598 ; visible : visible ; Non renseignée : non_renseignee ; activity_sector : 1 ; u_car_brand : PORSCHE ; u_car_model : Boxster ; u_car_finition : Base ; u_car_version : Boxster 2.7 ; vehicle_vsp : Avec permis ; recent_used_vehicle : false ; has_visibility_option : false ; store_logo : https://img.leboncoin.fr/api/v1/lbcpb1/images/73/c1/13/73c1134f-b1ce-47b1-831e-5695e9b56190?rule=bo-thumb ; store_name : Clsprestigeauto ; online_store_id : 1209665 ; custom_ref : 458 ; is_import : true ; vehicle_history_report_public_url : https://autoviza.fr/report/report?uid=4b46957f-bf83-49e3-b422-2e8cd68e9598 ; vehicle_history_report_status : visible ; argus_object_id : 835017 ; spare_parts_availability : Non renseignée ; licence_plate_available : true</t>
        </is>
      </c>
      <c r="AG360" s="19" t="inlineStr">
        <is>
          <t>Voir</t>
        </is>
      </c>
      <c r="AH360" s="10" t="inlineStr">
        <is>
          <t>3275857883</t>
        </is>
      </c>
    </row>
    <row r="361">
      <c r="A361" s="10" t="inlineStr">
        <is>
          <t>Porsche Boxster 987</t>
        </is>
      </c>
      <c r="B361" s="10" t="inlineStr">
        <is>
          <t>Porsche Boxster 987 72500 kms 2006</t>
        </is>
      </c>
      <c r="C361" s="10" t="inlineStr">
        <is>
          <t>En vente</t>
        </is>
      </c>
      <c r="D361" s="18" t="n">
        <v>46290</v>
      </c>
      <c r="E361" s="18" t="n">
        <v>46290</v>
      </c>
      <c r="F361" s="18" t="n">
        <v>46296</v>
      </c>
      <c r="G361" s="18" t="n"/>
      <c r="H361" s="17">
        <f>IF(OR(ISNUMBER(D361),ISNUMBER(E361)),IF(ISNUMBER(G361),G361,F361)-IF(ISNUMBER(D361),D361,E361),"")</f>
        <v/>
      </c>
      <c r="I361" s="12" t="n">
        <v>28500</v>
      </c>
      <c r="J361" s="12" t="n">
        <v>28500</v>
      </c>
      <c r="K361" s="13">
        <f>IF(AND(ISNUMBER(I361),ISNUMBER(J361),I361&gt;0),1-J361/I361,"")</f>
        <v/>
      </c>
      <c r="L361" s="16" t="n">
        <v>0</v>
      </c>
      <c r="M361" s="15" t="n">
        <v>72500</v>
      </c>
      <c r="N361" s="16" t="n">
        <v>2006</v>
      </c>
      <c r="O361" s="10" t="inlineStr">
        <is>
          <t>1</t>
        </is>
      </c>
      <c r="P361" s="10" t="inlineStr">
        <is>
          <t>2</t>
        </is>
      </c>
      <c r="Q361" s="16" t="n">
        <v>240</v>
      </c>
      <c r="R361" s="16" t="n">
        <v>16</v>
      </c>
      <c r="S361" s="10" t="inlineStr">
        <is>
          <t>bleu</t>
        </is>
      </c>
      <c r="T361" s="16" t="n">
        <v>2</v>
      </c>
      <c r="U361" s="10" t="n"/>
      <c r="V361" s="10" t="inlineStr">
        <is>
          <t>2</t>
        </is>
      </c>
      <c r="W361" s="10" t="inlineStr">
        <is>
          <t>Particulier</t>
        </is>
      </c>
      <c r="X361" s="10" t="inlineStr">
        <is>
          <t>Castres</t>
        </is>
      </c>
      <c r="Y361" s="10" t="inlineStr">
        <is>
          <t>81100</t>
        </is>
      </c>
      <c r="Z361" s="10" t="inlineStr">
        <is>
          <t>Tarn</t>
        </is>
      </c>
      <c r="AA361" s="10" t="inlineStr">
        <is>
          <t>Midi-Pyrénées</t>
        </is>
      </c>
      <c r="AB361" s="16" t="n"/>
      <c r="AC361" s="16" t="n"/>
      <c r="AD361" s="10" t="n"/>
      <c r="AE361" s="10" t="n"/>
      <c r="AF361" s="10" t="inlineStr">
        <is>
          <t>2 : 2 ; 18 : 18 ; 2006 : 2006 ; 0.96 : 0.96 ; https://img.leboncoin.fr/api/v1/tenants/9a6387a1-6259-4f2c-a887-7e67f23dd4cb/domains/20bda58f-d650-462e-a72a-a5a7ecf2bf88/buckets/21d2b0bc-e54c-4b64-a30b-89127b18b785/images/profile/pictures/default/e061fd3d-feed-5b10-883b-b542022a6fdf?rule=pp-small : https://img.leboncoin.fr/api/v1/tenants/9a6387a1-6259-4f2c-a887-7e67f23dd4cb/domains/20bda58f-d650-462e-a72a-a5a7ecf2bf88/buckets/21d2b0bc-e54c-4b64-a30b-89127b18b785/images/profile/pictures/default/e061fd3d-feed-5b10-883b-b542022a6fdf?rule=pp-small ; Porsche : Porsche ; Boxster : Boxster ; PORSCHE : PORSCHE ; 72500 km : 72500 ; Essence : 1 ; Automatique : 2 ; 06/2006 : 06/2006 ; Excellent état (proche du neuf) : excellent_condition ; Cabriolet : cabriolet ; Bleu : bleu ; 16 Cv : 16 ; 240 Ch : 240 ; Avec permis : avecpermis ; false : false ; https://autoviza.fr/report/report?uid=eed504db-84a1-4bec-afae-8b5f46096b6d : https://autoviza.fr/report/report?uid=eed504db-84a1-4bec-afae-8b5f46096b6d ; true : true ; rating_score : 0.96 ; rating_count : 18 ; u_car_brand : PORSCHE ; u_car_model : Boxster ; vehicle_damage : Excellent état (proche du neuf) ; vehicle_upholstery : Tout cuir ; vehicle_maintenance : Carnet d'entretien disponible, Factures disponibles, Véhicule non fumeur, Réparations utiles déjà faites ; vehicle_interior_specs : Aide au stationnement, Alarme antivol ; vehicle_vsp : Avec permis ; is_import : false ; vehicle_is_eligible_p2p : 2 ; vehicle_history_report_public_url : https://autoviza.fr/report/report?uid=eed504db-84a1-4bec-afae-8b5f46096b6d ; licence_plate_available : true</t>
        </is>
      </c>
      <c r="AG361" s="19" t="inlineStr">
        <is>
          <t>Voir</t>
        </is>
      </c>
      <c r="AH361" s="10" t="inlineStr">
        <is>
          <t>3276480306</t>
        </is>
      </c>
    </row>
    <row r="362">
      <c r="A362" s="10" t="inlineStr">
        <is>
          <t>Porsche Boxster 987</t>
        </is>
      </c>
      <c r="B362" s="10" t="inlineStr">
        <is>
          <t>Porsche Boxster 987.2</t>
        </is>
      </c>
      <c r="C362" s="10" t="inlineStr">
        <is>
          <t>En vente</t>
        </is>
      </c>
      <c r="D362" s="18" t="n">
        <v>46291</v>
      </c>
      <c r="E362" s="18" t="n">
        <v>46291</v>
      </c>
      <c r="F362" s="18" t="n">
        <v>46296</v>
      </c>
      <c r="G362" s="18" t="n"/>
      <c r="H362" s="17">
        <f>IF(OR(ISNUMBER(D362),ISNUMBER(E362)),IF(ISNUMBER(G362),G362,F362)-IF(ISNUMBER(D362),D362,E362),"")</f>
        <v/>
      </c>
      <c r="I362" s="12" t="n">
        <v>33500</v>
      </c>
      <c r="J362" s="12" t="n">
        <v>33500</v>
      </c>
      <c r="K362" s="13">
        <f>IF(AND(ISNUMBER(I362),ISNUMBER(J362),I362&gt;0),1-J362/I362,"")</f>
        <v/>
      </c>
      <c r="L362" s="16" t="n">
        <v>0</v>
      </c>
      <c r="M362" s="15" t="n">
        <v>86300</v>
      </c>
      <c r="N362" s="16" t="n">
        <v>2011</v>
      </c>
      <c r="O362" s="10" t="inlineStr">
        <is>
          <t>1</t>
        </is>
      </c>
      <c r="P362" s="10" t="inlineStr">
        <is>
          <t>1</t>
        </is>
      </c>
      <c r="Q362" s="16" t="n">
        <v>256</v>
      </c>
      <c r="R362" s="16" t="n">
        <v>17</v>
      </c>
      <c r="S362" s="10" t="inlineStr">
        <is>
          <t>marron</t>
        </is>
      </c>
      <c r="T362" s="16" t="n">
        <v>2</v>
      </c>
      <c r="U362" s="10" t="n"/>
      <c r="V362" s="10" t="inlineStr">
        <is>
          <t>1</t>
        </is>
      </c>
      <c r="W362" s="10" t="inlineStr">
        <is>
          <t>Particulier</t>
        </is>
      </c>
      <c r="X362" s="10" t="inlineStr">
        <is>
          <t>Verrières-le-Buisson</t>
        </is>
      </c>
      <c r="Y362" s="10" t="inlineStr">
        <is>
          <t>91370</t>
        </is>
      </c>
      <c r="Z362" s="10" t="inlineStr">
        <is>
          <t>Essonne</t>
        </is>
      </c>
      <c r="AA362" s="10" t="inlineStr">
        <is>
          <t>Ile-de-France</t>
        </is>
      </c>
      <c r="AB362" s="16" t="n"/>
      <c r="AC362" s="16" t="n"/>
      <c r="AD362" s="10" t="n"/>
      <c r="AE362" s="10" t="n"/>
      <c r="AF362" s="10" t="inlineStr">
        <is>
          <t>1 : 1 ; 2 : 2 ; 46 : 46 ; 2011 : 2011 ; 0.99 : 0.99 ; https://img.leboncoin.fr/api/v1/tenants/9a6387a1-6259-4f2c-a887-7e67f23dd4cb/domains/20bda58f-d650-462e-a72a-a5a7ecf2bf88/buckets/21d2b0bc-e54c-4b64-a30b-89127b18b785/images/profile/pictures/default/7c818356-ac52-5606-8948-074de03cbe97?rule=pp-small : https://img.leboncoin.fr/api/v1/tenants/9a6387a1-6259-4f2c-a887-7e67f23dd4cb/domains/20bda58f-d650-462e-a72a-a5a7ecf2bf88/buckets/21d2b0bc-e54c-4b64-a30b-89127b18b785/images/profile/pictures/default/7c818356-ac52-5606-8948-074de03cbe97?rule=pp-small ; Porsche : Porsche ; Boxster : Boxster ; PORSCHE : PORSCHE ; 86300 km : 86300 ; Essence : 1 ; Manuelle : 1 ; 05/2011 : 05/2011 ; Bon état général : good_overall_condition ; Cabriolet : cabriolet ; Marron : marron ; 17 Cv : 17 ; 256 Ch : 256 ; Avec permis : avecpermis ; essential : essential ; false : false ; https://autoviza.fr/report/report?uid=96f95931-e4cb-43c6-a2d0-4ca32252858f : https://autoviza.fr/report/report?uid=96f95931-e4cb-43c6-a2d0-4ca32252858f ; true : true ; rating_score : 0.99 ; rating_count : 46 ; u_car_brand : PORSCHE ; u_car_model : Boxster ; vehicle_damage : Bon état général ; vehicle_upholstery : Tout cuir ; vehicle_maintenance : Carnet d'entretien disponible, Factures disponibles, Véhicule non fumeur, Réparations utiles déjà faites ; vehicle_interior_specs : Aide au stationnement, Alarme antivol, Bluetooth, Climatisation, Coffre à ouverture électrique, Phares LED / Xenon, Siège réglable en hauteur, Sièges chauffants, Sièges en cuir, Système de navigation, Système de surveillance pression pneus (TPMS), Volant réglable en hauteur, Volant réglable en profondeur ; vehicle_vsp : Avec permis ; ad_warranty_type : essential ; is_import : false ; vehicle_is_eligible_p2p : 2 ; vehicle_history_report_public_url : https://autoviza.fr/report/report?uid=96f95931-e4cb-43c6-a2d0-4ca32252858f ; licence_plate_available : true</t>
        </is>
      </c>
      <c r="AG362" s="19" t="inlineStr">
        <is>
          <t>Voir</t>
        </is>
      </c>
      <c r="AH362" s="10" t="inlineStr">
        <is>
          <t>3277011288</t>
        </is>
      </c>
    </row>
    <row r="363">
      <c r="A363" s="10" t="inlineStr">
        <is>
          <t>Porsche Boxster 987</t>
        </is>
      </c>
      <c r="B363" s="10" t="inlineStr">
        <is>
          <t>Porsche Boxster 987-3.4 310ch</t>
        </is>
      </c>
      <c r="C363" s="10" t="inlineStr">
        <is>
          <t>En vente</t>
        </is>
      </c>
      <c r="D363" s="18" t="n">
        <v>46291</v>
      </c>
      <c r="E363" s="18" t="n">
        <v>46291</v>
      </c>
      <c r="F363" s="18" t="n">
        <v>46296</v>
      </c>
      <c r="G363" s="18" t="n"/>
      <c r="H363" s="17">
        <f>IF(OR(ISNUMBER(D363),ISNUMBER(E363)),IF(ISNUMBER(G363),G363,F363)-IF(ISNUMBER(D363),D363,E363),"")</f>
        <v/>
      </c>
      <c r="I363" s="12" t="n">
        <v>35500</v>
      </c>
      <c r="J363" s="12" t="n">
        <v>35500</v>
      </c>
      <c r="K363" s="13">
        <f>IF(AND(ISNUMBER(I363),ISNUMBER(J363),I363&gt;0),1-J363/I363,"")</f>
        <v/>
      </c>
      <c r="L363" s="16" t="n">
        <v>0</v>
      </c>
      <c r="M363" s="15" t="n">
        <v>94000</v>
      </c>
      <c r="N363" s="16" t="n">
        <v>2009</v>
      </c>
      <c r="O363" s="10" t="inlineStr">
        <is>
          <t>1</t>
        </is>
      </c>
      <c r="P363" s="10" t="inlineStr">
        <is>
          <t>1</t>
        </is>
      </c>
      <c r="Q363" s="16" t="n">
        <v>310</v>
      </c>
      <c r="R363" s="16" t="n">
        <v>21</v>
      </c>
      <c r="S363" s="10" t="inlineStr">
        <is>
          <t>noir</t>
        </is>
      </c>
      <c r="T363" s="16" t="n">
        <v>2</v>
      </c>
      <c r="U363" s="10" t="n"/>
      <c r="V363" s="10" t="inlineStr">
        <is>
          <t>1</t>
        </is>
      </c>
      <c r="W363" s="10" t="inlineStr">
        <is>
          <t>Particulier</t>
        </is>
      </c>
      <c r="X363" s="10" t="inlineStr">
        <is>
          <t>Verny</t>
        </is>
      </c>
      <c r="Y363" s="10" t="inlineStr">
        <is>
          <t>57420</t>
        </is>
      </c>
      <c r="Z363" s="10" t="inlineStr">
        <is>
          <t>Moselle</t>
        </is>
      </c>
      <c r="AA363" s="10" t="inlineStr">
        <is>
          <t>Lorraine</t>
        </is>
      </c>
      <c r="AB363" s="16" t="n"/>
      <c r="AC363" s="16" t="n"/>
      <c r="AD363" s="10" t="n"/>
      <c r="AE363" s="10" t="n"/>
      <c r="AF363" s="10" t="inlineStr">
        <is>
          <t>1 : 1 ; 2 : 2 ; 2009 : 2009 ; 981441 : 981441 ; https://img.leboncoin.fr/api/v1/tenants/9a6387a1-6259-4f2c-a887-7e67f23dd4cb/domains/20bda58f-d650-462e-a72a-a5a7ecf2bf88/buckets/21d2b0bc-e54c-4b64-a30b-89127b18b785/images/profile/pictures/default/88294996-ce92-5c0d-a199-770b9d99548c?rule=pp-small : https://img.leboncoin.fr/api/v1/tenants/9a6387a1-6259-4f2c-a887-7e67f23dd4cb/domains/20bda58f-d650-462e-a72a-a5a7ecf2bf88/buckets/21d2b0bc-e54c-4b64-a30b-89127b18b785/images/profile/pictures/default/88294996-ce92-5c0d-a199-770b9d99548c?rule=pp-small ; Porsche : Porsche ; Boxster : Boxster ; PORSCHE : PORSCHE ; 94000 km : 94000 ; Essence : 1 ; Manuelle : 1 ; S : PORSCHE_Boxster_S ; Boxster 3.4 S : Boxster 3.4 S ; Oui : true ; 11/2009 : 11/2009 ; Excellent état (proche du neuf) : excellent_condition ; Cabriolet : cabriolet ; Noir : noir ; Euro 5 : euro5 ; 21 Cv : 21 ; 310 Ch : 310 ; Avec permis : avecpermis ; false : false ; true : true ; rating_score : 1 ; rating_count : 1 ; u_car_brand : PORSCHE ; u_car_model : Boxster ; u_car_finition : S ; u_car_version : Boxster 3.4 S ; vehicle_technical_inspection_valid : Oui ; vehicle_damage : Excellent état (proche du neuf) ; vehicle_upholstery : Tout cuir ; vehicle_maintenance : Carnet d'entretien disponible, Factures disponibles ; vehicle_euro_emissions_standard : Euro 5 ; vehicle_vsp : Avec permis ; is_import : false ; vehicle_is_eligible_p2p : 2 ; argus_object_id : 981441 ; licence_plate_available : true</t>
        </is>
      </c>
      <c r="AG363" s="19" t="inlineStr">
        <is>
          <t>Voir</t>
        </is>
      </c>
      <c r="AH363" s="10" t="inlineStr">
        <is>
          <t>3277083239</t>
        </is>
      </c>
    </row>
    <row r="364">
      <c r="A364" s="10" t="inlineStr">
        <is>
          <t>Porsche Boxster 987</t>
        </is>
      </c>
      <c r="B364" s="10" t="inlineStr">
        <is>
          <t>PORSCHE BOXSTER 987.1 2,7 L 245ch</t>
        </is>
      </c>
      <c r="C364" s="10" t="inlineStr">
        <is>
          <t>En vente</t>
        </is>
      </c>
      <c r="D364" s="18" t="n">
        <v>46293</v>
      </c>
      <c r="E364" s="18" t="n">
        <v>46293</v>
      </c>
      <c r="F364" s="18" t="n">
        <v>46296</v>
      </c>
      <c r="G364" s="18" t="n"/>
      <c r="H364" s="17">
        <f>IF(OR(ISNUMBER(D364),ISNUMBER(E364)),IF(ISNUMBER(G364),G364,F364)-IF(ISNUMBER(D364),D364,E364),"")</f>
        <v/>
      </c>
      <c r="I364" s="12" t="n">
        <v>27499</v>
      </c>
      <c r="J364" s="12" t="n">
        <v>27499</v>
      </c>
      <c r="K364" s="13">
        <f>IF(AND(ISNUMBER(I364),ISNUMBER(J364),I364&gt;0),1-J364/I364,"")</f>
        <v/>
      </c>
      <c r="L364" s="16" t="n">
        <v>0</v>
      </c>
      <c r="M364" s="15" t="n">
        <v>87500</v>
      </c>
      <c r="N364" s="16" t="n">
        <v>2008</v>
      </c>
      <c r="O364" s="10" t="inlineStr">
        <is>
          <t>1</t>
        </is>
      </c>
      <c r="P364" s="10" t="inlineStr">
        <is>
          <t>1</t>
        </is>
      </c>
      <c r="Q364" s="16" t="n">
        <v>245</v>
      </c>
      <c r="R364" s="16" t="n">
        <v>16</v>
      </c>
      <c r="S364" s="10" t="inlineStr">
        <is>
          <t>gris</t>
        </is>
      </c>
      <c r="T364" s="16" t="n">
        <v>2</v>
      </c>
      <c r="U364" s="10" t="n"/>
      <c r="V364" s="10" t="n"/>
      <c r="W364" s="10" t="inlineStr">
        <is>
          <t>Particulier</t>
        </is>
      </c>
      <c r="X364" s="10" t="inlineStr">
        <is>
          <t>Charleville-Mézières</t>
        </is>
      </c>
      <c r="Y364" s="10" t="inlineStr">
        <is>
          <t>08000</t>
        </is>
      </c>
      <c r="Z364" s="10" t="inlineStr">
        <is>
          <t>Ardennes</t>
        </is>
      </c>
      <c r="AA364" s="10" t="inlineStr">
        <is>
          <t>Champagne-Ardenne</t>
        </is>
      </c>
      <c r="AB364" s="16" t="n"/>
      <c r="AC364" s="16" t="n"/>
      <c r="AD364" s="10" t="n"/>
      <c r="AE364" s="10" t="n"/>
      <c r="AF364" s="10" t="inlineStr">
        <is>
          <t>1 : 1 ; 2 : 2 ; 3 : 3 ; 2008 : 2008 ; https://img.leboncoin.fr/api/v1/tenants/9a6387a1-6259-4f2c-a887-7e67f23dd4cb/domains/20bda58f-d650-462e-a72a-a5a7ecf2bf88/buckets/21d2b0bc-e54c-4b64-a30b-89127b18b785/images/profile/pictures/default/0090fd61-8069-50ad-8628-9a8a49e10083?rule=pp-small : https://img.leboncoin.fr/api/v1/tenants/9a6387a1-6259-4f2c-a887-7e67f23dd4cb/domains/20bda58f-d650-462e-a72a-a5a7ecf2bf88/buckets/21d2b0bc-e54c-4b64-a30b-89127b18b785/images/profile/pictures/default/0090fd61-8069-50ad-8628-9a8a49e10083?rule=pp-small ; Porsche : Porsche ; Boxster : Boxster ; PORSCHE : PORSCHE ; 87500 km : 87500 ; Essence : 1 ; Manuelle : 1 ; Non : false ; 07/2008 : 07/2008 ; Bon état général : good_overall_condition ; Cabriolet : cabriolet ; Gris : gris ; 16 Cv : 16 ; 245 Ch : 245 ; Avec permis : avecpermis ; essential : essential ; false : false ; https://autoviza.fr/report/report?uid=1c0491d4-a06c-42d6-8bba-a09602153fe4 : https://autoviza.fr/report/report?uid=1c0491d4-a06c-42d6-8bba-a09602153fe4 ; visible : visible ; true : true ; rating_score : 1 ; rating_count : 3 ; u_car_brand : PORSCHE ; u_car_model : Boxster ; vehicle_technical_inspection_valid : Non ; vehicle_damage : Bon état général ; vehicle_upholstery : Tout cuir ; vehicle_maintenance : Carnet d'entretien disponible, Factures disponibles, Véhicule non fumeur ; vehicle_interior_specs : Bluetooth, Climatisation, Régulateur de vitesse, Sièges en cuir, Sièges sport, Système de navigation, Volant réglable en hauteur, Volant réglable en profondeur ; vehicle_vsp : Avec permis ; ad_warranty_type : essential ; is_import : false ; vehicle_is_eligible_p2p : 2 ; vehicle_history_report_public_url : https://autoviza.fr/report/report?uid=1c0491d4-a06c-42d6-8bba-a09602153fe4 ; vehicle_history_report_status : visible ; licence_plate_available : true</t>
        </is>
      </c>
      <c r="AG364" s="19" t="inlineStr">
        <is>
          <t>Voir</t>
        </is>
      </c>
      <c r="AH364" s="10" t="inlineStr">
        <is>
          <t>3278151888</t>
        </is>
      </c>
    </row>
    <row r="365">
      <c r="A365" s="10" t="inlineStr">
        <is>
          <t>Porsche Boxster 987</t>
        </is>
      </c>
      <c r="B365" s="10" t="inlineStr">
        <is>
          <t>Porsche boxster s 3.4 310 pdk type 987</t>
        </is>
      </c>
      <c r="C365" s="10" t="inlineStr">
        <is>
          <t>En vente</t>
        </is>
      </c>
      <c r="D365" s="18" t="n">
        <v>46266</v>
      </c>
      <c r="E365" s="18" t="n">
        <v>46266</v>
      </c>
      <c r="F365" s="18" t="n">
        <v>46296</v>
      </c>
      <c r="G365" s="18" t="n"/>
      <c r="H365" s="17">
        <f>IF(OR(ISNUMBER(D365),ISNUMBER(E365)),IF(ISNUMBER(G365),G365,F365)-IF(ISNUMBER(D365),D365,E365),"")</f>
        <v/>
      </c>
      <c r="I365" s="12" t="n">
        <v>45990</v>
      </c>
      <c r="J365" s="12" t="n">
        <v>45990</v>
      </c>
      <c r="K365" s="13">
        <f>IF(AND(ISNUMBER(I365),ISNUMBER(J365),I365&gt;0),1-J365/I365,"")</f>
        <v/>
      </c>
      <c r="L365" s="16" t="n">
        <v>0</v>
      </c>
      <c r="M365" s="15" t="n">
        <v>74900</v>
      </c>
      <c r="N365" s="16" t="n">
        <v>2011</v>
      </c>
      <c r="O365" s="10" t="inlineStr">
        <is>
          <t>1</t>
        </is>
      </c>
      <c r="P365" s="10" t="inlineStr">
        <is>
          <t>2</t>
        </is>
      </c>
      <c r="Q365" s="16" t="n">
        <v>310</v>
      </c>
      <c r="R365" s="16" t="n">
        <v>21</v>
      </c>
      <c r="S365" s="10" t="inlineStr">
        <is>
          <t>vert</t>
        </is>
      </c>
      <c r="T365" s="16" t="n">
        <v>2</v>
      </c>
      <c r="U365" s="10" t="n"/>
      <c r="V365" s="10" t="inlineStr">
        <is>
          <t>1</t>
        </is>
      </c>
      <c r="W365" s="10" t="inlineStr">
        <is>
          <t>Pro</t>
        </is>
      </c>
      <c r="X365" s="10" t="inlineStr">
        <is>
          <t>Ocquerre</t>
        </is>
      </c>
      <c r="Y365" s="10" t="inlineStr">
        <is>
          <t>77440</t>
        </is>
      </c>
      <c r="Z365" s="10" t="inlineStr">
        <is>
          <t>Seine-et-Marne</t>
        </is>
      </c>
      <c r="AA365" s="10" t="inlineStr">
        <is>
          <t>Ile-de-France</t>
        </is>
      </c>
      <c r="AB365" s="16" t="n"/>
      <c r="AC365" s="16" t="n"/>
      <c r="AD365" s="10" t="n"/>
      <c r="AE365" s="10" t="n"/>
      <c r="AF365" s="10" t="inlineStr">
        <is>
          <t>1 : 1 ; 2 : 2 ; 2011 : 2011 ; 981442 : 981442 ; 5589105 : 5589105 ; Porsche : Porsche ; Boxster : Boxster ; PORSCHE : PORSCHE ; 74900 km : 74900 ; Essence : 1 ; Automatique : 2 ; S : PORSCHE_Boxster_S ; Boxster 3.4 S PDK : Boxster 3.4 S PDK ; 01/2011 : 01/2011 ; Bon état général : good_overall_condition ; Cabriolet : cabriolet ; Vert : vert ; 21 Cv : 21 ; 310 Ch : 310 ; Sans permis : sanspermis ; false : false ; true : true ; https://img.leboncoin.fr/api/v1/lbcpb1/images/67/50/8f/67508fe3-c6ea-42c1-b161-cdf252cf125d?rule=bo-thumb : https://img.leboncoin.fr/api/v1/lbcpb1/images/67/50/8f/67508fe3-c6ea-42c1-b161-cdf252cf125d?rule=bo-thumb ; KDV MOTORS : KDV MOTORS ; 1713-0000193 : 1713-0000193 ; https://autoviza.fr/report/report?uid=d8ce5f70-2a3d-4238-b885-74b358024181 : https://autoviza.fr/report/report?uid=d8ce5f70-2a3d-4238-b885-74b358024181 ; visible : visible ; Non renseignée : non_renseignee ; activity_sector : 1 ; u_car_brand : PORSCHE ; u_car_model : Boxster ; u_car_finition : S ; u_car_version : Boxster 3.4 S PDK ; vehicle_damage : Bon état général ; vehicle_interior_specs : Climatisation, Jantes en alliage, Ordinateur de bord, Sièges chauffants ; vehicle_vsp : Sans permis ; recent_used_vehicle : false ; has_visibility_option : true ; store_logo : https://img.leboncoin.fr/api/v1/lbcpb1/images/67/50/8f/67508fe3-c6ea-42c1-b161-cdf252cf125d?rule=bo-thumb ; store_name : KDV MOTORS ; online_store_id : 5589105 ; custom_ref : 1713-0000193 ; is_import : true ; vehicle_history_report_public_url : https://autoviza.fr/report/report?uid=d8ce5f70-2a3d-4238-b885-74b358024181 ; vehicle_history_report_status : visible ; argus_object_id : 981442 ; spare_parts_availability : Non renseignée ; licence_plate_available : true</t>
        </is>
      </c>
      <c r="AG365" s="19" t="inlineStr">
        <is>
          <t>Voir</t>
        </is>
      </c>
      <c r="AH365" s="10" t="inlineStr">
        <is>
          <t>3278205054</t>
        </is>
      </c>
    </row>
    <row r="366">
      <c r="A366" s="10" t="inlineStr">
        <is>
          <t>Porsche Boxster 987</t>
        </is>
      </c>
      <c r="B366" s="10" t="inlineStr">
        <is>
          <t>PORSCHE BOXSTER 2.7i 240 TYPE 987 CABRIOLET</t>
        </is>
      </c>
      <c r="C366" s="10" t="inlineStr">
        <is>
          <t>En vente</t>
        </is>
      </c>
      <c r="D366" s="18" t="n">
        <v>46293</v>
      </c>
      <c r="E366" s="18" t="n">
        <v>46293</v>
      </c>
      <c r="F366" s="18" t="n">
        <v>46296</v>
      </c>
      <c r="G366" s="18" t="n"/>
      <c r="H366" s="17">
        <f>IF(OR(ISNUMBER(D366),ISNUMBER(E366)),IF(ISNUMBER(G366),G366,F366)-IF(ISNUMBER(D366),D366,E366),"")</f>
        <v/>
      </c>
      <c r="I366" s="12" t="n">
        <v>27990</v>
      </c>
      <c r="J366" s="12" t="n">
        <v>27990</v>
      </c>
      <c r="K366" s="13">
        <f>IF(AND(ISNUMBER(I366),ISNUMBER(J366),I366&gt;0),1-J366/I366,"")</f>
        <v/>
      </c>
      <c r="L366" s="16" t="n">
        <v>0</v>
      </c>
      <c r="M366" s="15" t="n">
        <v>109682</v>
      </c>
      <c r="N366" s="16" t="n">
        <v>2005</v>
      </c>
      <c r="O366" s="10" t="inlineStr">
        <is>
          <t>1</t>
        </is>
      </c>
      <c r="P366" s="10" t="inlineStr">
        <is>
          <t>1</t>
        </is>
      </c>
      <c r="Q366" s="16" t="n">
        <v>240</v>
      </c>
      <c r="R366" s="16" t="n">
        <v>16</v>
      </c>
      <c r="S366" s="10" t="inlineStr">
        <is>
          <t>bleu</t>
        </is>
      </c>
      <c r="T366" s="16" t="n">
        <v>2</v>
      </c>
      <c r="U366" s="10" t="n"/>
      <c r="V366" s="10" t="inlineStr">
        <is>
          <t>3</t>
        </is>
      </c>
      <c r="W366" s="10" t="inlineStr">
        <is>
          <t>Pro</t>
        </is>
      </c>
      <c r="X366" s="10" t="inlineStr">
        <is>
          <t>Bischwihr</t>
        </is>
      </c>
      <c r="Y366" s="10" t="inlineStr">
        <is>
          <t>68320</t>
        </is>
      </c>
      <c r="Z366" s="10" t="inlineStr">
        <is>
          <t>Haut-Rhin</t>
        </is>
      </c>
      <c r="AA366" s="10" t="inlineStr">
        <is>
          <t>Alsace</t>
        </is>
      </c>
      <c r="AB366" s="16" t="n"/>
      <c r="AC366" s="16" t="n"/>
      <c r="AD366" s="10" t="inlineStr">
        <is>
          <t>Oui</t>
        </is>
      </c>
      <c r="AE366" s="10" t="n"/>
      <c r="AF366" s="10" t="inlineStr">
        <is>
          <t>1 : 1 ; 2 : 2 ; 3 : 3 ; 2005 : 2005 ; 835017 : 835017 ; 7203346 : 7203346 ; Porsche : Porsche ; Boxster : Boxster ; PORSCHE : PORSCHE ; 109682 km : 109682 ; Essence : 1 ; Manuelle : 1 ; Base : PORSCHE_Boxster_Base ; Boxster 2.7 : Boxster 2.7 ; 04/2005 : 04/2005 ; Bon état général : good_overall_condition ; Cabriolet : cabriolet ; Bleu : bleu ; 16 Cv : 16 ; 240 Ch : 240 ; Sans permis : sanspermis ; false : false ; true : true ; https://img.leboncoin.fr/api/v1/lbcpb1/images/94/48/3c/94483ccb-4f7c-44c0-8eb7-95d08c8c2358?rule=bo-thumb : https://img.leboncoin.fr/api/v1/lbcpb1/images/94/48/3c/94483ccb-4f7c-44c0-8eb7-95d08c8c2358?rule=bo-thumb ; Bolides &amp; Légendes : Bolides &amp; Légendes ; 1783-0000048 : 1783-0000048 ; https://app.weespots.com/5f816b9a4fc924ab995b9f35cbf3607325855e7d0630c817498473e1e73237bb/1783-0000048/leboncoin : https://app.weespots.com/5f816b9a4fc924ab995b9f35cbf3607325855e7d0630c817498473e1e73237bb/1783-0000048/leboncoin ; https://autoviza.fr/report/report?uid=f7afc64b-7f93-441b-8bcb-542085dddaf1 : https://autoviza.fr/report/report?uid=f7afc64b-7f93-441b-8bcb-542085dddaf1 ; visible : visible ; Non renseignée : non_renseignee ; activity_sector : 1 ; u_car_brand : PORSCHE ; u_car_model : Boxster ; u_car_finition : Base ; u_car_version : Boxster 2.7 ; vehicle_damage : Bon état général ; vehicle_interior_specs : Climatisation, Ordinateur de bord, Régulateur de vitesse, Sièges chauffants ; vehicle_vsp : Sans permis ; recent_used_vehicle : false ; has_visibility_option : true ; store_logo : https://img.leboncoin.fr/api/v1/lbcpb1/images/94/48/3c/94483ccb-4f7c-44c0-8eb7-95d08c8c2358?rule=bo-thumb ; store_name : Bolides &amp; Légendes ; online_store_id : 7203346 ; custom_ref : 1783-0000048 ; virtual_tour : https://app.weespots.com/5f816b9a4fc924ab995b9f35cbf3607325855e7d0630c817498473e1e73237bb/1783-0000048/leboncoin ; is_import : true ; vehicle_history_report_public_url : https://autoviza.fr/report/report?uid=f7afc64b-7f93-441b-8bcb-542085dddaf1 ; vehicle_history_report_status : visible ; argus_object_id : 835017 ; spare_parts_availability : Non renseignée ; licence_plate_available : true</t>
        </is>
      </c>
      <c r="AG366" s="19" t="inlineStr">
        <is>
          <t>Voir</t>
        </is>
      </c>
      <c r="AH366" s="10" t="inlineStr">
        <is>
          <t>3278260839</t>
        </is>
      </c>
    </row>
    <row r="367">
      <c r="A367" s="10" t="inlineStr">
        <is>
          <t>Porsche Boxster 987</t>
        </is>
      </c>
      <c r="B367" s="10" t="inlineStr">
        <is>
          <t>Porsche BOXSTER (987) 3.4 S</t>
        </is>
      </c>
      <c r="C367" s="10" t="inlineStr">
        <is>
          <t>En vente</t>
        </is>
      </c>
      <c r="D367" s="18" t="n">
        <v>46294</v>
      </c>
      <c r="E367" s="18" t="n">
        <v>46294</v>
      </c>
      <c r="F367" s="18" t="n">
        <v>46296</v>
      </c>
      <c r="G367" s="18" t="n"/>
      <c r="H367" s="17">
        <f>IF(OR(ISNUMBER(D367),ISNUMBER(E367)),IF(ISNUMBER(G367),G367,F367)-IF(ISNUMBER(D367),D367,E367),"")</f>
        <v/>
      </c>
      <c r="I367" s="12" t="n">
        <v>34490</v>
      </c>
      <c r="J367" s="12" t="n">
        <v>34490</v>
      </c>
      <c r="K367" s="13">
        <f>IF(AND(ISNUMBER(I367),ISNUMBER(J367),I367&gt;0),1-J367/I367,"")</f>
        <v/>
      </c>
      <c r="L367" s="16" t="n">
        <v>0</v>
      </c>
      <c r="M367" s="15" t="n">
        <v>110700</v>
      </c>
      <c r="N367" s="16" t="n">
        <v>2007</v>
      </c>
      <c r="O367" s="10" t="inlineStr">
        <is>
          <t>1</t>
        </is>
      </c>
      <c r="P367" s="10" t="inlineStr">
        <is>
          <t>1</t>
        </is>
      </c>
      <c r="Q367" s="16" t="n">
        <v>295</v>
      </c>
      <c r="R367" s="16" t="n">
        <v>21</v>
      </c>
      <c r="S367" s="10" t="inlineStr">
        <is>
          <t>noir</t>
        </is>
      </c>
      <c r="T367" s="16" t="n"/>
      <c r="U367" s="10" t="n"/>
      <c r="V367" s="10" t="inlineStr">
        <is>
          <t>2</t>
        </is>
      </c>
      <c r="W367" s="10" t="inlineStr">
        <is>
          <t>Pro</t>
        </is>
      </c>
      <c r="X367" s="10" t="inlineStr">
        <is>
          <t>Clermont-Ferrand</t>
        </is>
      </c>
      <c r="Y367" s="10" t="inlineStr">
        <is>
          <t>63100</t>
        </is>
      </c>
      <c r="Z367" s="10" t="inlineStr">
        <is>
          <t>Puy-de-Dôme</t>
        </is>
      </c>
      <c r="AA367" s="10" t="inlineStr">
        <is>
          <t>Auvergne</t>
        </is>
      </c>
      <c r="AB367" s="16" t="n"/>
      <c r="AC367" s="16" t="n"/>
      <c r="AD367" s="10" t="n"/>
      <c r="AE367" s="10" t="n"/>
      <c r="AF367" s="10" t="inlineStr">
        <is>
          <t>1 : 1 ; 2 : 2 ; 2007 : 2007 ; 2480 : 2480 ; 7637 : 7637 ; 904766 : 904766 ; Porsche : Porsche ; Boxster : Boxster ; PORSCHE : PORSCHE ; 110700 km : 110700 ; Essence : 1 ; Manuelle : 1 ; S : PORSCHE_Boxster_S ; Boxster 3.4 S : Boxster 3.4 S ; 01/2007 : 01/2007 ; Cabriolet : cabriolet ; Noir : noir ; 21 Cv : 21 ; 295 Ch : 295 ; Avec permis : avecpermis ; false : false ; https://img.leboncoin.fr/api/v1/lbcpb1/images/8b/8b/2a/8b8b2a67-d458-4c6d-9dc3-6448a9b969f0?rule=bo-thumb : https://img.leboncoin.fr/api/v1/lbcpb1/images/8b/8b/2a/8b8b2a67-d458-4c6d-9dc3-6448a9b969f0?rule=bo-thumb ; AUVERGNE CENTRAL AUTO : AUVERGNE CENTRAL AUTO ; true : true ; https://autoviza.fr/report/report?uid=e8fecf2d-bf6a-4489-9cd3-55e637532738 : https://autoviza.fr/report/report?uid=e8fecf2d-bf6a-4489-9cd3-55e637532738 ; visible : visible ; Non renseignée : non_renseignee ; activity_sector : 1 ; u_car_brand : PORSCHE ; u_car_model : Boxster ; u_car_finition : S ; u_car_version : Boxster 3.4 S ; vehicle_vsp : Avec permis ; recent_used_vehicle : false ; has_visibility_option : false ; store_logo : https://img.leboncoin.fr/api/v1/lbcpb1/images/8b/8b/2a/8b8b2a67-d458-4c6d-9dc3-6448a9b969f0?rule=bo-thumb ; store_name : AUVERGNE CENTRAL AUTO ; online_store_id : 7637 ; custom_ref : 2480 ; is_import : true ; vehicle_history_report_public_url : https://autoviza.fr/report/report?uid=e8fecf2d-bf6a-4489-9cd3-55e637532738 ; vehicle_history_report_status : visible ; argus_object_id : 904766 ; spare_parts_availability : Non renseignée ; licence_plate_available : true</t>
        </is>
      </c>
      <c r="AG367" s="19" t="inlineStr">
        <is>
          <t>Voir</t>
        </is>
      </c>
      <c r="AH367" s="10" t="inlineStr">
        <is>
          <t>3278728030</t>
        </is>
      </c>
    </row>
    <row r="368">
      <c r="A368" s="10" t="inlineStr">
        <is>
          <t>Porsche Boxster 987</t>
        </is>
      </c>
      <c r="B368" s="10" t="inlineStr">
        <is>
          <t>Porsche Boxster 987</t>
        </is>
      </c>
      <c r="C368" s="10" t="inlineStr">
        <is>
          <t>En vente</t>
        </is>
      </c>
      <c r="D368" s="18" t="n">
        <v>46294</v>
      </c>
      <c r="E368" s="18" t="n">
        <v>46294</v>
      </c>
      <c r="F368" s="18" t="n">
        <v>46296</v>
      </c>
      <c r="G368" s="18" t="n"/>
      <c r="H368" s="17">
        <f>IF(OR(ISNUMBER(D368),ISNUMBER(E368)),IF(ISNUMBER(G368),G368,F368)-IF(ISNUMBER(D368),D368,E368),"")</f>
        <v/>
      </c>
      <c r="I368" s="12" t="n">
        <v>27500</v>
      </c>
      <c r="J368" s="12" t="n">
        <v>27500</v>
      </c>
      <c r="K368" s="13">
        <f>IF(AND(ISNUMBER(I368),ISNUMBER(J368),I368&gt;0),1-J368/I368,"")</f>
        <v/>
      </c>
      <c r="L368" s="16" t="n">
        <v>0</v>
      </c>
      <c r="M368" s="15" t="n">
        <v>114000</v>
      </c>
      <c r="N368" s="16" t="n">
        <v>2006</v>
      </c>
      <c r="O368" s="10" t="inlineStr">
        <is>
          <t>1</t>
        </is>
      </c>
      <c r="P368" s="10" t="inlineStr">
        <is>
          <t>1</t>
        </is>
      </c>
      <c r="Q368" s="16" t="n">
        <v>240</v>
      </c>
      <c r="R368" s="16" t="n">
        <v>16</v>
      </c>
      <c r="S368" s="10" t="inlineStr">
        <is>
          <t>noir</t>
        </is>
      </c>
      <c r="T368" s="16" t="n">
        <v>2</v>
      </c>
      <c r="U368" s="10" t="n"/>
      <c r="V368" s="10" t="n"/>
      <c r="W368" s="10" t="inlineStr">
        <is>
          <t>Particulier</t>
        </is>
      </c>
      <c r="X368" s="10" t="inlineStr">
        <is>
          <t>Nantes</t>
        </is>
      </c>
      <c r="Y368" s="10" t="inlineStr">
        <is>
          <t>44000</t>
        </is>
      </c>
      <c r="Z368" s="10" t="inlineStr">
        <is>
          <t>Loire-Atlantique</t>
        </is>
      </c>
      <c r="AA368" s="10" t="inlineStr">
        <is>
          <t>Pays de la Loire</t>
        </is>
      </c>
      <c r="AB368" s="16" t="n"/>
      <c r="AC368" s="16" t="n"/>
      <c r="AD368" s="10" t="n"/>
      <c r="AE368" s="10" t="n"/>
      <c r="AF368" s="10" t="inlineStr">
        <is>
          <t>1 : 1 ; 2 : 2 ; 3 : 3 ; 2006 : 2006 ; https://img.leboncoin.fr/api/v1/tenants/9a6387a1-6259-4f2c-a887-7e67f23dd4cb/domains/20bda58f-d650-462e-a72a-a5a7ecf2bf88/buckets/21d2b0bc-e54c-4b64-a30b-89127b18b785/images/profile/pictures/default/5ddcbbfc-feeb-5d23-ae7e-2f6ff558373f?rule=pp-small : https://img.leboncoin.fr/api/v1/tenants/9a6387a1-6259-4f2c-a887-7e67f23dd4cb/domains/20bda58f-d650-462e-a72a-a5a7ecf2bf88/buckets/21d2b0bc-e54c-4b64-a30b-89127b18b785/images/profile/pictures/default/5ddcbbfc-feeb-5d23-ae7e-2f6ff558373f?rule=pp-small ; Porsche : Porsche ; Boxster : Boxster ; PORSCHE : PORSCHE ; 114000 km : 114000 ; Essence : 1 ; Manuelle : 1 ; 04/2006 : 04/2006 ; Cabriolet : cabriolet ; Noir : noir ; 16 Cv : 16 ; 240 Ch : 240 ; Avec permis : avecpermis ; false : false ; true : true ; rating_score : 1 ; rating_count : 3 ; u_car_brand : PORSCHE ; u_car_model : Boxster ; vehicle_upholstery : Tout cuir ; vehicle_vsp : Avec permis ; is_import : false ; vehicle_is_eligible_p2p : 2 ; licence_plate_available : true</t>
        </is>
      </c>
      <c r="AG368" s="19" t="inlineStr">
        <is>
          <t>Voir</t>
        </is>
      </c>
      <c r="AH368" s="10" t="inlineStr">
        <is>
          <t>3279041618</t>
        </is>
      </c>
    </row>
    <row r="369">
      <c r="A369" s="10" t="inlineStr">
        <is>
          <t>Renault Clio II RS (172/182 ch)</t>
        </is>
      </c>
      <c r="B369" s="10" t="inlineStr">
        <is>
          <t>RENAULT Clio rs 2.0i 16v 182cHv 2.0I 182chvv sport</t>
        </is>
      </c>
      <c r="C369" s="10" t="inlineStr">
        <is>
          <t>En vente</t>
        </is>
      </c>
      <c r="D369" s="18" t="n">
        <v>45786</v>
      </c>
      <c r="E369" s="18" t="n">
        <v>45786</v>
      </c>
      <c r="F369" s="18" t="n">
        <v>46296</v>
      </c>
      <c r="G369" s="18" t="n"/>
      <c r="H369" s="17">
        <f>IF(OR(ISNUMBER(D369),ISNUMBER(E369)),IF(ISNUMBER(G369),G369,F369)-IF(ISNUMBER(D369),D369,E369),"")</f>
        <v/>
      </c>
      <c r="I369" s="12" t="n">
        <v>12990</v>
      </c>
      <c r="J369" s="12" t="n">
        <v>12990</v>
      </c>
      <c r="K369" s="13">
        <f>IF(AND(ISNUMBER(I369),ISNUMBER(J369),I369&gt;0),1-J369/I369,"")</f>
        <v/>
      </c>
      <c r="L369" s="16" t="n">
        <v>0</v>
      </c>
      <c r="M369" s="15" t="n">
        <v>107800</v>
      </c>
      <c r="N369" s="16" t="n">
        <v>2005</v>
      </c>
      <c r="O369" s="10" t="inlineStr">
        <is>
          <t>1</t>
        </is>
      </c>
      <c r="P369" s="10" t="inlineStr">
        <is>
          <t>1</t>
        </is>
      </c>
      <c r="Q369" s="16" t="n">
        <v>179</v>
      </c>
      <c r="R369" s="16" t="n">
        <v>11</v>
      </c>
      <c r="S369" s="10" t="inlineStr">
        <is>
          <t>noir</t>
        </is>
      </c>
      <c r="T369" s="16" t="n">
        <v>3</v>
      </c>
      <c r="U369" s="10" t="n"/>
      <c r="V369" s="10" t="inlineStr">
        <is>
          <t>3</t>
        </is>
      </c>
      <c r="W369" s="10" t="inlineStr">
        <is>
          <t>Pro</t>
        </is>
      </c>
      <c r="X369" s="10" t="inlineStr">
        <is>
          <t>Poilly-lez-Gien</t>
        </is>
      </c>
      <c r="Y369" s="10" t="inlineStr">
        <is>
          <t>45500</t>
        </is>
      </c>
      <c r="Z369" s="10" t="inlineStr">
        <is>
          <t>Loiret</t>
        </is>
      </c>
      <c r="AA369" s="10" t="inlineStr">
        <is>
          <t>Centre</t>
        </is>
      </c>
      <c r="AB369" s="16" t="n"/>
      <c r="AC369" s="16" t="n"/>
      <c r="AD369" s="10" t="n"/>
      <c r="AE369" s="10" t="n"/>
      <c r="AF369" s="10" t="inlineStr">
        <is>
          <t>1 : 1 ; 3 : 3 ; 5 : 5 ; 2005 : 2005 ; 14990 : 14990 ; 87315 : 87315 ; 721222 : 721222 ; Renault : Renault ; Clio : Clio ; RENAULT : RENAULT ; 107800 km : 107800 ; Essence : 1 ; Manuelle : 1 ; RS : RENAULT_Clio_RS ; Clio 2.0 16v 172ch RS 3p : Clio 2.0 16v 172ch RS 3p ; 04/2005 : 04/2005 ; Berline : berline ; Noir : noir ; 11 Cv : 11 ; 179 Ch : 179 ; Avec permis : avecpermis ; false : false ; https://img.leboncoin.fr/api/v1/lbcpb1/images/c3/2d/48/c32d48ad-3d22-483b-b0ee-5fbc7425d7f3?rule=bo-thumb : https://img.leboncoin.fr/api/v1/lbcpb1/images/c3/2d/48/c32d48ad-3d22-483b-b0ee-5fbc7425d7f3?rule=bo-thumb ; Partenaire VROOMIZ - AUTRY AUTO : Partenaire VROOMIZ - AUTRY AUTO ; VRZ_F9DCFB : VRZ_F9DCFB ; true : true ; https://autoviza.fr/report/report?uid=36b1bc74-1955-4b51-a23b-acc7198ec76d : https://autoviza.fr/report/report?uid=36b1bc74-1955-4b51-a23b-acc7198ec76d ; visible : visible ; Non renseignée : non_renseignee ; activity_sector : 1 ; u_car_brand : RENAULT ; u_car_model : Clio ; u_car_finition : RS ; u_car_version : Clio 2.0 16v 172ch RS 3p ; vehicle_vsp : Avec permis ; recent_used_vehicle : false ; has_visibility_option : false ; store_logo : https://img.leboncoin.fr/api/v1/lbcpb1/images/c3/2d/48/c32d48ad-3d22-483b-b0ee-5fbc7425d7f3?rule=bo-thumb ; store_name : Partenaire VROOMIZ - AUTRY AUTO ; online_store_id : 87315 ; custom_ref : VRZ_F9DCFB ; is_import : true ; old_price : 14990 ; vehicle_history_report_public_url : https://autoviza.fr/report/report?uid=36b1bc74-1955-4b51-a23b-acc7198ec76d ; vehicle_history_report_status : visible ; argus_object_id : 721222 ; spare_parts_availability : Non renseignée ; licence_plate_available : true</t>
        </is>
      </c>
      <c r="AG369" s="19" t="inlineStr">
        <is>
          <t>Voir</t>
        </is>
      </c>
      <c r="AH369" s="10" t="inlineStr">
        <is>
          <t>3111952979</t>
        </is>
      </c>
    </row>
    <row r="370">
      <c r="A370" s="10" t="inlineStr">
        <is>
          <t>Renault Clio II RS (172/182 ch)</t>
        </is>
      </c>
      <c r="B370" s="10" t="inlineStr">
        <is>
          <t>Renault clio rs 1er main</t>
        </is>
      </c>
      <c r="C370" s="10" t="inlineStr">
        <is>
          <t>En vente</t>
        </is>
      </c>
      <c r="D370" s="18" t="n">
        <v>46264</v>
      </c>
      <c r="E370" s="18" t="n">
        <v>46264</v>
      </c>
      <c r="F370" s="18" t="n">
        <v>46296</v>
      </c>
      <c r="G370" s="18" t="n"/>
      <c r="H370" s="17">
        <f>IF(OR(ISNUMBER(D370),ISNUMBER(E370)),IF(ISNUMBER(G370),G370,F370)-IF(ISNUMBER(D370),D370,E370),"")</f>
        <v/>
      </c>
      <c r="I370" s="12" t="n">
        <v>19500</v>
      </c>
      <c r="J370" s="12" t="n">
        <v>19500</v>
      </c>
      <c r="K370" s="13">
        <f>IF(AND(ISNUMBER(I370),ISNUMBER(J370),I370&gt;0),1-J370/I370,"")</f>
        <v/>
      </c>
      <c r="L370" s="16" t="n">
        <v>0</v>
      </c>
      <c r="M370" s="15" t="n">
        <v>83100</v>
      </c>
      <c r="N370" s="16" t="n">
        <v>2002</v>
      </c>
      <c r="O370" s="10" t="inlineStr">
        <is>
          <t>1</t>
        </is>
      </c>
      <c r="P370" s="10" t="inlineStr">
        <is>
          <t>1</t>
        </is>
      </c>
      <c r="Q370" s="16" t="n">
        <v>172</v>
      </c>
      <c r="R370" s="16" t="n">
        <v>10</v>
      </c>
      <c r="S370" s="10" t="inlineStr">
        <is>
          <t>autre</t>
        </is>
      </c>
      <c r="T370" s="16" t="n">
        <v>3</v>
      </c>
      <c r="U370" s="10" t="n"/>
      <c r="V370" s="10" t="n"/>
      <c r="W370" s="10" t="inlineStr">
        <is>
          <t>Particulier</t>
        </is>
      </c>
      <c r="X370" s="10" t="inlineStr">
        <is>
          <t>Narbonne</t>
        </is>
      </c>
      <c r="Y370" s="10" t="inlineStr">
        <is>
          <t>11100</t>
        </is>
      </c>
      <c r="Z370" s="10" t="inlineStr">
        <is>
          <t>Aude</t>
        </is>
      </c>
      <c r="AA370" s="10" t="inlineStr">
        <is>
          <t>Languedoc-Roussillon</t>
        </is>
      </c>
      <c r="AB370" s="16" t="n"/>
      <c r="AC370" s="16" t="n"/>
      <c r="AD370" s="10" t="n"/>
      <c r="AE370" s="10" t="n"/>
      <c r="AF370" s="10" t="inlineStr">
        <is>
          <t>1 : 1 ; 2 : 2 ; 3 : 3 ; 5 : 5 ; 2002 : 2002 ; 721222 : 721222 ; https://img.leboncoin.fr/api/v1/tenants/9a6387a1-6259-4f2c-a887-7e67f23dd4cb/domains/20bda58f-d650-462e-a72a-a5a7ecf2bf88/buckets/21d2b0bc-e54c-4b64-a30b-89127b18b785/images/profile/pictures/default/845a675e-3e88-503d-a274-6e00c944dd8f?rule=pp-small : https://img.leboncoin.fr/api/v1/tenants/9a6387a1-6259-4f2c-a887-7e67f23dd4cb/domains/20bda58f-d650-462e-a72a-a5a7ecf2bf88/buckets/21d2b0bc-e54c-4b64-a30b-89127b18b785/images/profile/pictures/default/845a675e-3e88-503d-a274-6e00c944dd8f?rule=pp-small ; Renault : Renault ; Clio : Clio ; RENAULT : RENAULT ; 83100 km : 83100 ; Essence : 1 ; Manuelle : 1 ; 03/2002 : 03/2002 ; Excellent état (proche du neuf) : excellent_condition ; Berline : berline ; Autre : autre ; 10 Cv : 10 ; 172 Ch : 172 ; Avec permis : avecpermis ; credit_card : credit_card ; false : false ; true : true ; rating_score : 1 ; rating_count : 2 ; u_car_brand : RENAULT ; u_car_model : Clio ; vehicle_damage : Excellent état (proche du neuf) ; vehicle_upholstery : Cuir partiel ; vehicle_vsp : Avec permis ; vehicle_available_payment_methods : credit_card ; is_import : false ; vehicle_is_eligible_p2p : 2 ; argus_object_id : 721222 ; licence_plate_available : true</t>
        </is>
      </c>
      <c r="AG370" s="19" t="inlineStr">
        <is>
          <t>Voir</t>
        </is>
      </c>
      <c r="AH370" s="10" t="inlineStr">
        <is>
          <t>3148980518</t>
        </is>
      </c>
    </row>
    <row r="371">
      <c r="A371" s="10" t="inlineStr">
        <is>
          <t>Renault Clio II RS (172/182 ch)</t>
        </is>
      </c>
      <c r="B371" s="10" t="inlineStr">
        <is>
          <t>Clio rs ps2</t>
        </is>
      </c>
      <c r="C371" s="10" t="inlineStr">
        <is>
          <t>En vente</t>
        </is>
      </c>
      <c r="D371" s="18" t="n">
        <v>46270</v>
      </c>
      <c r="E371" s="18" t="n">
        <v>46270</v>
      </c>
      <c r="F371" s="18" t="n">
        <v>46296</v>
      </c>
      <c r="G371" s="18" t="n"/>
      <c r="H371" s="17">
        <f>IF(OR(ISNUMBER(D371),ISNUMBER(E371)),IF(ISNUMBER(G371),G371,F371)-IF(ISNUMBER(D371),D371,E371),"")</f>
        <v/>
      </c>
      <c r="I371" s="12" t="n">
        <v>10900</v>
      </c>
      <c r="J371" s="12" t="n">
        <v>10900</v>
      </c>
      <c r="K371" s="13">
        <f>IF(AND(ISNUMBER(I371),ISNUMBER(J371),I371&gt;0),1-J371/I371,"")</f>
        <v/>
      </c>
      <c r="L371" s="16" t="n">
        <v>0</v>
      </c>
      <c r="M371" s="15" t="n">
        <v>195000</v>
      </c>
      <c r="N371" s="16" t="n">
        <v>2003</v>
      </c>
      <c r="O371" s="10" t="inlineStr">
        <is>
          <t>1</t>
        </is>
      </c>
      <c r="P371" s="10" t="inlineStr">
        <is>
          <t>1</t>
        </is>
      </c>
      <c r="Q371" s="16" t="n">
        <v>172</v>
      </c>
      <c r="R371" s="16" t="n">
        <v>10</v>
      </c>
      <c r="S371" s="10" t="inlineStr">
        <is>
          <t>autre</t>
        </is>
      </c>
      <c r="T371" s="16" t="n">
        <v>3</v>
      </c>
      <c r="U371" s="10" t="n"/>
      <c r="V371" s="10" t="n"/>
      <c r="W371" s="10" t="inlineStr">
        <is>
          <t>Particulier</t>
        </is>
      </c>
      <c r="X371" s="10" t="inlineStr">
        <is>
          <t>Metz</t>
        </is>
      </c>
      <c r="Y371" s="10" t="inlineStr">
        <is>
          <t>57000</t>
        </is>
      </c>
      <c r="Z371" s="10" t="inlineStr">
        <is>
          <t>Moselle</t>
        </is>
      </c>
      <c r="AA371" s="10" t="inlineStr">
        <is>
          <t>Lorraine</t>
        </is>
      </c>
      <c r="AB371" s="16" t="n"/>
      <c r="AC371" s="16" t="n"/>
      <c r="AD371" s="10" t="n"/>
      <c r="AE371" s="10" t="n"/>
      <c r="AF371" s="10" t="inlineStr">
        <is>
          <t>1 : 1 ; 2 : 2 ; 3 : 3 ; 44 : 44 ; 2003 : 2003 ; 721222 : 721222 ; 0.98 : 0.98 ; https://img.leboncoin.fr/api/v1/tenants/9a6387a1-6259-4f2c-a887-7e67f23dd4cb/domains/20bda58f-d650-462e-a72a-a5a7ecf2bf88/buckets/21d2b0bc-e54c-4b64-a30b-89127b18b785/images/profile/pictures/default/5bda49db-4161-5900-9687-76eadb5034b5?rule=pp-small : https://img.leboncoin.fr/api/v1/tenants/9a6387a1-6259-4f2c-a887-7e67f23dd4cb/domains/20bda58f-d650-462e-a72a-a5a7ecf2bf88/buckets/21d2b0bc-e54c-4b64-a30b-89127b18b785/images/profile/pictures/default/5bda49db-4161-5900-9687-76eadb5034b5?rule=pp-small ; Renault : Renault ; Clio : Clio ; RENAULT : RENAULT ; 195000 km : 195000 ; Essence : 1 ; Manuelle : 1 ; 09/2003 : 09/2003 ; Berline : berline ; Autre : autre ; 10 Cv : 10 ; 172 Ch : 172 ; Avec permis : avecpermis ; credit_card : credit_card ; false : false ; true : true ; rating_score : 0.98 ; rating_count : 44 ; u_car_brand : RENAULT ; u_car_model : Clio ; vehicle_vsp : Avec permis ; vehicle_available_payment_methods : credit_card ; is_import : false ; vehicle_is_eligible_p2p : 2 ; argus_object_id : 721222 ; licence_plate_available : true</t>
        </is>
      </c>
      <c r="AG371" s="19" t="inlineStr">
        <is>
          <t>Voir</t>
        </is>
      </c>
      <c r="AH371" s="10" t="inlineStr">
        <is>
          <t>3155317939</t>
        </is>
      </c>
    </row>
    <row r="372">
      <c r="A372" s="10" t="inlineStr">
        <is>
          <t>Renault Clio II RS (172/182 ch)</t>
        </is>
      </c>
      <c r="B372" s="10" t="inlineStr">
        <is>
          <t>Clio rs piste</t>
        </is>
      </c>
      <c r="C372" s="10" t="inlineStr">
        <is>
          <t>En vente</t>
        </is>
      </c>
      <c r="D372" s="18" t="n">
        <v>46280</v>
      </c>
      <c r="E372" s="18" t="n">
        <v>46280</v>
      </c>
      <c r="F372" s="18" t="n">
        <v>46296</v>
      </c>
      <c r="G372" s="18" t="n"/>
      <c r="H372" s="17">
        <f>IF(OR(ISNUMBER(D372),ISNUMBER(E372)),IF(ISNUMBER(G372),G372,F372)-IF(ISNUMBER(D372),D372,E372),"")</f>
        <v/>
      </c>
      <c r="I372" s="12" t="n">
        <v>8500</v>
      </c>
      <c r="J372" s="12" t="n">
        <v>8500</v>
      </c>
      <c r="K372" s="13">
        <f>IF(AND(ISNUMBER(I372),ISNUMBER(J372),I372&gt;0),1-J372/I372,"")</f>
        <v/>
      </c>
      <c r="L372" s="16" t="n">
        <v>0</v>
      </c>
      <c r="M372" s="15" t="n">
        <v>200000</v>
      </c>
      <c r="N372" s="16" t="n">
        <v>2001</v>
      </c>
      <c r="O372" s="10" t="inlineStr">
        <is>
          <t>1</t>
        </is>
      </c>
      <c r="P372" s="10" t="inlineStr">
        <is>
          <t>2</t>
        </is>
      </c>
      <c r="Q372" s="16" t="n">
        <v>170</v>
      </c>
      <c r="R372" s="16" t="n">
        <v>10</v>
      </c>
      <c r="S372" s="10" t="inlineStr">
        <is>
          <t>gris</t>
        </is>
      </c>
      <c r="T372" s="16" t="n">
        <v>3</v>
      </c>
      <c r="U372" s="10" t="n"/>
      <c r="V372" s="10" t="n"/>
      <c r="W372" s="10" t="inlineStr">
        <is>
          <t>Particulier</t>
        </is>
      </c>
      <c r="X372" s="10" t="inlineStr">
        <is>
          <t>Abrest</t>
        </is>
      </c>
      <c r="Y372" s="10" t="inlineStr">
        <is>
          <t>03200</t>
        </is>
      </c>
      <c r="Z372" s="10" t="inlineStr">
        <is>
          <t>Allier</t>
        </is>
      </c>
      <c r="AA372" s="10" t="inlineStr">
        <is>
          <t>Auvergne</t>
        </is>
      </c>
      <c r="AB372" s="16" t="n"/>
      <c r="AC372" s="16" t="n"/>
      <c r="AD372" s="10" t="n"/>
      <c r="AE372" s="10" t="n"/>
      <c r="AF372" s="10" t="inlineStr">
        <is>
          <t>1 : 1 ; 2 : 2 ; 3 : 3 ; 5 : 5 ; 15 : 15 ; 2001 : 2001 ; 9200 : 9200 ; 1454024 : 1454024 ; https://img.leboncoin.fr/api/v1/tenants/9a6387a1-6259-4f2c-a887-7e67f23dd4cb/domains/20bda58f-d650-462e-a72a-a5a7ecf2bf88/buckets/21d2b0bc-e54c-4b64-a30b-89127b18b785/images/profile/pictures/default/18e1d74e-91a6-502d-95c4-b0c910103521?rule=pp-small : https://img.leboncoin.fr/api/v1/tenants/9a6387a1-6259-4f2c-a887-7e67f23dd4cb/domains/20bda58f-d650-462e-a72a-a5a7ecf2bf88/buckets/21d2b0bc-e54c-4b64-a30b-89127b18b785/images/profile/pictures/default/18e1d74e-91a6-502d-95c4-b0c910103521?rule=pp-small ; Renault : Renault ; Clio : Clio ; RENAULT : RENAULT ; 200000 km : 200000 ; Essence : 1 ; Automatique : 2 ; 10/2001 : 10/2001 ; Citadine : citadine ; Gris : gris ; 10 Cv : 10 ; 170 Ch : 170 ; Avec permis : avecpermis ; credit_card : credit_card ; false : false ; true : true ; rating_score : 1 ; rating_count : 15 ; u_car_brand : RENAULT ; u_car_model : Clio ; vehicle_vsp : Avec permis ; vehicle_available_payment_methods : credit_card ; is_import : false ; old_price : 9200 ; vehicle_is_eligible_p2p : 2 ; argus_object_id : 1454024 ; licence_plate_available : true</t>
        </is>
      </c>
      <c r="AG372" s="19" t="inlineStr">
        <is>
          <t>Voir</t>
        </is>
      </c>
      <c r="AH372" s="10" t="inlineStr">
        <is>
          <t>3162482298</t>
        </is>
      </c>
    </row>
    <row r="373">
      <c r="A373" s="10" t="inlineStr">
        <is>
          <t>Renault Clio II RS (172/182 ch)</t>
        </is>
      </c>
      <c r="B373" s="10" t="inlineStr">
        <is>
          <t>Clio rs 182</t>
        </is>
      </c>
      <c r="C373" s="10" t="inlineStr">
        <is>
          <t>En vente</t>
        </is>
      </c>
      <c r="D373" s="18" t="n">
        <v>46260</v>
      </c>
      <c r="E373" s="18" t="n">
        <v>46260</v>
      </c>
      <c r="F373" s="18" t="n">
        <v>46296</v>
      </c>
      <c r="G373" s="18" t="n"/>
      <c r="H373" s="17">
        <f>IF(OR(ISNUMBER(D373),ISNUMBER(E373)),IF(ISNUMBER(G373),G373,F373)-IF(ISNUMBER(D373),D373,E373),"")</f>
        <v/>
      </c>
      <c r="I373" s="12" t="n">
        <v>8000</v>
      </c>
      <c r="J373" s="12" t="n">
        <v>8000</v>
      </c>
      <c r="K373" s="13">
        <f>IF(AND(ISNUMBER(I373),ISNUMBER(J373),I373&gt;0),1-J373/I373,"")</f>
        <v/>
      </c>
      <c r="L373" s="16" t="n">
        <v>0</v>
      </c>
      <c r="M373" s="15" t="n">
        <v>206000</v>
      </c>
      <c r="N373" s="16" t="n">
        <v>2004</v>
      </c>
      <c r="O373" s="10" t="inlineStr">
        <is>
          <t>1</t>
        </is>
      </c>
      <c r="P373" s="10" t="inlineStr">
        <is>
          <t>1</t>
        </is>
      </c>
      <c r="Q373" s="16" t="n">
        <v>182</v>
      </c>
      <c r="R373" s="16" t="n">
        <v>10</v>
      </c>
      <c r="S373" s="10" t="inlineStr">
        <is>
          <t>gris</t>
        </is>
      </c>
      <c r="T373" s="16" t="n">
        <v>3</v>
      </c>
      <c r="U373" s="10" t="n"/>
      <c r="V373" s="10" t="n"/>
      <c r="W373" s="10" t="inlineStr">
        <is>
          <t>Particulier</t>
        </is>
      </c>
      <c r="X373" s="10" t="inlineStr">
        <is>
          <t>Arcey</t>
        </is>
      </c>
      <c r="Y373" s="10" t="inlineStr">
        <is>
          <t>25750</t>
        </is>
      </c>
      <c r="Z373" s="10" t="inlineStr">
        <is>
          <t>Doubs</t>
        </is>
      </c>
      <c r="AA373" s="10" t="inlineStr">
        <is>
          <t>Franche-Comté</t>
        </is>
      </c>
      <c r="AB373" s="16" t="n"/>
      <c r="AC373" s="16" t="n"/>
      <c r="AD373" s="10" t="n"/>
      <c r="AE373" s="10" t="n"/>
      <c r="AF373" s="10" t="inlineStr">
        <is>
          <t>2 : 2 ; 3 : 3 ; 5 : 5 ; 2004 : 2004 ; 11000 : 11000 ; https://img.leboncoin.fr/api/v1/tenants/9a6387a1-6259-4f2c-a887-7e67f23dd4cb/domains/20bda58f-d650-462e-a72a-a5a7ecf2bf88/buckets/21d2b0bc-e54c-4b64-a30b-89127b18b785/images/profile/pictures/default/7dd3f9ea-7e39-574e-b7dc-625d49a23462?rule=pp-small : https://img.leboncoin.fr/api/v1/tenants/9a6387a1-6259-4f2c-a887-7e67f23dd4cb/domains/20bda58f-d650-462e-a72a-a5a7ecf2bf88/buckets/21d2b0bc-e54c-4b64-a30b-89127b18b785/images/profile/pictures/default/7dd3f9ea-7e39-574e-b7dc-625d49a23462?rule=pp-small ; Renault : Renault ; Clio : Clio ; RENAULT : RENAULT ; 206000 km : 206000 ; Essence : 1 ; Manuelle : 1 ; 04/2004 : 04/2004 ; Bon état général : good_overall_condition ; Berline : berline ; Gris : gris ; 10 Cv : 10 ; 182 Ch : 182 ; Avec permis : avecpermis ; credit_card : credit_card ; false : false ; https://autoviza.fr/report/report?uid=3b846b98-6198-476a-bd0d-c5085a9914a3 : https://autoviza.fr/report/report?uid=3b846b98-6198-476a-bd0d-c5085a9914a3 ; visible : visible ; true : true ; u_car_brand : RENAULT ; u_car_model : Clio ; vehicle_damage : Bon état général ; vehicle_maintenance : Carnet d'entretien disponible ; vehicle_vsp : Avec permis ; vehicle_available_payment_methods : credit_card ; is_import : false ; old_price : 11000 ; vehicle_is_eligible_p2p : 2 ; vehicle_history_report_public_url : https://autoviza.fr/report/report?uid=3b846b98-6198-476a-bd0d-c5085a9914a3 ; vehicle_history_report_status : visible ; licence_plate_available : true</t>
        </is>
      </c>
      <c r="AG373" s="19" t="inlineStr">
        <is>
          <t>Voir</t>
        </is>
      </c>
      <c r="AH373" s="10" t="inlineStr">
        <is>
          <t>3220887451</t>
        </is>
      </c>
    </row>
    <row r="374">
      <c r="A374" s="10" t="inlineStr">
        <is>
          <t>Renault Clio II RS (172/182 ch)</t>
        </is>
      </c>
      <c r="B374" s="10" t="inlineStr">
        <is>
          <t>Clio rs ps2 edition / ragnotti</t>
        </is>
      </c>
      <c r="C374" s="10" t="inlineStr">
        <is>
          <t>En vente</t>
        </is>
      </c>
      <c r="D374" s="18" t="n">
        <v>46264</v>
      </c>
      <c r="E374" s="18" t="n">
        <v>46264</v>
      </c>
      <c r="F374" s="18" t="n">
        <v>46296</v>
      </c>
      <c r="G374" s="18" t="n"/>
      <c r="H374" s="17">
        <f>IF(OR(ISNUMBER(D374),ISNUMBER(E374)),IF(ISNUMBER(G374),G374,F374)-IF(ISNUMBER(D374),D374,E374),"")</f>
        <v/>
      </c>
      <c r="I374" s="12" t="n">
        <v>11990</v>
      </c>
      <c r="J374" s="12" t="n">
        <v>11990</v>
      </c>
      <c r="K374" s="13">
        <f>IF(AND(ISNUMBER(I374),ISNUMBER(J374),I374&gt;0),1-J374/I374,"")</f>
        <v/>
      </c>
      <c r="L374" s="16" t="n">
        <v>0</v>
      </c>
      <c r="M374" s="15" t="n">
        <v>154000</v>
      </c>
      <c r="N374" s="16" t="n">
        <v>2003</v>
      </c>
      <c r="O374" s="10" t="inlineStr">
        <is>
          <t>1</t>
        </is>
      </c>
      <c r="P374" s="10" t="inlineStr">
        <is>
          <t>1</t>
        </is>
      </c>
      <c r="Q374" s="16" t="n">
        <v>172</v>
      </c>
      <c r="R374" s="16" t="n">
        <v>10</v>
      </c>
      <c r="S374" s="10" t="inlineStr">
        <is>
          <t>gris</t>
        </is>
      </c>
      <c r="T374" s="16" t="n">
        <v>3</v>
      </c>
      <c r="U374" s="10" t="n"/>
      <c r="V374" s="10" t="n"/>
      <c r="W374" s="10" t="inlineStr">
        <is>
          <t>Pro</t>
        </is>
      </c>
      <c r="X374" s="10" t="inlineStr">
        <is>
          <t>Saint-Girons</t>
        </is>
      </c>
      <c r="Y374" s="10" t="inlineStr">
        <is>
          <t>09200</t>
        </is>
      </c>
      <c r="Z374" s="10" t="inlineStr">
        <is>
          <t>Ariège</t>
        </is>
      </c>
      <c r="AA374" s="10" t="inlineStr">
        <is>
          <t>Midi-Pyrénées</t>
        </is>
      </c>
      <c r="AB374" s="16" t="n"/>
      <c r="AC374" s="16" t="n"/>
      <c r="AD374" s="10" t="n"/>
      <c r="AE374" s="10" t="n"/>
      <c r="AF374" s="10" t="inlineStr">
        <is>
          <t>1 : 1 ; 3 : 3 ; 4 : 4 ; 2003 : 2003 ; 2798907 : 2798907 ; Renault : Renault ; Clio : Clio ; RENAULT : RENAULT ; 154000 km : 154000 ; Essence : 1 ; Manuelle : 1 ; 09/2003 : 09/2003 ; Bon état général : good_overall_condition ; Citadine : citadine ; Gris : gris ; 10 Cv : 10 ; 172 Ch : 172 ; Avec permis : avecpermis ; Non : 1 ; false : false ; https://img.leboncoin.fr/api/v1/lbcpb1/images/99/cf/2d/99cf2d37-1cda-407f-a538-e479e12f9d0a?rule=bo-thumb : https://img.leboncoin.fr/api/v1/lbcpb1/images/99/cf/2d/99cf2d37-1cda-407f-a538-e479e12f9d0a?rule=bo-thumb ; COUSERANS AUTOS : COUSERANS AUTOS ; Non renseignée : non_renseignee ; activity_sector : 1 ; u_car_brand : RENAULT ; u_car_model : Clio ; vehicle_damage : Bon état général ; vehicle_maintenance : Factures disponibles, Réparations utiles déjà faites ; vehicle_vsp : Avec permis ; car_contract : Non ; recent_used_vehicle : false ; has_visibility_option : false ; store_logo : https://img.leboncoin.fr/api/v1/lbcpb1/images/99/cf/2d/99cf2d37-1cda-407f-a538-e479e12f9d0a?rule=bo-thumb ; store_name : COUSERANS AUTOS ; online_store_id : 2798907 ; vehicle_commercial_warranty : Non ; vehicle_manufacturer_warranty : Non ; is_import : false ; spare_parts_availability : Non renseignée</t>
        </is>
      </c>
      <c r="AG374" s="19" t="inlineStr">
        <is>
          <t>Voir</t>
        </is>
      </c>
      <c r="AH374" s="10" t="inlineStr">
        <is>
          <t>3225541573</t>
        </is>
      </c>
    </row>
    <row r="375">
      <c r="A375" s="10" t="inlineStr">
        <is>
          <t>Renault Clio II RS (172/182 ch)</t>
        </is>
      </c>
      <c r="B375" s="10" t="inlineStr">
        <is>
          <t>Clio rs</t>
        </is>
      </c>
      <c r="C375" s="10" t="inlineStr">
        <is>
          <t>En vente</t>
        </is>
      </c>
      <c r="D375" s="18" t="n">
        <v>46276</v>
      </c>
      <c r="E375" s="18" t="n">
        <v>46276</v>
      </c>
      <c r="F375" s="18" t="n">
        <v>46296</v>
      </c>
      <c r="G375" s="18" t="n"/>
      <c r="H375" s="17">
        <f>IF(OR(ISNUMBER(D375),ISNUMBER(E375)),IF(ISNUMBER(G375),G375,F375)-IF(ISNUMBER(D375),D375,E375),"")</f>
        <v/>
      </c>
      <c r="I375" s="12" t="n">
        <v>12000</v>
      </c>
      <c r="J375" s="12" t="n">
        <v>12000</v>
      </c>
      <c r="K375" s="13">
        <f>IF(AND(ISNUMBER(I375),ISNUMBER(J375),I375&gt;0),1-J375/I375,"")</f>
        <v/>
      </c>
      <c r="L375" s="16" t="n">
        <v>0</v>
      </c>
      <c r="M375" s="15" t="n">
        <v>159000</v>
      </c>
      <c r="N375" s="16" t="n">
        <v>2001</v>
      </c>
      <c r="O375" s="10" t="inlineStr">
        <is>
          <t>1</t>
        </is>
      </c>
      <c r="P375" s="10" t="inlineStr">
        <is>
          <t>1</t>
        </is>
      </c>
      <c r="Q375" s="16" t="n">
        <v>172</v>
      </c>
      <c r="R375" s="16" t="n">
        <v>10</v>
      </c>
      <c r="S375" s="10" t="inlineStr">
        <is>
          <t>bleu</t>
        </is>
      </c>
      <c r="T375" s="16" t="n">
        <v>3</v>
      </c>
      <c r="U375" s="10" t="n"/>
      <c r="V375" s="10" t="n"/>
      <c r="W375" s="10" t="inlineStr">
        <is>
          <t>Particulier</t>
        </is>
      </c>
      <c r="X375" s="10" t="inlineStr">
        <is>
          <t>Frotey-lès-Vesoul</t>
        </is>
      </c>
      <c r="Y375" s="10" t="inlineStr">
        <is>
          <t>70000</t>
        </is>
      </c>
      <c r="Z375" s="10" t="inlineStr">
        <is>
          <t>Haute-Saône</t>
        </is>
      </c>
      <c r="AA375" s="10" t="inlineStr">
        <is>
          <t>Franche-Comté</t>
        </is>
      </c>
      <c r="AB375" s="16" t="n"/>
      <c r="AC375" s="16" t="n"/>
      <c r="AD375" s="10" t="n"/>
      <c r="AE375" s="10" t="n"/>
      <c r="AF375" s="10" t="inlineStr">
        <is>
          <t>1 : 1 ; 2 : 2 ; 3 : 3 ; 2001 : 2001 ; 721222 : 721222 ; https://img.leboncoin.fr/api/v1/tenants/9a6387a1-6259-4f2c-a887-7e67f23dd4cb/domains/20bda58f-d650-462e-a72a-a5a7ecf2bf88/buckets/21d2b0bc-e54c-4b64-a30b-89127b18b785/images/profile/pictures/default/01aedb0a-202a-5958-b827-e03d8313cc45?rule=pp-small : https://img.leboncoin.fr/api/v1/tenants/9a6387a1-6259-4f2c-a887-7e67f23dd4cb/domains/20bda58f-d650-462e-a72a-a5a7ecf2bf88/buckets/21d2b0bc-e54c-4b64-a30b-89127b18b785/images/profile/pictures/default/01aedb0a-202a-5958-b827-e03d8313cc45?rule=pp-small ; Renault : Renault ; Clio : Clio ; RENAULT : RENAULT ; 159000 km : 159000 ; Essence : 1 ; Manuelle : 1 ; RS : RENAULT_Clio_RS ; Clio 2.0 16v 172ch RS 3p : Clio 2.0 16v 172ch RS 3p ; 09/2001 : 09/2001 ; Bon état général : good_overall_condition ; Berline : berline ; Bleu : bleu ; Euro 4 : euro4 ; 10 Cv : 10 ; 172 Ch : 172 ; Avec permis : avecpermis ; credit_card : credit_card ; false : false ; true : true ; rating_score : 1 ; rating_count : 1 ; u_car_brand : RENAULT ; u_car_model : Clio ; u_car_finition : RS ; u_car_version : Clio 2.0 16v 172ch RS 3p ; vehicle_damage : Bon état général ; vehicle_upholstery : Cuir partiel ; vehicle_euro_emissions_standard : Euro 4 ; vehicle_vsp : Avec permis ; vehicle_available_payment_methods : credit_card ; is_import : false ; vehicle_is_eligible_p2p : 2 ; argus_object_id : 721222 ; licence_plate_available : true</t>
        </is>
      </c>
      <c r="AG375" s="19" t="inlineStr">
        <is>
          <t>Voir</t>
        </is>
      </c>
      <c r="AH375" s="10" t="inlineStr">
        <is>
          <t>3229733456</t>
        </is>
      </c>
    </row>
    <row r="376">
      <c r="A376" s="10" t="inlineStr">
        <is>
          <t>Renault Clio II RS (172/182 ch)</t>
        </is>
      </c>
      <c r="B376" s="10" t="inlineStr">
        <is>
          <t>Clio 2 Rs</t>
        </is>
      </c>
      <c r="C376" s="10" t="inlineStr">
        <is>
          <t>En vente</t>
        </is>
      </c>
      <c r="D376" s="18" t="n">
        <v>46281</v>
      </c>
      <c r="E376" s="18" t="n">
        <v>46281</v>
      </c>
      <c r="F376" s="18" t="n">
        <v>46296</v>
      </c>
      <c r="G376" s="18" t="n"/>
      <c r="H376" s="17">
        <f>IF(OR(ISNUMBER(D376),ISNUMBER(E376)),IF(ISNUMBER(G376),G376,F376)-IF(ISNUMBER(D376),D376,E376),"")</f>
        <v/>
      </c>
      <c r="I376" s="12" t="n">
        <v>11000</v>
      </c>
      <c r="J376" s="12" t="n">
        <v>11000</v>
      </c>
      <c r="K376" s="13">
        <f>IF(AND(ISNUMBER(I376),ISNUMBER(J376),I376&gt;0),1-J376/I376,"")</f>
        <v/>
      </c>
      <c r="L376" s="16" t="n">
        <v>0</v>
      </c>
      <c r="M376" s="15" t="n">
        <v>1000</v>
      </c>
      <c r="N376" s="16" t="n">
        <v>2005</v>
      </c>
      <c r="O376" s="10" t="inlineStr">
        <is>
          <t>1</t>
        </is>
      </c>
      <c r="P376" s="10" t="inlineStr">
        <is>
          <t>1</t>
        </is>
      </c>
      <c r="Q376" s="16" t="n">
        <v>182</v>
      </c>
      <c r="R376" s="16" t="n">
        <v>10</v>
      </c>
      <c r="S376" s="10" t="inlineStr">
        <is>
          <t>autre</t>
        </is>
      </c>
      <c r="T376" s="16" t="n">
        <v>3</v>
      </c>
      <c r="U376" s="10" t="n"/>
      <c r="V376" s="10" t="n"/>
      <c r="W376" s="10" t="inlineStr">
        <is>
          <t>Particulier</t>
        </is>
      </c>
      <c r="X376" s="10" t="inlineStr">
        <is>
          <t>Val-de-Meuse</t>
        </is>
      </c>
      <c r="Y376" s="10" t="inlineStr">
        <is>
          <t>52140</t>
        </is>
      </c>
      <c r="Z376" s="10" t="inlineStr">
        <is>
          <t>Haute-Marne</t>
        </is>
      </c>
      <c r="AA376" s="10" t="inlineStr">
        <is>
          <t>Champagne-Ardenne</t>
        </is>
      </c>
      <c r="AB376" s="16" t="n"/>
      <c r="AC376" s="16" t="n"/>
      <c r="AD376" s="10" t="n"/>
      <c r="AE376" s="10" t="n"/>
      <c r="AF376" s="10" t="inlineStr">
        <is>
          <t>1 : 1 ; 2 : 2 ; 3 : 3 ; 4 : 4 ; 5 : 5 ; 2005 : 2005 ; 730788 : 730788 ; https://img.leboncoin.fr/api/v1/tenants/9a6387a1-6259-4f2c-a887-7e67f23dd4cb/domains/20bda58f-d650-462e-a72a-a5a7ecf2bf88/buckets/21d2b0bc-e54c-4b64-a30b-89127b18b785/images/profile/pictures/86b3ced5-5336-51d1-8a56-ebcdbe9c936f?rule=pp-small : https://img.leboncoin.fr/api/v1/tenants/9a6387a1-6259-4f2c-a887-7e67f23dd4cb/domains/20bda58f-d650-462e-a72a-a5a7ecf2bf88/buckets/21d2b0bc-e54c-4b64-a30b-89127b18b785/images/profile/pictures/86b3ced5-5336-51d1-8a56-ebcdbe9c936f?rule=pp-small ; Renault : Renault ; Clio : Clio ; RENAULT : RENAULT ; 1 km : 1 ; Essence : 1 ; Manuelle : 1 ; Renault Sport : RENAULT_Clio_Renault Sport ; Clio 2.0 16v 182ch Renault Sport 3p : Clio 2.0 16v 182ch Renault Sport 3p ; 02/2005 : 02/2005 ; Berline : berline ; Autre : autre ; 10 Cv : 10 ; 182 Ch : 182 ; Avec permis : avecpermis ; credit_card : credit_card ; false : false ; true : true ; rating_score : 1 ; rating_count : 4 ; u_car_brand : RENAULT ; u_car_model : Clio ; u_car_finition : Renault Sport ; u_car_version : Clio 2.0 16v 182ch Renault Sport 3p ; vehicle_vsp : Avec permis ; vehicle_available_payment_methods : credit_card ; is_import : false ; vehicle_is_eligible_p2p : 2 ; argus_object_id : 730788 ; licence_plate_available : true</t>
        </is>
      </c>
      <c r="AG376" s="19" t="inlineStr">
        <is>
          <t>Voir</t>
        </is>
      </c>
      <c r="AH376" s="10" t="inlineStr">
        <is>
          <t>3234959156</t>
        </is>
      </c>
    </row>
    <row r="377">
      <c r="A377" s="10" t="inlineStr">
        <is>
          <t>Renault Clio II RS (172/182 ch)</t>
        </is>
      </c>
      <c r="B377" s="10" t="inlineStr">
        <is>
          <t>Clio 2 rs</t>
        </is>
      </c>
      <c r="C377" s="10" t="inlineStr">
        <is>
          <t>En vente</t>
        </is>
      </c>
      <c r="D377" s="18" t="n">
        <v>46286</v>
      </c>
      <c r="E377" s="18" t="n">
        <v>46286</v>
      </c>
      <c r="F377" s="18" t="n">
        <v>46296</v>
      </c>
      <c r="G377" s="18" t="n"/>
      <c r="H377" s="17">
        <f>IF(OR(ISNUMBER(D377),ISNUMBER(E377)),IF(ISNUMBER(G377),G377,F377)-IF(ISNUMBER(D377),D377,E377),"")</f>
        <v/>
      </c>
      <c r="I377" s="12" t="n">
        <v>8999</v>
      </c>
      <c r="J377" s="12" t="n">
        <v>8999</v>
      </c>
      <c r="K377" s="13">
        <f>IF(AND(ISNUMBER(I377),ISNUMBER(J377),I377&gt;0),1-J377/I377,"")</f>
        <v/>
      </c>
      <c r="L377" s="16" t="n">
        <v>0</v>
      </c>
      <c r="M377" s="15" t="n">
        <v>184876</v>
      </c>
      <c r="N377" s="16" t="n">
        <v>2002</v>
      </c>
      <c r="O377" s="10" t="inlineStr">
        <is>
          <t>1</t>
        </is>
      </c>
      <c r="P377" s="10" t="inlineStr">
        <is>
          <t>1</t>
        </is>
      </c>
      <c r="Q377" s="16" t="n">
        <v>172</v>
      </c>
      <c r="R377" s="16" t="n">
        <v>10</v>
      </c>
      <c r="S377" s="10" t="inlineStr">
        <is>
          <t>noir</t>
        </is>
      </c>
      <c r="T377" s="16" t="n">
        <v>3</v>
      </c>
      <c r="U377" s="10" t="n"/>
      <c r="V377" s="10" t="n"/>
      <c r="W377" s="10" t="inlineStr">
        <is>
          <t>Particulier</t>
        </is>
      </c>
      <c r="X377" s="10" t="inlineStr">
        <is>
          <t>Beaucourt</t>
        </is>
      </c>
      <c r="Y377" s="10" t="inlineStr">
        <is>
          <t>90500</t>
        </is>
      </c>
      <c r="Z377" s="10" t="inlineStr">
        <is>
          <t>Territoire de Belfort</t>
        </is>
      </c>
      <c r="AA377" s="10" t="inlineStr">
        <is>
          <t>Franche-Comté</t>
        </is>
      </c>
      <c r="AB377" s="16" t="n"/>
      <c r="AC377" s="16" t="n"/>
      <c r="AD377" s="10" t="n"/>
      <c r="AE377" s="10" t="n"/>
      <c r="AF377" s="10" t="inlineStr">
        <is>
          <t>1 : 1 ; 2 : 2 ; 3 : 3 ; 21 : 21 ; 2002 : 2002 ; https://img.leboncoin.fr/api/v1/tenants/9a6387a1-6259-4f2c-a887-7e67f23dd4cb/domains/20bda58f-d650-462e-a72a-a5a7ecf2bf88/buckets/21d2b0bc-e54c-4b64-a30b-89127b18b785/images/profile/pictures/default/7ef5284c-fd14-567e-bbfb-a8124b80220b?rule=pp-small : https://img.leboncoin.fr/api/v1/tenants/9a6387a1-6259-4f2c-a887-7e67f23dd4cb/domains/20bda58f-d650-462e-a72a-a5a7ecf2bf88/buckets/21d2b0bc-e54c-4b64-a30b-89127b18b785/images/profile/pictures/default/7ef5284c-fd14-567e-bbfb-a8124b80220b?rule=pp-small ; Renault : Renault ; Clio : Clio ; RENAULT : RENAULT ; 184876 km : 184876 ; Essence : 1 ; Manuelle : 1 ; 03/2002 : 03/2002 ; Berline : berline ; Noir : noir ; 10 Cv : 10 ; 172 Ch : 172 ; Avec permis : avecpermis ; credit_card : credit_card ; false : false ; true : true ; rating_score : 1 ; rating_count : 21 ; u_car_brand : RENAULT ; u_car_model : Clio ; vehicle_vsp : Avec permis ; vehicle_available_payment_methods : credit_card ; is_import : false ; vehicle_is_eligible_p2p : 2 ; licence_plate_available : true</t>
        </is>
      </c>
      <c r="AG377" s="19" t="inlineStr">
        <is>
          <t>Voir</t>
        </is>
      </c>
      <c r="AH377" s="10" t="inlineStr">
        <is>
          <t>3235031075</t>
        </is>
      </c>
    </row>
    <row r="378">
      <c r="A378" s="10" t="inlineStr">
        <is>
          <t>Renault Clio II RS (172/182 ch)</t>
        </is>
      </c>
      <c r="B378" s="10" t="inlineStr">
        <is>
          <t>Vend clio rs 182</t>
        </is>
      </c>
      <c r="C378" s="10" t="inlineStr">
        <is>
          <t>En vente</t>
        </is>
      </c>
      <c r="D378" s="18" t="n">
        <v>46244</v>
      </c>
      <c r="E378" s="18" t="n">
        <v>46244</v>
      </c>
      <c r="F378" s="18" t="n">
        <v>46296</v>
      </c>
      <c r="G378" s="18" t="n"/>
      <c r="H378" s="17">
        <f>IF(OR(ISNUMBER(D378),ISNUMBER(E378)),IF(ISNUMBER(G378),G378,F378)-IF(ISNUMBER(D378),D378,E378),"")</f>
        <v/>
      </c>
      <c r="I378" s="12" t="n">
        <v>12000</v>
      </c>
      <c r="J378" s="12" t="n">
        <v>12000</v>
      </c>
      <c r="K378" s="13">
        <f>IF(AND(ISNUMBER(I378),ISNUMBER(J378),I378&gt;0),1-J378/I378,"")</f>
        <v/>
      </c>
      <c r="L378" s="16" t="n">
        <v>0</v>
      </c>
      <c r="M378" s="15" t="n">
        <v>170000</v>
      </c>
      <c r="N378" s="16" t="n">
        <v>2004</v>
      </c>
      <c r="O378" s="10" t="inlineStr">
        <is>
          <t>1</t>
        </is>
      </c>
      <c r="P378" s="10" t="inlineStr">
        <is>
          <t>1</t>
        </is>
      </c>
      <c r="Q378" s="16" t="n">
        <v>182</v>
      </c>
      <c r="R378" s="16" t="n">
        <v>11</v>
      </c>
      <c r="S378" s="10" t="inlineStr">
        <is>
          <t>noir</t>
        </is>
      </c>
      <c r="T378" s="16" t="n">
        <v>3</v>
      </c>
      <c r="U378" s="10" t="n"/>
      <c r="V378" s="10" t="n"/>
      <c r="W378" s="10" t="inlineStr">
        <is>
          <t>Particulier</t>
        </is>
      </c>
      <c r="X378" s="10" t="inlineStr">
        <is>
          <t>Septèmes-les-Vallons</t>
        </is>
      </c>
      <c r="Y378" s="10" t="inlineStr">
        <is>
          <t>13240</t>
        </is>
      </c>
      <c r="Z378" s="10" t="inlineStr">
        <is>
          <t>Bouches-du-Rhône</t>
        </is>
      </c>
      <c r="AA378" s="10" t="inlineStr">
        <is>
          <t>Provence-Alpes-Côte d'Azur</t>
        </is>
      </c>
      <c r="AB378" s="16" t="n"/>
      <c r="AC378" s="16" t="n"/>
      <c r="AD378" s="10" t="n"/>
      <c r="AE378" s="10" t="n"/>
      <c r="AF378" s="10" t="inlineStr">
        <is>
          <t>1 : 1 ; 2 : 2 ; 3 : 3 ; 5 : 5 ; 42 : 42 ; 2004 : 2004 ; 730788 : 730788 ; https://img.leboncoin.fr/api/v1/tenants/9a6387a1-6259-4f2c-a887-7e67f23dd4cb/domains/20bda58f-d650-462e-a72a-a5a7ecf2bf88/buckets/21d2b0bc-e54c-4b64-a30b-89127b18b785/images/profile/pictures/default/1cf12324-cea5-5275-875d-bf39a4f32ede?rule=pp-small : https://img.leboncoin.fr/api/v1/tenants/9a6387a1-6259-4f2c-a887-7e67f23dd4cb/domains/20bda58f-d650-462e-a72a-a5a7ecf2bf88/buckets/21d2b0bc-e54c-4b64-a30b-89127b18b785/images/profile/pictures/default/1cf12324-cea5-5275-875d-bf39a4f32ede?rule=pp-small ; Renault : Renault ; Clio : Clio ; RENAULT : RENAULT ; 170000 km : 170000 ; Essence : 1 ; Manuelle : 1 ; Renault Sport : RENAULT_Clio_Renault Sport ; Renault Sport_Clio 2.0 16v 182ch Renault Sport 3p : Renault Sport_Clio 2.0 16v 182ch Renault Sport 3p ; 04/2004 : 04/2004 ; Bon état général : good_overall_condition ; Berline : berline ; Noir : noir ; 11 Cv : 11 ; 182 Ch : 182 ; Avec permis : avecpermis ; credit_card : credit_card ; false : false ; https://autoviza.fr/report/report?uid=3030ecc9-9d9a-4694-b596-cca4cb1ba4b9 : https://autoviza.fr/report/report?uid=3030ecc9-9d9a-4694-b596-cca4cb1ba4b9 ; true : true ; rating_score : 1 ; rating_count : 42 ; u_car_brand : RENAULT ; u_car_model : Clio ; u_car_finition : Renault Sport ; u_car_version : Renault Sport_Clio 2.0 16v 182ch Renault Sport 3p ; vehicle_damage : Bon état général ; vehicle_upholstery : Alcantara ; vehicle_maintenance : Réparations utiles déjà faites, Carnet d'entretien disponible ; vehicle_interior_specs : Allumage automatique des phares, Climatisation, Essuie-glaces automatiques, Jantes en alliage, Ordinateur de bord, Phares anti-brouillard, Phares LED / Xenon, Régulateur de vitesse, Régulateur de vitesse adaptatif, Siège arrière rabattable ; vehicle_vsp : Avec permis ; vehicle_available_payment_methods : credit_card ; is_import : false ; vehicle_is_eligible_p2p : 2 ; vehicle_history_report_public_url : https://autoviza.fr/report/report?uid=3030ecc9-9d9a-4694-b596-cca4cb1ba4b9 ; argus_object_id : 730788 ; licence_plate_available : true</t>
        </is>
      </c>
      <c r="AG378" s="19" t="inlineStr">
        <is>
          <t>Voir</t>
        </is>
      </c>
      <c r="AH378" s="10" t="inlineStr">
        <is>
          <t>3248026868</t>
        </is>
      </c>
    </row>
    <row r="379">
      <c r="A379" s="10" t="inlineStr">
        <is>
          <t>Renault Clio II RS (172/182 ch)</t>
        </is>
      </c>
      <c r="B379" s="10" t="inlineStr">
        <is>
          <t>Clio rs 182 rhd</t>
        </is>
      </c>
      <c r="C379" s="10" t="inlineStr">
        <is>
          <t>En vente</t>
        </is>
      </c>
      <c r="D379" s="18" t="n">
        <v>46252</v>
      </c>
      <c r="E379" s="18" t="n">
        <v>46252</v>
      </c>
      <c r="F379" s="18" t="n">
        <v>46296</v>
      </c>
      <c r="G379" s="18" t="n"/>
      <c r="H379" s="17">
        <f>IF(OR(ISNUMBER(D379),ISNUMBER(E379)),IF(ISNUMBER(G379),G379,F379)-IF(ISNUMBER(D379),D379,E379),"")</f>
        <v/>
      </c>
      <c r="I379" s="12" t="n">
        <v>5500</v>
      </c>
      <c r="J379" s="12" t="n">
        <v>5500</v>
      </c>
      <c r="K379" s="13">
        <f>IF(AND(ISNUMBER(I379),ISNUMBER(J379),I379&gt;0),1-J379/I379,"")</f>
        <v/>
      </c>
      <c r="L379" s="16" t="n">
        <v>0</v>
      </c>
      <c r="M379" s="15" t="n">
        <v>182000</v>
      </c>
      <c r="N379" s="16" t="n">
        <v>2004</v>
      </c>
      <c r="O379" s="10" t="inlineStr">
        <is>
          <t>1</t>
        </is>
      </c>
      <c r="P379" s="10" t="inlineStr">
        <is>
          <t>1</t>
        </is>
      </c>
      <c r="Q379" s="16" t="n">
        <v>182</v>
      </c>
      <c r="R379" s="16" t="n">
        <v>10</v>
      </c>
      <c r="S379" s="10" t="inlineStr">
        <is>
          <t>autre</t>
        </is>
      </c>
      <c r="T379" s="16" t="n">
        <v>3</v>
      </c>
      <c r="U379" s="10" t="n"/>
      <c r="V379" s="10" t="n"/>
      <c r="W379" s="10" t="inlineStr">
        <is>
          <t>Particulier</t>
        </is>
      </c>
      <c r="X379" s="10" t="inlineStr">
        <is>
          <t>Arras</t>
        </is>
      </c>
      <c r="Y379" s="10" t="inlineStr">
        <is>
          <t>62000</t>
        </is>
      </c>
      <c r="Z379" s="10" t="inlineStr">
        <is>
          <t>Pas-de-Calais</t>
        </is>
      </c>
      <c r="AA379" s="10" t="inlineStr">
        <is>
          <t>Nord-Pas-de-Calais</t>
        </is>
      </c>
      <c r="AB379" s="16" t="n"/>
      <c r="AC379" s="16" t="n"/>
      <c r="AD379" s="10" t="n"/>
      <c r="AE379" s="10" t="n"/>
      <c r="AF379" s="10" t="inlineStr">
        <is>
          <t>1 : 1 ; 2 : 2 ; 3 : 3 ; 5 : 5 ; 2004 : 2004 ; https://img.leboncoin.fr/api/v1/tenants/9a6387a1-6259-4f2c-a887-7e67f23dd4cb/domains/20bda58f-d650-462e-a72a-a5a7ecf2bf88/buckets/21d2b0bc-e54c-4b64-a30b-89127b18b785/images/profile/pictures/default/83b5bd5f-69ee-573e-96df-72f32409ac7c?rule=pp-small : https://img.leboncoin.fr/api/v1/tenants/9a6387a1-6259-4f2c-a887-7e67f23dd4cb/domains/20bda58f-d650-462e-a72a-a5a7ecf2bf88/buckets/21d2b0bc-e54c-4b64-a30b-89127b18b785/images/profile/pictures/default/83b5bd5f-69ee-573e-96df-72f32409ac7c?rule=pp-small ; Renault : Renault ; Clio : Clio ; RENAULT : RENAULT ; 182000 km : 182000 ; Essence : 1 ; Manuelle : 1 ; 07/2004 : 07/2004 ; Berline : berline ; Autre : autre ; 10 Cv : 10 ; 182 Ch : 182 ; Avec permis : avecpermis ; credit_card : credit_card ; false : false ; true : true ; rating_score : 1 ; rating_count : 1 ; u_car_brand : RENAULT ; u_car_model : Clio ; vehicle_vsp : Avec permis ; vehicle_available_payment_methods : credit_card ; is_import : false ; vehicle_is_eligible_p2p : 2 ; licence_plate_available : true</t>
        </is>
      </c>
      <c r="AG379" s="19" t="inlineStr">
        <is>
          <t>Voir</t>
        </is>
      </c>
      <c r="AH379" s="10" t="inlineStr">
        <is>
          <t>3252273657</t>
        </is>
      </c>
    </row>
    <row r="380">
      <c r="A380" s="10" t="inlineStr">
        <is>
          <t>Renault Clio II RS (172/182 ch)</t>
        </is>
      </c>
      <c r="B380" s="10" t="inlineStr">
        <is>
          <t>Clio 2 rs</t>
        </is>
      </c>
      <c r="C380" s="10" t="inlineStr">
        <is>
          <t>En vente</t>
        </is>
      </c>
      <c r="D380" s="18" t="n">
        <v>46255</v>
      </c>
      <c r="E380" s="18" t="n">
        <v>46255</v>
      </c>
      <c r="F380" s="18" t="n">
        <v>46296</v>
      </c>
      <c r="G380" s="18" t="n"/>
      <c r="H380" s="17">
        <f>IF(OR(ISNUMBER(D380),ISNUMBER(E380)),IF(ISNUMBER(G380),G380,F380)-IF(ISNUMBER(D380),D380,E380),"")</f>
        <v/>
      </c>
      <c r="I380" s="12" t="n">
        <v>10500</v>
      </c>
      <c r="J380" s="12" t="n">
        <v>10500</v>
      </c>
      <c r="K380" s="13">
        <f>IF(AND(ISNUMBER(I380),ISNUMBER(J380),I380&gt;0),1-J380/I380,"")</f>
        <v/>
      </c>
      <c r="L380" s="16" t="n">
        <v>0</v>
      </c>
      <c r="M380" s="15" t="n">
        <v>134700</v>
      </c>
      <c r="N380" s="16" t="n">
        <v>2001</v>
      </c>
      <c r="O380" s="10" t="inlineStr">
        <is>
          <t>1</t>
        </is>
      </c>
      <c r="P380" s="10" t="inlineStr">
        <is>
          <t>1</t>
        </is>
      </c>
      <c r="Q380" s="16" t="n">
        <v>172</v>
      </c>
      <c r="R380" s="16" t="n">
        <v>10</v>
      </c>
      <c r="S380" s="10" t="inlineStr">
        <is>
          <t>bleu</t>
        </is>
      </c>
      <c r="T380" s="16" t="n">
        <v>3</v>
      </c>
      <c r="U380" s="10" t="n"/>
      <c r="V380" s="10" t="n"/>
      <c r="W380" s="10" t="inlineStr">
        <is>
          <t>Particulier</t>
        </is>
      </c>
      <c r="X380" s="10" t="inlineStr">
        <is>
          <t>Caen</t>
        </is>
      </c>
      <c r="Y380" s="10" t="inlineStr">
        <is>
          <t>14000</t>
        </is>
      </c>
      <c r="Z380" s="10" t="inlineStr">
        <is>
          <t>Calvados</t>
        </is>
      </c>
      <c r="AA380" s="10" t="inlineStr">
        <is>
          <t>Basse-Normandie</t>
        </is>
      </c>
      <c r="AB380" s="16" t="n"/>
      <c r="AC380" s="16" t="n"/>
      <c r="AD380" s="10" t="n"/>
      <c r="AE380" s="10" t="n"/>
      <c r="AF380" s="10" t="inlineStr">
        <is>
          <t>2 : 2 ; 3 : 3 ; 5 : 5 ; 45 : 45 ; 2001 : 2001 ; 720996 : 720996 ; 0.99 : 0.99 ; https://img.leboncoin.fr/api/v1/tenants/9a6387a1-6259-4f2c-a887-7e67f23dd4cb/domains/20bda58f-d650-462e-a72a-a5a7ecf2bf88/buckets/21d2b0bc-e54c-4b64-a30b-89127b18b785/images/profile/pictures/default/f4b49068-5813-5946-b42f-416b3e622838?rule=pp-small : https://img.leboncoin.fr/api/v1/tenants/9a6387a1-6259-4f2c-a887-7e67f23dd4cb/domains/20bda58f-d650-462e-a72a-a5a7ecf2bf88/buckets/21d2b0bc-e54c-4b64-a30b-89127b18b785/images/profile/pictures/default/f4b49068-5813-5946-b42f-416b3e622838?rule=pp-small ; Renault : Renault ; Clio : Clio ; RENAULT : RENAULT ; 134700 km : 134700 ; Essence : 1 ; Manuelle : 1 ; RS : RENAULT_Clio_RS ; RS_Clio 2.0 16v 172ch RS 3p : RS_Clio 2.0 16v 172ch RS 3p ; 11/2001 : 11/2001 ; Citadine : citadine ; Bleu : bleu ; 10 Cv : 10 ; 172 Ch : 172 ; Avec permis : avecpermis ; credit_card : credit_card ; false : false ; https://autoviza.fr/report/report?uid=7134d0a9-643b-4896-92ed-5174d4307f2c : https://autoviza.fr/report/report?uid=7134d0a9-643b-4896-92ed-5174d4307f2c ; visible : visible ; true : true ; rating_score : 0.99 ; rating_count : 45 ; u_car_brand : RENAULT ; u_car_model : Clio ; u_car_finition : RS ; u_car_version : RS_Clio 2.0 16v 172ch RS 3p ; vehicle_upholstery : Cuir partiel, Alcantara ; vehicle_interior_specs : Climatisation, Essuie-glaces automatiques, Jantes en alliage, Phares LED / Xenon, Roue de secours ; vehicle_vsp : Avec permis ; vehicle_available_payment_methods : credit_card ; is_import : false ; vehicle_is_eligible_p2p : 2 ; vehicle_history_report_public_url : https://autoviza.fr/report/report?uid=7134d0a9-643b-4896-92ed-5174d4307f2c ; vehicle_history_report_status : visible ; argus_object_id : 720996 ; licence_plate_available : true</t>
        </is>
      </c>
      <c r="AG380" s="19" t="inlineStr">
        <is>
          <t>Voir</t>
        </is>
      </c>
      <c r="AH380" s="10" t="inlineStr">
        <is>
          <t>3254332412</t>
        </is>
      </c>
    </row>
    <row r="381">
      <c r="A381" s="10" t="inlineStr">
        <is>
          <t>Renault Clio II RS (172/182 ch)</t>
        </is>
      </c>
      <c r="B381" s="10" t="inlineStr">
        <is>
          <t>Clio 2 rs phase 2, 2L 16v 172chv</t>
        </is>
      </c>
      <c r="C381" s="10" t="inlineStr">
        <is>
          <t>En vente</t>
        </is>
      </c>
      <c r="D381" s="18" t="n">
        <v>46263</v>
      </c>
      <c r="E381" s="18" t="n">
        <v>46263</v>
      </c>
      <c r="F381" s="18" t="n">
        <v>46296</v>
      </c>
      <c r="G381" s="18" t="n"/>
      <c r="H381" s="17">
        <f>IF(OR(ISNUMBER(D381),ISNUMBER(E381)),IF(ISNUMBER(G381),G381,F381)-IF(ISNUMBER(D381),D381,E381),"")</f>
        <v/>
      </c>
      <c r="I381" s="12" t="n">
        <v>6000</v>
      </c>
      <c r="J381" s="12" t="n">
        <v>6000</v>
      </c>
      <c r="K381" s="13">
        <f>IF(AND(ISNUMBER(I381),ISNUMBER(J381),I381&gt;0),1-J381/I381,"")</f>
        <v/>
      </c>
      <c r="L381" s="16" t="n">
        <v>0</v>
      </c>
      <c r="M381" s="15" t="n">
        <v>225000</v>
      </c>
      <c r="N381" s="16" t="n">
        <v>2001</v>
      </c>
      <c r="O381" s="10" t="inlineStr">
        <is>
          <t>1</t>
        </is>
      </c>
      <c r="P381" s="10" t="inlineStr">
        <is>
          <t>1</t>
        </is>
      </c>
      <c r="Q381" s="16" t="n">
        <v>172</v>
      </c>
      <c r="R381" s="16" t="n">
        <v>10</v>
      </c>
      <c r="S381" s="10" t="inlineStr">
        <is>
          <t>noir</t>
        </is>
      </c>
      <c r="T381" s="16" t="n">
        <v>3</v>
      </c>
      <c r="U381" s="10" t="n"/>
      <c r="V381" s="10" t="n"/>
      <c r="W381" s="10" t="inlineStr">
        <is>
          <t>Particulier</t>
        </is>
      </c>
      <c r="X381" s="10" t="inlineStr">
        <is>
          <t>Grandvillers-aux-Bois</t>
        </is>
      </c>
      <c r="Y381" s="10" t="inlineStr">
        <is>
          <t>60190</t>
        </is>
      </c>
      <c r="Z381" s="10" t="inlineStr">
        <is>
          <t>Oise</t>
        </is>
      </c>
      <c r="AA381" s="10" t="inlineStr">
        <is>
          <t>Picardie</t>
        </is>
      </c>
      <c r="AB381" s="16" t="n"/>
      <c r="AC381" s="16" t="n"/>
      <c r="AD381" s="10" t="inlineStr">
        <is>
          <t>Oui</t>
        </is>
      </c>
      <c r="AE381" s="10" t="n"/>
      <c r="AF381" s="10" t="inlineStr">
        <is>
          <t>1 : 1 ; 2 : 2 ; 3 : 3 ; 2001 : 2001 ; 7000 : 7000 ; https://img.leboncoin.fr/api/v1/tenants/9a6387a1-6259-4f2c-a887-7e67f23dd4cb/domains/20bda58f-d650-462e-a72a-a5a7ecf2bf88/buckets/21d2b0bc-e54c-4b64-a30b-89127b18b785/images/profile/pictures/default/93700019-76b0-52bc-9950-bc9543063460?rule=pp-small : https://img.leboncoin.fr/api/v1/tenants/9a6387a1-6259-4f2c-a887-7e67f23dd4cb/domains/20bda58f-d650-462e-a72a-a5a7ecf2bf88/buckets/21d2b0bc-e54c-4b64-a30b-89127b18b785/images/profile/pictures/default/93700019-76b0-52bc-9950-bc9543063460?rule=pp-small ; Renault : Renault ; Clio : Clio ; RENAULT : RENAULT ; 225000 km : 225000 ; Essence : 1 ; Manuelle : 1 ; Oui : true ; 10/2001 : 10/2001 ; Berline : berline ; Noir : noir ; 10 Cv : 10 ; 172 Ch : 172 ; Avec permis : avecpermis ; credit_card : credit_card ; false : false ; true : true ; rating_score : 1 ; rating_count : 1 ; u_car_brand : RENAULT ; u_car_model : Clio ; vehicle_technical_inspection_valid : Oui ; vehicle_upholstery : Alcantara, Cuir partiel ; vehicle_maintenance : Carnet d'entretien disponible, Factures disponibles, Véhicule non fumeur, Réparations utiles déjà faites ; vehicle_vsp : Avec permis ; vehicle_available_payment_methods : credit_card ; is_import : false ; old_price : 7000 ; vehicle_is_eligible_p2p : 2 ; licence_plate_available : true</t>
        </is>
      </c>
      <c r="AG381" s="19" t="inlineStr">
        <is>
          <t>Voir</t>
        </is>
      </c>
      <c r="AH381" s="10" t="inlineStr">
        <is>
          <t>3258667592</t>
        </is>
      </c>
    </row>
    <row r="382">
      <c r="A382" s="10" t="inlineStr">
        <is>
          <t>Renault Clio II RS (172/182 ch)</t>
        </is>
      </c>
      <c r="B382" s="10" t="inlineStr">
        <is>
          <t>Clio rs</t>
        </is>
      </c>
      <c r="C382" s="10" t="inlineStr">
        <is>
          <t>En vente</t>
        </is>
      </c>
      <c r="D382" s="18" t="n">
        <v>46265</v>
      </c>
      <c r="E382" s="18" t="n">
        <v>46265</v>
      </c>
      <c r="F382" s="18" t="n">
        <v>46296</v>
      </c>
      <c r="G382" s="18" t="n"/>
      <c r="H382" s="17">
        <f>IF(OR(ISNUMBER(D382),ISNUMBER(E382)),IF(ISNUMBER(G382),G382,F382)-IF(ISNUMBER(D382),D382,E382),"")</f>
        <v/>
      </c>
      <c r="I382" s="12" t="n">
        <v>8500</v>
      </c>
      <c r="J382" s="12" t="n">
        <v>8500</v>
      </c>
      <c r="K382" s="13">
        <f>IF(AND(ISNUMBER(I382),ISNUMBER(J382),I382&gt;0),1-J382/I382,"")</f>
        <v/>
      </c>
      <c r="L382" s="16" t="n">
        <v>0</v>
      </c>
      <c r="M382" s="15" t="n">
        <v>190000</v>
      </c>
      <c r="N382" s="16" t="n">
        <v>2003</v>
      </c>
      <c r="O382" s="10" t="inlineStr">
        <is>
          <t>1</t>
        </is>
      </c>
      <c r="P382" s="10" t="inlineStr">
        <is>
          <t>1</t>
        </is>
      </c>
      <c r="Q382" s="16" t="n">
        <v>172</v>
      </c>
      <c r="R382" s="16" t="n">
        <v>10</v>
      </c>
      <c r="S382" s="10" t="inlineStr">
        <is>
          <t>autre</t>
        </is>
      </c>
      <c r="T382" s="16" t="n">
        <v>3</v>
      </c>
      <c r="U382" s="10" t="n"/>
      <c r="V382" s="10" t="n"/>
      <c r="W382" s="10" t="inlineStr">
        <is>
          <t>Particulier</t>
        </is>
      </c>
      <c r="X382" s="10" t="inlineStr">
        <is>
          <t>Ornans</t>
        </is>
      </c>
      <c r="Y382" s="10" t="inlineStr">
        <is>
          <t>25290</t>
        </is>
      </c>
      <c r="Z382" s="10" t="inlineStr">
        <is>
          <t>Doubs</t>
        </is>
      </c>
      <c r="AA382" s="10" t="inlineStr">
        <is>
          <t>Franche-Comté</t>
        </is>
      </c>
      <c r="AB382" s="16" t="n"/>
      <c r="AC382" s="16" t="n"/>
      <c r="AD382" s="10" t="n"/>
      <c r="AE382" s="10" t="n"/>
      <c r="AF382" s="10" t="inlineStr">
        <is>
          <t>1 : 1 ; 2 : 2 ; 3 : 3 ; 28 : 28 ; 2003 : 2003 ; 2026 : 2026 ; https://img.leboncoin.fr/api/v1/tenants/9a6387a1-6259-4f2c-a887-7e67f23dd4cb/domains/20bda58f-d650-462e-a72a-a5a7ecf2bf88/buckets/21d2b0bc-e54c-4b64-a30b-89127b18b785/images/profile/pictures/default/99dc48b2-334a-5d48-88cd-5949ccd250cc?rule=pp-small : https://img.leboncoin.fr/api/v1/tenants/9a6387a1-6259-4f2c-a887-7e67f23dd4cb/domains/20bda58f-d650-462e-a72a-a5a7ecf2bf88/buckets/21d2b0bc-e54c-4b64-a30b-89127b18b785/images/profile/pictures/default/99dc48b2-334a-5d48-88cd-5949ccd250cc?rule=pp-small ; Renault : Renault ; Clio : Clio ; RENAULT : RENAULT ; 190000 km : 190000 ; Essence : 1 ; Manuelle : 1 ; Oui : true ; 04/2003 : 04/2003 ; Berline : berline ; Autre : autre ; 10 Cv : 10 ; 172 Ch : 172 ; Avec permis : avecpermis ; credit_card : credit_card ; false : false ; true : true ; rating_score : 1 ; rating_count : 28 ; u_car_brand : RENAULT ; u_car_model : Clio ; vehicle_technical_inspection_valid : Oui ; vehicle_technical_inspection_a : 2026 ; vehicle_vsp : Avec permis ; vehicle_available_payment_methods : credit_card ; is_import : false ; vehicle_is_eligible_p2p : 2 ; licence_plate_available : true</t>
        </is>
      </c>
      <c r="AG382" s="19" t="inlineStr">
        <is>
          <t>Voir</t>
        </is>
      </c>
      <c r="AH382" s="10" t="inlineStr">
        <is>
          <t>3260553786</t>
        </is>
      </c>
    </row>
    <row r="383">
      <c r="A383" s="10" t="inlineStr">
        <is>
          <t>Renault Clio II RS (172/182 ch)</t>
        </is>
      </c>
      <c r="B383" s="10" t="inlineStr">
        <is>
          <t>Renault Clio 2.0 16v 172ch RS 3p</t>
        </is>
      </c>
      <c r="C383" s="10" t="inlineStr">
        <is>
          <t>En vente</t>
        </is>
      </c>
      <c r="D383" s="18" t="n">
        <v>46266</v>
      </c>
      <c r="E383" s="18" t="n">
        <v>46266</v>
      </c>
      <c r="F383" s="18" t="n">
        <v>46296</v>
      </c>
      <c r="G383" s="18" t="n"/>
      <c r="H383" s="17">
        <f>IF(OR(ISNUMBER(D383),ISNUMBER(E383)),IF(ISNUMBER(G383),G383,F383)-IF(ISNUMBER(D383),D383,E383),"")</f>
        <v/>
      </c>
      <c r="I383" s="12" t="n">
        <v>12490</v>
      </c>
      <c r="J383" s="12" t="n">
        <v>12490</v>
      </c>
      <c r="K383" s="13">
        <f>IF(AND(ISNUMBER(I383),ISNUMBER(J383),I383&gt;0),1-J383/I383,"")</f>
        <v/>
      </c>
      <c r="L383" s="16" t="n">
        <v>0</v>
      </c>
      <c r="M383" s="15" t="n">
        <v>160000</v>
      </c>
      <c r="N383" s="16" t="n">
        <v>2002</v>
      </c>
      <c r="O383" s="10" t="inlineStr">
        <is>
          <t>1</t>
        </is>
      </c>
      <c r="P383" s="10" t="inlineStr">
        <is>
          <t>1</t>
        </is>
      </c>
      <c r="Q383" s="16" t="n">
        <v>169</v>
      </c>
      <c r="R383" s="16" t="n">
        <v>10</v>
      </c>
      <c r="S383" s="10" t="inlineStr">
        <is>
          <t>bleu</t>
        </is>
      </c>
      <c r="T383" s="16" t="n">
        <v>3</v>
      </c>
      <c r="U383" s="10" t="n"/>
      <c r="V383" s="10" t="inlineStr">
        <is>
          <t>3</t>
        </is>
      </c>
      <c r="W383" s="10" t="inlineStr">
        <is>
          <t>Pro</t>
        </is>
      </c>
      <c r="X383" s="10" t="inlineStr">
        <is>
          <t>Saint-André</t>
        </is>
      </c>
      <c r="Y383" s="10" t="inlineStr">
        <is>
          <t>66690</t>
        </is>
      </c>
      <c r="Z383" s="10" t="inlineStr">
        <is>
          <t>Pyrénées-Orientales</t>
        </is>
      </c>
      <c r="AA383" s="10" t="inlineStr">
        <is>
          <t>Languedoc-Roussillon</t>
        </is>
      </c>
      <c r="AB383" s="16" t="n"/>
      <c r="AC383" s="16" t="n"/>
      <c r="AD383" s="10" t="inlineStr">
        <is>
          <t>Oui</t>
        </is>
      </c>
      <c r="AE383" s="10" t="n"/>
      <c r="AF383" s="10" t="inlineStr">
        <is>
          <t>1 : 1 ; 3 : 3 ; 5 : 5 ; 1847 : 1847 ; 2002 : 2002 ; 13990 : 13990 ; 74284 : 74284 ; 721222 : 721222 ; Renault : Renault ; Clio : Clio ; RENAULT : RENAULT ; 160000 km : 160000 ; Essence : 1 ; Manuelle : 1 ; RS : RENAULT_Clio_RS ; Clio 2.0 16v 172ch RS 3p : Clio 2.0 16v 172ch RS 3p ; Oui : true ; 07/2002 : 07/2002 ; Berline : berline ; Bleu : bleu ; 10 Cv : 10 ; 169 Ch : 169 ; Avec permis : avecpermis ; false : false ; true : true ; https://img.leboncoin.fr/api/v1/lbcpb1/images/a7/05/6c/a7056c6c-1d9a-4a4b-96c3-68de4c548920?rule=bo-thumb : https://img.leboncoin.fr/api/v1/lbcpb1/images/a7/05/6c/a7056c6c-1d9a-4a4b-96c3-68de4c548920?rule=bo-thumb ; ESTRELLA CARS : ESTRELLA CARS ; https://autoviza.fr/report/report?uid=4c5f135f-d18a-41a1-8b34-884c5339a300 : https://autoviza.fr/report/report?uid=4c5f135f-d18a-41a1-8b34-884c5339a300 ; visible : visible ; Non renseignée : non_renseignee ; activity_sector : 1 ; u_car_brand : RENAULT ; u_car_model : Clio ; u_car_finition : RS ; u_car_version : Clio 2.0 16v 172ch RS 3p ; vehicle_technical_inspection_valid : Oui ; vehicle_maintenance : Carnet d'entretien disponible ; vehicle_interior_specs : Climatisation, Régulateur de vitesse ; vehicle_vsp : Avec permis ; recent_used_vehicle : false ; has_visibility_option : true ; store_logo : https://img.leboncoin.fr/api/v1/lbcpb1/images/a7/05/6c/a7056c6c-1d9a-4a4b-96c3-68de4c548920?rule=bo-thumb ; store_name : ESTRELLA CARS ; online_store_id : 74284 ; custom_ref : 1847 ; is_import : true ; old_price : 13990 ; vehicle_history_report_public_url : https://autoviza.fr/report/report?uid=4c5f135f-d18a-41a1-8b34-884c5339a300 ; vehicle_history_report_status : visible ; argus_object_id : 721222 ; spare_parts_availability : Non renseignée ; licence_plate_available : true</t>
        </is>
      </c>
      <c r="AG383" s="19" t="inlineStr">
        <is>
          <t>Voir</t>
        </is>
      </c>
      <c r="AH383" s="10" t="inlineStr">
        <is>
          <t>3260826413</t>
        </is>
      </c>
    </row>
    <row r="384">
      <c r="A384" s="10" t="inlineStr">
        <is>
          <t>Renault Clio II RS (172/182 ch)</t>
        </is>
      </c>
      <c r="B384" s="10" t="inlineStr">
        <is>
          <t>Renault clio rs 2.0 16s</t>
        </is>
      </c>
      <c r="C384" s="10" t="inlineStr">
        <is>
          <t>En vente</t>
        </is>
      </c>
      <c r="D384" s="18" t="n">
        <v>46266</v>
      </c>
      <c r="E384" s="18" t="n">
        <v>46266</v>
      </c>
      <c r="F384" s="18" t="n">
        <v>46296</v>
      </c>
      <c r="G384" s="18" t="n"/>
      <c r="H384" s="17">
        <f>IF(OR(ISNUMBER(D384),ISNUMBER(E384)),IF(ISNUMBER(G384),G384,F384)-IF(ISNUMBER(D384),D384,E384),"")</f>
        <v/>
      </c>
      <c r="I384" s="12" t="n">
        <v>10500</v>
      </c>
      <c r="J384" s="12" t="n">
        <v>10500</v>
      </c>
      <c r="K384" s="13">
        <f>IF(AND(ISNUMBER(I384),ISNUMBER(J384),I384&gt;0),1-J384/I384,"")</f>
        <v/>
      </c>
      <c r="L384" s="16" t="n">
        <v>0</v>
      </c>
      <c r="M384" s="15" t="n">
        <v>162500</v>
      </c>
      <c r="N384" s="16" t="n">
        <v>2001</v>
      </c>
      <c r="O384" s="10" t="inlineStr">
        <is>
          <t>1</t>
        </is>
      </c>
      <c r="P384" s="10" t="inlineStr">
        <is>
          <t>1</t>
        </is>
      </c>
      <c r="Q384" s="16" t="n">
        <v>172</v>
      </c>
      <c r="R384" s="16" t="n">
        <v>10</v>
      </c>
      <c r="S384" s="10" t="inlineStr">
        <is>
          <t>argent</t>
        </is>
      </c>
      <c r="T384" s="16" t="n">
        <v>3</v>
      </c>
      <c r="U384" s="10" t="n"/>
      <c r="V384" s="10" t="n"/>
      <c r="W384" s="10" t="inlineStr">
        <is>
          <t>Particulier</t>
        </is>
      </c>
      <c r="X384" s="10" t="inlineStr">
        <is>
          <t>Six-Fours-les-Plages</t>
        </is>
      </c>
      <c r="Y384" s="10" t="inlineStr">
        <is>
          <t>83140</t>
        </is>
      </c>
      <c r="Z384" s="10" t="inlineStr">
        <is>
          <t>Var</t>
        </is>
      </c>
      <c r="AA384" s="10" t="inlineStr">
        <is>
          <t>Provence-Alpes-Côte d'Azur</t>
        </is>
      </c>
      <c r="AB384" s="16" t="n"/>
      <c r="AC384" s="16" t="n"/>
      <c r="AD384" s="10" t="n"/>
      <c r="AE384" s="10" t="n"/>
      <c r="AF384" s="10" t="inlineStr">
        <is>
          <t>1 : 1 ; 2 : 2 ; 3 : 3 ; 2001 : 2001 ; 720996 : 720996 ; https://img.leboncoin.fr/api/v1/tenants/9a6387a1-6259-4f2c-a887-7e67f23dd4cb/domains/20bda58f-d650-462e-a72a-a5a7ecf2bf88/buckets/21d2b0bc-e54c-4b64-a30b-89127b18b785/images/profile/pictures/default/e59846f2-4f99-5ffb-bad1-8c416bd7e54a?rule=pp-small : https://img.leboncoin.fr/api/v1/tenants/9a6387a1-6259-4f2c-a887-7e67f23dd4cb/domains/20bda58f-d650-462e-a72a-a5a7ecf2bf88/buckets/21d2b0bc-e54c-4b64-a30b-89127b18b785/images/profile/pictures/default/e59846f2-4f99-5ffb-bad1-8c416bd7e54a?rule=pp-small ; Renault : Renault ; Clio : Clio ; RENAULT : RENAULT ; 162500 km : 162500 ; Essence : 1 ; Manuelle : 1 ; RS : RENAULT_Clio_RS ; Clio 2.0 16v 172ch RS 3p : Clio 2.0 16v 172ch RS 3p ; Oui : true ; 06/2001 : 06/2001 ; Bon état général : good_overall_condition ; Berline : berline ; Argent : argent ; 10 Cv : 10 ; 172 Ch : 172 ; Avec permis : avecpermis ; credit_card : credit_card ; false : false ; true : true ; u_car_brand : RENAULT ; u_car_model : Clio ; u_car_finition : RS ; u_car_version : Clio 2.0 16v 172ch RS 3p ; vehicle_technical_inspection_valid : Oui ; vehicle_damage : Bon état général ; vehicle_upholstery : Cuir partiel, Alcantara ; vehicle_maintenance : Véhicule non fumeur, Factures disponibles ; vehicle_interior_specs : Climatisation, Essuie-glaces automatiques, Jantes en alliage, Ordinateur de bord, Phares LED / Xenon, Siège arrière rabattable, Vitres surteintées à l'arrière, Volant réglable en hauteur, Volant réglable en profondeur ; vehicle_vsp : Avec permis ; vehicle_available_payment_methods : credit_card ; is_import : false ; vehicle_is_eligible_p2p : 2 ; argus_object_id : 720996 ; licence_plate_available : true</t>
        </is>
      </c>
      <c r="AG384" s="19" t="inlineStr">
        <is>
          <t>Voir</t>
        </is>
      </c>
      <c r="AH384" s="10" t="inlineStr">
        <is>
          <t>3261006166</t>
        </is>
      </c>
    </row>
    <row r="385">
      <c r="A385" s="10" t="inlineStr">
        <is>
          <t>Renault Clio II RS (172/182 ch)</t>
        </is>
      </c>
      <c r="B385" s="10" t="inlineStr">
        <is>
          <t>Renault Clio RS Ph1</t>
        </is>
      </c>
      <c r="C385" s="10" t="inlineStr">
        <is>
          <t>En vente</t>
        </is>
      </c>
      <c r="D385" s="18" t="n">
        <v>46267</v>
      </c>
      <c r="E385" s="18" t="n">
        <v>46267</v>
      </c>
      <c r="F385" s="18" t="n">
        <v>46296</v>
      </c>
      <c r="G385" s="18" t="n"/>
      <c r="H385" s="17">
        <f>IF(OR(ISNUMBER(D385),ISNUMBER(E385)),IF(ISNUMBER(G385),G385,F385)-IF(ISNUMBER(D385),D385,E385),"")</f>
        <v/>
      </c>
      <c r="I385" s="12" t="n">
        <v>10000</v>
      </c>
      <c r="J385" s="12" t="n">
        <v>10000</v>
      </c>
      <c r="K385" s="13">
        <f>IF(AND(ISNUMBER(I385),ISNUMBER(J385),I385&gt;0),1-J385/I385,"")</f>
        <v/>
      </c>
      <c r="L385" s="16" t="n">
        <v>0</v>
      </c>
      <c r="M385" s="15" t="n">
        <v>247780</v>
      </c>
      <c r="N385" s="16" t="n">
        <v>2001</v>
      </c>
      <c r="O385" s="10" t="inlineStr">
        <is>
          <t>1</t>
        </is>
      </c>
      <c r="P385" s="10" t="inlineStr">
        <is>
          <t>1</t>
        </is>
      </c>
      <c r="Q385" s="16" t="n">
        <v>172</v>
      </c>
      <c r="R385" s="16" t="n">
        <v>10</v>
      </c>
      <c r="S385" s="10" t="inlineStr">
        <is>
          <t>noir</t>
        </is>
      </c>
      <c r="T385" s="16" t="n">
        <v>3</v>
      </c>
      <c r="U385" s="10" t="n"/>
      <c r="V385" s="10" t="n"/>
      <c r="W385" s="10" t="inlineStr">
        <is>
          <t>Particulier</t>
        </is>
      </c>
      <c r="X385" s="10" t="inlineStr">
        <is>
          <t>Pertuis</t>
        </is>
      </c>
      <c r="Y385" s="10" t="inlineStr">
        <is>
          <t>84120</t>
        </is>
      </c>
      <c r="Z385" s="10" t="inlineStr">
        <is>
          <t>Vaucluse</t>
        </is>
      </c>
      <c r="AA385" s="10" t="inlineStr">
        <is>
          <t>Provence-Alpes-Côte d'Azur</t>
        </is>
      </c>
      <c r="AB385" s="16" t="n"/>
      <c r="AC385" s="16" t="n"/>
      <c r="AD385" s="10" t="n"/>
      <c r="AE385" s="10" t="n"/>
      <c r="AF385" s="10" t="inlineStr">
        <is>
          <t>1 : 1 ; 2 : 2 ; 3 : 3 ; 5 : 5 ; 2001 : 2001 ; 2028 : 2028 ; https://img.leboncoin.fr/api/v1/tenants/9a6387a1-6259-4f2c-a887-7e67f23dd4cb/domains/20bda58f-d650-462e-a72a-a5a7ecf2bf88/buckets/21d2b0bc-e54c-4b64-a30b-89127b18b785/images/profile/pictures/default/09aef3f8-b815-5fca-a939-630e59363f92?rule=pp-small : https://img.leboncoin.fr/api/v1/tenants/9a6387a1-6259-4f2c-a887-7e67f23dd4cb/domains/20bda58f-d650-462e-a72a-a5a7ecf2bf88/buckets/21d2b0bc-e54c-4b64-a30b-89127b18b785/images/profile/pictures/default/09aef3f8-b815-5fca-a939-630e59363f92?rule=pp-small ; Renault : Renault ; Clio : Clio ; RENAULT : RENAULT ; 247780 km : 247780 ; Essence : 1 ; Manuelle : 1 ; Oui : true ; 01/2001 : 01/2001 ; Bon état général : good_overall_condition ; Berline : berline ; Noir : noir ; 10 Cv : 10 ; 172 Ch : 172 ; Avec permis : avecpermis ; credit_card : credit_card ; false : false ; true : true ; rating_score : 1 ; rating_count : 1 ; u_car_brand : RENAULT ; u_car_model : Clio ; vehicle_technical_inspection_valid : Oui ; vehicle_technical_inspection_a : 2028 ; vehicle_damage : Bon état général ; vehicle_upholstery : Cuir partiel, Alcantara ; vehicle_vsp : Avec permis ; vehicle_available_payment_methods : credit_card ; is_import : false ; vehicle_is_eligible_p2p : 2 ; licence_plate_available : true</t>
        </is>
      </c>
      <c r="AG385" s="19" t="inlineStr">
        <is>
          <t>Voir</t>
        </is>
      </c>
      <c r="AH385" s="10" t="inlineStr">
        <is>
          <t>3261622205</t>
        </is>
      </c>
    </row>
    <row r="386">
      <c r="A386" s="10" t="inlineStr">
        <is>
          <t>Renault Clio II RS (172/182 ch)</t>
        </is>
      </c>
      <c r="B386" s="10" t="inlineStr">
        <is>
          <t>RENAULT Clio RS 2.0L 200ch Renault Sport - 2006 - 141 500 km</t>
        </is>
      </c>
      <c r="C386" s="10" t="inlineStr">
        <is>
          <t>En vente</t>
        </is>
      </c>
      <c r="D386" s="18" t="n">
        <v>46267</v>
      </c>
      <c r="E386" s="18" t="n">
        <v>46267</v>
      </c>
      <c r="F386" s="18" t="n">
        <v>46296</v>
      </c>
      <c r="G386" s="18" t="n"/>
      <c r="H386" s="17">
        <f>IF(OR(ISNUMBER(D386),ISNUMBER(E386)),IF(ISNUMBER(G386),G386,F386)-IF(ISNUMBER(D386),D386,E386),"")</f>
        <v/>
      </c>
      <c r="I386" s="12" t="n">
        <v>12990</v>
      </c>
      <c r="J386" s="12" t="n">
        <v>12990</v>
      </c>
      <c r="K386" s="13">
        <f>IF(AND(ISNUMBER(I386),ISNUMBER(J386),I386&gt;0),1-J386/I386,"")</f>
        <v/>
      </c>
      <c r="L386" s="16" t="n">
        <v>0</v>
      </c>
      <c r="M386" s="15" t="n">
        <v>141500</v>
      </c>
      <c r="N386" s="16" t="n">
        <v>2006</v>
      </c>
      <c r="O386" s="10" t="inlineStr">
        <is>
          <t>1</t>
        </is>
      </c>
      <c r="P386" s="10" t="inlineStr">
        <is>
          <t>1</t>
        </is>
      </c>
      <c r="Q386" s="16" t="n">
        <v>200</v>
      </c>
      <c r="R386" s="16" t="n">
        <v>12</v>
      </c>
      <c r="S386" s="10" t="inlineStr">
        <is>
          <t>noir</t>
        </is>
      </c>
      <c r="T386" s="16" t="n">
        <v>3</v>
      </c>
      <c r="U386" s="10" t="n"/>
      <c r="V386" s="10" t="n"/>
      <c r="W386" s="10" t="inlineStr">
        <is>
          <t>Pro</t>
        </is>
      </c>
      <c r="X386" s="10" t="inlineStr">
        <is>
          <t>Aytré</t>
        </is>
      </c>
      <c r="Y386" s="10" t="inlineStr">
        <is>
          <t>17440</t>
        </is>
      </c>
      <c r="Z386" s="10" t="inlineStr">
        <is>
          <t>Charente-Maritime</t>
        </is>
      </c>
      <c r="AA386" s="10" t="inlineStr">
        <is>
          <t>Poitou-Charentes</t>
        </is>
      </c>
      <c r="AB386" s="16" t="n"/>
      <c r="AC386" s="16" t="n"/>
      <c r="AD386" s="10" t="inlineStr">
        <is>
          <t>Oui</t>
        </is>
      </c>
      <c r="AE386" s="10" t="n"/>
      <c r="AF386" s="10" t="inlineStr">
        <is>
          <t>1 : 1 ; 3 : 3 ; 5 : 5 ; 2006 : 2006 ; 11200 : 11200 ; 12380 : 12380 ; 890614 : 890614 ; 7189312 : 7189312 ; Renault : Renault ; Clio : Clio ; RENAULT : RENAULT ; 141500 km : 141500 ; Essence : 1 ; Manuelle : 1 ; Renault Sport : RENAULT_Clio_Renault Sport ; Clio 2.0 16v 200ch Renault Sport 3p : Clio 2.0 16v 200ch Renault Sport 3p ; 09/2006 : 09/2006 ; Berline : berline ; Noir : noir ; 12 Cv : 12 ; 200 Ch : 200 ; false : false ; true : true ; https://img.leboncoin.fr/api/v1/lbcpb1/images/60/67/0b/60670ba1-1a57-49ff-b8f0-b1fc65c3e859?rule=bo-thumb : https://img.leboncoin.fr/api/v1/lbcpb1/images/60/67/0b/60670ba1-1a57-49ff-b8f0-b1fc65c3e859?rule=bo-thumb ; VROOM MARKET LA ROCHELLE : VROOM MARKET LA ROCHELLE ; Légèrement supérieur : badge_key_2_5 ; https://autoviza.fr/report/report?uid=5c158ad0-dea5-42e4-9b57-b854ec30059b : https://autoviza.fr/report/report?uid=5c158ad0-dea5-42e4-9b57-b854ec30059b ; visible : visible ; Non renseignée : non_renseignee ; activity_sector : 1 ; u_car_brand : RENAULT ; u_car_model : Clio ; u_car_finition : Renault Sport ; u_car_version : Clio 2.0 16v 200ch Renault Sport 3p ; vehicle_interior_specs : Allumage automatique des phares, Essuie-glaces automatiques, Jantes en alliage, Ordinateur de bord, Phares anti-brouillard, Régulateur de vitesse ; recent_used_vehicle : false ; has_visibility_option : true ; store_logo : https://img.leboncoin.fr/api/v1/lbcpb1/images/60/67/0b/60670ba1-1a57-49ff-b8f0-b1fc65c3e859?rule=bo-thumb ; store_name : VROOM MARKET LA ROCHELLE ; online_store_id : 7189312 ; is_import : true ; car_price_min : 11200 ; car_price_max : 12380 ; car_price_positioning : Légèrement supérieur ; vehicle_history_report_public_url : https://autoviza.fr/report/report?uid=5c158ad0-dea5-42e4-9b57-b854ec30059b ; vehicle_history_report_status : visible ; argus_object_id : 890614 ; spare_parts_availability : Non renseignée ; licence_plate_available : true</t>
        </is>
      </c>
      <c r="AG386" s="19" t="inlineStr">
        <is>
          <t>Voir</t>
        </is>
      </c>
      <c r="AH386" s="10" t="inlineStr">
        <is>
          <t>3261693737</t>
        </is>
      </c>
    </row>
    <row r="387">
      <c r="A387" s="10" t="inlineStr">
        <is>
          <t>Renault Clio II RS (172/182 ch)</t>
        </is>
      </c>
      <c r="B387" s="10" t="inlineStr">
        <is>
          <t>Clio rs</t>
        </is>
      </c>
      <c r="C387" s="10" t="inlineStr">
        <is>
          <t>En vente</t>
        </is>
      </c>
      <c r="D387" s="18" t="n">
        <v>46268</v>
      </c>
      <c r="E387" s="18" t="n">
        <v>46268</v>
      </c>
      <c r="F387" s="18" t="n">
        <v>46296</v>
      </c>
      <c r="G387" s="18" t="n"/>
      <c r="H387" s="17">
        <f>IF(OR(ISNUMBER(D387),ISNUMBER(E387)),IF(ISNUMBER(G387),G387,F387)-IF(ISNUMBER(D387),D387,E387),"")</f>
        <v/>
      </c>
      <c r="I387" s="12" t="n">
        <v>8900</v>
      </c>
      <c r="J387" s="12" t="n">
        <v>8900</v>
      </c>
      <c r="K387" s="13">
        <f>IF(AND(ISNUMBER(I387),ISNUMBER(J387),I387&gt;0),1-J387/I387,"")</f>
        <v/>
      </c>
      <c r="L387" s="16" t="n">
        <v>0</v>
      </c>
      <c r="M387" s="15" t="n">
        <v>133000</v>
      </c>
      <c r="N387" s="16" t="n">
        <v>2006</v>
      </c>
      <c r="O387" s="10" t="inlineStr">
        <is>
          <t>1</t>
        </is>
      </c>
      <c r="P387" s="10" t="inlineStr">
        <is>
          <t>1</t>
        </is>
      </c>
      <c r="Q387" s="16" t="n">
        <v>200</v>
      </c>
      <c r="R387" s="16" t="n">
        <v>12</v>
      </c>
      <c r="S387" s="10" t="inlineStr">
        <is>
          <t>gris</t>
        </is>
      </c>
      <c r="T387" s="16" t="n">
        <v>3</v>
      </c>
      <c r="U387" s="10" t="n"/>
      <c r="V387" s="10" t="inlineStr">
        <is>
          <t>6</t>
        </is>
      </c>
      <c r="W387" s="10" t="inlineStr">
        <is>
          <t>Particulier</t>
        </is>
      </c>
      <c r="X387" s="10" t="inlineStr">
        <is>
          <t>Villages du Lac de Paladru</t>
        </is>
      </c>
      <c r="Y387" s="10" t="inlineStr">
        <is>
          <t>38730</t>
        </is>
      </c>
      <c r="Z387" s="10" t="inlineStr">
        <is>
          <t>Isère</t>
        </is>
      </c>
      <c r="AA387" s="10" t="inlineStr">
        <is>
          <t>Rhône-Alpes</t>
        </is>
      </c>
      <c r="AB387" s="16" t="n"/>
      <c r="AC387" s="16" t="n"/>
      <c r="AD387" s="10" t="n"/>
      <c r="AE387" s="10" t="n"/>
      <c r="AF387" s="10" t="inlineStr">
        <is>
          <t>1 : 1 ; 2 : 2 ; 3 : 3 ; 5 : 5 ; 2006 : 2006 ; 956479 : 956479 ; https://img.leboncoin.fr/api/v1/tenants/9a6387a1-6259-4f2c-a887-7e67f23dd4cb/domains/20bda58f-d650-462e-a72a-a5a7ecf2bf88/buckets/21d2b0bc-e54c-4b64-a30b-89127b18b785/images/profile/pictures/default/71bb83ca-7b0a-53d4-8c6f-996ee5f601f9?rule=pp-small : https://img.leboncoin.fr/api/v1/tenants/9a6387a1-6259-4f2c-a887-7e67f23dd4cb/domains/20bda58f-d650-462e-a72a-a5a7ecf2bf88/buckets/21d2b0bc-e54c-4b64-a30b-89127b18b785/images/profile/pictures/default/71bb83ca-7b0a-53d4-8c6f-996ee5f601f9?rule=pp-small ; Renault : Renault ; Clio : Clio ; RENAULT : RENAULT ; 133000 km : 133000 ; Essence : 1 ; Manuelle : 1 ; Renault Sport Luxe : RENAULT_Clio_Renault Sport Luxe ; Clio 2.0 16v 200ch Renault Sport Luxe 3p : Clio 2.0 16v 200ch Renault Sport Luxe 3p ; Non : false ; 12/2006 : 12/2006 ; Réparations mineures à prévoir : minor_repairs_needed ; Berline : berline ; Gris : gris ; Non classé : 6 ; 12 Cv : 12 ; 200 Ch : 200 ; Avec permis : avecpermis ; essential : essential ; credit_card : credit_card ; false : false ; https://autoviza.fr/report/report?uid=5c2a053e-4589-4f11-9fa8-2c51361dae8a : https://autoviza.fr/report/report?uid=5c2a053e-4589-4f11-9fa8-2c51361dae8a ; true : true ; rating_score : 1 ; rating_count : 1 ; u_car_brand : RENAULT ; u_car_model : Clio ; u_car_finition : Renault Sport Luxe ; u_car_version : Clio 2.0 16v 200ch Renault Sport Luxe 3p ; vehicle_technical_inspection_valid : Non ; vehicle_damage : Réparations mineures à prévoir ; vehicle_upholstery : Tissu ; vehicle_vsp : Avec permis ; ad_warranty_type : essential ; vehicle_available_payment_methods : credit_card ; is_import : false ; vehicle_is_eligible_p2p : 2 ; vehicle_history_report_public_url : https://autoviza.fr/report/report?uid=5c2a053e-4589-4f11-9fa8-2c51361dae8a ; argus_object_id : 956479 ; licence_plate_available : true</t>
        </is>
      </c>
      <c r="AG387" s="19" t="inlineStr">
        <is>
          <t>Voir</t>
        </is>
      </c>
      <c r="AH387" s="10" t="inlineStr">
        <is>
          <t>3262040554</t>
        </is>
      </c>
    </row>
    <row r="388">
      <c r="A388" s="10" t="inlineStr">
        <is>
          <t>Renault Clio II RS (172/182 ch)</t>
        </is>
      </c>
      <c r="B388" s="10" t="inlineStr">
        <is>
          <t>Clio RS</t>
        </is>
      </c>
      <c r="C388" s="10" t="inlineStr">
        <is>
          <t>En vente</t>
        </is>
      </c>
      <c r="D388" s="18" t="n">
        <v>46268</v>
      </c>
      <c r="E388" s="18" t="n">
        <v>46268</v>
      </c>
      <c r="F388" s="18" t="n">
        <v>46296</v>
      </c>
      <c r="G388" s="18" t="n"/>
      <c r="H388" s="17">
        <f>IF(OR(ISNUMBER(D388),ISNUMBER(E388)),IF(ISNUMBER(G388),G388,F388)-IF(ISNUMBER(D388),D388,E388),"")</f>
        <v/>
      </c>
      <c r="I388" s="12" t="n">
        <v>6500</v>
      </c>
      <c r="J388" s="12" t="n">
        <v>6500</v>
      </c>
      <c r="K388" s="13">
        <f>IF(AND(ISNUMBER(I388),ISNUMBER(J388),I388&gt;0),1-J388/I388,"")</f>
        <v/>
      </c>
      <c r="L388" s="16" t="n">
        <v>0</v>
      </c>
      <c r="M388" s="15" t="n">
        <v>260000</v>
      </c>
      <c r="N388" s="16" t="n">
        <v>2000</v>
      </c>
      <c r="O388" s="10" t="inlineStr">
        <is>
          <t>1</t>
        </is>
      </c>
      <c r="P388" s="10" t="inlineStr">
        <is>
          <t>1</t>
        </is>
      </c>
      <c r="Q388" s="16" t="n">
        <v>172</v>
      </c>
      <c r="R388" s="16" t="n">
        <v>10</v>
      </c>
      <c r="S388" s="10" t="inlineStr">
        <is>
          <t>gris</t>
        </is>
      </c>
      <c r="T388" s="16" t="n">
        <v>3</v>
      </c>
      <c r="U388" s="10" t="n"/>
      <c r="V388" s="10" t="n"/>
      <c r="W388" s="10" t="inlineStr">
        <is>
          <t>Particulier</t>
        </is>
      </c>
      <c r="X388" s="10" t="inlineStr">
        <is>
          <t>Montauban</t>
        </is>
      </c>
      <c r="Y388" s="10" t="inlineStr">
        <is>
          <t>82000</t>
        </is>
      </c>
      <c r="Z388" s="10" t="inlineStr">
        <is>
          <t>Tarn-et-Garonne</t>
        </is>
      </c>
      <c r="AA388" s="10" t="inlineStr">
        <is>
          <t>Midi-Pyrénées</t>
        </is>
      </c>
      <c r="AB388" s="16" t="n"/>
      <c r="AC388" s="16" t="n"/>
      <c r="AD388" s="10" t="n"/>
      <c r="AE388" s="10" t="n"/>
      <c r="AF388" s="10" t="inlineStr">
        <is>
          <t>1 : 1 ; 2 : 2 ; 3 : 3 ; 2000 : 2000 ; 2028 : 2028 ; https://img.leboncoin.fr/api/v1/tenants/9a6387a1-6259-4f2c-a887-7e67f23dd4cb/domains/20bda58f-d650-462e-a72a-a5a7ecf2bf88/buckets/21d2b0bc-e54c-4b64-a30b-89127b18b785/images/profile/pictures/default/054ae2b5-bf71-58db-9073-7050248fc387?rule=pp-small : https://img.leboncoin.fr/api/v1/tenants/9a6387a1-6259-4f2c-a887-7e67f23dd4cb/domains/20bda58f-d650-462e-a72a-a5a7ecf2bf88/buckets/21d2b0bc-e54c-4b64-a30b-89127b18b785/images/profile/pictures/default/054ae2b5-bf71-58db-9073-7050248fc387?rule=pp-small ; Renault : Renault ; Clio : Clio ; RENAULT : RENAULT ; 260000 km : 260000 ; Essence : 1 ; Manuelle : 1 ; Oui : true ; 10/2000 : 10/2000 ; Bon état général : good_overall_condition ; Berline : berline ; Gris : gris ; 10 Cv : 10 ; 172 Ch : 172 ; Avec permis : avecpermis ; credit_card : credit_card ; false : false ; https://autoviza.fr/report/report?uid=4ed31a61-8f7c-402b-8de1-fd7a0d38f3ff : https://autoviza.fr/report/report?uid=4ed31a61-8f7c-402b-8de1-fd7a0d38f3ff ; visible : visible ; true : true ; rating_score : 1 ; rating_count : 1 ; u_car_brand : RENAULT ; u_car_model : Clio ; vehicle_technical_inspection_valid : Oui ; vehicle_technical_inspection_a : 2028 ; vehicle_damage : Bon état général ; vehicle_upholstery : Alcantara, Cuir partiel ; vehicle_vsp : Avec permis ; vehicle_available_payment_methods : credit_card ; is_import : false ; vehicle_is_eligible_p2p : 2 ; vehicle_history_report_public_url : https://autoviza.fr/report/report?uid=4ed31a61-8f7c-402b-8de1-fd7a0d38f3ff ; vehicle_history_report_status : visible ; licence_plate_available : true</t>
        </is>
      </c>
      <c r="AG388" s="19" t="inlineStr">
        <is>
          <t>Voir</t>
        </is>
      </c>
      <c r="AH388" s="10" t="inlineStr">
        <is>
          <t>3262391547</t>
        </is>
      </c>
    </row>
    <row r="389">
      <c r="A389" s="10" t="inlineStr">
        <is>
          <t>Renault Clio II RS (172/182 ch)</t>
        </is>
      </c>
      <c r="B389" s="10" t="inlineStr">
        <is>
          <t>Clio RS exceptionnel</t>
        </is>
      </c>
      <c r="C389" s="10" t="inlineStr">
        <is>
          <t>En vente</t>
        </is>
      </c>
      <c r="D389" s="18" t="n">
        <v>46269</v>
      </c>
      <c r="E389" s="18" t="n">
        <v>46269</v>
      </c>
      <c r="F389" s="18" t="n">
        <v>46296</v>
      </c>
      <c r="G389" s="18" t="n"/>
      <c r="H389" s="17">
        <f>IF(OR(ISNUMBER(D389),ISNUMBER(E389)),IF(ISNUMBER(G389),G389,F389)-IF(ISNUMBER(D389),D389,E389),"")</f>
        <v/>
      </c>
      <c r="I389" s="12" t="n">
        <v>18800</v>
      </c>
      <c r="J389" s="12" t="n">
        <v>18800</v>
      </c>
      <c r="K389" s="13">
        <f>IF(AND(ISNUMBER(I389),ISNUMBER(J389),I389&gt;0),1-J389/I389,"")</f>
        <v/>
      </c>
      <c r="L389" s="16" t="n">
        <v>0</v>
      </c>
      <c r="M389" s="15" t="n">
        <v>29500</v>
      </c>
      <c r="N389" s="16" t="n">
        <v>2006</v>
      </c>
      <c r="O389" s="10" t="inlineStr">
        <is>
          <t>1</t>
        </is>
      </c>
      <c r="P389" s="10" t="inlineStr">
        <is>
          <t>1</t>
        </is>
      </c>
      <c r="Q389" s="16" t="n">
        <v>200</v>
      </c>
      <c r="R389" s="16" t="n">
        <v>12</v>
      </c>
      <c r="S389" s="10" t="inlineStr">
        <is>
          <t>gris</t>
        </is>
      </c>
      <c r="T389" s="16" t="n">
        <v>3</v>
      </c>
      <c r="U389" s="10" t="n"/>
      <c r="V389" s="10" t="inlineStr">
        <is>
          <t>2</t>
        </is>
      </c>
      <c r="W389" s="10" t="inlineStr">
        <is>
          <t>Particulier</t>
        </is>
      </c>
      <c r="X389" s="10" t="inlineStr">
        <is>
          <t>Irigny</t>
        </is>
      </c>
      <c r="Y389" s="10" t="inlineStr">
        <is>
          <t>69540</t>
        </is>
      </c>
      <c r="Z389" s="10" t="inlineStr">
        <is>
          <t>Rhône</t>
        </is>
      </c>
      <c r="AA389" s="10" t="inlineStr">
        <is>
          <t>Rhône-Alpes</t>
        </is>
      </c>
      <c r="AB389" s="16" t="n"/>
      <c r="AC389" s="16" t="n"/>
      <c r="AD389" s="10" t="n"/>
      <c r="AE389" s="10" t="n"/>
      <c r="AF389" s="10" t="inlineStr">
        <is>
          <t>1 : 1 ; 2 : 2 ; 3 : 3 ; 5 : 5 ; 2006 : 2006 ; 11770 : 11770 ; 13010 : 13010 ; 956479 : 956479 ; https://img.leboncoin.fr/api/v1/tenants/9a6387a1-6259-4f2c-a887-7e67f23dd4cb/domains/20bda58f-d650-462e-a72a-a5a7ecf2bf88/buckets/21d2b0bc-e54c-4b64-a30b-89127b18b785/images/profile/pictures/default/2d3b64cf-2555-576f-8c1f-5b2c091133f6?rule=pp-small : https://img.leboncoin.fr/api/v1/tenants/9a6387a1-6259-4f2c-a887-7e67f23dd4cb/domains/20bda58f-d650-462e-a72a-a5a7ecf2bf88/buckets/21d2b0bc-e54c-4b64-a30b-89127b18b785/images/profile/pictures/default/2d3b64cf-2555-576f-8c1f-5b2c091133f6?rule=pp-small ; Renault : Renault ; Clio : Clio ; RENAULT : RENAULT ; 29500 km : 29500 ; Essence : 1 ; Manuelle : 1 ; Renault Sport Luxe : RENAULT_Clio_Renault Sport Luxe ; Clio 2.0 16v 200ch Renault Sport Luxe 3p : Clio 2.0 16v 200ch Renault Sport Luxe 3p ; Non : false ; 09/2006 : 09/2006 ; Berline : berline ; Gris : gris ; Euro 2 : euro2 ; 12 Cv : 12 ; 200 Ch : 200 ; Avec permis : avecpermis ; credit_card : credit_card ; false : false ; Estimation indisponible : badge_key_0_5 ; https://autoviza.fr/report/report?uid=c563d4fa-d7f7-4381-8907-03d0c9bb1aba : https://autoviza.fr/report/report?uid=c563d4fa-d7f7-4381-8907-03d0c9bb1aba ; true : true ; rating_score : 1 ; rating_count : 1 ; u_car_brand : RENAULT ; u_car_model : Clio ; u_car_finition : Renault Sport Luxe ; u_car_version : Clio 2.0 16v 200ch Renault Sport Luxe 3p ; vehicle_technical_inspection_valid : Non ; vehicle_upholstery : Tissu ; vehicle_interior_specs : Essuie-glaces automatiques, Jantes en alliage, Ordinateur de bord, Phares adaptatifs, Régulateur de vitesse, Régulateur de vitesse adaptatif, Rétroviseurs rabattables électriquement ; vehicle_euro_emissions_standard : Euro 2 ; vehicle_vsp : Avec permis ; vehicle_available_payment_methods : credit_card ; is_import : false ; vehicle_is_eligible_p2p : 2 ; car_price_min : 11770 ; car_price_max : 13010 ; car_price_positioning : Estimation indisponible ; vehicle_history_report_public_url : https://autoviza.fr/report/report?uid=c563d4fa-d7f7-4381-8907-03d0c9bb1aba ; vehicle_history_teaser_critair : 2 ; vehicle_history_teaser_owners : 2 ; vehicle_history_teaser_expertises : false ; vehicle_history_teaser_special_uses : false ; vehicle_history_teaser_atypical_operations : false ; vehicle_history_teaser_importations : false ; argus_object_id : 956479 ; licence_plate_available : true</t>
        </is>
      </c>
      <c r="AG389" s="19" t="inlineStr">
        <is>
          <t>Voir</t>
        </is>
      </c>
      <c r="AH389" s="10" t="inlineStr">
        <is>
          <t>3262638000</t>
        </is>
      </c>
    </row>
    <row r="390">
      <c r="A390" s="10" t="inlineStr">
        <is>
          <t>Renault Clio II RS (172/182 ch)</t>
        </is>
      </c>
      <c r="B390" s="10" t="inlineStr">
        <is>
          <t>Clio rs</t>
        </is>
      </c>
      <c r="C390" s="10" t="inlineStr">
        <is>
          <t>En vente</t>
        </is>
      </c>
      <c r="D390" s="18" t="n">
        <v>46271</v>
      </c>
      <c r="E390" s="18" t="n">
        <v>46271</v>
      </c>
      <c r="F390" s="18" t="n">
        <v>46296</v>
      </c>
      <c r="G390" s="18" t="n"/>
      <c r="H390" s="17">
        <f>IF(OR(ISNUMBER(D390),ISNUMBER(E390)),IF(ISNUMBER(G390),G390,F390)-IF(ISNUMBER(D390),D390,E390),"")</f>
        <v/>
      </c>
      <c r="I390" s="12" t="n">
        <v>7300</v>
      </c>
      <c r="J390" s="12" t="n">
        <v>7300</v>
      </c>
      <c r="K390" s="13">
        <f>IF(AND(ISNUMBER(I390),ISNUMBER(J390),I390&gt;0),1-J390/I390,"")</f>
        <v/>
      </c>
      <c r="L390" s="16" t="n">
        <v>0</v>
      </c>
      <c r="M390" s="15" t="n">
        <v>136000</v>
      </c>
      <c r="N390" s="16" t="n">
        <v>2001</v>
      </c>
      <c r="O390" s="10" t="inlineStr">
        <is>
          <t>1</t>
        </is>
      </c>
      <c r="P390" s="10" t="inlineStr">
        <is>
          <t>1</t>
        </is>
      </c>
      <c r="Q390" s="16" t="n">
        <v>172</v>
      </c>
      <c r="R390" s="16" t="n">
        <v>10</v>
      </c>
      <c r="S390" s="10" t="inlineStr">
        <is>
          <t>gris</t>
        </is>
      </c>
      <c r="T390" s="16" t="n">
        <v>3</v>
      </c>
      <c r="U390" s="10" t="n"/>
      <c r="V390" s="10" t="n"/>
      <c r="W390" s="10" t="inlineStr">
        <is>
          <t>Particulier</t>
        </is>
      </c>
      <c r="X390" s="10" t="inlineStr">
        <is>
          <t>Saint-Laurent-du-Var</t>
        </is>
      </c>
      <c r="Y390" s="10" t="inlineStr">
        <is>
          <t>06700</t>
        </is>
      </c>
      <c r="Z390" s="10" t="inlineStr">
        <is>
          <t>Alpes-Maritimes</t>
        </is>
      </c>
      <c r="AA390" s="10" t="inlineStr">
        <is>
          <t>Provence-Alpes-Côte d'Azur</t>
        </is>
      </c>
      <c r="AB390" s="16" t="n"/>
      <c r="AC390" s="16" t="n"/>
      <c r="AD390" s="10" t="n"/>
      <c r="AE390" s="10" t="n"/>
      <c r="AF390" s="10" t="inlineStr">
        <is>
          <t>1 : 1 ; 2 : 2 ; 3 : 3 ; 38 : 38 ; 2001 : 2001 ; 720996 : 720996 ; 0.98 : 0.98 ; https://img.leboncoin.fr/api/v1/tenants/9a6387a1-6259-4f2c-a887-7e67f23dd4cb/domains/20bda58f-d650-462e-a72a-a5a7ecf2bf88/buckets/21d2b0bc-e54c-4b64-a30b-89127b18b785/images/profile/pictures/default/f3fc379e-9284-5926-8a61-4f74bb921dfe?rule=pp-small : https://img.leboncoin.fr/api/v1/tenants/9a6387a1-6259-4f2c-a887-7e67f23dd4cb/domains/20bda58f-d650-462e-a72a-a5a7ecf2bf88/buckets/21d2b0bc-e54c-4b64-a30b-89127b18b785/images/profile/pictures/default/f3fc379e-9284-5926-8a61-4f74bb921dfe?rule=pp-small ; Renault : Renault ; Clio : Clio ; RENAULT : RENAULT ; 136000 km : 136000 ; Essence : 1 ; Manuelle : 1 ; RS : RENAULT_Clio_RS ; RS_Clio 2.0 16v 172ch RS 3p : RS_Clio 2.0 16v 172ch RS 3p ; 07/2001 : 07/2001 ; Traces d’usure normales : normal_wear_and_tear ; Berline : berline ; Gris : gris ; 10 Cv : 10 ; 172 Ch : 172 ; Avec permis : avecpermis ; credit_card : credit_card ; false : false ; https://autoviza.fr/report/report?uid=1a614785-7fe8-4c54-b99e-54dd17919f3e : https://autoviza.fr/report/report?uid=1a614785-7fe8-4c54-b99e-54dd17919f3e ; true : true ; rating_score : 0.98 ; rating_count : 38 ; u_car_brand : RENAULT ; u_car_model : Clio ; u_car_finition : RS ; u_car_version : RS_Clio 2.0 16v 172ch RS 3p ; vehicle_damage : Traces d’usure normales ; vehicle_vsp : Avec permis ; vehicle_available_payment_methods : credit_card ; is_import : false ; vehicle_is_eligible_p2p : 2 ; vehicle_history_report_public_url : https://autoviza.fr/report/report?uid=1a614785-7fe8-4c54-b99e-54dd17919f3e ; argus_object_id : 720996 ; licence_plate_available : true</t>
        </is>
      </c>
      <c r="AG390" s="19" t="inlineStr">
        <is>
          <t>Voir</t>
        </is>
      </c>
      <c r="AH390" s="10" t="inlineStr">
        <is>
          <t>3264837795</t>
        </is>
      </c>
    </row>
    <row r="391">
      <c r="A391" s="10" t="inlineStr">
        <is>
          <t>Renault Clio II RS (172/182 ch)</t>
        </is>
      </c>
      <c r="B391" s="10" t="inlineStr">
        <is>
          <t>Clio RS 2.0i Phase 3 182 cv</t>
        </is>
      </c>
      <c r="C391" s="10" t="inlineStr">
        <is>
          <t>En vente</t>
        </is>
      </c>
      <c r="D391" s="18" t="n">
        <v>46275</v>
      </c>
      <c r="E391" s="18" t="n">
        <v>46275</v>
      </c>
      <c r="F391" s="18" t="n">
        <v>46296</v>
      </c>
      <c r="G391" s="18" t="n"/>
      <c r="H391" s="17">
        <f>IF(OR(ISNUMBER(D391),ISNUMBER(E391)),IF(ISNUMBER(G391),G391,F391)-IF(ISNUMBER(D391),D391,E391),"")</f>
        <v/>
      </c>
      <c r="I391" s="12" t="n">
        <v>14500</v>
      </c>
      <c r="J391" s="12" t="n">
        <v>14500</v>
      </c>
      <c r="K391" s="13">
        <f>IF(AND(ISNUMBER(I391),ISNUMBER(J391),I391&gt;0),1-J391/I391,"")</f>
        <v/>
      </c>
      <c r="L391" s="16" t="n">
        <v>0</v>
      </c>
      <c r="M391" s="15" t="n">
        <v>152800</v>
      </c>
      <c r="N391" s="16" t="n">
        <v>2004</v>
      </c>
      <c r="O391" s="10" t="inlineStr">
        <is>
          <t>1</t>
        </is>
      </c>
      <c r="P391" s="10" t="inlineStr">
        <is>
          <t>1</t>
        </is>
      </c>
      <c r="Q391" s="16" t="n">
        <v>182</v>
      </c>
      <c r="R391" s="16" t="n">
        <v>10</v>
      </c>
      <c r="S391" s="10" t="inlineStr">
        <is>
          <t>gris</t>
        </is>
      </c>
      <c r="T391" s="16" t="n">
        <v>3</v>
      </c>
      <c r="U391" s="10" t="n"/>
      <c r="V391" s="10" t="inlineStr">
        <is>
          <t>3</t>
        </is>
      </c>
      <c r="W391" s="10" t="inlineStr">
        <is>
          <t>Particulier</t>
        </is>
      </c>
      <c r="X391" s="10" t="inlineStr">
        <is>
          <t>Toulouse</t>
        </is>
      </c>
      <c r="Y391" s="10" t="inlineStr">
        <is>
          <t>31000</t>
        </is>
      </c>
      <c r="Z391" s="10" t="inlineStr">
        <is>
          <t>Haute-Garonne</t>
        </is>
      </c>
      <c r="AA391" s="10" t="inlineStr">
        <is>
          <t>Midi-Pyrénées</t>
        </is>
      </c>
      <c r="AB391" s="16" t="n"/>
      <c r="AC391" s="16" t="n"/>
      <c r="AD391" s="10" t="n"/>
      <c r="AE391" s="10" t="n"/>
      <c r="AF391" s="10" t="inlineStr">
        <is>
          <t>1 : 1 ; 2 : 2 ; 3 : 3 ; 5 : 5 ; 6 : 6 ; 2004 : 2004 ; 2028 : 2028 ; 730788 : 730788 ; https://img.leboncoin.fr/api/v1/tenants/9a6387a1-6259-4f2c-a887-7e67f23dd4cb/domains/20bda58f-d650-462e-a72a-a5a7ecf2bf88/buckets/21d2b0bc-e54c-4b64-a30b-89127b18b785/images/profile/pictures/default/5eda6592-da70-57be-bf8c-54d1a42cb192?rule=pp-small : https://img.leboncoin.fr/api/v1/tenants/9a6387a1-6259-4f2c-a887-7e67f23dd4cb/domains/20bda58f-d650-462e-a72a-a5a7ecf2bf88/buckets/21d2b0bc-e54c-4b64-a30b-89127b18b785/images/profile/pictures/default/5eda6592-da70-57be-bf8c-54d1a42cb192?rule=pp-small ; Renault : Renault ; Clio : Clio ; RENAULT : RENAULT ; 152800 km : 152800 ; Essence : 1 ; Manuelle : 1 ; Renault Sport : RENAULT_Clio_Renault Sport ; Clio 2.0 16v 182ch Renault Sport 3p : Clio 2.0 16v 182ch Renault Sport 3p ; Oui : true ; 05/2004 : 05/2004 ; Excellent état (proche du neuf) : excellent_condition ; Berline : berline ; Gris : gris ; 10 Cv : 10 ; 182 Ch : 182 ; Avec permis : avecpermis ; credit_card : credit_card ; false : false ; https://autoviza.fr/report/report?uid=612dc966-c2af-40a7-8f54-620664771bd8 : https://autoviza.fr/report/report?uid=612dc966-c2af-40a7-8f54-620664771bd8 ; visible : visible ; true : true ; rating_score : 1 ; rating_count : 6 ; u_car_brand : RENAULT ; u_car_model : Clio ; u_car_finition : Renault Sport ; u_car_version : Clio 2.0 16v 182ch Renault Sport 3p ; vehicle_technical_inspection_valid : Oui ; vehicle_technical_inspection_a : 2028 ; vehicle_damage : Excellent état (proche du neuf) ; vehicle_upholstery : Cuir partiel ; vehicle_maintenance : Factures disponibles, Véhicule non fumeur ; vehicle_interior_specs : Climatisation, Jantes en alliage, Phares LED / Xenon, Régulateur de vitesse, Rétroviseurs dégivrants, Sièges sport ; vehicle_vsp : Avec permis ; vehicle_available_payment_methods : credit_card ; is_import : false ; vehicle_is_eligible_p2p : 2 ; vehicle_history_report_public_url : https://autoviza.fr/report/report?uid=612dc966-c2af-40a7-8f54-620664771bd8 ; vehicle_history_report_status : visible ; argus_object_id : 730788 ; licence_plate_available : true</t>
        </is>
      </c>
      <c r="AG391" s="19" t="inlineStr">
        <is>
          <t>Voir</t>
        </is>
      </c>
      <c r="AH391" s="10" t="inlineStr">
        <is>
          <t>3266864057</t>
        </is>
      </c>
    </row>
    <row r="392">
      <c r="A392" s="10" t="inlineStr">
        <is>
          <t>Renault Clio II RS (172/182 ch)</t>
        </is>
      </c>
      <c r="B392" s="10" t="inlineStr">
        <is>
          <t>RENAULT CLIO RS 2.0l 172Ch Renault Sport</t>
        </is>
      </c>
      <c r="C392" s="10" t="inlineStr">
        <is>
          <t>En vente</t>
        </is>
      </c>
      <c r="D392" s="18" t="n">
        <v>46280</v>
      </c>
      <c r="E392" s="18" t="n">
        <v>46280</v>
      </c>
      <c r="F392" s="18" t="n">
        <v>46296</v>
      </c>
      <c r="G392" s="18" t="n"/>
      <c r="H392" s="17">
        <f>IF(OR(ISNUMBER(D392),ISNUMBER(E392)),IF(ISNUMBER(G392),G392,F392)-IF(ISNUMBER(D392),D392,E392),"")</f>
        <v/>
      </c>
      <c r="I392" s="12" t="n">
        <v>8990</v>
      </c>
      <c r="J392" s="12" t="n">
        <v>8990</v>
      </c>
      <c r="K392" s="13">
        <f>IF(AND(ISNUMBER(I392),ISNUMBER(J392),I392&gt;0),1-J392/I392,"")</f>
        <v/>
      </c>
      <c r="L392" s="16" t="n">
        <v>0</v>
      </c>
      <c r="M392" s="15" t="n">
        <v>231915</v>
      </c>
      <c r="N392" s="16" t="n">
        <v>2002</v>
      </c>
      <c r="O392" s="10" t="inlineStr">
        <is>
          <t>1</t>
        </is>
      </c>
      <c r="P392" s="10" t="inlineStr">
        <is>
          <t>1</t>
        </is>
      </c>
      <c r="Q392" s="16" t="n">
        <v>169</v>
      </c>
      <c r="R392" s="16" t="n">
        <v>10</v>
      </c>
      <c r="S392" s="10" t="inlineStr">
        <is>
          <t>gris</t>
        </is>
      </c>
      <c r="T392" s="16" t="n">
        <v>3</v>
      </c>
      <c r="U392" s="10" t="n"/>
      <c r="V392" s="10" t="n"/>
      <c r="W392" s="10" t="inlineStr">
        <is>
          <t>Pro</t>
        </is>
      </c>
      <c r="X392" s="10" t="inlineStr">
        <is>
          <t>Bergerac</t>
        </is>
      </c>
      <c r="Y392" s="10" t="inlineStr">
        <is>
          <t>24100</t>
        </is>
      </c>
      <c r="Z392" s="10" t="inlineStr">
        <is>
          <t>Dordogne</t>
        </is>
      </c>
      <c r="AA392" s="10" t="inlineStr">
        <is>
          <t>Aquitaine</t>
        </is>
      </c>
      <c r="AB392" s="16" t="n"/>
      <c r="AC392" s="16" t="n"/>
      <c r="AD392" s="10" t="n"/>
      <c r="AE392" s="10" t="n"/>
      <c r="AF392" s="10" t="inlineStr">
        <is>
          <t>1 : 1 ; 3 : 3 ; 5 : 5 ; 2002 : 2002 ; 721222 : 721222 ; 7380699 : 7380699 ; Renault : Renault ; Clio : Clio ; RENAULT : RENAULT ; 231915 km : 231915 ; Essence : 1 ; Manuelle : 1 ; RS : RENAULT_Clio_RS ; Clio 2.0 16v 172ch RS 3p : Clio 2.0 16v 172ch RS 3p ; 09/2002 : 09/2002 ; Bon état général : good_overall_condition ; Berline : berline ; Gris : gris ; 10 Cv : 10 ; 169 Ch : 169 ; Avec permis : avecpermis ; false : false ; https://img.leboncoin.fr/api/v1/lbcpb1/images/4a/70/24/4a7024cf-c9af-41de-920c-0ac478717efa?rule=bo-thumb : https://img.leboncoin.fr/api/v1/lbcpb1/images/4a/70/24/4a7024cf-c9af-41de-920c-0ac478717efa?rule=bo-thumb ; EWIGO BERGERAC : EWIGO BERGERAC ; D195652 : D195652 ; true : true ; https://autoviza.fr/report/report?uid=c6d07f6d-9fea-47de-aa30-4ce27e4ac97f : https://autoviza.fr/report/report?uid=c6d07f6d-9fea-47de-aa30-4ce27e4ac97f ; visible : visible ; Non renseignée : non_renseignee ; activity_sector : 1 ; u_car_brand : RENAULT ; u_car_model : Clio ; u_car_finition : RS ; u_car_version : Clio 2.0 16v 172ch RS 3p ; vehicle_damage : Bon état général ; vehicle_maintenance : Carnet d'entretien disponible, Factures disponibles, Véhicule non fumeur ; vehicle_interior_specs : Climatisation, Essuie-glaces automatiques, Jantes en alliage, Phares anti-brouillard, Phares LED / Xenon, Roue de secours, Sièges sport, Volant réglable en hauteur ; vehicle_vsp : Avec permis ; recent_used_vehicle : false ; has_visibility_option : false ; store_logo : https://img.leboncoin.fr/api/v1/lbcpb1/images/4a/70/24/4a7024cf-c9af-41de-920c-0ac478717efa?rule=bo-thumb ; store_name : EWIGO BERGERAC ; online_store_id : 7380699 ; custom_ref : D195652 ; is_import : true ; vehicle_history_report_public_url : https://autoviza.fr/report/report?uid=c6d07f6d-9fea-47de-aa30-4ce27e4ac97f ; vehicle_history_report_status : visible ; argus_object_id : 721222 ; spare_parts_availability : Non renseignée ; licence_plate_available : true</t>
        </is>
      </c>
      <c r="AG392" s="19" t="inlineStr">
        <is>
          <t>Voir</t>
        </is>
      </c>
      <c r="AH392" s="10" t="inlineStr">
        <is>
          <t>3270112718</t>
        </is>
      </c>
    </row>
    <row r="393">
      <c r="A393" s="10" t="inlineStr">
        <is>
          <t>Renault Clio II RS (172/182 ch)</t>
        </is>
      </c>
      <c r="B393" s="10" t="inlineStr">
        <is>
          <t>Clio RS 172</t>
        </is>
      </c>
      <c r="C393" s="10" t="inlineStr">
        <is>
          <t>En vente</t>
        </is>
      </c>
      <c r="D393" s="18" t="n">
        <v>46280</v>
      </c>
      <c r="E393" s="18" t="n">
        <v>46280</v>
      </c>
      <c r="F393" s="18" t="n">
        <v>46296</v>
      </c>
      <c r="G393" s="18" t="n"/>
      <c r="H393" s="17">
        <f>IF(OR(ISNUMBER(D393),ISNUMBER(E393)),IF(ISNUMBER(G393),G393,F393)-IF(ISNUMBER(D393),D393,E393),"")</f>
        <v/>
      </c>
      <c r="I393" s="12" t="n">
        <v>7500</v>
      </c>
      <c r="J393" s="12" t="n">
        <v>7500</v>
      </c>
      <c r="K393" s="13">
        <f>IF(AND(ISNUMBER(I393),ISNUMBER(J393),I393&gt;0),1-J393/I393,"")</f>
        <v/>
      </c>
      <c r="L393" s="16" t="n">
        <v>0</v>
      </c>
      <c r="M393" s="15" t="n">
        <v>218000</v>
      </c>
      <c r="N393" s="16" t="n">
        <v>2003</v>
      </c>
      <c r="O393" s="10" t="inlineStr">
        <is>
          <t>1</t>
        </is>
      </c>
      <c r="P393" s="10" t="inlineStr">
        <is>
          <t>1</t>
        </is>
      </c>
      <c r="Q393" s="16" t="n">
        <v>172</v>
      </c>
      <c r="R393" s="16" t="n">
        <v>10</v>
      </c>
      <c r="S393" s="10" t="inlineStr">
        <is>
          <t>rouge</t>
        </is>
      </c>
      <c r="T393" s="16" t="n">
        <v>3</v>
      </c>
      <c r="U393" s="10" t="n"/>
      <c r="V393" s="10" t="inlineStr">
        <is>
          <t>2</t>
        </is>
      </c>
      <c r="W393" s="10" t="inlineStr">
        <is>
          <t>Particulier</t>
        </is>
      </c>
      <c r="X393" s="10" t="inlineStr">
        <is>
          <t>Toulouse</t>
        </is>
      </c>
      <c r="Y393" s="10" t="inlineStr">
        <is>
          <t>31000</t>
        </is>
      </c>
      <c r="Z393" s="10" t="inlineStr">
        <is>
          <t>Haute-Garonne</t>
        </is>
      </c>
      <c r="AA393" s="10" t="inlineStr">
        <is>
          <t>Midi-Pyrénées</t>
        </is>
      </c>
      <c r="AB393" s="16" t="n"/>
      <c r="AC393" s="16" t="n"/>
      <c r="AD393" s="10" t="n"/>
      <c r="AE393" s="10" t="n"/>
      <c r="AF393" s="10" t="inlineStr">
        <is>
          <t>1 : 1 ; 2 : 2 ; 3 : 3 ; 9 : 9 ; 2003 : 2003 ; https://img.leboncoin.fr/api/v1/tenants/9a6387a1-6259-4f2c-a887-7e67f23dd4cb/domains/20bda58f-d650-462e-a72a-a5a7ecf2bf88/buckets/21d2b0bc-e54c-4b64-a30b-89127b18b785/images/profile/pictures/default/5f367d4f-b52b-51d4-a039-634f35321c00?rule=pp-small : https://img.leboncoin.fr/api/v1/tenants/9a6387a1-6259-4f2c-a887-7e67f23dd4cb/domains/20bda58f-d650-462e-a72a-a5a7ecf2bf88/buckets/21d2b0bc-e54c-4b64-a30b-89127b18b785/images/profile/pictures/default/5f367d4f-b52b-51d4-a039-634f35321c00?rule=pp-small ; Renault : Renault ; Clio : Clio ; RENAULT : RENAULT ; 218000 km : 218000 ; Essence : 1 ; Manuelle : 1 ; 10/2003 : 10/2003 ; Berline : berline ; Rouge : rouge ; 10 Cv : 10 ; 172 Ch : 172 ; Avec permis : avecpermis ; credit_card : credit_card ; false : false ; true : true ; rating_score : 1 ; rating_count : 9 ; u_car_brand : RENAULT ; u_car_model : Clio ; vehicle_vsp : Avec permis ; vehicle_available_payment_methods : credit_card ; is_import : false ; vehicle_is_eligible_p2p : 2 ; licence_plate_available : true</t>
        </is>
      </c>
      <c r="AG393" s="19" t="inlineStr">
        <is>
          <t>Voir</t>
        </is>
      </c>
      <c r="AH393" s="10" t="inlineStr">
        <is>
          <t>3270289698</t>
        </is>
      </c>
    </row>
    <row r="394">
      <c r="A394" s="10" t="inlineStr">
        <is>
          <t>Renault Clio II RS (172/182 ch)</t>
        </is>
      </c>
      <c r="B394" s="10" t="inlineStr">
        <is>
          <t>Clio 2 rs</t>
        </is>
      </c>
      <c r="C394" s="10" t="inlineStr">
        <is>
          <t>En vente</t>
        </is>
      </c>
      <c r="D394" s="18" t="n">
        <v>46283</v>
      </c>
      <c r="E394" s="18" t="n">
        <v>46283</v>
      </c>
      <c r="F394" s="18" t="n">
        <v>46296</v>
      </c>
      <c r="G394" s="18" t="n"/>
      <c r="H394" s="17">
        <f>IF(OR(ISNUMBER(D394),ISNUMBER(E394)),IF(ISNUMBER(G394),G394,F394)-IF(ISNUMBER(D394),D394,E394),"")</f>
        <v/>
      </c>
      <c r="I394" s="12" t="n">
        <v>9990</v>
      </c>
      <c r="J394" s="12" t="n">
        <v>9990</v>
      </c>
      <c r="K394" s="13">
        <f>IF(AND(ISNUMBER(I394),ISNUMBER(J394),I394&gt;0),1-J394/I394,"")</f>
        <v/>
      </c>
      <c r="L394" s="16" t="n">
        <v>0</v>
      </c>
      <c r="M394" s="15" t="n">
        <v>146803</v>
      </c>
      <c r="N394" s="16" t="n">
        <v>2000</v>
      </c>
      <c r="O394" s="10" t="inlineStr">
        <is>
          <t>1</t>
        </is>
      </c>
      <c r="P394" s="10" t="inlineStr">
        <is>
          <t>1</t>
        </is>
      </c>
      <c r="Q394" s="16" t="n">
        <v>172</v>
      </c>
      <c r="R394" s="16" t="n">
        <v>10</v>
      </c>
      <c r="S394" s="10" t="inlineStr">
        <is>
          <t>autre</t>
        </is>
      </c>
      <c r="T394" s="16" t="n">
        <v>3</v>
      </c>
      <c r="U394" s="10" t="n"/>
      <c r="V394" s="10" t="n"/>
      <c r="W394" s="10" t="inlineStr">
        <is>
          <t>Particulier</t>
        </is>
      </c>
      <c r="X394" s="10" t="inlineStr">
        <is>
          <t>Tarbes</t>
        </is>
      </c>
      <c r="Y394" s="10" t="inlineStr">
        <is>
          <t>65000</t>
        </is>
      </c>
      <c r="Z394" s="10" t="inlineStr">
        <is>
          <t>Hautes-Pyrénées</t>
        </is>
      </c>
      <c r="AA394" s="10" t="inlineStr">
        <is>
          <t>Midi-Pyrénées</t>
        </is>
      </c>
      <c r="AB394" s="16" t="n"/>
      <c r="AC394" s="16" t="n"/>
      <c r="AD394" s="10" t="n"/>
      <c r="AE394" s="10" t="n"/>
      <c r="AF394" s="10" t="inlineStr">
        <is>
          <t>1 : 1 ; 2 : 2 ; 3 : 3 ; 22 : 22 ; 2000 : 2000 ; https://img.leboncoin.fr/api/v1/tenants/9a6387a1-6259-4f2c-a887-7e67f23dd4cb/domains/20bda58f-d650-462e-a72a-a5a7ecf2bf88/buckets/21d2b0bc-e54c-4b64-a30b-89127b18b785/images/profile/pictures/default/19b2613b-0565-54d6-9c65-1f64e49d3d15?rule=pp-small : https://img.leboncoin.fr/api/v1/tenants/9a6387a1-6259-4f2c-a887-7e67f23dd4cb/domains/20bda58f-d650-462e-a72a-a5a7ecf2bf88/buckets/21d2b0bc-e54c-4b64-a30b-89127b18b785/images/profile/pictures/default/19b2613b-0565-54d6-9c65-1f64e49d3d15?rule=pp-small ; Renault : Renault ; Clio : Clio ; RENAULT : RENAULT ; 146803 km : 146803 ; Essence : 1 ; Manuelle : 1 ; 11/2000 : 11/2000 ; Berline : berline ; Autre : autre ; 10 Cv : 10 ; 172 Ch : 172 ; Avec permis : avecpermis ; credit_card : credit_card ; false : false ; https://autoviza.fr/report/report?uid=8c138846-210a-4636-a1fa-cd159476bbdc : https://autoviza.fr/report/report?uid=8c138846-210a-4636-a1fa-cd159476bbdc ; true : true ; rating_score : 1 ; rating_count : 22 ; u_car_brand : RENAULT ; u_car_model : Clio ; vehicle_vsp : Avec permis ; vehicle_available_payment_methods : credit_card ; is_import : false ; vehicle_is_eligible_p2p : 2 ; vehicle_history_report_public_url : https://autoviza.fr/report/report?uid=8c138846-210a-4636-a1fa-cd159476bbdc ; licence_plate_available : true</t>
        </is>
      </c>
      <c r="AG394" s="19" t="inlineStr">
        <is>
          <t>Voir</t>
        </is>
      </c>
      <c r="AH394" s="10" t="inlineStr">
        <is>
          <t>3272175500</t>
        </is>
      </c>
    </row>
    <row r="395">
      <c r="A395" s="10" t="inlineStr">
        <is>
          <t>Renault Clio II RS (172/182 ch)</t>
        </is>
      </c>
      <c r="B395" s="10" t="inlineStr">
        <is>
          <t>Clio rs 172cv 2.016v ct ok 185000km</t>
        </is>
      </c>
      <c r="C395" s="10" t="inlineStr">
        <is>
          <t>En vente</t>
        </is>
      </c>
      <c r="D395" s="18" t="n">
        <v>46284</v>
      </c>
      <c r="E395" s="18" t="n">
        <v>46284</v>
      </c>
      <c r="F395" s="18" t="n">
        <v>46296</v>
      </c>
      <c r="G395" s="18" t="n"/>
      <c r="H395" s="17">
        <f>IF(OR(ISNUMBER(D395),ISNUMBER(E395)),IF(ISNUMBER(G395),G395,F395)-IF(ISNUMBER(D395),D395,E395),"")</f>
        <v/>
      </c>
      <c r="I395" s="12" t="n">
        <v>9500</v>
      </c>
      <c r="J395" s="12" t="n">
        <v>9500</v>
      </c>
      <c r="K395" s="13">
        <f>IF(AND(ISNUMBER(I395),ISNUMBER(J395),I395&gt;0),1-J395/I395,"")</f>
        <v/>
      </c>
      <c r="L395" s="16" t="n">
        <v>0</v>
      </c>
      <c r="M395" s="15" t="n">
        <v>185000</v>
      </c>
      <c r="N395" s="16" t="n">
        <v>2001</v>
      </c>
      <c r="O395" s="10" t="inlineStr">
        <is>
          <t>1</t>
        </is>
      </c>
      <c r="P395" s="10" t="inlineStr">
        <is>
          <t>1</t>
        </is>
      </c>
      <c r="Q395" s="16" t="n">
        <v>172</v>
      </c>
      <c r="R395" s="16" t="n">
        <v>10</v>
      </c>
      <c r="S395" s="10" t="inlineStr">
        <is>
          <t>bleu</t>
        </is>
      </c>
      <c r="T395" s="16" t="n">
        <v>3</v>
      </c>
      <c r="U395" s="10" t="n"/>
      <c r="V395" s="10" t="n"/>
      <c r="W395" s="10" t="inlineStr">
        <is>
          <t>Particulier</t>
        </is>
      </c>
      <c r="X395" s="10" t="inlineStr">
        <is>
          <t>Les Belleville</t>
        </is>
      </c>
      <c r="Y395" s="10" t="inlineStr">
        <is>
          <t>73440</t>
        </is>
      </c>
      <c r="Z395" s="10" t="inlineStr">
        <is>
          <t>Savoie</t>
        </is>
      </c>
      <c r="AA395" s="10" t="inlineStr">
        <is>
          <t>Rhône-Alpes</t>
        </is>
      </c>
      <c r="AB395" s="16" t="n"/>
      <c r="AC395" s="16" t="n"/>
      <c r="AD395" s="10" t="n"/>
      <c r="AE395" s="10" t="n"/>
      <c r="AF395" s="10" t="inlineStr">
        <is>
          <t>2 : 2 ; 3 : 3 ; 5 : 5 ; 175 : 175 ; 2001 : 2001 ; 0.99 : 0.99 ; https://img.leboncoin.fr/api/v1/tenants/9a6387a1-6259-4f2c-a887-7e67f23dd4cb/domains/20bda58f-d650-462e-a72a-a5a7ecf2bf88/buckets/21d2b0bc-e54c-4b64-a30b-89127b18b785/images/profile/pictures/default/448ba60b-0771-5eb7-879b-22eec7d7e252?rule=pp-small : https://img.leboncoin.fr/api/v1/tenants/9a6387a1-6259-4f2c-a887-7e67f23dd4cb/domains/20bda58f-d650-462e-a72a-a5a7ecf2bf88/buckets/21d2b0bc-e54c-4b64-a30b-89127b18b785/images/profile/pictures/default/448ba60b-0771-5eb7-879b-22eec7d7e252?rule=pp-small ; Renault : Renault ; Clio : Clio ; RENAULT : RENAULT ; 185000 km : 185000 ; Essence : 1 ; Manuelle : 1 ; 11/2001 : 11/2001 ; Coupé : coupe ; Bleu : bleu ; 10 Cv : 10 ; 172 Ch : 172 ; Avec permis : avecpermis ; credit_card : credit_card ; false : false ; true : true ; rating_score : 0.99 ; rating_count : 175 ; u_car_brand : RENAULT ; u_car_model : Clio ; vehicle_upholstery : Cuir partiel ; vehicle_maintenance : Carnet d'entretien disponible, Factures disponibles, Véhicule non fumeur ; vehicle_interior_specs : Climatisation, Essuie-glaces automatiques, Phares anti-brouillard, Phares LED / Xenon, Roue de secours, Siège arrière rabattable, Siège réglable en hauteur, Sièges en cuir, Sièges sport, Suspension sport / adaptative ; vehicle_vsp : Avec permis ; vehicle_available_payment_methods : credit_card ; is_import : false ; vehicle_is_eligible_p2p : 2 ; licence_plate_available : true</t>
        </is>
      </c>
      <c r="AG395" s="19" t="inlineStr">
        <is>
          <t>Voir</t>
        </is>
      </c>
      <c r="AH395" s="10" t="inlineStr">
        <is>
          <t>3272349615</t>
        </is>
      </c>
    </row>
    <row r="396">
      <c r="A396" s="10" t="inlineStr">
        <is>
          <t>Renault Clio II RS (172/182 ch)</t>
        </is>
      </c>
      <c r="B396" s="10" t="inlineStr">
        <is>
          <t>Clio RS 2002</t>
        </is>
      </c>
      <c r="C396" s="10" t="inlineStr">
        <is>
          <t>En vente</t>
        </is>
      </c>
      <c r="D396" s="18" t="n">
        <v>46284</v>
      </c>
      <c r="E396" s="18" t="n">
        <v>46284</v>
      </c>
      <c r="F396" s="18" t="n">
        <v>46296</v>
      </c>
      <c r="G396" s="18" t="n"/>
      <c r="H396" s="17">
        <f>IF(OR(ISNUMBER(D396),ISNUMBER(E396)),IF(ISNUMBER(G396),G396,F396)-IF(ISNUMBER(D396),D396,E396),"")</f>
        <v/>
      </c>
      <c r="I396" s="12" t="n">
        <v>16500</v>
      </c>
      <c r="J396" s="12" t="n">
        <v>16500</v>
      </c>
      <c r="K396" s="13">
        <f>IF(AND(ISNUMBER(I396),ISNUMBER(J396),I396&gt;0),1-J396/I396,"")</f>
        <v/>
      </c>
      <c r="L396" s="16" t="n">
        <v>0</v>
      </c>
      <c r="M396" s="15" t="n">
        <v>78200</v>
      </c>
      <c r="N396" s="16" t="n">
        <v>2002</v>
      </c>
      <c r="O396" s="10" t="inlineStr">
        <is>
          <t>1</t>
        </is>
      </c>
      <c r="P396" s="10" t="inlineStr">
        <is>
          <t>1</t>
        </is>
      </c>
      <c r="Q396" s="16" t="n">
        <v>172</v>
      </c>
      <c r="R396" s="16" t="n">
        <v>10</v>
      </c>
      <c r="S396" s="10" t="inlineStr">
        <is>
          <t>gris</t>
        </is>
      </c>
      <c r="T396" s="16" t="n">
        <v>3</v>
      </c>
      <c r="U396" s="10" t="n"/>
      <c r="V396" s="10" t="n"/>
      <c r="W396" s="10" t="inlineStr">
        <is>
          <t>Particulier</t>
        </is>
      </c>
      <c r="X396" s="10" t="inlineStr">
        <is>
          <t>Hérimoncourt</t>
        </is>
      </c>
      <c r="Y396" s="10" t="inlineStr">
        <is>
          <t>25310</t>
        </is>
      </c>
      <c r="Z396" s="10" t="inlineStr">
        <is>
          <t>Doubs</t>
        </is>
      </c>
      <c r="AA396" s="10" t="inlineStr">
        <is>
          <t>Franche-Comté</t>
        </is>
      </c>
      <c r="AB396" s="16" t="n"/>
      <c r="AC396" s="16" t="n"/>
      <c r="AD396" s="10" t="n"/>
      <c r="AE396" s="10" t="n"/>
      <c r="AF396" s="10" t="inlineStr">
        <is>
          <t>1 : 1 ; 2 : 2 ; 3 : 3 ; 22 : 22 ; 2002 : 2002 ; 0.96 : 0.96 ; https://img.leboncoin.fr/api/v1/tenants/9a6387a1-6259-4f2c-a887-7e67f23dd4cb/domains/20bda58f-d650-462e-a72a-a5a7ecf2bf88/buckets/21d2b0bc-e54c-4b64-a30b-89127b18b785/images/profile/pictures/default/5401d374-afcd-572c-b740-8c52545128ea?rule=pp-small : https://img.leboncoin.fr/api/v1/tenants/9a6387a1-6259-4f2c-a887-7e67f23dd4cb/domains/20bda58f-d650-462e-a72a-a5a7ecf2bf88/buckets/21d2b0bc-e54c-4b64-a30b-89127b18b785/images/profile/pictures/default/5401d374-afcd-572c-b740-8c52545128ea?rule=pp-small ; Renault : Renault ; Clio : Clio ; RENAULT : RENAULT ; 78200 km : 78200 ; Essence : 1 ; Manuelle : 1 ; RS : RENAULT_Clio_RS ; Clio 2.0 16v 172ch RS 3p : Clio 2.0 16v 172ch RS 3p ; 09/2002 : 09/2002 ; Excellent état (proche du neuf) : excellent_condition ; Berline : berline ; Gris : gris ; 10 Cv : 10 ; 172 Ch : 172 ; Avec permis : avecpermis ; credit_card : credit_card ; false : false ; https://autoviza.fr/report/report?uid=b64cca17-b706-41e6-8da1-d73757d67afd : https://autoviza.fr/report/report?uid=b64cca17-b706-41e6-8da1-d73757d67afd ; true : true ; rating_score : 0.96 ; rating_count : 22 ; u_car_brand : RENAULT ; u_car_model : Clio ; u_car_finition : RS ; u_car_version : Clio 2.0 16v 172ch RS 3p ; vehicle_damage : Excellent état (proche du neuf) ; vehicle_upholstery : Cuir partiel, Alcantara ; vehicle_maintenance : Carnet d'entretien disponible, Factures disponibles, Véhicule non fumeur, Réparations utiles déjà faites ; vehicle_interior_specs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vehicle_vsp : Avec permis ; vehicle_available_payment_methods : credit_card ; is_import : false ; vehicle_is_eligible_p2p : 2 ; vehicle_history_report_public_url : https://autoviza.fr/report/report?uid=b64cca17-b706-41e6-8da1-d73757d67afd ; licence_plate_available : true</t>
        </is>
      </c>
      <c r="AG396" s="19" t="inlineStr">
        <is>
          <t>Voir</t>
        </is>
      </c>
      <c r="AH396" s="10" t="inlineStr">
        <is>
          <t>3272615687</t>
        </is>
      </c>
    </row>
    <row r="397">
      <c r="A397" s="10" t="inlineStr">
        <is>
          <t>Renault Clio II RS (172/182 ch)</t>
        </is>
      </c>
      <c r="B397" s="10" t="inlineStr">
        <is>
          <t>Clio rs</t>
        </is>
      </c>
      <c r="C397" s="10" t="inlineStr">
        <is>
          <t>En vente</t>
        </is>
      </c>
      <c r="D397" s="18" t="n">
        <v>46285</v>
      </c>
      <c r="E397" s="18" t="n">
        <v>46285</v>
      </c>
      <c r="F397" s="18" t="n">
        <v>46296</v>
      </c>
      <c r="G397" s="18" t="n"/>
      <c r="H397" s="17">
        <f>IF(OR(ISNUMBER(D397),ISNUMBER(E397)),IF(ISNUMBER(G397),G397,F397)-IF(ISNUMBER(D397),D397,E397),"")</f>
        <v/>
      </c>
      <c r="I397" s="12" t="n">
        <v>14000</v>
      </c>
      <c r="J397" s="12" t="n">
        <v>14000</v>
      </c>
      <c r="K397" s="13">
        <f>IF(AND(ISNUMBER(I397),ISNUMBER(J397),I397&gt;0),1-J397/I397,"")</f>
        <v/>
      </c>
      <c r="L397" s="16" t="n">
        <v>0</v>
      </c>
      <c r="M397" s="15" t="n">
        <v>93000</v>
      </c>
      <c r="N397" s="16" t="n">
        <v>2001</v>
      </c>
      <c r="O397" s="10" t="inlineStr">
        <is>
          <t>1</t>
        </is>
      </c>
      <c r="P397" s="10" t="inlineStr">
        <is>
          <t>1</t>
        </is>
      </c>
      <c r="Q397" s="16" t="n">
        <v>172</v>
      </c>
      <c r="R397" s="16" t="n">
        <v>10</v>
      </c>
      <c r="S397" s="10" t="inlineStr">
        <is>
          <t>bleu</t>
        </is>
      </c>
      <c r="T397" s="16" t="n">
        <v>3</v>
      </c>
      <c r="U397" s="10" t="n"/>
      <c r="V397" s="10" t="n"/>
      <c r="W397" s="10" t="inlineStr">
        <is>
          <t>Particulier</t>
        </is>
      </c>
      <c r="X397" s="10" t="inlineStr">
        <is>
          <t>Chouilly</t>
        </is>
      </c>
      <c r="Y397" s="10" t="inlineStr">
        <is>
          <t>51530</t>
        </is>
      </c>
      <c r="Z397" s="10" t="inlineStr">
        <is>
          <t>Marne</t>
        </is>
      </c>
      <c r="AA397" s="10" t="inlineStr">
        <is>
          <t>Champagne-Ardenne</t>
        </is>
      </c>
      <c r="AB397" s="16" t="n"/>
      <c r="AC397" s="16" t="n"/>
      <c r="AD397" s="10" t="n"/>
      <c r="AE397" s="10" t="n"/>
      <c r="AF397" s="10" t="inlineStr">
        <is>
          <t>1 : 1 ; 2 : 2 ; 3 : 3 ; 2001 : 2001 ; 720996 : 720996 ; https://img.leboncoin.fr/api/v1/tenants/9a6387a1-6259-4f2c-a887-7e67f23dd4cb/domains/20bda58f-d650-462e-a72a-a5a7ecf2bf88/buckets/21d2b0bc-e54c-4b64-a30b-89127b18b785/images/profile/pictures/default/6a27c3cf-fde5-5ad2-810d-4f54ac871c66?rule=pp-small : https://img.leboncoin.fr/api/v1/tenants/9a6387a1-6259-4f2c-a887-7e67f23dd4cb/domains/20bda58f-d650-462e-a72a-a5a7ecf2bf88/buckets/21d2b0bc-e54c-4b64-a30b-89127b18b785/images/profile/pictures/default/6a27c3cf-fde5-5ad2-810d-4f54ac871c66?rule=pp-small ; Renault : Renault ; Clio : Clio ; RENAULT : RENAULT ; 93000 km : 93000 ; Essence : 1 ; Manuelle : 1 ; RS : RENAULT_Clio_RS ; Clio 2.0 16v 172ch RS 3p : Clio 2.0 16v 172ch RS 3p ; Non : false ; 06/2001 : 06/2001 ; Berline : berline ; Bleu : bleu ; 10 Cv : 10 ; 172 Ch : 172 ; Avec permis : avecpermis ; credit_card : credit_card ; false : false ; true : true ; rating_score : 1 ; rating_count : 1 ; u_car_brand : RENAULT ; u_car_model : Clio ; u_car_finition : RS ; u_car_version : Clio 2.0 16v 172ch RS 3p ; vehicle_technical_inspection_valid : Non ; vehicle_vsp : Avec permis ; vehicle_available_payment_methods : credit_card ; is_import : false ; vehicle_is_eligible_p2p : 2 ; argus_object_id : 720996 ; licence_plate_available : true</t>
        </is>
      </c>
      <c r="AG397" s="19" t="inlineStr">
        <is>
          <t>Voir</t>
        </is>
      </c>
      <c r="AH397" s="10" t="inlineStr">
        <is>
          <t>3273076212</t>
        </is>
      </c>
    </row>
    <row r="398">
      <c r="A398" s="10" t="inlineStr">
        <is>
          <t>Renault Clio II RS (172/182 ch)</t>
        </is>
      </c>
      <c r="B398" s="10" t="inlineStr">
        <is>
          <t>Clio RS série limitée team</t>
        </is>
      </c>
      <c r="C398" s="10" t="inlineStr">
        <is>
          <t>En vente</t>
        </is>
      </c>
      <c r="D398" s="18" t="n">
        <v>46285</v>
      </c>
      <c r="E398" s="18" t="n">
        <v>46285</v>
      </c>
      <c r="F398" s="18" t="n">
        <v>46296</v>
      </c>
      <c r="G398" s="18" t="n"/>
      <c r="H398" s="17">
        <f>IF(OR(ISNUMBER(D398),ISNUMBER(E398)),IF(ISNUMBER(G398),G398,F398)-IF(ISNUMBER(D398),D398,E398),"")</f>
        <v/>
      </c>
      <c r="I398" s="12" t="n">
        <v>10000</v>
      </c>
      <c r="J398" s="12" t="n">
        <v>10000</v>
      </c>
      <c r="K398" s="13">
        <f>IF(AND(ISNUMBER(I398),ISNUMBER(J398),I398&gt;0),1-J398/I398,"")</f>
        <v/>
      </c>
      <c r="L398" s="16" t="n">
        <v>0</v>
      </c>
      <c r="M398" s="15" t="n">
        <v>160000</v>
      </c>
      <c r="N398" s="16" t="n">
        <v>2004</v>
      </c>
      <c r="O398" s="10" t="inlineStr">
        <is>
          <t>1</t>
        </is>
      </c>
      <c r="P398" s="10" t="inlineStr">
        <is>
          <t>1</t>
        </is>
      </c>
      <c r="Q398" s="16" t="n">
        <v>182</v>
      </c>
      <c r="R398" s="16" t="n">
        <v>10</v>
      </c>
      <c r="S398" s="10" t="inlineStr">
        <is>
          <t>autre</t>
        </is>
      </c>
      <c r="T398" s="16" t="n">
        <v>3</v>
      </c>
      <c r="U398" s="10" t="n"/>
      <c r="V398" s="10" t="n"/>
      <c r="W398" s="10" t="inlineStr">
        <is>
          <t>Particulier</t>
        </is>
      </c>
      <c r="X398" s="10" t="inlineStr">
        <is>
          <t>Tarbes</t>
        </is>
      </c>
      <c r="Y398" s="10" t="inlineStr">
        <is>
          <t>65000</t>
        </is>
      </c>
      <c r="Z398" s="10" t="inlineStr">
        <is>
          <t>Hautes-Pyrénées</t>
        </is>
      </c>
      <c r="AA398" s="10" t="inlineStr">
        <is>
          <t>Midi-Pyrénées</t>
        </is>
      </c>
      <c r="AB398" s="16" t="n"/>
      <c r="AC398" s="16" t="n"/>
      <c r="AD398" s="10" t="n"/>
      <c r="AE398" s="10" t="n"/>
      <c r="AF398" s="10" t="inlineStr">
        <is>
          <t>2 : 2 ; 3 : 3 ; 5 : 5 ; 2004 : 2004 ; https://img.leboncoin.fr/api/v1/tenants/9a6387a1-6259-4f2c-a887-7e67f23dd4cb/domains/20bda58f-d650-462e-a72a-a5a7ecf2bf88/buckets/21d2b0bc-e54c-4b64-a30b-89127b18b785/images/profile/pictures/default/22e07bc0-c282-52b3-816b-a55dd0a412a9?rule=pp-small : https://img.leboncoin.fr/api/v1/tenants/9a6387a1-6259-4f2c-a887-7e67f23dd4cb/domains/20bda58f-d650-462e-a72a-a5a7ecf2bf88/buckets/21d2b0bc-e54c-4b64-a30b-89127b18b785/images/profile/pictures/default/22e07bc0-c282-52b3-816b-a55dd0a412a9?rule=pp-small ; Renault : Renault ; Clio : Clio ; RENAULT : RENAULT ; 160000 km : 160000 ; Essence : 1 ; Manuelle : 1 ; 12/2004 : 12/2004 ; Berline : berline ; Autre : autre ; 10 Cv : 10 ; 182 Ch : 182 ; Avec permis : avecpermis ; credit_card : credit_card ; false : false ; true : true ; u_car_brand : RENAULT ; u_car_model : Clio ; vehicle_vsp : Avec permis ; vehicle_available_payment_methods : credit_card ; is_import : false ; vehicle_is_eligible_p2p : 2 ; licence_plate_available : true</t>
        </is>
      </c>
      <c r="AG398" s="19" t="inlineStr">
        <is>
          <t>Voir</t>
        </is>
      </c>
      <c r="AH398" s="10" t="inlineStr">
        <is>
          <t>3273260142</t>
        </is>
      </c>
    </row>
    <row r="399">
      <c r="A399" s="10" t="inlineStr">
        <is>
          <t>Renault Clio II RS (172/182 ch)</t>
        </is>
      </c>
      <c r="B399" s="10" t="inlineStr">
        <is>
          <t>Renault Clio RS</t>
        </is>
      </c>
      <c r="C399" s="10" t="inlineStr">
        <is>
          <t>En vente</t>
        </is>
      </c>
      <c r="D399" s="18" t="n">
        <v>46288</v>
      </c>
      <c r="E399" s="18" t="n">
        <v>46288</v>
      </c>
      <c r="F399" s="18" t="n">
        <v>46296</v>
      </c>
      <c r="G399" s="18" t="n"/>
      <c r="H399" s="17">
        <f>IF(OR(ISNUMBER(D399),ISNUMBER(E399)),IF(ISNUMBER(G399),G399,F399)-IF(ISNUMBER(D399),D399,E399),"")</f>
        <v/>
      </c>
      <c r="I399" s="12" t="n">
        <v>10500</v>
      </c>
      <c r="J399" s="12" t="n">
        <v>10500</v>
      </c>
      <c r="K399" s="13">
        <f>IF(AND(ISNUMBER(I399),ISNUMBER(J399),I399&gt;0),1-J399/I399,"")</f>
        <v/>
      </c>
      <c r="L399" s="16" t="n">
        <v>0</v>
      </c>
      <c r="M399" s="15" t="n">
        <v>168500</v>
      </c>
      <c r="N399" s="16" t="n">
        <v>2000</v>
      </c>
      <c r="O399" s="10" t="inlineStr">
        <is>
          <t>1</t>
        </is>
      </c>
      <c r="P399" s="10" t="inlineStr">
        <is>
          <t>1</t>
        </is>
      </c>
      <c r="Q399" s="16" t="n">
        <v>172</v>
      </c>
      <c r="R399" s="16" t="n">
        <v>10</v>
      </c>
      <c r="S399" s="10" t="inlineStr">
        <is>
          <t>autre</t>
        </is>
      </c>
      <c r="T399" s="16" t="n">
        <v>3</v>
      </c>
      <c r="U399" s="10" t="n"/>
      <c r="V399" s="10" t="n"/>
      <c r="W399" s="10" t="inlineStr">
        <is>
          <t>Particulier</t>
        </is>
      </c>
      <c r="X399" s="10" t="inlineStr">
        <is>
          <t>Giberville</t>
        </is>
      </c>
      <c r="Y399" s="10" t="inlineStr">
        <is>
          <t>14730</t>
        </is>
      </c>
      <c r="Z399" s="10" t="inlineStr">
        <is>
          <t>Calvados</t>
        </is>
      </c>
      <c r="AA399" s="10" t="inlineStr">
        <is>
          <t>Basse-Normandie</t>
        </is>
      </c>
      <c r="AB399" s="16" t="n"/>
      <c r="AC399" s="16" t="n"/>
      <c r="AD399" s="10" t="inlineStr">
        <is>
          <t>Oui</t>
        </is>
      </c>
      <c r="AE399" s="10" t="n"/>
      <c r="AF399" s="10" t="inlineStr">
        <is>
          <t>1 : 1 ; 2 : 2 ; 3 : 3 ; 9 : 9 ; 2000 : 2000 ; 0.99 : 0.99 ; https://img.leboncoin.fr/api/v1/tenants/9a6387a1-6259-4f2c-a887-7e67f23dd4cb/domains/20bda58f-d650-462e-a72a-a5a7ecf2bf88/buckets/21d2b0bc-e54c-4b64-a30b-89127b18b785/images/profile/pictures/830dd76f-9e0c-5c49-a9b5-be8ff6c13330?rule=pp-small : https://img.leboncoin.fr/api/v1/tenants/9a6387a1-6259-4f2c-a887-7e67f23dd4cb/domains/20bda58f-d650-462e-a72a-a5a7ecf2bf88/buckets/21d2b0bc-e54c-4b64-a30b-89127b18b785/images/profile/pictures/830dd76f-9e0c-5c49-a9b5-be8ff6c13330?rule=pp-small ; Renault : Renault ; Clio : Clio ; RENAULT : RENAULT ; 168500 km : 168500 ; Essence : 1 ; Manuelle : 1 ; 11/2000 : 11/2000 ; Berline : berline ; Autre : autre ; 10 Cv : 10 ; 172 Ch : 172 ; Avec permis : avecpermis ; credit_card : credit_card ; false : false ; https://autoviza.fr/report/report?uid=5e730d2f-9297-466c-b0d5-625d8b89af35 : https://autoviza.fr/report/report?uid=5e730d2f-9297-466c-b0d5-625d8b89af35 ; true : true ; rating_score : 0.99 ; rating_count : 9 ; u_car_brand : RENAULT ; u_car_model : Clio ; vehicle_vsp : Avec permis ; vehicle_available_payment_methods : credit_card ; is_import : false ; vehicle_is_eligible_p2p : 2 ; vehicle_history_report_public_url : https://autoviza.fr/report/report?uid=5e730d2f-9297-466c-b0d5-625d8b89af35 ; licence_plate_available : true</t>
        </is>
      </c>
      <c r="AG399" s="19" t="inlineStr">
        <is>
          <t>Voir</t>
        </is>
      </c>
      <c r="AH399" s="10" t="inlineStr">
        <is>
          <t>3275029879</t>
        </is>
      </c>
    </row>
    <row r="400">
      <c r="A400" s="10" t="inlineStr">
        <is>
          <t>Renault Clio II RS (172/182 ch)</t>
        </is>
      </c>
      <c r="B400" s="10" t="inlineStr">
        <is>
          <t>Clio RS 2 phase 1</t>
        </is>
      </c>
      <c r="C400" s="10" t="inlineStr">
        <is>
          <t>En vente</t>
        </is>
      </c>
      <c r="D400" s="18" t="n">
        <v>46288</v>
      </c>
      <c r="E400" s="18" t="n">
        <v>46288</v>
      </c>
      <c r="F400" s="18" t="n">
        <v>46296</v>
      </c>
      <c r="G400" s="18" t="n"/>
      <c r="H400" s="17">
        <f>IF(OR(ISNUMBER(D400),ISNUMBER(E400)),IF(ISNUMBER(G400),G400,F400)-IF(ISNUMBER(D400),D400,E400),"")</f>
        <v/>
      </c>
      <c r="I400" s="12" t="n">
        <v>8000</v>
      </c>
      <c r="J400" s="12" t="n">
        <v>8000</v>
      </c>
      <c r="K400" s="13">
        <f>IF(AND(ISNUMBER(I400),ISNUMBER(J400),I400&gt;0),1-J400/I400,"")</f>
        <v/>
      </c>
      <c r="L400" s="16" t="n">
        <v>0</v>
      </c>
      <c r="M400" s="15" t="n">
        <v>199537</v>
      </c>
      <c r="N400" s="16" t="n">
        <v>2001</v>
      </c>
      <c r="O400" s="10" t="inlineStr">
        <is>
          <t>1</t>
        </is>
      </c>
      <c r="P400" s="10" t="inlineStr">
        <is>
          <t>1</t>
        </is>
      </c>
      <c r="Q400" s="16" t="n">
        <v>172</v>
      </c>
      <c r="R400" s="16" t="n">
        <v>10</v>
      </c>
      <c r="S400" s="10" t="inlineStr">
        <is>
          <t>gris</t>
        </is>
      </c>
      <c r="T400" s="16" t="n">
        <v>3</v>
      </c>
      <c r="U400" s="10" t="n"/>
      <c r="V400" s="10" t="n"/>
      <c r="W400" s="10" t="inlineStr">
        <is>
          <t>Particulier</t>
        </is>
      </c>
      <c r="X400" s="10" t="inlineStr">
        <is>
          <t>Wittersdorf</t>
        </is>
      </c>
      <c r="Y400" s="10" t="inlineStr">
        <is>
          <t>68130</t>
        </is>
      </c>
      <c r="Z400" s="10" t="inlineStr">
        <is>
          <t>Haut-Rhin</t>
        </is>
      </c>
      <c r="AA400" s="10" t="inlineStr">
        <is>
          <t>Alsace</t>
        </is>
      </c>
      <c r="AB400" s="16" t="n"/>
      <c r="AC400" s="16" t="n"/>
      <c r="AD400" s="10" t="n"/>
      <c r="AE400" s="10" t="n"/>
      <c r="AF400" s="10" t="inlineStr">
        <is>
          <t>1 : 1 ; 2 : 2 ; 3 : 3 ; 4 : 4 ; 2001 : 2001 ; https://img.leboncoin.fr/api/v1/tenants/9a6387a1-6259-4f2c-a887-7e67f23dd4cb/domains/20bda58f-d650-462e-a72a-a5a7ecf2bf88/buckets/21d2b0bc-e54c-4b64-a30b-89127b18b785/images/profile/pictures/default/c87cc20b-017b-5e55-8c40-a9781f2de4da?rule=pp-small : https://img.leboncoin.fr/api/v1/tenants/9a6387a1-6259-4f2c-a887-7e67f23dd4cb/domains/20bda58f-d650-462e-a72a-a5a7ecf2bf88/buckets/21d2b0bc-e54c-4b64-a30b-89127b18b785/images/profile/pictures/default/c87cc20b-017b-5e55-8c40-a9781f2de4da?rule=pp-small ; Renault : Renault ; Clio : Clio ; RENAULT : RENAULT ; 199537 km : 199537 ; Essence : 1 ; Manuelle : 1 ; 07/2001 : 07/2001 ; Bon état général : good_overall_condition ; Citadine : citadine ; Gris : gris ; 10 Cv : 10 ; 172 Ch : 172 ; Avec permis : avecpermis ; credit_card : credit_card ; false : false ; true : true ; rating_score : 1 ; rating_count : 2 ; u_car_brand : RENAULT ; u_car_model : Clio ; vehicle_damage : Bon état général ; vehicle_upholstery : Cuir partiel ; vehicle_vsp : Avec permis ; vehicle_available_payment_methods : credit_card ; is_import : false ; vehicle_is_eligible_p2p : 2 ; licence_plate_available : true</t>
        </is>
      </c>
      <c r="AG400" s="19" t="inlineStr">
        <is>
          <t>Voir</t>
        </is>
      </c>
      <c r="AH400" s="10" t="inlineStr">
        <is>
          <t>3275151981</t>
        </is>
      </c>
    </row>
    <row r="401">
      <c r="A401" s="10" t="inlineStr">
        <is>
          <t>Renault Clio II RS (172/182 ch)</t>
        </is>
      </c>
      <c r="B401" s="10" t="inlineStr">
        <is>
          <t>Clio 2 rs</t>
        </is>
      </c>
      <c r="C401" s="10" t="inlineStr">
        <is>
          <t>En vente</t>
        </is>
      </c>
      <c r="D401" s="18" t="n">
        <v>46290</v>
      </c>
      <c r="E401" s="18" t="n">
        <v>46290</v>
      </c>
      <c r="F401" s="18" t="n">
        <v>46296</v>
      </c>
      <c r="G401" s="18" t="n"/>
      <c r="H401" s="17">
        <f>IF(OR(ISNUMBER(D401),ISNUMBER(E401)),IF(ISNUMBER(G401),G401,F401)-IF(ISNUMBER(D401),D401,E401),"")</f>
        <v/>
      </c>
      <c r="I401" s="12" t="n">
        <v>7900</v>
      </c>
      <c r="J401" s="12" t="n">
        <v>7900</v>
      </c>
      <c r="K401" s="13">
        <f>IF(AND(ISNUMBER(I401),ISNUMBER(J401),I401&gt;0),1-J401/I401,"")</f>
        <v/>
      </c>
      <c r="L401" s="16" t="n">
        <v>0</v>
      </c>
      <c r="M401" s="15" t="n">
        <v>209000</v>
      </c>
      <c r="N401" s="16" t="n">
        <v>2002</v>
      </c>
      <c r="O401" s="10" t="inlineStr">
        <is>
          <t>1</t>
        </is>
      </c>
      <c r="P401" s="10" t="inlineStr">
        <is>
          <t>1</t>
        </is>
      </c>
      <c r="Q401" s="16" t="n">
        <v>172</v>
      </c>
      <c r="R401" s="16" t="n">
        <v>10</v>
      </c>
      <c r="S401" s="10" t="inlineStr">
        <is>
          <t>gris</t>
        </is>
      </c>
      <c r="T401" s="16" t="n">
        <v>3</v>
      </c>
      <c r="U401" s="10" t="n"/>
      <c r="V401" s="10" t="n"/>
      <c r="W401" s="10" t="inlineStr">
        <is>
          <t>Particulier</t>
        </is>
      </c>
      <c r="X401" s="10" t="inlineStr">
        <is>
          <t>Roncq</t>
        </is>
      </c>
      <c r="Y401" s="10" t="inlineStr">
        <is>
          <t>59223</t>
        </is>
      </c>
      <c r="Z401" s="10" t="inlineStr">
        <is>
          <t>Nord</t>
        </is>
      </c>
      <c r="AA401" s="10" t="inlineStr">
        <is>
          <t>Nord-Pas-de-Calais</t>
        </is>
      </c>
      <c r="AB401" s="16" t="n"/>
      <c r="AC401" s="16" t="n"/>
      <c r="AD401" s="10" t="n"/>
      <c r="AE401" s="10" t="n"/>
      <c r="AF401" s="10" t="inlineStr">
        <is>
          <t>1 : 1 ; 2 : 2 ; 3 : 3 ; 2002 : 2002 ; https://img.leboncoin.fr/api/v1/tenants/9a6387a1-6259-4f2c-a887-7e67f23dd4cb/domains/20bda58f-d650-462e-a72a-a5a7ecf2bf88/buckets/21d2b0bc-e54c-4b64-a30b-89127b18b785/images/profile/pictures/default/5d103d20-7360-550e-a952-c2ddac0d897e?rule=pp-small : https://img.leboncoin.fr/api/v1/tenants/9a6387a1-6259-4f2c-a887-7e67f23dd4cb/domains/20bda58f-d650-462e-a72a-a5a7ecf2bf88/buckets/21d2b0bc-e54c-4b64-a30b-89127b18b785/images/profile/pictures/default/5d103d20-7360-550e-a952-c2ddac0d897e?rule=pp-small ; Renault : Renault ; Clio : Clio ; RENAULT : RENAULT ; 209000 km : 209000 ; Essence : 1 ; Manuelle : 1 ; Non : false ; 11/2002 : 11/2002 ; Berline : berline ; Gris : gris ; 10 Cv : 10 ; 172 Ch : 172 ; Avec permis : avecpermis ; credit_card : credit_card ; false : false ; https://autoviza.fr/report/report?uid=256449ce-2f83-40b7-af64-d1a2fe98ae04 : https://autoviza.fr/report/report?uid=256449ce-2f83-40b7-af64-d1a2fe98ae04 ; true : true ; u_car_brand : RENAULT ; u_car_model : Clio ; vehicle_technical_inspection_valid : Non ; vehicle_upholstery : Alcantara ; vehicle_vsp : Avec permis ; vehicle_available_payment_methods : credit_card ; is_import : false ; vehicle_is_eligible_p2p : 2 ; vehicle_history_report_public_url : https://autoviza.fr/report/report?uid=256449ce-2f83-40b7-af64-d1a2fe98ae04 ; licence_plate_available : true</t>
        </is>
      </c>
      <c r="AG401" s="19" t="inlineStr">
        <is>
          <t>Voir</t>
        </is>
      </c>
      <c r="AH401" s="10" t="inlineStr">
        <is>
          <t>3276649870</t>
        </is>
      </c>
    </row>
    <row r="402">
      <c r="A402" s="10" t="inlineStr">
        <is>
          <t>Renault Clio II RS (172/182 ch)</t>
        </is>
      </c>
      <c r="B402" s="10" t="inlineStr">
        <is>
          <t>Clio 2 rs</t>
        </is>
      </c>
      <c r="C402" s="10" t="inlineStr">
        <is>
          <t>En vente</t>
        </is>
      </c>
      <c r="D402" s="18" t="n">
        <v>46290</v>
      </c>
      <c r="E402" s="18" t="n">
        <v>46290</v>
      </c>
      <c r="F402" s="18" t="n">
        <v>46296</v>
      </c>
      <c r="G402" s="18" t="n"/>
      <c r="H402" s="17">
        <f>IF(OR(ISNUMBER(D402),ISNUMBER(E402)),IF(ISNUMBER(G402),G402,F402)-IF(ISNUMBER(D402),D402,E402),"")</f>
        <v/>
      </c>
      <c r="I402" s="12" t="n">
        <v>14500</v>
      </c>
      <c r="J402" s="12" t="n">
        <v>14500</v>
      </c>
      <c r="K402" s="13">
        <f>IF(AND(ISNUMBER(I402),ISNUMBER(J402),I402&gt;0),1-J402/I402,"")</f>
        <v/>
      </c>
      <c r="L402" s="16" t="n">
        <v>0</v>
      </c>
      <c r="M402" s="15" t="n">
        <v>168000</v>
      </c>
      <c r="N402" s="16" t="n">
        <v>2001</v>
      </c>
      <c r="O402" s="10" t="inlineStr">
        <is>
          <t>1</t>
        </is>
      </c>
      <c r="P402" s="10" t="inlineStr">
        <is>
          <t>1</t>
        </is>
      </c>
      <c r="Q402" s="16" t="n">
        <v>182</v>
      </c>
      <c r="R402" s="16" t="n"/>
      <c r="S402" s="10" t="inlineStr">
        <is>
          <t>autre</t>
        </is>
      </c>
      <c r="T402" s="16" t="n">
        <v>5</v>
      </c>
      <c r="U402" s="10" t="n"/>
      <c r="V402" s="10" t="n"/>
      <c r="W402" s="10" t="inlineStr">
        <is>
          <t>Particulier</t>
        </is>
      </c>
      <c r="X402" s="10" t="inlineStr">
        <is>
          <t>Meximieux</t>
        </is>
      </c>
      <c r="Y402" s="10" t="inlineStr">
        <is>
          <t>01800</t>
        </is>
      </c>
      <c r="Z402" s="10" t="inlineStr">
        <is>
          <t>Ain</t>
        </is>
      </c>
      <c r="AA402" s="10" t="inlineStr">
        <is>
          <t>Rhône-Alpes</t>
        </is>
      </c>
      <c r="AB402" s="16" t="n"/>
      <c r="AC402" s="16" t="n"/>
      <c r="AD402" s="10" t="n"/>
      <c r="AE402" s="10" t="n"/>
      <c r="AF402" s="10" t="inlineStr">
        <is>
          <t>1 : 1 ; 2 : 2 ; 5 : 5 ; 2001 : 2001 ; https://img.leboncoin.fr/api/v1/tenants/9a6387a1-6259-4f2c-a887-7e67f23dd4cb/domains/20bda58f-d650-462e-a72a-a5a7ecf2bf88/buckets/21d2b0bc-e54c-4b64-a30b-89127b18b785/images/profile/pictures/default/601fe7be-67bf-5a63-a718-c37e90637a19?rule=pp-small : https://img.leboncoin.fr/api/v1/tenants/9a6387a1-6259-4f2c-a887-7e67f23dd4cb/domains/20bda58f-d650-462e-a72a-a5a7ecf2bf88/buckets/21d2b0bc-e54c-4b64-a30b-89127b18b785/images/profile/pictures/default/601fe7be-67bf-5a63-a718-c37e90637a19?rule=pp-small ; Renault : Renault ; Clio : Clio ; RENAULT : RENAULT ; 168000 km : 168000 ; Essence : 1 ; Manuelle : 1 ; 10/2001 : 10/2001 ; Berline : berline ; Autre : autre ; 182 Ch : 182 ; Avec permis : avecpermis ; credit_card : credit_card ; false : false ; true : true ; rating_score : 1 ; rating_count : 1 ; u_car_brand : RENAULT ; u_car_model : Clio ; vehicle_vsp : Avec permis ; vehicle_available_payment_methods : credit_card ; is_import : false ; vehicle_is_eligible_p2p : 2 ; licence_plate_available : true</t>
        </is>
      </c>
      <c r="AG402" s="19" t="inlineStr">
        <is>
          <t>Voir</t>
        </is>
      </c>
      <c r="AH402" s="10" t="inlineStr">
        <is>
          <t>3276674920</t>
        </is>
      </c>
    </row>
    <row r="403">
      <c r="A403" s="10" t="inlineStr">
        <is>
          <t>Renault Clio II RS (172/182 ch)</t>
        </is>
      </c>
      <c r="B403" s="10" t="inlineStr">
        <is>
          <t>Clio rs 182</t>
        </is>
      </c>
      <c r="C403" s="10" t="inlineStr">
        <is>
          <t>En vente</t>
        </is>
      </c>
      <c r="D403" s="18" t="n">
        <v>46291</v>
      </c>
      <c r="E403" s="18" t="n">
        <v>46291</v>
      </c>
      <c r="F403" s="18" t="n">
        <v>46296</v>
      </c>
      <c r="G403" s="18" t="n"/>
      <c r="H403" s="17">
        <f>IF(OR(ISNUMBER(D403),ISNUMBER(E403)),IF(ISNUMBER(G403),G403,F403)-IF(ISNUMBER(D403),D403,E403),"")</f>
        <v/>
      </c>
      <c r="I403" s="12" t="n">
        <v>12000</v>
      </c>
      <c r="J403" s="12" t="n">
        <v>12000</v>
      </c>
      <c r="K403" s="13">
        <f>IF(AND(ISNUMBER(I403),ISNUMBER(J403),I403&gt;0),1-J403/I403,"")</f>
        <v/>
      </c>
      <c r="L403" s="16" t="n">
        <v>0</v>
      </c>
      <c r="M403" s="15" t="n">
        <v>204000</v>
      </c>
      <c r="N403" s="16" t="n">
        <v>2004</v>
      </c>
      <c r="O403" s="10" t="inlineStr">
        <is>
          <t>1</t>
        </is>
      </c>
      <c r="P403" s="10" t="inlineStr">
        <is>
          <t>1</t>
        </is>
      </c>
      <c r="Q403" s="16" t="n">
        <v>182</v>
      </c>
      <c r="R403" s="16" t="n">
        <v>10</v>
      </c>
      <c r="S403" s="10" t="inlineStr">
        <is>
          <t>gris</t>
        </is>
      </c>
      <c r="T403" s="16" t="n">
        <v>3</v>
      </c>
      <c r="U403" s="10" t="n"/>
      <c r="V403" s="10" t="n"/>
      <c r="W403" s="10" t="inlineStr">
        <is>
          <t>Particulier</t>
        </is>
      </c>
      <c r="X403" s="10" t="inlineStr">
        <is>
          <t>Moulins</t>
        </is>
      </c>
      <c r="Y403" s="10" t="inlineStr">
        <is>
          <t>03000</t>
        </is>
      </c>
      <c r="Z403" s="10" t="inlineStr">
        <is>
          <t>Allier</t>
        </is>
      </c>
      <c r="AA403" s="10" t="inlineStr">
        <is>
          <t>Auvergne</t>
        </is>
      </c>
      <c r="AB403" s="16" t="n"/>
      <c r="AC403" s="16" t="n"/>
      <c r="AD403" s="10" t="n"/>
      <c r="AE403" s="10" t="n"/>
      <c r="AF403" s="10" t="inlineStr">
        <is>
          <t>1 : 1 ; 2 : 2 ; 3 : 3 ; 4 : 4 ; 5 : 5 ; 2004 : 2004 ; 2027 : 2027 ; 730788 : 730788 ; https://img.leboncoin.fr/api/v1/tenants/9a6387a1-6259-4f2c-a887-7e67f23dd4cb/domains/20bda58f-d650-462e-a72a-a5a7ecf2bf88/buckets/21d2b0bc-e54c-4b64-a30b-89127b18b785/images/profile/pictures/default/172911dc-8bec-55bd-84be-27f0959295cb?rule=pp-small : https://img.leboncoin.fr/api/v1/tenants/9a6387a1-6259-4f2c-a887-7e67f23dd4cb/domains/20bda58f-d650-462e-a72a-a5a7ecf2bf88/buckets/21d2b0bc-e54c-4b64-a30b-89127b18b785/images/profile/pictures/default/172911dc-8bec-55bd-84be-27f0959295cb?rule=pp-small ; Renault : Renault ; Clio : Clio ; RENAULT : RENAULT ; 204000 km : 204000 ; Essence : 1 ; Manuelle : 1 ; Renault Sport : RENAULT_Clio_Renault Sport ; Renault Sport_Clio 2.0 16v 182ch Renault Sport 3p : Renault Sport_Clio 2.0 16v 182ch Renault Sport 3p ; Oui : true ; 05/2004 : 05/2004 ; Excellent état (proche du neuf) : excellent_condition ; Berline : berline ; Gris : gris ; 10 Cv : 10 ; 182 Ch : 182 ; Avec permis : avecpermis ; credit_card : credit_card ; false : false ; true : true ; rating_score : 1 ; rating_count : 4 ; u_car_brand : RENAULT ; u_car_model : Clio ; u_car_finition : Renault Sport ; u_car_version : Renault Sport_Clio 2.0 16v 182ch Renault Sport 3p ; vehicle_technical_inspection_valid : Oui ; vehicle_technical_inspection_a : 2027 ; vehicle_damage : Excellent état (proche du neuf) ; vehicle_upholstery : Cuir partiel ; vehicle_maintenance : Factures disponibles, Véhicule non fumeur ; vehicle_vsp : Avec permis ; vehicle_available_payment_methods : credit_card ; is_import : false ; vehicle_is_eligible_p2p : 2 ; argus_object_id : 730788 ; licence_plate_available : true</t>
        </is>
      </c>
      <c r="AG403" s="19" t="inlineStr">
        <is>
          <t>Voir</t>
        </is>
      </c>
      <c r="AH403" s="10" t="inlineStr">
        <is>
          <t>3277297648</t>
        </is>
      </c>
    </row>
    <row r="404">
      <c r="A404" s="10" t="inlineStr">
        <is>
          <t>Renault Clio II RS (172/182 ch)</t>
        </is>
      </c>
      <c r="B404" s="10" t="inlineStr">
        <is>
          <t>Clio Rs</t>
        </is>
      </c>
      <c r="C404" s="10" t="inlineStr">
        <is>
          <t>En vente</t>
        </is>
      </c>
      <c r="D404" s="18" t="n">
        <v>46292</v>
      </c>
      <c r="E404" s="18" t="n">
        <v>46292</v>
      </c>
      <c r="F404" s="18" t="n">
        <v>46296</v>
      </c>
      <c r="G404" s="18" t="n"/>
      <c r="H404" s="17">
        <f>IF(OR(ISNUMBER(D404),ISNUMBER(E404)),IF(ISNUMBER(G404),G404,F404)-IF(ISNUMBER(D404),D404,E404),"")</f>
        <v/>
      </c>
      <c r="I404" s="12" t="n">
        <v>13000</v>
      </c>
      <c r="J404" s="12" t="n">
        <v>13000</v>
      </c>
      <c r="K404" s="13">
        <f>IF(AND(ISNUMBER(I404),ISNUMBER(J404),I404&gt;0),1-J404/I404,"")</f>
        <v/>
      </c>
      <c r="L404" s="16" t="n">
        <v>0</v>
      </c>
      <c r="M404" s="15" t="n">
        <v>105500</v>
      </c>
      <c r="N404" s="16" t="n">
        <v>2001</v>
      </c>
      <c r="O404" s="10" t="inlineStr">
        <is>
          <t>1</t>
        </is>
      </c>
      <c r="P404" s="10" t="inlineStr">
        <is>
          <t>1</t>
        </is>
      </c>
      <c r="Q404" s="16" t="n">
        <v>172</v>
      </c>
      <c r="R404" s="16" t="n">
        <v>10</v>
      </c>
      <c r="S404" s="10" t="inlineStr">
        <is>
          <t>bordeaux</t>
        </is>
      </c>
      <c r="T404" s="16" t="n">
        <v>3</v>
      </c>
      <c r="U404" s="10" t="n"/>
      <c r="V404" s="10" t="n"/>
      <c r="W404" s="10" t="inlineStr">
        <is>
          <t>Particulier</t>
        </is>
      </c>
      <c r="X404" s="10" t="inlineStr">
        <is>
          <t>Pont-du-Château</t>
        </is>
      </c>
      <c r="Y404" s="10" t="inlineStr">
        <is>
          <t>63430</t>
        </is>
      </c>
      <c r="Z404" s="10" t="inlineStr">
        <is>
          <t>Puy-de-Dôme</t>
        </is>
      </c>
      <c r="AA404" s="10" t="inlineStr">
        <is>
          <t>Auvergne</t>
        </is>
      </c>
      <c r="AB404" s="16" t="n"/>
      <c r="AC404" s="16" t="n"/>
      <c r="AD404" s="10" t="n"/>
      <c r="AE404" s="10" t="n"/>
      <c r="AF404" s="10" t="inlineStr">
        <is>
          <t>1 : 1 ; 2 : 2 ; 3 : 3 ; 2001 : 2001 ; https://img.leboncoin.fr/api/v1/tenants/9a6387a1-6259-4f2c-a887-7e67f23dd4cb/domains/20bda58f-d650-462e-a72a-a5a7ecf2bf88/buckets/21d2b0bc-e54c-4b64-a30b-89127b18b785/images/profile/pictures/default/b324d035-5525-5068-8952-4d3d3664e2b1?rule=pp-small : https://img.leboncoin.fr/api/v1/tenants/9a6387a1-6259-4f2c-a887-7e67f23dd4cb/domains/20bda58f-d650-462e-a72a-a5a7ecf2bf88/buckets/21d2b0bc-e54c-4b64-a30b-89127b18b785/images/profile/pictures/default/b324d035-5525-5068-8952-4d3d3664e2b1?rule=pp-small ; Renault : Renault ; Clio : Clio ; RENAULT : RENAULT ; 105500 km : 105500 ; Essence : 1 ; Manuelle : 1 ; 10/2001 : 10/2001 ; Excellent état (proche du neuf) : excellent_condition ; Berline : berline ; Bordeaux : bordeaux ; Euro 3 : euro3 ; 10 Cv : 10 ; 172 Ch : 172 ; Avec permis : avecpermis ; credit_card : credit_card ; false : false ; true : true ; u_car_brand : RENAULT ; u_car_model : Clio ; vehicle_damage : Excellent état (proche du neuf) ; vehicle_upholstery : Alcantara ; vehicle_euro_emissions_standard : Euro 3 ; vehicle_vsp : Avec permis ; vehicle_available_payment_methods : credit_card ; is_import : false ; vehicle_is_eligible_p2p : 2 ; licence_plate_available : true</t>
        </is>
      </c>
      <c r="AG404" s="19" t="inlineStr">
        <is>
          <t>Voir</t>
        </is>
      </c>
      <c r="AH404" s="10" t="inlineStr">
        <is>
          <t>3277619840</t>
        </is>
      </c>
    </row>
    <row r="405">
      <c r="A405" s="10" t="inlineStr">
        <is>
          <t>Renault Clio II RS (172/182 ch)</t>
        </is>
      </c>
      <c r="B405" s="10" t="inlineStr">
        <is>
          <t>Clio 2 rs</t>
        </is>
      </c>
      <c r="C405" s="10" t="inlineStr">
        <is>
          <t>En vente</t>
        </is>
      </c>
      <c r="D405" s="18" t="n">
        <v>46293</v>
      </c>
      <c r="E405" s="18" t="n">
        <v>46293</v>
      </c>
      <c r="F405" s="18" t="n">
        <v>46296</v>
      </c>
      <c r="G405" s="18" t="n"/>
      <c r="H405" s="17">
        <f>IF(OR(ISNUMBER(D405),ISNUMBER(E405)),IF(ISNUMBER(G405),G405,F405)-IF(ISNUMBER(D405),D405,E405),"")</f>
        <v/>
      </c>
      <c r="I405" s="12" t="n">
        <v>13900</v>
      </c>
      <c r="J405" s="12" t="n">
        <v>13900</v>
      </c>
      <c r="K405" s="13">
        <f>IF(AND(ISNUMBER(I405),ISNUMBER(J405),I405&gt;0),1-J405/I405,"")</f>
        <v/>
      </c>
      <c r="L405" s="16" t="n">
        <v>0</v>
      </c>
      <c r="M405" s="15" t="n">
        <v>155000</v>
      </c>
      <c r="N405" s="16" t="n">
        <v>2004</v>
      </c>
      <c r="O405" s="10" t="inlineStr">
        <is>
          <t>1</t>
        </is>
      </c>
      <c r="P405" s="10" t="inlineStr">
        <is>
          <t>1</t>
        </is>
      </c>
      <c r="Q405" s="16" t="n">
        <v>182</v>
      </c>
      <c r="R405" s="16" t="n">
        <v>10</v>
      </c>
      <c r="S405" s="10" t="inlineStr">
        <is>
          <t>noir</t>
        </is>
      </c>
      <c r="T405" s="16" t="n">
        <v>3</v>
      </c>
      <c r="U405" s="10" t="n"/>
      <c r="V405" s="10" t="inlineStr">
        <is>
          <t>6</t>
        </is>
      </c>
      <c r="W405" s="10" t="inlineStr">
        <is>
          <t>Particulier</t>
        </is>
      </c>
      <c r="X405" s="10" t="inlineStr">
        <is>
          <t>Lourdes</t>
        </is>
      </c>
      <c r="Y405" s="10" t="inlineStr">
        <is>
          <t>65100</t>
        </is>
      </c>
      <c r="Z405" s="10" t="inlineStr">
        <is>
          <t>Hautes-Pyrénées</t>
        </is>
      </c>
      <c r="AA405" s="10" t="inlineStr">
        <is>
          <t>Midi-Pyrénées</t>
        </is>
      </c>
      <c r="AB405" s="16" t="n"/>
      <c r="AC405" s="16" t="n"/>
      <c r="AD405" s="10" t="n"/>
      <c r="AE405" s="10" t="n"/>
      <c r="AF405" s="10" t="inlineStr">
        <is>
          <t>2 : 2 ; 3 : 3 ; 5 : 5 ; 2004 : 2004 ; 730788 : 730788 ; https://img.leboncoin.fr/api/v1/tenants/9a6387a1-6259-4f2c-a887-7e67f23dd4cb/domains/20bda58f-d650-462e-a72a-a5a7ecf2bf88/buckets/21d2b0bc-e54c-4b64-a30b-89127b18b785/images/profile/pictures/default/b0284ad7-c614-58fd-9445-8a7c1516d480?rule=pp-small : https://img.leboncoin.fr/api/v1/tenants/9a6387a1-6259-4f2c-a887-7e67f23dd4cb/domains/20bda58f-d650-462e-a72a-a5a7ecf2bf88/buckets/21d2b0bc-e54c-4b64-a30b-89127b18b785/images/profile/pictures/default/b0284ad7-c614-58fd-9445-8a7c1516d480?rule=pp-small ; Renault : Renault ; Clio : Clio ; RENAULT : RENAULT ; 155000 km : 155000 ; Essence : 1 ; Manuelle : 1 ; Renault Sport : RENAULT_Clio_Renault Sport ; Renault Sport_Clio 2.0 16v 182ch Renault Sport 3p : Renault Sport_Clio 2.0 16v 182ch Renault Sport 3p ; 09/2004 : 09/2004 ; Bon état général : good_overall_condition ; Berline : berline ; Noir : noir ; Non classé : 6 ; 10 Cv : 10 ; 182 Ch : 182 ; Avec permis : avecpermis ; credit_card : credit_card ; false : false ; true : true ; u_car_brand : RENAULT ; u_car_model : Clio ; u_car_finition : Renault Sport ; u_car_version : Renault Sport_Clio 2.0 16v 182ch Renault Sport 3p ; vehicle_damage : Bon état général ; vehicle_upholstery : Cuir partiel ; vehicle_maintenance : Véhicule non fumeur, Factures disponibles, Réparations utiles déjà faites ; vehicle_interior_specs : Allumage automatique des phares, Bluetooth, Chargeurs USB, Climatisation, Phares LED / Xenon, Régulateur de vitesse, Sièges chauffants ; vehicle_vsp : Avec permis ; vehicle_available_payment_methods : credit_card ; is_import : false ; vehicle_is_eligible_p2p : 2 ; argus_object_id : 730788 ; licence_plate_available : true</t>
        </is>
      </c>
      <c r="AG405" s="19" t="inlineStr">
        <is>
          <t>Voir</t>
        </is>
      </c>
      <c r="AH405" s="10" t="inlineStr">
        <is>
          <t>3278695532</t>
        </is>
      </c>
    </row>
    <row r="406">
      <c r="A406" s="10" t="inlineStr">
        <is>
          <t>Renault Clio II RS (172/182 ch)</t>
        </is>
      </c>
      <c r="B406" s="10" t="inlineStr">
        <is>
          <t>Clio rs</t>
        </is>
      </c>
      <c r="C406" s="10" t="inlineStr">
        <is>
          <t>En vente</t>
        </is>
      </c>
      <c r="D406" s="18" t="n">
        <v>46295</v>
      </c>
      <c r="E406" s="18" t="n">
        <v>46295</v>
      </c>
      <c r="F406" s="18" t="n">
        <v>46296</v>
      </c>
      <c r="G406" s="18" t="n"/>
      <c r="H406" s="17">
        <f>IF(OR(ISNUMBER(D406),ISNUMBER(E406)),IF(ISNUMBER(G406),G406,F406)-IF(ISNUMBER(D406),D406,E406),"")</f>
        <v/>
      </c>
      <c r="I406" s="12" t="n">
        <v>10999</v>
      </c>
      <c r="J406" s="12" t="n">
        <v>10999</v>
      </c>
      <c r="K406" s="13">
        <f>IF(AND(ISNUMBER(I406),ISNUMBER(J406),I406&gt;0),1-J406/I406,"")</f>
        <v/>
      </c>
      <c r="L406" s="16" t="n">
        <v>0</v>
      </c>
      <c r="M406" s="15" t="n">
        <v>200000</v>
      </c>
      <c r="N406" s="16" t="n">
        <v>2004</v>
      </c>
      <c r="O406" s="10" t="inlineStr">
        <is>
          <t>1</t>
        </is>
      </c>
      <c r="P406" s="10" t="inlineStr">
        <is>
          <t>1</t>
        </is>
      </c>
      <c r="Q406" s="16" t="n">
        <v>182</v>
      </c>
      <c r="R406" s="16" t="n">
        <v>11</v>
      </c>
      <c r="S406" s="10" t="inlineStr">
        <is>
          <t>gris</t>
        </is>
      </c>
      <c r="T406" s="16" t="n">
        <v>3</v>
      </c>
      <c r="U406" s="10" t="n"/>
      <c r="V406" s="10" t="n"/>
      <c r="W406" s="10" t="inlineStr">
        <is>
          <t>Particulier</t>
        </is>
      </c>
      <c r="X406" s="10" t="inlineStr">
        <is>
          <t>Cassis</t>
        </is>
      </c>
      <c r="Y406" s="10" t="inlineStr">
        <is>
          <t>13260</t>
        </is>
      </c>
      <c r="Z406" s="10" t="inlineStr">
        <is>
          <t>Bouches-du-Rhône</t>
        </is>
      </c>
      <c r="AA406" s="10" t="inlineStr">
        <is>
          <t>Provence-Alpes-Côte d'Azur</t>
        </is>
      </c>
      <c r="AB406" s="16" t="n"/>
      <c r="AC406" s="16" t="n"/>
      <c r="AD406" s="10" t="n"/>
      <c r="AE406" s="10" t="n"/>
      <c r="AF406" s="10" t="inlineStr">
        <is>
          <t>2 : 2 ; 3 : 3 ; 5 : 5 ; 2004 : 2004 ; https://img.leboncoin.fr/api/v1/tenants/9a6387a1-6259-4f2c-a887-7e67f23dd4cb/domains/20bda58f-d650-462e-a72a-a5a7ecf2bf88/buckets/21d2b0bc-e54c-4b64-a30b-89127b18b785/images/profile/pictures/default/1092b05e-f597-5aab-aece-b15799c094a3?rule=pp-small : https://img.leboncoin.fr/api/v1/tenants/9a6387a1-6259-4f2c-a887-7e67f23dd4cb/domains/20bda58f-d650-462e-a72a-a5a7ecf2bf88/buckets/21d2b0bc-e54c-4b64-a30b-89127b18b785/images/profile/pictures/default/1092b05e-f597-5aab-aece-b15799c094a3?rule=pp-small ; Renault : Renault ; Clio : Clio ; RENAULT : RENAULT ; 200000 km : 200000 ; Essence : 1 ; Manuelle : 1 ; 08/2004 : 08/2004 ; Excellent état (proche du neuf) : excellent_condition ; Berline : berline ; Gris : gris ; 11 Cv : 11 ; 182 Ch : 182 ; Avec permis : avecpermis ; credit_card : credit_card ; false : false ; https://autoviza.fr/report/report?uid=89f84c7b-570b-49e5-b8a4-a8ac37bb955e : https://autoviza.fr/report/report?uid=89f84c7b-570b-49e5-b8a4-a8ac37bb955e ; true : true ; u_car_brand : RENAULT ; u_car_model : Clio ; vehicle_damage : Excellent état (proche du neuf) ; vehicle_upholstery : Cuir partiel ; vehicle_maintenance : Carnet d'entretien disponible, Factures disponibles, Véhicule non fumeur, Réparations utiles déjà faites ; vehicle_interior_specs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vehicle_vsp : Avec permis ; vehicle_available_payment_methods : credit_card ; is_import : false ; vehicle_is_eligible_p2p : 2 ; vehicle_history_report_public_url : https://autoviza.fr/report/report?uid=89f84c7b-570b-49e5-b8a4-a8ac37bb955e ; licence_plate_available : true</t>
        </is>
      </c>
      <c r="AG406" s="19" t="inlineStr">
        <is>
          <t>Voir</t>
        </is>
      </c>
      <c r="AH406" s="10" t="inlineStr">
        <is>
          <t>3279867090</t>
        </is>
      </c>
    </row>
    <row r="407">
      <c r="A407" s="10" t="inlineStr">
        <is>
          <t>Renault Mégane II RS R26</t>
        </is>
      </c>
      <c r="B407" s="10" t="inlineStr">
        <is>
          <t>Renault Mégane rs r26</t>
        </is>
      </c>
      <c r="C407" s="10" t="inlineStr">
        <is>
          <t>En vente</t>
        </is>
      </c>
      <c r="D407" s="18" t="n">
        <v>46283</v>
      </c>
      <c r="E407" s="18" t="n">
        <v>46283</v>
      </c>
      <c r="F407" s="18" t="n">
        <v>46296</v>
      </c>
      <c r="G407" s="18" t="n"/>
      <c r="H407" s="17">
        <f>IF(OR(ISNUMBER(D407),ISNUMBER(E407)),IF(ISNUMBER(G407),G407,F407)-IF(ISNUMBER(D407),D407,E407),"")</f>
        <v/>
      </c>
      <c r="I407" s="12" t="n">
        <v>17500</v>
      </c>
      <c r="J407" s="12" t="n">
        <v>17500</v>
      </c>
      <c r="K407" s="13">
        <f>IF(AND(ISNUMBER(I407),ISNUMBER(J407),I407&gt;0),1-J407/I407,"")</f>
        <v/>
      </c>
      <c r="L407" s="16" t="n">
        <v>0</v>
      </c>
      <c r="M407" s="15" t="n">
        <v>198500</v>
      </c>
      <c r="N407" s="16" t="n">
        <v>2007</v>
      </c>
      <c r="O407" s="10" t="inlineStr">
        <is>
          <t>1</t>
        </is>
      </c>
      <c r="P407" s="10" t="inlineStr">
        <is>
          <t>1</t>
        </is>
      </c>
      <c r="Q407" s="16" t="n">
        <v>230</v>
      </c>
      <c r="R407" s="16" t="n"/>
      <c r="S407" s="10" t="inlineStr">
        <is>
          <t>noir</t>
        </is>
      </c>
      <c r="T407" s="16" t="n"/>
      <c r="U407" s="10" t="n"/>
      <c r="V407" s="10" t="n"/>
      <c r="W407" s="10" t="inlineStr">
        <is>
          <t>Particulier</t>
        </is>
      </c>
      <c r="X407" s="10" t="inlineStr">
        <is>
          <t>Dannemarie</t>
        </is>
      </c>
      <c r="Y407" s="10" t="inlineStr">
        <is>
          <t>68210</t>
        </is>
      </c>
      <c r="Z407" s="10" t="inlineStr">
        <is>
          <t>Haut-Rhin</t>
        </is>
      </c>
      <c r="AA407" s="10" t="inlineStr">
        <is>
          <t>Alsace</t>
        </is>
      </c>
      <c r="AB407" s="16" t="n"/>
      <c r="AC407" s="16" t="n"/>
      <c r="AD407" s="10" t="n"/>
      <c r="AE407" s="10" t="n"/>
      <c r="AF407" s="10" t="inlineStr">
        <is>
          <t>2 : 2 ; 2007 : 2007 ; https://img.leboncoin.fr/api/v1/tenants/9a6387a1-6259-4f2c-a887-7e67f23dd4cb/domains/20bda58f-d650-462e-a72a-a5a7ecf2bf88/buckets/21d2b0bc-e54c-4b64-a30b-89127b18b785/images/profile/pictures/e416bbb9-e394-5a5b-b639-201ae084893d?rule=pp-small : https://img.leboncoin.fr/api/v1/tenants/9a6387a1-6259-4f2c-a887-7e67f23dd4cb/domains/20bda58f-d650-462e-a72a-a5a7ecf2bf88/buckets/21d2b0bc-e54c-4b64-a30b-89127b18b785/images/profile/pictures/e416bbb9-e394-5a5b-b639-201ae084893d?rule=pp-small ; Renault : Renault ; Megane : Megane ; RENAULT : RENAULT ; 198500 km : 198500 ; Essence : 1 ; Manuelle : 1 ; Noir : noir ; 230 Ch : 230 ; Avec permis : avecpermis ; credit_card : credit_card ; false : false ; true : true ; u_car_brand : RENAULT ; u_car_model : Megane ; vehicle_vsp : Avec permis ; vehicle_available_payment_methods : credit_card ; is_import : false ; vehicle_is_eligible_p2p : 2 ; licence_plate_available : true</t>
        </is>
      </c>
      <c r="AG407" s="19" t="inlineStr">
        <is>
          <t>Voir</t>
        </is>
      </c>
      <c r="AH407" s="10" t="inlineStr">
        <is>
          <t>3093503886</t>
        </is>
      </c>
    </row>
    <row r="408">
      <c r="A408" s="10" t="inlineStr">
        <is>
          <t>Renault Mégane II RS R26</t>
        </is>
      </c>
      <c r="B408" s="10" t="inlineStr">
        <is>
          <t>Renault megane rs 2.0t 16v 230 f1 team r26 numerotee 41mkm</t>
        </is>
      </c>
      <c r="C408" s="10" t="inlineStr">
        <is>
          <t>En vente</t>
        </is>
      </c>
      <c r="D408" s="18" t="n">
        <v>46081</v>
      </c>
      <c r="E408" s="18" t="n">
        <v>46081</v>
      </c>
      <c r="F408" s="18" t="n">
        <v>46296</v>
      </c>
      <c r="G408" s="18" t="n"/>
      <c r="H408" s="17">
        <f>IF(OR(ISNUMBER(D408),ISNUMBER(E408)),IF(ISNUMBER(G408),G408,F408)-IF(ISNUMBER(D408),D408,E408),"")</f>
        <v/>
      </c>
      <c r="I408" s="12" t="n">
        <v>19900</v>
      </c>
      <c r="J408" s="12" t="n">
        <v>19900</v>
      </c>
      <c r="K408" s="13">
        <f>IF(AND(ISNUMBER(I408),ISNUMBER(J408),I408&gt;0),1-J408/I408,"")</f>
        <v/>
      </c>
      <c r="L408" s="16" t="n">
        <v>0</v>
      </c>
      <c r="M408" s="15" t="n">
        <v>41461</v>
      </c>
      <c r="N408" s="16" t="n">
        <v>2007</v>
      </c>
      <c r="O408" s="10" t="inlineStr">
        <is>
          <t>1</t>
        </is>
      </c>
      <c r="P408" s="10" t="inlineStr">
        <is>
          <t>1</t>
        </is>
      </c>
      <c r="Q408" s="16" t="n">
        <v>230</v>
      </c>
      <c r="R408" s="16" t="n">
        <v>14</v>
      </c>
      <c r="S408" s="10" t="inlineStr">
        <is>
          <t>gris</t>
        </is>
      </c>
      <c r="T408" s="16" t="n">
        <v>3</v>
      </c>
      <c r="U408" s="10" t="n"/>
      <c r="V408" s="10" t="n"/>
      <c r="W408" s="10" t="inlineStr">
        <is>
          <t>Pro</t>
        </is>
      </c>
      <c r="X408" s="10" t="inlineStr">
        <is>
          <t>Sorgues</t>
        </is>
      </c>
      <c r="Y408" s="10" t="inlineStr">
        <is>
          <t>84700</t>
        </is>
      </c>
      <c r="Z408" s="10" t="inlineStr">
        <is>
          <t>Vaucluse</t>
        </is>
      </c>
      <c r="AA408" s="10" t="inlineStr">
        <is>
          <t>Provence-Alpes-Côte d'Azur</t>
        </is>
      </c>
      <c r="AB408" s="16" t="n"/>
      <c r="AC408" s="16" t="n"/>
      <c r="AD408" s="10" t="n"/>
      <c r="AE408" s="10" t="n"/>
      <c r="AF408" s="10" t="inlineStr">
        <is>
          <t>1 : 1 ; 3 : 3 ; 5 : 5 ; 2007 : 2007 ; 15860 : 15860 ; 17530 : 17530 ; 24900 : 24900 ; 911264 : 911264 ; 1347516 : 1347516 ; 3510354 : 3510354 ; Renault : Renault ; Megane : Megane ; RENAULT : RENAULT ; 41461 km : 41461 ; Essence : 1 ; Manuelle : 1 ; F1 Team R26 : RENAULT_Megane_F1 Team R26 ; Megane Coupe 2.0T 230ch F1 Team R26 : Megane Coupe 2.0T 230ch F1 Team R26 ; 01/2007 : 01/2007 ; Berline : berline ; Gris : gris ; Euro 1 : euro1 ; 14 Cv : 14 ; 230 Ch : 230 ; false : false ; true : true ; https://img.leboncoin.fr/api/v1/lbcpb1/images/a5/d1/26/a5d126b6-4d26-465d-9922-f6e528c926a1?rule=bo-thumb : https://img.leboncoin.fr/api/v1/lbcpb1/images/a5/d1/26/a5d126b6-4d26-465d-9922-f6e528c926a1?rule=bo-thumb ; AUTO NEGOCE 84 : AUTO NEGOCE 84 ; Légèrement supérieur : badge_key_2_5 ; hidden : hidden ; Non renseignée : non_renseignee ; activity_sector : 1 ; u_car_brand : RENAULT ; u_car_model : Megane ; u_car_finition : F1 Team R26 ; u_car_version : Megane Coupe 2.0T 230ch F1 Team R26 ; vehicle_upholstery : Alcantara ; vehicle_interior_specs : Climatisation, Jantes en alliage, Phares anti-brouillard, Régulateur de vitesse, Siège réglable en hauteur, Volant réglable en profondeur ; vehicle_euro_emissions_standard : Euro 1 ; recent_used_vehicle : false ; has_visibility_option : true ; store_logo : https://img.leboncoin.fr/api/v1/lbcpb1/images/a5/d1/26/a5d126b6-4d26-465d-9922-f6e528c926a1?rule=bo-thumb ; store_name : AUTO NEGOCE 84 ; online_store_id : 3510354 ; custom_ref : 1347516 ; is_import : true ; old_price : 24900 ; car_price_min : 15860 ; car_price_max : 17530 ; car_price_positioning : Légèrement supérieur ; vehicle_history_report_status : hidden ; argus_object_id : 911264 ; spare_parts_availability : Non renseignée ; licence_plate_available : true</t>
        </is>
      </c>
      <c r="AG408" s="19" t="inlineStr">
        <is>
          <t>Voir</t>
        </is>
      </c>
      <c r="AH408" s="10" t="inlineStr">
        <is>
          <t>3152592919</t>
        </is>
      </c>
    </row>
    <row r="409">
      <c r="A409" s="10" t="inlineStr">
        <is>
          <t>Renault Mégane II RS R26</t>
        </is>
      </c>
      <c r="B409" s="10" t="inlineStr">
        <is>
          <t>Renault Megane II RS F1 Team R26 2.0 230 ch - Équipé Complet R26-R</t>
        </is>
      </c>
      <c r="C409" s="10" t="inlineStr">
        <is>
          <t>En vente</t>
        </is>
      </c>
      <c r="D409" s="18" t="n">
        <v>46102</v>
      </c>
      <c r="E409" s="18" t="n">
        <v>46102</v>
      </c>
      <c r="F409" s="18" t="n">
        <v>46296</v>
      </c>
      <c r="G409" s="18" t="n"/>
      <c r="H409" s="17">
        <f>IF(OR(ISNUMBER(D409),ISNUMBER(E409)),IF(ISNUMBER(G409),G409,F409)-IF(ISNUMBER(D409),D409,E409),"")</f>
        <v/>
      </c>
      <c r="I409" s="12" t="n">
        <v>31490</v>
      </c>
      <c r="J409" s="12" t="n">
        <v>31490</v>
      </c>
      <c r="K409" s="13">
        <f>IF(AND(ISNUMBER(I409),ISNUMBER(J409),I409&gt;0),1-J409/I409,"")</f>
        <v/>
      </c>
      <c r="L409" s="16" t="n">
        <v>0</v>
      </c>
      <c r="M409" s="15" t="n">
        <v>40500</v>
      </c>
      <c r="N409" s="16" t="n">
        <v>2008</v>
      </c>
      <c r="O409" s="10" t="inlineStr">
        <is>
          <t>1</t>
        </is>
      </c>
      <c r="P409" s="10" t="inlineStr">
        <is>
          <t>1</t>
        </is>
      </c>
      <c r="Q409" s="16" t="n">
        <v>230</v>
      </c>
      <c r="R409" s="16" t="n">
        <v>14</v>
      </c>
      <c r="S409" s="10" t="inlineStr">
        <is>
          <t>noir</t>
        </is>
      </c>
      <c r="T409" s="16" t="n">
        <v>3</v>
      </c>
      <c r="U409" s="10" t="n"/>
      <c r="V409" s="10" t="inlineStr">
        <is>
          <t>1</t>
        </is>
      </c>
      <c r="W409" s="10" t="inlineStr">
        <is>
          <t>Pro</t>
        </is>
      </c>
      <c r="X409" s="10" t="inlineStr">
        <is>
          <t>Gleizé</t>
        </is>
      </c>
      <c r="Y409" s="10" t="inlineStr">
        <is>
          <t>69400</t>
        </is>
      </c>
      <c r="Z409" s="10" t="inlineStr">
        <is>
          <t>Rhône</t>
        </is>
      </c>
      <c r="AA409" s="10" t="inlineStr">
        <is>
          <t>Rhône-Alpes</t>
        </is>
      </c>
      <c r="AB409" s="16" t="n"/>
      <c r="AC409" s="16" t="n"/>
      <c r="AD409" s="10" t="n"/>
      <c r="AE409" s="10" t="n"/>
      <c r="AF409" s="10" t="inlineStr">
        <is>
          <t>1 : 1 ; 2 : 2 ; 3 : 3 ; 2008 : 2008 ; 19040 : 19040 ; 21040 : 21040 ; 31990 : 31990 ; 911264 : 911264 ; 5825484 : 5825484 ; Renault : Renault ; Megane : Megane ; RENAULT : RENAULT ; 40500 km : 40500 ; Essence : 1 ; Manuelle : 1 ; F1 Team R26 : RENAULT_Megane_F1 Team R26 ; Megane Coupe 2.0T 230ch F1 Team R26 : Megane Coupe 2.0T 230ch F1 Team R26 ; 12/2008 : 12/2008 ; Berline : berline ; Noir : noir ; 14 Cv : 14 ; 230 Ch : 230 ; Avec permis : avecpermis ; false : false ; https://img.leboncoin.fr/api/v1/lbcpb1/images/8a/f8/b4/8af8b4f8-2271-46e3-b931-03d2c6fe5012?rule=bo-thumb : https://img.leboncoin.fr/api/v1/lbcpb1/images/8a/f8/b4/8af8b4f8-2271-46e3-b931-03d2c6fe5012?rule=bo-thumb ; EVOCARS LYON : EVOCARS LYON ; VRO_9EE9FB : VRO_9EE9FB ; true : true ; Estimation indisponible : badge_key_0_5 ; Non renseignée : non_renseignee ; activity_sector : 1 ; u_car_brand : RENAULT ; u_car_model : Megane ; u_car_finition : F1 Team R26 ; u_car_version : Megane Coupe 2.0T 230ch F1 Team R26 ; vehicle_vsp : Avec permis ; recent_used_vehicle : false ; has_visibility_option : false ; store_logo : https://img.leboncoin.fr/api/v1/lbcpb1/images/8a/f8/b4/8af8b4f8-2271-46e3-b931-03d2c6fe5012?rule=bo-thumb ; store_name : EVOCARS LYON ; online_store_id : 5825484 ; custom_ref : VRO_9EE9FB ; is_import : true ; old_price : 31990 ; car_price_min : 19040 ; car_price_max : 21040 ; car_price_positioning : Estimation indisponible ; argus_object_id : 911264 ; spare_parts_availability : Non renseignée</t>
        </is>
      </c>
      <c r="AG409" s="19" t="inlineStr">
        <is>
          <t>Voir</t>
        </is>
      </c>
      <c r="AH409" s="10" t="inlineStr">
        <is>
          <t>3165656670</t>
        </is>
      </c>
    </row>
    <row r="410">
      <c r="A410" s="10" t="inlineStr">
        <is>
          <t>Renault Mégane II RS R26</t>
        </is>
      </c>
      <c r="B410" s="10" t="inlineStr">
        <is>
          <t>Renault Megane 2.0 R26 F1-TEAM RS 230 ch "ECHAPPEMENT N°15/34"</t>
        </is>
      </c>
      <c r="C410" s="10" t="inlineStr">
        <is>
          <t>En vente</t>
        </is>
      </c>
      <c r="D410" s="18" t="n">
        <v>46108</v>
      </c>
      <c r="E410" s="18" t="n">
        <v>46108</v>
      </c>
      <c r="F410" s="18" t="n">
        <v>46296</v>
      </c>
      <c r="G410" s="18" t="n"/>
      <c r="H410" s="17">
        <f>IF(OR(ISNUMBER(D410),ISNUMBER(E410)),IF(ISNUMBER(G410),G410,F410)-IF(ISNUMBER(D410),D410,E410),"")</f>
        <v/>
      </c>
      <c r="I410" s="12" t="n">
        <v>27489</v>
      </c>
      <c r="J410" s="12" t="n">
        <v>27489</v>
      </c>
      <c r="K410" s="13">
        <f>IF(AND(ISNUMBER(I410),ISNUMBER(J410),I410&gt;0),1-J410/I410,"")</f>
        <v/>
      </c>
      <c r="L410" s="16" t="n">
        <v>0</v>
      </c>
      <c r="M410" s="15" t="n">
        <v>88900</v>
      </c>
      <c r="N410" s="16" t="n">
        <v>2008</v>
      </c>
      <c r="O410" s="10" t="inlineStr">
        <is>
          <t>1</t>
        </is>
      </c>
      <c r="P410" s="10" t="inlineStr">
        <is>
          <t>1</t>
        </is>
      </c>
      <c r="Q410" s="16" t="n">
        <v>230</v>
      </c>
      <c r="R410" s="16" t="n">
        <v>14</v>
      </c>
      <c r="S410" s="10" t="inlineStr">
        <is>
          <t>blanc</t>
        </is>
      </c>
      <c r="T410" s="16" t="n">
        <v>3</v>
      </c>
      <c r="U410" s="10" t="n"/>
      <c r="V410" s="10" t="inlineStr">
        <is>
          <t>2</t>
        </is>
      </c>
      <c r="W410" s="10" t="inlineStr">
        <is>
          <t>Pro</t>
        </is>
      </c>
      <c r="X410" s="10" t="inlineStr">
        <is>
          <t>Argelès-sur-Mer</t>
        </is>
      </c>
      <c r="Y410" s="10" t="inlineStr">
        <is>
          <t>66700</t>
        </is>
      </c>
      <c r="Z410" s="10" t="inlineStr">
        <is>
          <t>Pyrénées-Orientales</t>
        </is>
      </c>
      <c r="AA410" s="10" t="inlineStr">
        <is>
          <t>Languedoc-Roussillon</t>
        </is>
      </c>
      <c r="AB410" s="16" t="n"/>
      <c r="AC410" s="16" t="n"/>
      <c r="AD410" s="10" t="n"/>
      <c r="AE410" s="10" t="n"/>
      <c r="AF410" s="10" t="inlineStr">
        <is>
          <t>1 : 1 ; 2 : 2 ; 3 : 3 ; 5 : 5 ; 2008 : 2008 ; 17160 : 17160 ; 18970 : 18970 ; 29989 : 29989 ; 911264 : 911264 ; 5966285 : 5966285 ; Renault : Renault ; Megane : Megane ; RENAULT : RENAULT ; 88900 km : 88900 ; Essence : 1 ; Manuelle : 1 ; F1 Team R26 : RENAULT_Megane_F1 Team R26 ; Megane Coupe 2.0T 230ch F1 Team R26 : Megane Coupe 2.0T 230ch F1 Team R26 ; 05/2008 : 05/2008 ; Berline : berline ; Blanc : blanc ; 14 Cv : 14 ; 230 Ch : 230 ; Avec permis : avecpermis ; false : false ; https://img.leboncoin.fr/api/v1/lbcpb1/images/a7/ac/b5/a7acb57e-fbd3-4fcf-aa66-c9c5b2ff1921?rule=bo-thumb : https://img.leboncoin.fr/api/v1/lbcpb1/images/a7/ac/b5/a7acb57e-fbd3-4fcf-aa66-c9c5b2ff1921?rule=bo-thumb ; CLICK AND BUY AUTO ARGELES SUR MER : CLICK AND BUY AUTO ARGELES SUR MER ; VRO_E0A4DC : VRO_E0A4DC ; true : true ; Estimation indisponible : badge_key_0_5 ; Non renseignée : non_renseignee ; activity_sector : 1 ; u_car_brand : RENAULT ; u_car_model : Megane ; u_car_finition : F1 Team R26 ; u_car_version : Megane Coupe 2.0T 230ch F1 Team R26 ; vehicle_interior_specs : Bluetooth, Ordinateur de bord, Régulateur de vitesse, Vitres électriques arrières ; vehicle_vsp : Avec permis ; recent_used_vehicle : false ; has_visibility_option : false ; store_logo : https://img.leboncoin.fr/api/v1/lbcpb1/images/a7/ac/b5/a7acb57e-fbd3-4fcf-aa66-c9c5b2ff1921?rule=bo-thumb ; store_name : CLICK AND BUY AUTO ARGELES SUR MER ; online_store_id : 5966285 ; custom_ref : VRO_E0A4DC ; is_import : true ; old_price : 29989 ; car_price_min : 17160 ; car_price_max : 18970 ; car_price_positioning : Estimation indisponible ; argus_object_id : 911264 ; spare_parts_availability : Non renseignée</t>
        </is>
      </c>
      <c r="AG410" s="19" t="inlineStr">
        <is>
          <t>Voir</t>
        </is>
      </c>
      <c r="AH410" s="10" t="inlineStr">
        <is>
          <t>3169074583</t>
        </is>
      </c>
    </row>
    <row r="411">
      <c r="A411" s="10" t="inlineStr">
        <is>
          <t>Renault Mégane II RS R26</t>
        </is>
      </c>
      <c r="B411" s="10" t="inlineStr">
        <is>
          <t>Renault Mégane 2 RS R26 F1 Team</t>
        </is>
      </c>
      <c r="C411" s="10" t="inlineStr">
        <is>
          <t>En vente</t>
        </is>
      </c>
      <c r="D411" s="18" t="n">
        <v>46247</v>
      </c>
      <c r="E411" s="18" t="n">
        <v>46247</v>
      </c>
      <c r="F411" s="18" t="n">
        <v>46296</v>
      </c>
      <c r="G411" s="18" t="n"/>
      <c r="H411" s="17">
        <f>IF(OR(ISNUMBER(D411),ISNUMBER(E411)),IF(ISNUMBER(G411),G411,F411)-IF(ISNUMBER(D411),D411,E411),"")</f>
        <v/>
      </c>
      <c r="I411" s="12" t="n">
        <v>20500</v>
      </c>
      <c r="J411" s="12" t="n">
        <v>20500</v>
      </c>
      <c r="K411" s="13">
        <f>IF(AND(ISNUMBER(I411),ISNUMBER(J411),I411&gt;0),1-J411/I411,"")</f>
        <v/>
      </c>
      <c r="L411" s="16" t="n">
        <v>0</v>
      </c>
      <c r="M411" s="15" t="n">
        <v>124400</v>
      </c>
      <c r="N411" s="16" t="n">
        <v>2007</v>
      </c>
      <c r="O411" s="10" t="inlineStr">
        <is>
          <t>1</t>
        </is>
      </c>
      <c r="P411" s="10" t="inlineStr">
        <is>
          <t>1</t>
        </is>
      </c>
      <c r="Q411" s="16" t="n">
        <v>230</v>
      </c>
      <c r="R411" s="16" t="n">
        <v>14</v>
      </c>
      <c r="S411" s="10" t="inlineStr">
        <is>
          <t>gris</t>
        </is>
      </c>
      <c r="T411" s="16" t="n">
        <v>3</v>
      </c>
      <c r="U411" s="10" t="n"/>
      <c r="V411" s="10" t="n"/>
      <c r="W411" s="10" t="inlineStr">
        <is>
          <t>Particulier</t>
        </is>
      </c>
      <c r="X411" s="10" t="inlineStr">
        <is>
          <t>Nogent-le-Rotrou</t>
        </is>
      </c>
      <c r="Y411" s="10" t="inlineStr">
        <is>
          <t>28400</t>
        </is>
      </c>
      <c r="Z411" s="10" t="inlineStr">
        <is>
          <t>Eure-et-Loir</t>
        </is>
      </c>
      <c r="AA411" s="10" t="inlineStr">
        <is>
          <t>Centre</t>
        </is>
      </c>
      <c r="AB411" s="16" t="n"/>
      <c r="AC411" s="16" t="n"/>
      <c r="AD411" s="10" t="n"/>
      <c r="AE411" s="10" t="n"/>
      <c r="AF411" s="10" t="inlineStr">
        <is>
          <t>2 : 2 ; 3 : 3 ; 5 : 5 ; 2007 : 2007 ; 2028 : 2028 ; 15450 : 15450 ; 17080 : 17080 ; 911264 : 911264 ; https://img.leboncoin.fr/api/v1/tenants/9a6387a1-6259-4f2c-a887-7e67f23dd4cb/domains/20bda58f-d650-462e-a72a-a5a7ecf2bf88/buckets/21d2b0bc-e54c-4b64-a30b-89127b18b785/images/profile/pictures/default/65b6212c-a7b4-5413-a8bf-7f6ad8641cc6?rule=pp-small : https://img.leboncoin.fr/api/v1/tenants/9a6387a1-6259-4f2c-a887-7e67f23dd4cb/domains/20bda58f-d650-462e-a72a-a5a7ecf2bf88/buckets/21d2b0bc-e54c-4b64-a30b-89127b18b785/images/profile/pictures/default/65b6212c-a7b4-5413-a8bf-7f6ad8641cc6?rule=pp-small ; Renault : Renault ; Megane : Megane ; RENAULT : RENAULT ; 124400 km : 124400 ; Essence : 1 ; Manuelle : 1 ; F1 Team R26 : RENAULT_Megane_F1 Team R26 ; Megane Coupe 2.0T 230ch F1 Team R26 : Megane Coupe 2.0T 230ch F1 Team R26 ; Oui : true ; 08/2007 : 08/2007 ; Excellent état (proche du neuf) : excellent_condition ; Autre : autre ; Gris : gris ; 14 Cv : 14 ; 230 Ch : 230 ; Avec permis : avecpermis ; essential : essential ; false : false ; Estimation indisponible : badge_key_0_5 ; https://autoviza.fr/report/report?uid=cb079787-0315-4fc9-93a0-158fdf85376f : https://autoviza.fr/report/report?uid=cb079787-0315-4fc9-93a0-158fdf85376f ; visible : visible ; true : true ; u_car_brand : RENAULT ; u_car_model : Megane ; u_car_finition : F1 Team R26 ; u_car_version : Megane Coupe 2.0T 230ch F1 Team R26 ; vehicle_technical_inspection_valid : Oui ; vehicle_technical_inspection_a : 2028 ; vehicle_damage : Excellent état (proche du neuf) ; vehicle_upholstery : Cuir partiel ; vehicle_vsp : Avec permis ; ad_warranty_type : essential ; is_import : false ; vehicle_is_eligible_p2p : 2 ; car_price_min : 15450 ; car_price_max : 17080 ; car_price_positioning : Estimation indisponible ; vehicle_history_report_public_url : https://autoviza.fr/report/report?uid=cb079787-0315-4fc9-93a0-158fdf85376f ; vehicle_history_report_status : visible ; argus_object_id : 911264 ; licence_plate_available : true</t>
        </is>
      </c>
      <c r="AG411" s="19" t="inlineStr">
        <is>
          <t>Voir</t>
        </is>
      </c>
      <c r="AH411" s="10" t="inlineStr">
        <is>
          <t>3216991704</t>
        </is>
      </c>
    </row>
    <row r="412">
      <c r="A412" s="10" t="inlineStr">
        <is>
          <t>Renault Mégane II RS R26</t>
        </is>
      </c>
      <c r="B412" s="10" t="inlineStr">
        <is>
          <t>Renault Megane 2 RS 2.0l R26 F1 Team</t>
        </is>
      </c>
      <c r="C412" s="10" t="inlineStr">
        <is>
          <t>En vente</t>
        </is>
      </c>
      <c r="D412" s="18" t="n">
        <v>46285</v>
      </c>
      <c r="E412" s="18" t="n">
        <v>46285</v>
      </c>
      <c r="F412" s="18" t="n">
        <v>46296</v>
      </c>
      <c r="G412" s="18" t="n"/>
      <c r="H412" s="17">
        <f>IF(OR(ISNUMBER(D412),ISNUMBER(E412)),IF(ISNUMBER(G412),G412,F412)-IF(ISNUMBER(D412),D412,E412),"")</f>
        <v/>
      </c>
      <c r="I412" s="12" t="n">
        <v>19900</v>
      </c>
      <c r="J412" s="12" t="n">
        <v>19900</v>
      </c>
      <c r="K412" s="13">
        <f>IF(AND(ISNUMBER(I412),ISNUMBER(J412),I412&gt;0),1-J412/I412,"")</f>
        <v/>
      </c>
      <c r="L412" s="16" t="n">
        <v>0</v>
      </c>
      <c r="M412" s="15" t="n">
        <v>130000</v>
      </c>
      <c r="N412" s="16" t="n">
        <v>2007</v>
      </c>
      <c r="O412" s="10" t="inlineStr">
        <is>
          <t>1</t>
        </is>
      </c>
      <c r="P412" s="10" t="inlineStr">
        <is>
          <t>1</t>
        </is>
      </c>
      <c r="Q412" s="16" t="n">
        <v>230</v>
      </c>
      <c r="R412" s="16" t="n">
        <v>10</v>
      </c>
      <c r="S412" s="10" t="inlineStr">
        <is>
          <t>jaune</t>
        </is>
      </c>
      <c r="T412" s="16" t="n">
        <v>3</v>
      </c>
      <c r="U412" s="10" t="n"/>
      <c r="V412" s="10" t="n"/>
      <c r="W412" s="10" t="inlineStr">
        <is>
          <t>Particulier</t>
        </is>
      </c>
      <c r="X412" s="10" t="inlineStr">
        <is>
          <t>Furiani</t>
        </is>
      </c>
      <c r="Y412" s="10" t="inlineStr">
        <is>
          <t>20600</t>
        </is>
      </c>
      <c r="Z412" s="10" t="n"/>
      <c r="AA412" s="10" t="inlineStr">
        <is>
          <t>Corse</t>
        </is>
      </c>
      <c r="AB412" s="16" t="n"/>
      <c r="AC412" s="16" t="n"/>
      <c r="AD412" s="10" t="n"/>
      <c r="AE412" s="10" t="n"/>
      <c r="AF412" s="10" t="inlineStr">
        <is>
          <t>1 : 1 ; 2 : 2 ; 3 : 3 ; 5 : 5 ; 2007 : 2007 ; 14080 : 14080 ; 15560 : 15560 ; https://img.leboncoin.fr/api/v1/tenants/9a6387a1-6259-4f2c-a887-7e67f23dd4cb/domains/20bda58f-d650-462e-a72a-a5a7ecf2bf88/buckets/21d2b0bc-e54c-4b64-a30b-89127b18b785/images/profile/pictures/default/380bca83-2cad-5f72-9f6a-1d3bfdc5fc91?rule=pp-small : https://img.leboncoin.fr/api/v1/tenants/9a6387a1-6259-4f2c-a887-7e67f23dd4cb/domains/20bda58f-d650-462e-a72a-a5a7ecf2bf88/buckets/21d2b0bc-e54c-4b64-a30b-89127b18b785/images/profile/pictures/default/380bca83-2cad-5f72-9f6a-1d3bfdc5fc91?rule=pp-small ; Renault : Renault ; Megane : Megane ; RENAULT : RENAULT ; 130000 km : 130000 ; Essence : 1 ; Manuelle : 1 ; 06/2007 : 06/2007 ; Excellent état (proche du neuf) : excellent_condition ; Autre : autre ; Jaune : jaune ; 10 Cv : 10 ; 230 Ch : 230 ; Avec permis : avecpermis ; essential : essential ; credit_card : credit_card ; false : false ; Estimation indisponible : badge_key_0_5 ; https://autoviza.fr/report/report?uid=5e81ea1a-3ae9-47e7-87c0-9de8daf50055 : https://autoviza.fr/report/report?uid=5e81ea1a-3ae9-47e7-87c0-9de8daf50055 ; true : true ; rating_score : 1 ; rating_count : 2 ; u_car_brand : RENAULT ; u_car_model : Megane ; vehicle_damage : Excellent état (proche du neuf) ; vehicle_vsp : Avec permis ; ad_warranty_type : essential ; vehicle_available_payment_methods : credit_card ; is_import : false ; vehicle_is_eligible_p2p : 2 ; car_price_min : 14080 ; car_price_max : 15560 ; car_price_positioning : Estimation indisponible ; vehicle_history_report_public_url : https://autoviza.fr/report/report?uid=5e81ea1a-3ae9-47e7-87c0-9de8daf50055 ; licence_plate_available : true</t>
        </is>
      </c>
      <c r="AG412" s="19" t="inlineStr">
        <is>
          <t>Voir</t>
        </is>
      </c>
      <c r="AH412" s="10" t="inlineStr">
        <is>
          <t>3237229836</t>
        </is>
      </c>
    </row>
    <row r="413">
      <c r="A413" s="10" t="inlineStr">
        <is>
          <t>Renault Mégane II RS R26</t>
        </is>
      </c>
      <c r="B413" s="10" t="inlineStr">
        <is>
          <t>Renault Mégane 230 R26 F1-TEAM RS / N°6/34 Origine France</t>
        </is>
      </c>
      <c r="C413" s="10" t="inlineStr">
        <is>
          <t>En vente</t>
        </is>
      </c>
      <c r="D413" s="18" t="n">
        <v>46292</v>
      </c>
      <c r="E413" s="18" t="n">
        <v>46292</v>
      </c>
      <c r="F413" s="18" t="n">
        <v>46296</v>
      </c>
      <c r="G413" s="18" t="n"/>
      <c r="H413" s="17">
        <f>IF(OR(ISNUMBER(D413),ISNUMBER(E413)),IF(ISNUMBER(G413),G413,F413)-IF(ISNUMBER(D413),D413,E413),"")</f>
        <v/>
      </c>
      <c r="I413" s="12" t="n">
        <v>24490</v>
      </c>
      <c r="J413" s="12" t="n">
        <v>24490</v>
      </c>
      <c r="K413" s="13">
        <f>IF(AND(ISNUMBER(I413),ISNUMBER(J413),I413&gt;0),1-J413/I413,"")</f>
        <v/>
      </c>
      <c r="L413" s="16" t="n">
        <v>0</v>
      </c>
      <c r="M413" s="15" t="n">
        <v>99250</v>
      </c>
      <c r="N413" s="16" t="n">
        <v>2007</v>
      </c>
      <c r="O413" s="10" t="inlineStr">
        <is>
          <t>1</t>
        </is>
      </c>
      <c r="P413" s="10" t="inlineStr">
        <is>
          <t>1</t>
        </is>
      </c>
      <c r="Q413" s="16" t="n">
        <v>230</v>
      </c>
      <c r="R413" s="16" t="n">
        <v>14</v>
      </c>
      <c r="S413" s="10" t="inlineStr">
        <is>
          <t>blanc</t>
        </is>
      </c>
      <c r="T413" s="16" t="n">
        <v>3</v>
      </c>
      <c r="U413" s="10" t="n"/>
      <c r="V413" s="10" t="inlineStr">
        <is>
          <t>2</t>
        </is>
      </c>
      <c r="W413" s="10" t="inlineStr">
        <is>
          <t>Pro</t>
        </is>
      </c>
      <c r="X413" s="10" t="inlineStr">
        <is>
          <t>Antibes</t>
        </is>
      </c>
      <c r="Y413" s="10" t="inlineStr">
        <is>
          <t>06600</t>
        </is>
      </c>
      <c r="Z413" s="10" t="inlineStr">
        <is>
          <t>Alpes-Maritimes</t>
        </is>
      </c>
      <c r="AA413" s="10" t="inlineStr">
        <is>
          <t>Provence-Alpes-Côte d'Azur</t>
        </is>
      </c>
      <c r="AB413" s="16" t="n"/>
      <c r="AC413" s="16" t="n"/>
      <c r="AD413" s="10" t="n"/>
      <c r="AE413" s="10" t="n"/>
      <c r="AF413" s="10" t="inlineStr">
        <is>
          <t>1 : 1 ; 2 : 2 ; 3 : 3 ; 5 : 5 ; 2007 : 2007 ; 16170 : 16170 ; 17870 : 17870 ; 26490 : 26490 ; 911264 : 911264 ; 7482464 : 7482464 ; Renault : Renault ; Megane : Megane ; RENAULT : RENAULT ; 99250 km : 99250 ; Essence : 1 ; Manuelle : 1 ; F1 Team R26 : RENAULT_Megane_F1 Team R26 ; Megane Coupe 2.0T 230ch F1 Team R26 : Megane Coupe 2.0T 230ch F1 Team R26 ; Oui : true ; 12/2007 : 12/2007 ; Berline : berline ; Blanc : blanc ; 14 Cv : 14 ; 230 Ch : 230 ; Avec permis : avecpermis ; false : false ; true : true ; https://img.leboncoin.fr/api/v1/lbcpb1/images/ed/31/f3/ed31f3e6-d77d-4b10-8878-a7270369e39e?rule=bo-thumb : https://img.leboncoin.fr/api/v1/lbcpb1/images/ed/31/f3/ed31f3e6-d77d-4b10-8878-a7270369e39e?rule=bo-thumb ; Via Automobile Antibes : Via Automobile Antibes ; VIA_DDA05C : VIA_DDA05C ; Estimation indisponible : badge_key_0_5 ; https://autoviza.fr/report/report?uid=eba9a29a-cd6c-4eca-ab93-8e6eddc966e1 : https://autoviza.fr/report/report?uid=eba9a29a-cd6c-4eca-ab93-8e6eddc966e1 ; visible : visible ; Non renseignée : non_renseignee ; activity_sector : 1 ; u_car_brand : RENAULT ; u_car_model : Megane ; u_car_finition : F1 Team R26 ; u_car_version : Megane Coupe 2.0T 230ch F1 Team R26 ; vehicle_technical_inspection_valid : Oui ; vehicle_vsp : Avec permis ; recent_used_vehicle : false ; has_visibility_option : true ; store_logo : https://img.leboncoin.fr/api/v1/lbcpb1/images/ed/31/f3/ed31f3e6-d77d-4b10-8878-a7270369e39e?rule=bo-thumb ; store_name : Via Automobile Antibes ; online_store_id : 7482464 ; custom_ref : VIA_DDA05C ; is_import : true ; old_price : 26490 ; car_price_min : 16170 ; car_price_max : 17870 ; car_price_positioning : Estimation indisponible ; vehicle_history_report_public_url : https://autoviza.fr/report/report?uid=eba9a29a-cd6c-4eca-ab93-8e6eddc966e1 ; vehicle_history_report_status : visible ; argus_object_id : 911264 ; spare_parts_availability : Non renseignée ; licence_plate_available : true</t>
        </is>
      </c>
      <c r="AG413" s="19" t="inlineStr">
        <is>
          <t>Voir</t>
        </is>
      </c>
      <c r="AH413" s="10" t="inlineStr">
        <is>
          <t>3243865675</t>
        </is>
      </c>
    </row>
    <row r="414">
      <c r="A414" s="10" t="inlineStr">
        <is>
          <t>Renault Mégane II RS R26</t>
        </is>
      </c>
      <c r="B414" s="10" t="inlineStr">
        <is>
          <t>Mégane 2 rs f1 Team r26</t>
        </is>
      </c>
      <c r="C414" s="10" t="inlineStr">
        <is>
          <t>En vente</t>
        </is>
      </c>
      <c r="D414" s="18" t="n">
        <v>46237</v>
      </c>
      <c r="E414" s="18" t="n">
        <v>46237</v>
      </c>
      <c r="F414" s="18" t="n">
        <v>46296</v>
      </c>
      <c r="G414" s="18" t="n"/>
      <c r="H414" s="17">
        <f>IF(OR(ISNUMBER(D414),ISNUMBER(E414)),IF(ISNUMBER(G414),G414,F414)-IF(ISNUMBER(D414),D414,E414),"")</f>
        <v/>
      </c>
      <c r="I414" s="12" t="n">
        <v>22000</v>
      </c>
      <c r="J414" s="12" t="n">
        <v>22000</v>
      </c>
      <c r="K414" s="13">
        <f>IF(AND(ISNUMBER(I414),ISNUMBER(J414),I414&gt;0),1-J414/I414,"")</f>
        <v/>
      </c>
      <c r="L414" s="16" t="n">
        <v>0</v>
      </c>
      <c r="M414" s="15" t="n">
        <v>48000</v>
      </c>
      <c r="N414" s="16" t="n">
        <v>2007</v>
      </c>
      <c r="O414" s="10" t="inlineStr">
        <is>
          <t>1</t>
        </is>
      </c>
      <c r="P414" s="10" t="inlineStr">
        <is>
          <t>1</t>
        </is>
      </c>
      <c r="Q414" s="16" t="n">
        <v>230</v>
      </c>
      <c r="R414" s="16" t="n">
        <v>14</v>
      </c>
      <c r="S414" s="10" t="inlineStr">
        <is>
          <t>jaune</t>
        </is>
      </c>
      <c r="T414" s="16" t="n">
        <v>3</v>
      </c>
      <c r="U414" s="10" t="n"/>
      <c r="V414" s="10" t="n"/>
      <c r="W414" s="10" t="inlineStr">
        <is>
          <t>Particulier</t>
        </is>
      </c>
      <c r="X414" s="10" t="inlineStr">
        <is>
          <t>Saint-Pierre</t>
        </is>
      </c>
      <c r="Y414" s="10" t="inlineStr">
        <is>
          <t>97432</t>
        </is>
      </c>
      <c r="Z414" s="10" t="n"/>
      <c r="AA414" s="10" t="inlineStr">
        <is>
          <t>Réunion</t>
        </is>
      </c>
      <c r="AB414" s="16" t="n"/>
      <c r="AC414" s="16" t="n"/>
      <c r="AD414" s="10" t="n"/>
      <c r="AE414" s="10" t="n"/>
      <c r="AF414" s="10" t="inlineStr">
        <is>
          <t>2 : 2 ; 3 : 3 ; 5 : 5 ; 2007 : 2007 ; 15750 : 15750 ; 17410 : 17410 ; https://img.leboncoin.fr/api/v1/tenants/9a6387a1-6259-4f2c-a887-7e67f23dd4cb/domains/20bda58f-d650-462e-a72a-a5a7ecf2bf88/buckets/21d2b0bc-e54c-4b64-a30b-89127b18b785/images/profile/pictures/default/59c5a2b9-6553-5945-b607-fb1545404b48?rule=pp-small : https://img.leboncoin.fr/api/v1/tenants/9a6387a1-6259-4f2c-a887-7e67f23dd4cb/domains/20bda58f-d650-462e-a72a-a5a7ecf2bf88/buckets/21d2b0bc-e54c-4b64-a30b-89127b18b785/images/profile/pictures/default/59c5a2b9-6553-5945-b607-fb1545404b48?rule=pp-small ; Renault : Renault ; Megane : Megane ; RENAULT : RENAULT ; 48000 km : 48000 ; Essence : 1 ; Manuelle : 1 ; 07/2007 : 07/2007 ; Autre : autre ; Jaune : jaune ; 14 Cv : 14 ; 230 Ch : 230 ; Avec permis : avecpermis ; false : false ; true : true ; u_car_brand : RENAULT ; u_car_model : Megane ; vehicle_vsp : Avec permis ; is_import : false ; vehicle_is_eligible_p2p : 2 ; car_price_min : 15750 ; car_price_max : 17410 ; licence_plate_available : true</t>
        </is>
      </c>
      <c r="AG414" s="19" t="inlineStr">
        <is>
          <t>Voir</t>
        </is>
      </c>
      <c r="AH414" s="10" t="inlineStr">
        <is>
          <t>3243871328</t>
        </is>
      </c>
    </row>
    <row r="415">
      <c r="A415" s="10" t="inlineStr">
        <is>
          <t>Renault Mégane II RS R26</t>
        </is>
      </c>
      <c r="B415" s="10" t="inlineStr">
        <is>
          <t>Megane RS R26</t>
        </is>
      </c>
      <c r="C415" s="10" t="inlineStr">
        <is>
          <t>En vente</t>
        </is>
      </c>
      <c r="D415" s="18" t="n">
        <v>46241</v>
      </c>
      <c r="E415" s="18" t="n">
        <v>46241</v>
      </c>
      <c r="F415" s="18" t="n">
        <v>46296</v>
      </c>
      <c r="G415" s="18" t="n"/>
      <c r="H415" s="17">
        <f>IF(OR(ISNUMBER(D415),ISNUMBER(E415)),IF(ISNUMBER(G415),G415,F415)-IF(ISNUMBER(D415),D415,E415),"")</f>
        <v/>
      </c>
      <c r="I415" s="12" t="n">
        <v>19000</v>
      </c>
      <c r="J415" s="12" t="n">
        <v>19000</v>
      </c>
      <c r="K415" s="13">
        <f>IF(AND(ISNUMBER(I415),ISNUMBER(J415),I415&gt;0),1-J415/I415,"")</f>
        <v/>
      </c>
      <c r="L415" s="16" t="n">
        <v>0</v>
      </c>
      <c r="M415" s="15" t="n">
        <v>88000</v>
      </c>
      <c r="N415" s="16" t="n">
        <v>2008</v>
      </c>
      <c r="O415" s="10" t="inlineStr">
        <is>
          <t>1</t>
        </is>
      </c>
      <c r="P415" s="10" t="inlineStr">
        <is>
          <t>1</t>
        </is>
      </c>
      <c r="Q415" s="16" t="n">
        <v>230</v>
      </c>
      <c r="R415" s="16" t="n">
        <v>14</v>
      </c>
      <c r="S415" s="10" t="inlineStr">
        <is>
          <t>noir</t>
        </is>
      </c>
      <c r="T415" s="16" t="n">
        <v>3</v>
      </c>
      <c r="U415" s="10" t="n"/>
      <c r="V415" s="10" t="n"/>
      <c r="W415" s="10" t="inlineStr">
        <is>
          <t>Particulier</t>
        </is>
      </c>
      <c r="X415" s="10" t="inlineStr">
        <is>
          <t>Grandchamps-des-Fontaines</t>
        </is>
      </c>
      <c r="Y415" s="10" t="inlineStr">
        <is>
          <t>44119</t>
        </is>
      </c>
      <c r="Z415" s="10" t="inlineStr">
        <is>
          <t>Loire-Atlantique</t>
        </is>
      </c>
      <c r="AA415" s="10" t="inlineStr">
        <is>
          <t>Pays de la Loire</t>
        </is>
      </c>
      <c r="AB415" s="16" t="n"/>
      <c r="AC415" s="16" t="n"/>
      <c r="AD415" s="10" t="n"/>
      <c r="AE415" s="10" t="n"/>
      <c r="AF415" s="10" t="inlineStr">
        <is>
          <t>2 : 2 ; 3 : 3 ; 5 : 5 ; 222 : 222 ; 2008 : 2008 ; 2028 : 2028 ; 15880 : 15880 ; 17550 : 17550 ; 911264 : 911264 ; 0.99 : 0.99 ; https://img.leboncoin.fr/api/v1/tenants/9a6387a1-6259-4f2c-a887-7e67f23dd4cb/domains/20bda58f-d650-462e-a72a-a5a7ecf2bf88/buckets/21d2b0bc-e54c-4b64-a30b-89127b18b785/images/profile/pictures/default/31537ea0-8db0-5f45-ab75-4c91932bc2fb?rule=pp-small : https://img.leboncoin.fr/api/v1/tenants/9a6387a1-6259-4f2c-a887-7e67f23dd4cb/domains/20bda58f-d650-462e-a72a-a5a7ecf2bf88/buckets/21d2b0bc-e54c-4b64-a30b-89127b18b785/images/profile/pictures/default/31537ea0-8db0-5f45-ab75-4c91932bc2fb?rule=pp-small ; Renault : Renault ; Megane : Megane ; RENAULT : RENAULT ; 88000 km : 88000 ; Essence : 1 ; Manuelle : 1 ; F1 Team R26 : RENAULT_Megane_F1 Team R26 ; F1 Team R26_Megane Coupe 2.0T 230ch F1 Team R26 : F1 Team R26_Megane Coupe 2.0T 230ch F1 Team R26 ; Oui : true ; 05/2008 : 05/2008 ; Autre : autre ; Noir : noir ; 14 Cv : 14 ; 230 Ch : 230 ; Avec permis : avecpermis ; essential : essential ; credit_card : credit_card ; false : false ; Légèrement supérieur : badge_key_2_5 ; https://autoviza.fr/report/report?uid=d174a4be-15f3-42b9-8721-382cff03bb1b : https://autoviza.fr/report/report?uid=d174a4be-15f3-42b9-8721-382cff03bb1b ; true : true ; rating_score : 0.99 ; rating_count : 222 ; u_car_brand : RENAULT ; u_car_model : Megane ; u_car_finition : F1 Team R26 ; u_car_version : F1 Team R26_Megane Coupe 2.0T 230ch F1 Team R26 ; vehicle_technical_inspection_valid : Oui ; vehicle_technical_inspection_a : 2028 ; vehicle_upholstery : Tout cuir ; vehicle_maintenance : Factures disponibles, Véhicule non fumeur ; vehicle_vsp : Avec permis ; ad_warranty_type : essential ; vehicle_available_payment_methods : credit_card ; is_import : false ; vehicle_is_eligible_p2p : 2 ; car_price_min : 15880 ; car_price_max : 17550 ; car_price_positioning : Légèrement supérieur ; vehicle_history_report_public_url : https://autoviza.fr/report/report?uid=d174a4be-15f3-42b9-8721-382cff03bb1b ; argus_object_id : 911264 ; licence_plate_available : true</t>
        </is>
      </c>
      <c r="AG415" s="19" t="inlineStr">
        <is>
          <t>Voir</t>
        </is>
      </c>
      <c r="AH415" s="10" t="inlineStr">
        <is>
          <t>3245939851</t>
        </is>
      </c>
    </row>
    <row r="416">
      <c r="A416" s="10" t="inlineStr">
        <is>
          <t>Renault Mégane II RS R26</t>
        </is>
      </c>
      <c r="B416" s="10" t="inlineStr">
        <is>
          <t>Renault Megane 2 RS R26 F1 Team</t>
        </is>
      </c>
      <c r="C416" s="10" t="inlineStr">
        <is>
          <t>En vente</t>
        </is>
      </c>
      <c r="D416" s="18" t="n">
        <v>46253</v>
      </c>
      <c r="E416" s="18" t="n">
        <v>46253</v>
      </c>
      <c r="F416" s="18" t="n">
        <v>46296</v>
      </c>
      <c r="G416" s="18" t="n"/>
      <c r="H416" s="17">
        <f>IF(OR(ISNUMBER(D416),ISNUMBER(E416)),IF(ISNUMBER(G416),G416,F416)-IF(ISNUMBER(D416),D416,E416),"")</f>
        <v/>
      </c>
      <c r="I416" s="12" t="n">
        <v>24990</v>
      </c>
      <c r="J416" s="12" t="n">
        <v>24990</v>
      </c>
      <c r="K416" s="13">
        <f>IF(AND(ISNUMBER(I416),ISNUMBER(J416),I416&gt;0),1-J416/I416,"")</f>
        <v/>
      </c>
      <c r="L416" s="16" t="n">
        <v>0</v>
      </c>
      <c r="M416" s="15" t="n">
        <v>82900</v>
      </c>
      <c r="N416" s="16" t="n">
        <v>2008</v>
      </c>
      <c r="O416" s="10" t="inlineStr">
        <is>
          <t>1</t>
        </is>
      </c>
      <c r="P416" s="10" t="inlineStr">
        <is>
          <t>1</t>
        </is>
      </c>
      <c r="Q416" s="16" t="n">
        <v>230</v>
      </c>
      <c r="R416" s="16" t="n">
        <v>14</v>
      </c>
      <c r="S416" s="10" t="inlineStr">
        <is>
          <t>jaune</t>
        </is>
      </c>
      <c r="T416" s="16" t="n">
        <v>3</v>
      </c>
      <c r="U416" s="10" t="n"/>
      <c r="V416" s="10" t="n"/>
      <c r="W416" s="10" t="inlineStr">
        <is>
          <t>Pro</t>
        </is>
      </c>
      <c r="X416" s="10" t="inlineStr">
        <is>
          <t>Hiersac</t>
        </is>
      </c>
      <c r="Y416" s="10" t="inlineStr">
        <is>
          <t>16290</t>
        </is>
      </c>
      <c r="Z416" s="10" t="inlineStr">
        <is>
          <t>Charente</t>
        </is>
      </c>
      <c r="AA416" s="10" t="inlineStr">
        <is>
          <t>Poitou-Charentes</t>
        </is>
      </c>
      <c r="AB416" s="16" t="n"/>
      <c r="AC416" s="16" t="n"/>
      <c r="AD416" s="10" t="n"/>
      <c r="AE416" s="10" t="n"/>
      <c r="AF416" s="10" t="inlineStr">
        <is>
          <t>1 : 1 ; 2 : 2 ; 3 : 3 ; 5 : 5 ; 6 : 6 ; 2008 : 2008 ; 17790 : 17790 ; 19660 : 19660 ; 1208198 : 1208198 ; Renault : Renault ; Megane : Megane ; RENAULT : RENAULT ; 82900 km : 82900 ; Essence : 1 ; Manuelle : 1 ; 09/2008 : 09/2008 ; Autre : autre ; Jaune : jaune ; 14 Cv : 14 ; 230 Ch : 230 ; Avec permis : avecpermis ; Non : 1 ; false : false ; https://img.leboncoin.fr/api/v1/lbcpb1/images/0d/3f/25/0d3f2548-5bf6-4562-8ece-495420727e63?rule=bo-thumb : https://img.leboncoin.fr/api/v1/lbcpb1/images/0d/3f/25/0d3f2548-5bf6-4562-8ece-495420727e63?rule=bo-thumb ; GARAGE TARRADE SARL : GARAGE TARRADE SARL ; Estimation indisponible : badge_key_0_5 ; https://autoviza.fr/report/report?uid=48538e0f-985f-4164-887e-45e6c657c8c6 : https://autoviza.fr/report/report?uid=48538e0f-985f-4164-887e-45e6c657c8c6 ; visible : visible ; true : true ; Non renseignée : non_renseignee ; activity_sector : 1 ; u_car_brand : RENAULT ; u_car_model : Megane ; vehicle_vsp : Avec permis ; car_contract : Non ; recent_used_vehicle : false ; has_visibility_option : false ; store_logo : https://img.leboncoin.fr/api/v1/lbcpb1/images/0d/3f/25/0d3f2548-5bf6-4562-8ece-495420727e63?rule=bo-thumb ; store_name : GARAGE TARRADE SARL ; online_store_id : 1208198 ; vehicle_commercial_warranty : Non ; vehicle_manufacturer_warranty : Non ; is_import : false ; car_price_min : 17790 ; car_price_max : 19660 ; car_price_positioning : Estimation indisponible ; vehicle_history_report_public_url : https://autoviza.fr/report/report?uid=48538e0f-985f-4164-887e-45e6c657c8c6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 ; licence_plate_available : true</t>
        </is>
      </c>
      <c r="AG416" s="19" t="inlineStr">
        <is>
          <t>Voir</t>
        </is>
      </c>
      <c r="AH416" s="10" t="inlineStr">
        <is>
          <t>3252684628</t>
        </is>
      </c>
    </row>
    <row r="417">
      <c r="A417" s="10" t="inlineStr">
        <is>
          <t>Renault Mégane II RS R26</t>
        </is>
      </c>
      <c r="B417" s="10" t="inlineStr">
        <is>
          <t>Renault Mégane 2.0 RS F1 TEAM R26 - Série Échappement N° 4/34 230 Ch DISTRIBUTION ÉFFECTUÉE</t>
        </is>
      </c>
      <c r="C417" s="10" t="inlineStr">
        <is>
          <t>En vente</t>
        </is>
      </c>
      <c r="D417" s="18" t="n">
        <v>46259</v>
      </c>
      <c r="E417" s="18" t="n">
        <v>46259</v>
      </c>
      <c r="F417" s="18" t="n">
        <v>46296</v>
      </c>
      <c r="G417" s="18" t="n"/>
      <c r="H417" s="17">
        <f>IF(OR(ISNUMBER(D417),ISNUMBER(E417)),IF(ISNUMBER(G417),G417,F417)-IF(ISNUMBER(D417),D417,E417),"")</f>
        <v/>
      </c>
      <c r="I417" s="12" t="n">
        <v>24990</v>
      </c>
      <c r="J417" s="12" t="n">
        <v>24990</v>
      </c>
      <c r="K417" s="13">
        <f>IF(AND(ISNUMBER(I417),ISNUMBER(J417),I417&gt;0),1-J417/I417,"")</f>
        <v/>
      </c>
      <c r="L417" s="16" t="n">
        <v>0</v>
      </c>
      <c r="M417" s="15" t="n">
        <v>118528</v>
      </c>
      <c r="N417" s="16" t="n">
        <v>2008</v>
      </c>
      <c r="O417" s="10" t="inlineStr">
        <is>
          <t>1</t>
        </is>
      </c>
      <c r="P417" s="10" t="inlineStr">
        <is>
          <t>1</t>
        </is>
      </c>
      <c r="Q417" s="16" t="n">
        <v>230</v>
      </c>
      <c r="R417" s="16" t="n">
        <v>14</v>
      </c>
      <c r="S417" s="10" t="inlineStr">
        <is>
          <t>blanc</t>
        </is>
      </c>
      <c r="T417" s="16" t="n">
        <v>3</v>
      </c>
      <c r="U417" s="10" t="n"/>
      <c r="V417" s="10" t="inlineStr">
        <is>
          <t>2</t>
        </is>
      </c>
      <c r="W417" s="10" t="inlineStr">
        <is>
          <t>Pro</t>
        </is>
      </c>
      <c r="X417" s="10" t="inlineStr">
        <is>
          <t>Narbonne</t>
        </is>
      </c>
      <c r="Y417" s="10" t="inlineStr">
        <is>
          <t>11100</t>
        </is>
      </c>
      <c r="Z417" s="10" t="inlineStr">
        <is>
          <t>Aude</t>
        </is>
      </c>
      <c r="AA417" s="10" t="inlineStr">
        <is>
          <t>Languedoc-Roussillon</t>
        </is>
      </c>
      <c r="AB417" s="16" t="n"/>
      <c r="AC417" s="16" t="n"/>
      <c r="AD417" s="10" t="n"/>
      <c r="AE417" s="10" t="n"/>
      <c r="AF417" s="10" t="inlineStr">
        <is>
          <t>1 : 1 ; 2 : 2 ; 3 : 3 ; 5 : 5 ; 2008 : 2008 ; 16200 : 16200 ; 17910 : 17910 ; 26990 : 26990 ; 314765 : 314765 ; 911264 : 911264 ; Renault : Renault ; Megane : Megane ; RENAULT : RENAULT ; 118528 km : 118528 ; Essence : 1 ; Manuelle : 1 ; F1 Team R26 : RENAULT_Megane_F1 Team R26 ; Megane Coupe 2.0T 230ch F1 Team R26 : Megane Coupe 2.0T 230ch F1 Team R26 ; 02/2008 : 02/2008 ; Citadine : citadine ; Blanc : blanc ; 14 Cv : 14 ; 230 Ch : 230 ; Avec permis : avecpermis ; false : false ; true : true ; https://img.leboncoin.fr/api/v1/lbcpb1/images/a5/70/34/a570349f-468b-4cb7-9213-55b967a89579?rule=bo-thumb : https://img.leboncoin.fr/api/v1/lbcpb1/images/a5/70/34/a570349f-468b-4cb7-9213-55b967a89579?rule=bo-thumb ; CARMOTION : CARMOTION ; 260825-121340 : 260825-121340 ; Estimation indisponible : badge_key_0_5 ; https://autoviza.fr/report/report?uid=c07e9f29-443b-409d-abd3-76fa0be34285 : https://autoviza.fr/report/report?uid=c07e9f29-443b-409d-abd3-76fa0be34285 ; visible : visible ; Non renseignée : non_renseignee ; activity_sector : 1 ; u_car_brand : RENAULT ; u_car_model : Megane ; u_car_finition : F1 Team R26 ; u_car_version : Megane Coupe 2.0T 230ch F1 Team R26 ; vehicle_interior_specs : 4 roues motrices ; vehicle_vsp : Avec permis ; recent_used_vehicle : false ; has_visibility_option : true ; store_logo : https://img.leboncoin.fr/api/v1/lbcpb1/images/a5/70/34/a570349f-468b-4cb7-9213-55b967a89579?rule=bo-thumb ; store_name : CARMOTION ; online_store_id : 314765 ; custom_ref : 260825-121340 ; is_import : true ; old_price : 26990 ; car_price_min : 16200 ; car_price_max : 17910 ; car_price_positioning : Estimation indisponible ; vehicle_history_report_public_url : https://autoviza.fr/report/report?uid=c07e9f29-443b-409d-abd3-76fa0be34285 ; vehicle_history_report_status : visible ; argus_object_id : 911264 ; spare_parts_availability : Non renseignée ; licence_plate_available : true</t>
        </is>
      </c>
      <c r="AG417" s="19" t="inlineStr">
        <is>
          <t>Voir</t>
        </is>
      </c>
      <c r="AH417" s="10" t="inlineStr">
        <is>
          <t>3256587657</t>
        </is>
      </c>
    </row>
    <row r="418">
      <c r="A418" s="10" t="inlineStr">
        <is>
          <t>Renault Mégane II RS R26</t>
        </is>
      </c>
      <c r="B418" s="10" t="inlineStr">
        <is>
          <t>Renault MEGANE II (2) 2.0 T RS F1 TEAM R26 / USAGE CIRCUIT, PISTE, TRACKDAY, TRACKTOOL</t>
        </is>
      </c>
      <c r="C418" s="10" t="inlineStr">
        <is>
          <t>En vente</t>
        </is>
      </c>
      <c r="D418" s="18" t="n">
        <v>46266</v>
      </c>
      <c r="E418" s="18" t="n">
        <v>46266</v>
      </c>
      <c r="F418" s="18" t="n">
        <v>46296</v>
      </c>
      <c r="G418" s="18" t="n"/>
      <c r="H418" s="17">
        <f>IF(OR(ISNUMBER(D418),ISNUMBER(E418)),IF(ISNUMBER(G418),G418,F418)-IF(ISNUMBER(D418),D418,E418),"")</f>
        <v/>
      </c>
      <c r="I418" s="12" t="n">
        <v>14900</v>
      </c>
      <c r="J418" s="12" t="n">
        <v>14900</v>
      </c>
      <c r="K418" s="13">
        <f>IF(AND(ISNUMBER(I418),ISNUMBER(J418),I418&gt;0),1-J418/I418,"")</f>
        <v/>
      </c>
      <c r="L418" s="16" t="n">
        <v>0</v>
      </c>
      <c r="M418" s="15" t="n">
        <v>179700</v>
      </c>
      <c r="N418" s="16" t="n">
        <v>2007</v>
      </c>
      <c r="O418" s="10" t="inlineStr">
        <is>
          <t>1</t>
        </is>
      </c>
      <c r="P418" s="10" t="inlineStr">
        <is>
          <t>1</t>
        </is>
      </c>
      <c r="Q418" s="16" t="n">
        <v>165</v>
      </c>
      <c r="R418" s="16" t="n">
        <v>10</v>
      </c>
      <c r="S418" s="10" t="inlineStr">
        <is>
          <t>blanc</t>
        </is>
      </c>
      <c r="T418" s="16" t="n">
        <v>3</v>
      </c>
      <c r="U418" s="10" t="n"/>
      <c r="V418" s="10" t="n"/>
      <c r="W418" s="10" t="inlineStr">
        <is>
          <t>Pro</t>
        </is>
      </c>
      <c r="X418" s="10" t="inlineStr">
        <is>
          <t>Les Sables-d'Olonne</t>
        </is>
      </c>
      <c r="Y418" s="10" t="inlineStr">
        <is>
          <t>85180</t>
        </is>
      </c>
      <c r="Z418" s="10" t="inlineStr">
        <is>
          <t>Vendée</t>
        </is>
      </c>
      <c r="AA418" s="10" t="inlineStr">
        <is>
          <t>Pays de la Loire</t>
        </is>
      </c>
      <c r="AB418" s="16" t="n"/>
      <c r="AC418" s="16" t="n"/>
      <c r="AD418" s="10" t="n"/>
      <c r="AE418" s="10" t="n"/>
      <c r="AF418" s="10" t="inlineStr">
        <is>
          <t>1 : 1 ; 2 : 2 ; 3 : 3 ; 5 : 5 ; 8 : 8 ; 2007 : 2007 ; 4870 : 4870 ; 5380 : 5380 ; 911264 : 911264 ; Renault : Renault ; Megane : Megane ; RENAULT : RENAULT ; 179700 km : 179700 ; Essence : 1 ; Manuelle : 1 ; Megane Coupe 2.0T 230ch F1 Team R26 : Megane Coupe 2.0T 230ch F1 Team R26 ; 03/2007 : 03/2007 ; Autre : autre ; Blanc : blanc ; 10 Cv : 10 ; 165 Ch : 165 ; Avec permis : avecpermis ; Non : 1 ; false : false ; Estimation indisponible : badge_key_0_5 ; https://autoviza.fr/report/report?uid=19b74c73-f05e-45ff-8a77-4494b175eb17 : https://autoviza.fr/report/report?uid=19b74c73-f05e-45ff-8a77-4494b175eb17 ; visible : visible ; true : true ; Non renseignée : non_renseignee ; activity_sector : 1 ; u_car_brand : RENAULT ; u_car_model : Megane ; u_car_version : Megane Coupe 2.0T 230ch F1 Team R26 ; vehicle_vsp : Avec permis ; car_contract : Non ; recent_used_vehicle : false ; vehicle_commercial_warranty : Non ; vehicle_manufacturer_warranty : Non ; is_import : false ; car_price_min : 4870 ; car_price_max : 5380 ; car_price_positioning : Estimation indisponible ; vehicle_history_report_public_url : https://autoviza.fr/report/report?uid=19b74c73-f05e-45ff-8a77-4494b175eb17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argus_object_id : 911264 ; spare_parts_availability : Non renseignée ; licence_plate_available : true</t>
        </is>
      </c>
      <c r="AG418" s="19" t="inlineStr">
        <is>
          <t>Voir</t>
        </is>
      </c>
      <c r="AH418" s="10" t="inlineStr">
        <is>
          <t>3261154881</t>
        </is>
      </c>
    </row>
    <row r="419">
      <c r="A419" s="10" t="inlineStr">
        <is>
          <t>Renault Mégane II RS R26</t>
        </is>
      </c>
      <c r="B419" s="10" t="inlineStr">
        <is>
          <t>Renault Megane 2.0 R.S F1 TEAM R26 Série limitée (Échappement N° 25/34)</t>
        </is>
      </c>
      <c r="C419" s="10" t="inlineStr">
        <is>
          <t>En vente</t>
        </is>
      </c>
      <c r="D419" s="18" t="n">
        <v>46269</v>
      </c>
      <c r="E419" s="18" t="n">
        <v>46269</v>
      </c>
      <c r="F419" s="18" t="n">
        <v>46296</v>
      </c>
      <c r="G419" s="18" t="n"/>
      <c r="H419" s="17">
        <f>IF(OR(ISNUMBER(D419),ISNUMBER(E419)),IF(ISNUMBER(G419),G419,F419)-IF(ISNUMBER(D419),D419,E419),"")</f>
        <v/>
      </c>
      <c r="I419" s="12" t="n">
        <v>25500</v>
      </c>
      <c r="J419" s="12" t="n">
        <v>25500</v>
      </c>
      <c r="K419" s="13">
        <f>IF(AND(ISNUMBER(I419),ISNUMBER(J419),I419&gt;0),1-J419/I419,"")</f>
        <v/>
      </c>
      <c r="L419" s="16" t="n">
        <v>0</v>
      </c>
      <c r="M419" s="15" t="n">
        <v>108900</v>
      </c>
      <c r="N419" s="16" t="n">
        <v>2008</v>
      </c>
      <c r="O419" s="10" t="inlineStr">
        <is>
          <t>1</t>
        </is>
      </c>
      <c r="P419" s="10" t="inlineStr">
        <is>
          <t>1</t>
        </is>
      </c>
      <c r="Q419" s="16" t="n">
        <v>230</v>
      </c>
      <c r="R419" s="16" t="n">
        <v>14</v>
      </c>
      <c r="S419" s="10" t="inlineStr">
        <is>
          <t>blanc</t>
        </is>
      </c>
      <c r="T419" s="16" t="n">
        <v>3</v>
      </c>
      <c r="U419" s="10" t="n"/>
      <c r="V419" s="10" t="inlineStr">
        <is>
          <t>1</t>
        </is>
      </c>
      <c r="W419" s="10" t="inlineStr">
        <is>
          <t>Pro</t>
        </is>
      </c>
      <c r="X419" s="10" t="inlineStr">
        <is>
          <t>Grand-Couronne</t>
        </is>
      </c>
      <c r="Y419" s="10" t="inlineStr">
        <is>
          <t>76530</t>
        </is>
      </c>
      <c r="Z419" s="10" t="inlineStr">
        <is>
          <t>Seine-Maritime</t>
        </is>
      </c>
      <c r="AA419" s="10" t="inlineStr">
        <is>
          <t>Haute-Normandie</t>
        </is>
      </c>
      <c r="AB419" s="16" t="n"/>
      <c r="AC419" s="16" t="n"/>
      <c r="AD419" s="10" t="n"/>
      <c r="AE419" s="10" t="n"/>
      <c r="AF419" s="10" t="inlineStr">
        <is>
          <t>1 : 1 ; 2 : 2 ; 3 : 3 ; 5 : 5 ; 2008 : 2008 ; 15630 : 15630 ; 17280 : 17280 ; 42018 : 42018 ; 911264 : 911264 ; Renault : Renault ; Megane : Megane ; RENAULT : RENAULT ; 108900 km : 108900 ; Essence : 1 ; Manuelle : 1 ; Megane Coupe 2.0T 230ch F1 Team R26 : Megane Coupe 2.0T 230ch F1 Team R26 ; Oui : true ; 01/2008 : 01/2008 ; Bon état général : good_overall_condition ; Autre : autre ; Blanc : blanc ; 14 Cv : 14 ; 230 Ch : 230 ; Avec permis : avecpermis ; Non : 1 ; false : false ; true : true ; https://img.leboncoin.fr/api/v1/lbcpb1/images/61/0e/a4/610ea430-8cc4-4e71-83c4-b0d29304fe78?rule=bo-thumb : https://img.leboncoin.fr/api/v1/lbcpb1/images/61/0e/a4/610ea430-8cc4-4e71-83c4-b0d29304fe78?rule=bo-thumb ; Couronne Automobiles : Couronne Automobiles ; Estimation indisponible : badge_key_0_5 ; https://autoviza.fr/report/report?uid=dee8e773-92a3-468a-944b-37350e1ee3a5 : https://autoviza.fr/report/report?uid=dee8e773-92a3-468a-944b-37350e1ee3a5 ; visible : visible ; Non renseignée : non_renseignee ; activity_sector : 1 ; u_car_brand : RENAULT ; u_car_model : Megane ; u_car_version : Megane Coupe 2.0T 230ch F1 Team R26 ; vehicle_technical_inspection_valid : Oui ; vehicle_damage : Bon état général ; vehicle_upholstery : Tout cuir ; vehicle_maintenance : Véhicule non fumeur, Réparations utiles déjà faites, Factures disponibles ; vehicle_vsp : Avec permis ; car_contract : Non ; recent_used_vehicle : false ; has_visibility_option : true ; store_logo : https://img.leboncoin.fr/api/v1/lbcpb1/images/61/0e/a4/610ea430-8cc4-4e71-83c4-b0d29304fe78?rule=bo-thumb ; store_name : Couronne Automobiles ; online_store_id : 42018 ; vehicle_commercial_warranty : Non ; vehicle_manufacturer_warranty : Non ; is_import : false ; car_price_min : 15630 ; car_price_max : 17280 ; car_price_positioning : Estimation indisponible ; vehicle_history_report_public_url : https://autoviza.fr/report/report?uid=dee8e773-92a3-468a-944b-37350e1ee3a5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argus_object_id : 911264 ; spare_parts_availability : Non renseignée ; licence_plate_available : true</t>
        </is>
      </c>
      <c r="AG419" s="19" t="inlineStr">
        <is>
          <t>Voir</t>
        </is>
      </c>
      <c r="AH419" s="10" t="inlineStr">
        <is>
          <t>3262231451</t>
        </is>
      </c>
    </row>
    <row r="420">
      <c r="A420" s="10" t="inlineStr">
        <is>
          <t>Renault Mégane II RS R26</t>
        </is>
      </c>
      <c r="B420" s="10" t="inlineStr">
        <is>
          <t>Renault Megane 2.0 230 R26 F1-TEAM RS - jaune Sirius - 40250 KM</t>
        </is>
      </c>
      <c r="C420" s="10" t="inlineStr">
        <is>
          <t>En vente</t>
        </is>
      </c>
      <c r="D420" s="18" t="n">
        <v>46240</v>
      </c>
      <c r="E420" s="18" t="n">
        <v>46240</v>
      </c>
      <c r="F420" s="18" t="n">
        <v>46296</v>
      </c>
      <c r="G420" s="18" t="n"/>
      <c r="H420" s="17">
        <f>IF(OR(ISNUMBER(D420),ISNUMBER(E420)),IF(ISNUMBER(G420),G420,F420)-IF(ISNUMBER(D420),D420,E420),"")</f>
        <v/>
      </c>
      <c r="I420" s="12" t="n">
        <v>29490</v>
      </c>
      <c r="J420" s="12" t="n">
        <v>29490</v>
      </c>
      <c r="K420" s="13">
        <f>IF(AND(ISNUMBER(I420),ISNUMBER(J420),I420&gt;0),1-J420/I420,"")</f>
        <v/>
      </c>
      <c r="L420" s="16" t="n">
        <v>0</v>
      </c>
      <c r="M420" s="15" t="n">
        <v>40250</v>
      </c>
      <c r="N420" s="16" t="n">
        <v>2007</v>
      </c>
      <c r="O420" s="10" t="inlineStr">
        <is>
          <t>1</t>
        </is>
      </c>
      <c r="P420" s="10" t="inlineStr">
        <is>
          <t>1</t>
        </is>
      </c>
      <c r="Q420" s="16" t="n">
        <v>230</v>
      </c>
      <c r="R420" s="16" t="n">
        <v>14</v>
      </c>
      <c r="S420" s="10" t="inlineStr">
        <is>
          <t>jaune</t>
        </is>
      </c>
      <c r="T420" s="16" t="n">
        <v>3</v>
      </c>
      <c r="U420" s="10" t="n"/>
      <c r="V420" s="10" t="inlineStr">
        <is>
          <t>1</t>
        </is>
      </c>
      <c r="W420" s="10" t="inlineStr">
        <is>
          <t>Pro</t>
        </is>
      </c>
      <c r="X420" s="10" t="inlineStr">
        <is>
          <t>Vallauris</t>
        </is>
      </c>
      <c r="Y420" s="10" t="inlineStr">
        <is>
          <t>06220</t>
        </is>
      </c>
      <c r="Z420" s="10" t="inlineStr">
        <is>
          <t>Alpes-Maritimes</t>
        </is>
      </c>
      <c r="AA420" s="10" t="inlineStr">
        <is>
          <t>Provence-Alpes-Côte d'Azur</t>
        </is>
      </c>
      <c r="AB420" s="16" t="n"/>
      <c r="AC420" s="16" t="n"/>
      <c r="AD420" s="10" t="n"/>
      <c r="AE420" s="10" t="n"/>
      <c r="AF420" s="10" t="inlineStr">
        <is>
          <t>1 : 1 ; 3 : 3 ; 5 : 5 ; 2007 : 2007 ; 16260 : 16260 ; 17970 : 17970 ; 29990 : 29990 ; 911264 : 911264 ; 7036034 : 7036034 ; Renault : Renault ; Megane : Megane ; RENAULT : RENAULT ; 40250 km : 40250 ; Essence : 1 ; Manuelle : 1 ; F1 Team R26 : RENAULT_Megane_F1 Team R26 ; Megane Coupe 2.0T 230ch F1 Team R26 : Megane Coupe 2.0T 230ch F1 Team R26 ; 05/2007 : 05/2007 ; Berline : berline ; Jaune : jaune ; 14 Cv : 14 ; 230 Ch : 230 ; Avec permis : avecpermis ; false : false ; https://img.leboncoin.fr/api/v1/lbcpb1/images/98/02/58/98025843-c392-4620-900e-06d028736e5f?rule=bo-thumb : https://img.leboncoin.fr/api/v1/lbcpb1/images/98/02/58/98025843-c392-4620-900e-06d028736e5f?rule=bo-thumb ; VB Autos : VB Autos ; VRZ_F2BB04 : VRZ_F2BB04 ; true : true ; Estimation indisponible : badge_key_0_5 ; https://autoviza.fr/report/report?uid=cfa43645-6156-464d-8d64-095cc278b7a8 : https://autoviza.fr/report/report?uid=cfa43645-6156-464d-8d64-095cc278b7a8 ; visible : visible ; Non renseignée : non_renseignee ; activity_sector : 1 ; u_car_brand : RENAULT ; u_car_model : Megane ; u_car_finition : F1 Team R26 ; u_car_version : Megane Coupe 2.0T 230ch F1 Team R26 ; vehicle_vsp : Avec permis ; recent_used_vehicle : false ; has_visibility_option : false ; store_logo : https://img.leboncoin.fr/api/v1/lbcpb1/images/98/02/58/98025843-c392-4620-900e-06d028736e5f?rule=bo-thumb ; store_name : VB Autos ; online_store_id : 7036034 ; custom_ref : VRZ_F2BB04 ; is_import : true ; old_price : 29990 ; car_price_min : 16260 ; car_price_max : 17970 ; car_price_positioning : Estimation indisponible ; vehicle_history_report_public_url : https://autoviza.fr/report/report?uid=cfa43645-6156-464d-8d64-095cc278b7a8 ; vehicle_history_report_status : visible ; argus_object_id : 911264 ; spare_parts_availability : Non renseignée ; licence_plate_available : true</t>
        </is>
      </c>
      <c r="AG420" s="19" t="inlineStr">
        <is>
          <t>Voir</t>
        </is>
      </c>
      <c r="AH420" s="10" t="inlineStr">
        <is>
          <t>3271644740</t>
        </is>
      </c>
    </row>
    <row r="421">
      <c r="A421" s="10" t="inlineStr">
        <is>
          <t>Renault Mégane II RS R26</t>
        </is>
      </c>
      <c r="B421" s="10" t="inlineStr">
        <is>
          <t>Mégane 2 RS R26 jaune Sirius</t>
        </is>
      </c>
      <c r="C421" s="10" t="inlineStr">
        <is>
          <t>En vente</t>
        </is>
      </c>
      <c r="D421" s="18" t="n">
        <v>46285</v>
      </c>
      <c r="E421" s="18" t="n">
        <v>46285</v>
      </c>
      <c r="F421" s="18" t="n">
        <v>46296</v>
      </c>
      <c r="G421" s="18" t="n"/>
      <c r="H421" s="17">
        <f>IF(OR(ISNUMBER(D421),ISNUMBER(E421)),IF(ISNUMBER(G421),G421,F421)-IF(ISNUMBER(D421),D421,E421),"")</f>
        <v/>
      </c>
      <c r="I421" s="12" t="n">
        <v>20500</v>
      </c>
      <c r="J421" s="12" t="n">
        <v>20500</v>
      </c>
      <c r="K421" s="13">
        <f>IF(AND(ISNUMBER(I421),ISNUMBER(J421),I421&gt;0),1-J421/I421,"")</f>
        <v/>
      </c>
      <c r="L421" s="16" t="n">
        <v>0</v>
      </c>
      <c r="M421" s="15" t="n">
        <v>105000</v>
      </c>
      <c r="N421" s="16" t="n">
        <v>2007</v>
      </c>
      <c r="O421" s="10" t="inlineStr">
        <is>
          <t>1</t>
        </is>
      </c>
      <c r="P421" s="10" t="inlineStr">
        <is>
          <t>1</t>
        </is>
      </c>
      <c r="Q421" s="16" t="n">
        <v>230</v>
      </c>
      <c r="R421" s="16" t="n">
        <v>14</v>
      </c>
      <c r="S421" s="10" t="inlineStr">
        <is>
          <t>jaune</t>
        </is>
      </c>
      <c r="T421" s="16" t="n">
        <v>3</v>
      </c>
      <c r="U421" s="10" t="n"/>
      <c r="V421" s="10" t="n"/>
      <c r="W421" s="10" t="inlineStr">
        <is>
          <t>Particulier</t>
        </is>
      </c>
      <c r="X421" s="10" t="inlineStr">
        <is>
          <t>Auray</t>
        </is>
      </c>
      <c r="Y421" s="10" t="inlineStr">
        <is>
          <t>56400</t>
        </is>
      </c>
      <c r="Z421" s="10" t="inlineStr">
        <is>
          <t>Morbihan</t>
        </is>
      </c>
      <c r="AA421" s="10" t="inlineStr">
        <is>
          <t>Bretagne</t>
        </is>
      </c>
      <c r="AB421" s="16" t="n"/>
      <c r="AC421" s="16" t="n"/>
      <c r="AD421" s="10" t="n"/>
      <c r="AE421" s="10" t="n"/>
      <c r="AF421" s="10" t="inlineStr">
        <is>
          <t>1 : 1 ; 2 : 2 ; 3 : 3 ; 5 : 5 ; 2007 : 2007 ; 15640 : 15640 ; 17290 : 17290 ; https://img.leboncoin.fr/api/v1/tenants/9a6387a1-6259-4f2c-a887-7e67f23dd4cb/domains/20bda58f-d650-462e-a72a-a5a7ecf2bf88/buckets/21d2b0bc-e54c-4b64-a30b-89127b18b785/images/profile/pictures/default/c664c4c5-ee06-5bb5-bf88-eb8ac478ee4d?rule=pp-small : https://img.leboncoin.fr/api/v1/tenants/9a6387a1-6259-4f2c-a887-7e67f23dd4cb/domains/20bda58f-d650-462e-a72a-a5a7ecf2bf88/buckets/21d2b0bc-e54c-4b64-a30b-89127b18b785/images/profile/pictures/default/c664c4c5-ee06-5bb5-bf88-eb8ac478ee4d?rule=pp-small ; Renault : Renault ; Megane : Megane ; RENAULT : RENAULT ; 105000 km : 105000 ; Essence : 1 ; Manuelle : 1 ; Non : false ; 12/2007 : 12/2007 ; Autre : autre ; Jaune : jaune ; 14 Cv : 14 ; 230 Ch : 230 ; Avec permis : avecpermis ; essential : essential ; false : false ; Au-dessus du marché : badge_key_1_5 ; https://autoviza.fr/report/report?uid=92081bfc-eb42-4394-8423-d26e5fdd2e42 : https://autoviza.fr/report/report?uid=92081bfc-eb42-4394-8423-d26e5fdd2e42 ; true : true ; rating_score : 1 ; rating_count : 3 ; u_car_brand : RENAULT ; u_car_model : Megane ; vehicle_technical_inspection_valid : Non ; vehicle_upholstery : Cuir partiel ; vehicle_vsp : Avec permis ; ad_warranty_type : essential ; is_import : false ; vehicle_is_eligible_p2p : 2 ; car_price_min : 15640 ; car_price_max : 17290 ; car_price_positioning : Au-dessus du marché ; vehicle_history_report_public_url : https://autoviza.fr/report/report?uid=92081bfc-eb42-4394-8423-d26e5fdd2e42 ; licence_plate_available : true</t>
        </is>
      </c>
      <c r="AG421" s="19" t="inlineStr">
        <is>
          <t>Voir</t>
        </is>
      </c>
      <c r="AH421" s="10" t="inlineStr">
        <is>
          <t>3273010014</t>
        </is>
      </c>
    </row>
    <row r="422">
      <c r="A422" s="10" t="inlineStr">
        <is>
          <t>Renault Mégane II RS R26</t>
        </is>
      </c>
      <c r="B422" s="10" t="inlineStr">
        <is>
          <t>Renault Mégane 2 rs F1 Team R26</t>
        </is>
      </c>
      <c r="C422" s="10" t="inlineStr">
        <is>
          <t>En vente</t>
        </is>
      </c>
      <c r="D422" s="18" t="n">
        <v>46290</v>
      </c>
      <c r="E422" s="18" t="n">
        <v>46290</v>
      </c>
      <c r="F422" s="18" t="n">
        <v>46296</v>
      </c>
      <c r="G422" s="18" t="n"/>
      <c r="H422" s="17">
        <f>IF(OR(ISNUMBER(D422),ISNUMBER(E422)),IF(ISNUMBER(G422),G422,F422)-IF(ISNUMBER(D422),D422,E422),"")</f>
        <v/>
      </c>
      <c r="I422" s="12" t="n">
        <v>22990</v>
      </c>
      <c r="J422" s="12" t="n">
        <v>22990</v>
      </c>
      <c r="K422" s="13">
        <f>IF(AND(ISNUMBER(I422),ISNUMBER(J422),I422&gt;0),1-J422/I422,"")</f>
        <v/>
      </c>
      <c r="L422" s="16" t="n">
        <v>0</v>
      </c>
      <c r="M422" s="15" t="n">
        <v>146579</v>
      </c>
      <c r="N422" s="16" t="n">
        <v>2007</v>
      </c>
      <c r="O422" s="10" t="inlineStr">
        <is>
          <t>1</t>
        </is>
      </c>
      <c r="P422" s="10" t="inlineStr">
        <is>
          <t>1</t>
        </is>
      </c>
      <c r="Q422" s="16" t="n">
        <v>230</v>
      </c>
      <c r="R422" s="16" t="n">
        <v>14</v>
      </c>
      <c r="S422" s="10" t="inlineStr">
        <is>
          <t>jaune</t>
        </is>
      </c>
      <c r="T422" s="16" t="n">
        <v>3</v>
      </c>
      <c r="U422" s="10" t="n"/>
      <c r="V422" s="10" t="inlineStr">
        <is>
          <t>2</t>
        </is>
      </c>
      <c r="W422" s="10" t="inlineStr">
        <is>
          <t>Pro</t>
        </is>
      </c>
      <c r="X422" s="10" t="inlineStr">
        <is>
          <t>Segré-en-Anjou Bleu</t>
        </is>
      </c>
      <c r="Y422" s="10" t="inlineStr">
        <is>
          <t>49500</t>
        </is>
      </c>
      <c r="Z422" s="10" t="inlineStr">
        <is>
          <t>Maine-et-Loire</t>
        </is>
      </c>
      <c r="AA422" s="10" t="inlineStr">
        <is>
          <t>Pays de la Loire</t>
        </is>
      </c>
      <c r="AB422" s="16" t="n"/>
      <c r="AC422" s="16" t="n"/>
      <c r="AD422" s="10" t="n"/>
      <c r="AE422" s="10" t="n"/>
      <c r="AF422" s="10" t="inlineStr">
        <is>
          <t>1 : 1 ; 2 : 2 ; 3 : 3 ; 4 : 4 ; 5 : 5 ; 2007 : 2007 ; 13370 : 13370 ; 14770 : 14770 ; 911264 : 911264 ; Renault : Renault ; Megane : Megane ; RENAULT : RENAULT ; 146579 km : 146579 ; Essence : 1 ; Manuelle : 1 ; F1 Team R26 : RENAULT_Megane_F1 Team R26 ; Megane Coupe 2.0T 230ch F1 Team R26 : Megane Coupe 2.0T 230ch F1 Team R26 ; 05/2007 : 05/2007 ; Excellent état (proche du neuf) : excellent_condition ; Autre : autre ; Jaune : jaune ; 14 Cv : 14 ; 230 Ch : 230 ; Avec permis : avecpermis ; false : false ; Estimation indisponible : badge_key_0_5 ; https://autoviza.fr/report/report?uid=63202340-3089-4ce3-bf52-a4e5555fef57 : https://autoviza.fr/report/report?uid=63202340-3089-4ce3-bf52-a4e5555fef57 ; visible : visible ; Non renseignée : non_renseignee ; true : true ; activity_sector : 1 ; u_car_brand : RENAULT ; u_car_model : Megane ; u_car_finition : F1 Team R26 ; u_car_version : Megane Coupe 2.0T 230ch F1 Team R26 ; vehicle_damage : Excellent état (proche du neuf) ; vehicle_upholstery : Alcantara, Cuir partiel ; vehicle_maintenance : Carnet d'entretien disponible, Véhicule non fumeur, Factures disponibles ; vehicle_vsp : Avec permis ; recent_used_vehicle : false ; is_import : false ; car_price_min : 13370 ; car_price_max : 14770 ; car_price_positioning : Estimation indisponible ; vehicle_history_report_public_url : https://autoviza.fr/report/report?uid=63202340-3089-4ce3-bf52-a4e5555fef57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argus_object_id : 911264 ; spare_parts_availability : Non renseignée ; licence_plate_available : true</t>
        </is>
      </c>
      <c r="AG422" s="19" t="inlineStr">
        <is>
          <t>Voir</t>
        </is>
      </c>
      <c r="AH422" s="10" t="inlineStr">
        <is>
          <t>3276458601</t>
        </is>
      </c>
    </row>
    <row r="423">
      <c r="A423" s="10" t="inlineStr">
        <is>
          <t>Renault Mégane II RS R26</t>
        </is>
      </c>
      <c r="B423" s="10" t="inlineStr">
        <is>
          <t>Mégane 2 RS R26 F1 TEAM</t>
        </is>
      </c>
      <c r="C423" s="10" t="inlineStr">
        <is>
          <t>En vente</t>
        </is>
      </c>
      <c r="D423" s="18" t="n">
        <v>46290</v>
      </c>
      <c r="E423" s="18" t="n">
        <v>46290</v>
      </c>
      <c r="F423" s="18" t="n">
        <v>46296</v>
      </c>
      <c r="G423" s="18" t="n"/>
      <c r="H423" s="17">
        <f>IF(OR(ISNUMBER(D423),ISNUMBER(E423)),IF(ISNUMBER(G423),G423,F423)-IF(ISNUMBER(D423),D423,E423),"")</f>
        <v/>
      </c>
      <c r="I423" s="12" t="n">
        <v>23990</v>
      </c>
      <c r="J423" s="12" t="n">
        <v>23990</v>
      </c>
      <c r="K423" s="13">
        <f>IF(AND(ISNUMBER(I423),ISNUMBER(J423),I423&gt;0),1-J423/I423,"")</f>
        <v/>
      </c>
      <c r="L423" s="16" t="n">
        <v>0</v>
      </c>
      <c r="M423" s="15" t="n">
        <v>79800</v>
      </c>
      <c r="N423" s="16" t="n">
        <v>2007</v>
      </c>
      <c r="O423" s="10" t="inlineStr">
        <is>
          <t>1</t>
        </is>
      </c>
      <c r="P423" s="10" t="inlineStr">
        <is>
          <t>1</t>
        </is>
      </c>
      <c r="Q423" s="16" t="n">
        <v>230</v>
      </c>
      <c r="R423" s="16" t="n">
        <v>14</v>
      </c>
      <c r="S423" s="10" t="inlineStr">
        <is>
          <t>jaune</t>
        </is>
      </c>
      <c r="T423" s="16" t="n">
        <v>3</v>
      </c>
      <c r="U423" s="10" t="n"/>
      <c r="V423" s="10" t="n"/>
      <c r="W423" s="10" t="inlineStr">
        <is>
          <t>Particulier</t>
        </is>
      </c>
      <c r="X423" s="10" t="inlineStr">
        <is>
          <t>Savigny-le-Temple</t>
        </is>
      </c>
      <c r="Y423" s="10" t="inlineStr">
        <is>
          <t>77176</t>
        </is>
      </c>
      <c r="Z423" s="10" t="inlineStr">
        <is>
          <t>Seine-et-Marne</t>
        </is>
      </c>
      <c r="AA423" s="10" t="inlineStr">
        <is>
          <t>Ile-de-France</t>
        </is>
      </c>
      <c r="AB423" s="16" t="n"/>
      <c r="AC423" s="16" t="n"/>
      <c r="AD423" s="10" t="n"/>
      <c r="AE423" s="10" t="n"/>
      <c r="AF423" s="10" t="inlineStr">
        <is>
          <t>1 : 1 ; 2 : 2 ; 3 : 3 ; 5 : 5 ; 27 : 27 ; 2007 : 2007 ; 16830 : 16830 ; 18600 : 18600 ; 24450 : 24450 ; 911264 : 911264 ; https://img.leboncoin.fr/api/v1/tenants/9a6387a1-6259-4f2c-a887-7e67f23dd4cb/domains/20bda58f-d650-462e-a72a-a5a7ecf2bf88/buckets/21d2b0bc-e54c-4b64-a30b-89127b18b785/images/profile/pictures/default/fcca018a-d175-5f4f-89aa-fe6d270dfe7c?rule=pp-small : https://img.leboncoin.fr/api/v1/tenants/9a6387a1-6259-4f2c-a887-7e67f23dd4cb/domains/20bda58f-d650-462e-a72a-a5a7ecf2bf88/buckets/21d2b0bc-e54c-4b64-a30b-89127b18b785/images/profile/pictures/default/fcca018a-d175-5f4f-89aa-fe6d270dfe7c?rule=pp-small ; Renault : Renault ; Megane : Megane ; RENAULT : RENAULT ; 79800 km : 79800 ; Essence : 1 ; Manuelle : 1 ; F1 Team R26 : RENAULT_Megane_F1 Team R26 ; Megane Coupe 2.0T 230ch F1 Team R26 : Megane Coupe 2.0T 230ch F1 Team R26 ; 03/2007 : 03/2007 ; Excellent état (proche du neuf) : excellent_condition ; Autre : autre ; Jaune : jaune ; 14 Cv : 14 ; 230 Ch : 230 ; Avec permis : avecpermis ; essential : essential ; false : false ; Estimation indisponible : badge_key_0_5 ; https://autoviza.fr/report/report?uid=ef3cf5f2-98d6-42f1-af4e-aac65c3bae39 : https://autoviza.fr/report/report?uid=ef3cf5f2-98d6-42f1-af4e-aac65c3bae39 ; visible : visible ; true : true ; rating_score : 1 ; rating_count : 27 ; u_car_brand : RENAULT ; u_car_model : Megane ; u_car_finition : F1 Team R26 ; u_car_version : Megane Coupe 2.0T 230ch F1 Team R26 ; vehicle_damage : Excellent état (proche du neuf) ; vehicle_upholstery : Alcantara ; vehicle_maintenance : Carnet d'entretien disponible, Factures disponibles, Véhicule non fumeur, Réparations utiles déjà faites ; vehicle_vsp : Avec permis ; ad_warranty_type : essential ; is_import : false ; old_price : 24450 ; vehicle_is_eligible_p2p : 2 ; car_price_min : 16830 ; car_price_max : 18600 ; car_price_positioning : Estimation indisponible ; vehicle_history_report_public_url : https://autoviza.fr/report/report?uid=ef3cf5f2-98d6-42f1-af4e-aac65c3bae39 ; vehicle_history_report_status : visible ; argus_object_id : 911264 ; licence_plate_available : true</t>
        </is>
      </c>
      <c r="AG423" s="19" t="inlineStr">
        <is>
          <t>Voir</t>
        </is>
      </c>
      <c r="AH423" s="10" t="inlineStr">
        <is>
          <t>3276459475</t>
        </is>
      </c>
    </row>
    <row r="424">
      <c r="A424" s="10" t="inlineStr">
        <is>
          <t>Renault Mégane II RS R26</t>
        </is>
      </c>
      <c r="B424" s="10" t="inlineStr">
        <is>
          <t>RENAULT MEGANE Mégane 2 RS COUPÉ - 230 F1 Team R26 PHASE 2</t>
        </is>
      </c>
      <c r="C424" s="10" t="inlineStr">
        <is>
          <t>En vente</t>
        </is>
      </c>
      <c r="D424" s="18" t="n">
        <v>46296</v>
      </c>
      <c r="E424" s="18" t="n">
        <v>46296</v>
      </c>
      <c r="F424" s="18" t="n">
        <v>46296</v>
      </c>
      <c r="G424" s="18" t="n"/>
      <c r="H424" s="17">
        <f>IF(OR(ISNUMBER(D424),ISNUMBER(E424)),IF(ISNUMBER(G424),G424,F424)-IF(ISNUMBER(D424),D424,E424),"")</f>
        <v/>
      </c>
      <c r="I424" s="12" t="n">
        <v>23980</v>
      </c>
      <c r="J424" s="12" t="n">
        <v>23980</v>
      </c>
      <c r="K424" s="13">
        <f>IF(AND(ISNUMBER(I424),ISNUMBER(J424),I424&gt;0),1-J424/I424,"")</f>
        <v/>
      </c>
      <c r="L424" s="16" t="n">
        <v>0</v>
      </c>
      <c r="M424" s="15" t="n">
        <v>79000</v>
      </c>
      <c r="N424" s="16" t="n">
        <v>2007</v>
      </c>
      <c r="O424" s="10" t="inlineStr">
        <is>
          <t>1</t>
        </is>
      </c>
      <c r="P424" s="10" t="inlineStr">
        <is>
          <t>1</t>
        </is>
      </c>
      <c r="Q424" s="16" t="n">
        <v>230</v>
      </c>
      <c r="R424" s="16" t="n">
        <v>14</v>
      </c>
      <c r="S424" s="10" t="inlineStr">
        <is>
          <t>orange</t>
        </is>
      </c>
      <c r="T424" s="16" t="n">
        <v>3</v>
      </c>
      <c r="U424" s="10" t="n"/>
      <c r="V424" s="10" t="inlineStr">
        <is>
          <t>2</t>
        </is>
      </c>
      <c r="W424" s="10" t="inlineStr">
        <is>
          <t>Pro</t>
        </is>
      </c>
      <c r="X424" s="10" t="inlineStr">
        <is>
          <t>Villebon-sur-Yvette</t>
        </is>
      </c>
      <c r="Y424" s="10" t="inlineStr">
        <is>
          <t>91140</t>
        </is>
      </c>
      <c r="Z424" s="10" t="inlineStr">
        <is>
          <t>Essonne</t>
        </is>
      </c>
      <c r="AA424" s="10" t="inlineStr">
        <is>
          <t>Ile-de-France</t>
        </is>
      </c>
      <c r="AB424" s="16" t="n"/>
      <c r="AC424" s="16" t="n"/>
      <c r="AD424" s="10" t="n"/>
      <c r="AE424" s="10" t="n"/>
      <c r="AF424" s="10" t="inlineStr">
        <is>
          <t>1 : 1 ; 2 : 2 ; 3 : 3 ; 5 : 5 ; 2007 : 2007 ; 15810 : 15810 ; 17470 : 17470 ; 911264 : 911264 ; 4222380 : 4222380 ; Renault : Renault ; Megane : Megane ; RENAULT : RENAULT ; 79000 km : 79000 ; Essence : 1 ; Manuelle : 1 ; F1 Team R26 : RENAULT_Megane_F1 Team R26 ; Megane Coupe 2.0T 230ch F1 Team R26 : Megane Coupe 2.0T 230ch F1 Team R26 ; 03/2007 : 03/2007 ; Bon état général : good_overall_condition ; Autre : autre ; Orange : orange ; 14 Cv : 14 ; 230 Ch : 230 ; Sans permis : sanspermis ; false : false ; true : true ; https://img.leboncoin.fr/api/v1/lbcpb1/images/ea/a1/9f/eaa19fa8-f50b-496a-82cc-321b04795abb?rule=bo-thumb : https://img.leboncoin.fr/api/v1/lbcpb1/images/ea/a1/9f/eaa19fa8-f50b-496a-82cc-321b04795abb?rule=bo-thumb ; JL CARS PARIS : JL CARS PARIS ; 2011-0000332 : 2011-0000332 ; Estimation indisponible : badge_key_0_5 ; https://autoviza.fr/report/report?uid=e6d58f26-1e0d-4221-8d7b-dc2f785b1270 : https://autoviza.fr/report/report?uid=e6d58f26-1e0d-4221-8d7b-dc2f785b1270 ; visible : visible ; Non renseignée : non_renseignee ; activity_sector : 1 ; u_car_brand : RENAULT ; u_car_model : Megane ; u_car_finition : F1 Team R26 ; u_car_version : Megane Coupe 2.0T 230ch F1 Team R26 ; vehicle_damage : Bon état général ; vehicle_vsp : Sans permis ; recent_used_vehicle : false ; has_visibility_option : true ; store_logo : https://img.leboncoin.fr/api/v1/lbcpb1/images/ea/a1/9f/eaa19fa8-f50b-496a-82cc-321b04795abb?rule=bo-thumb ; store_name : JL CARS PARIS ; online_store_id : 4222380 ; custom_ref : 2011-0000332 ; is_import : true ; car_price_min : 15810 ; car_price_max : 17470 ; car_price_positioning : Estimation indisponible ; vehicle_history_report_public_url : https://autoviza.fr/report/report?uid=e6d58f26-1e0d-4221-8d7b-dc2f785b1270 ; vehicle_history_report_status : visible ; argus_object_id : 911264 ; spare_parts_availability : Non renseignée ; licence_plate_available : true</t>
        </is>
      </c>
      <c r="AG424" s="19" t="inlineStr">
        <is>
          <t>Voir</t>
        </is>
      </c>
      <c r="AH424" s="10" t="inlineStr">
        <is>
          <t>3280273275</t>
        </is>
      </c>
    </row>
    <row r="425">
      <c r="A425" s="10" t="inlineStr">
        <is>
          <t>Renault Twingo 1 découvrable</t>
        </is>
      </c>
      <c r="B425" s="10" t="inlineStr">
        <is>
          <t>RENAULT TWINGO PACK AUTHENTIQUE 1.2 60Ch Toit Ouvrant Garantie 12 mois</t>
        </is>
      </c>
      <c r="C425" s="10" t="inlineStr">
        <is>
          <t>En vente</t>
        </is>
      </c>
      <c r="D425" s="18" t="n">
        <v>46162</v>
      </c>
      <c r="E425" s="18" t="n">
        <v>46162</v>
      </c>
      <c r="F425" s="18" t="n">
        <v>46296</v>
      </c>
      <c r="G425" s="18" t="n"/>
      <c r="H425" s="17">
        <f>IF(OR(ISNUMBER(D425),ISNUMBER(E425)),IF(ISNUMBER(G425),G425,F425)-IF(ISNUMBER(D425),D425,E425),"")</f>
        <v/>
      </c>
      <c r="I425" s="12" t="n">
        <v>2980</v>
      </c>
      <c r="J425" s="12" t="n">
        <v>2980</v>
      </c>
      <c r="K425" s="13">
        <f>IF(AND(ISNUMBER(I425),ISNUMBER(J425),I425&gt;0),1-J425/I425,"")</f>
        <v/>
      </c>
      <c r="L425" s="16" t="n">
        <v>0</v>
      </c>
      <c r="M425" s="15" t="n">
        <v>164500</v>
      </c>
      <c r="N425" s="16" t="n">
        <v>2003</v>
      </c>
      <c r="O425" s="10" t="inlineStr">
        <is>
          <t>1</t>
        </is>
      </c>
      <c r="P425" s="10" t="inlineStr">
        <is>
          <t>1</t>
        </is>
      </c>
      <c r="Q425" s="16" t="n">
        <v>60</v>
      </c>
      <c r="R425" s="16" t="n">
        <v>4</v>
      </c>
      <c r="S425" s="10" t="inlineStr">
        <is>
          <t>noir</t>
        </is>
      </c>
      <c r="T425" s="16" t="n">
        <v>3</v>
      </c>
      <c r="U425" s="10" t="n"/>
      <c r="V425" s="10" t="inlineStr">
        <is>
          <t>1</t>
        </is>
      </c>
      <c r="W425" s="10" t="inlineStr">
        <is>
          <t>Pro</t>
        </is>
      </c>
      <c r="X425" s="10" t="inlineStr">
        <is>
          <t>Barberey-Saint-Sulpice</t>
        </is>
      </c>
      <c r="Y425" s="10" t="inlineStr">
        <is>
          <t>10600</t>
        </is>
      </c>
      <c r="Z425" s="10" t="inlineStr">
        <is>
          <t>Aube</t>
        </is>
      </c>
      <c r="AA425" s="10" t="inlineStr">
        <is>
          <t>Champagne-Ardenne</t>
        </is>
      </c>
      <c r="AB425" s="16" t="n"/>
      <c r="AC425" s="16" t="n"/>
      <c r="AD425" s="10" t="n"/>
      <c r="AE425" s="10" t="n"/>
      <c r="AF425" s="10" t="inlineStr">
        <is>
          <t>1 : 1 ; 3 : 3 ; 4 : 4 ; 2003 : 2003 ; 3480 : 3480 ; 3826 : 3826 ; 723155 : 723155 ; 7039873 : 7039873 ; Renault : Renault ; Twingo : Twingo ; RENAULT : RENAULT ; 164500 km : 164500 ; Essence : 1 ; Manuelle : 1 ; Authentique : RENAULT_Twingo_Authentique ; Twingo 1.2 60ch Authentique : Twingo 1.2 60ch Authentique ; 06/2003 : 06/2003 ; Berline : berline ; Noir : noir ; 4 Cv : 4 ; 60 Ch : 60 ; Non : 1 ; false : false ; true : true ; https://img.leboncoin.fr/api/v1/lbcpb1/images/6c/b8/47/6cb84766-5e46-4fc0-89ae-380abce37af4?rule=bo-thumb : https://img.leboncoin.fr/api/v1/lbcpb1/images/6c/b8/47/6cb84766-5e46-4fc0-89ae-380abce37af4?rule=bo-thumb ; Simplicicar Troyes : Simplicicar Troyes ; https://autoviza.fr/report/report?uid=944b520b-acc5-438e-bafa-eda5b6bac37c : https://autoviza.fr/report/report?uid=944b520b-acc5-438e-bafa-eda5b6bac37c ; visible : visible ; Non renseignée : non_renseignee ; activity_sector : 1 ; u_car_brand : RENAULT ; u_car_model : Twingo ; u_car_finition : Authentique ; u_car_version : Twingo 1.2 60ch Authentique ; vehicle_interior_specs : Toit ouvrant / Toit panoramique, Vitres électriques arrières ; car_contract : Non ; recent_used_vehicle : false ; has_visibility_option : true ; store_logo : https://img.leboncoin.fr/api/v1/lbcpb1/images/6c/b8/47/6cb84766-5e46-4fc0-89ae-380abce37af4?rule=bo-thumb ; store_name : Simplicicar Troyes ; online_store_id : 7039873 ; custom_ref : 3826 ; is_import : true ; old_price : 3480 ; vehicle_history_report_public_url : https://autoviza.fr/report/report?uid=944b520b-acc5-438e-bafa-eda5b6bac37c ; vehicle_history_report_status : visible ; argus_object_id : 723155 ; spare_parts_availability : Non renseignée ; licence_plate_available : true</t>
        </is>
      </c>
      <c r="AG425" s="19" t="inlineStr">
        <is>
          <t>Voir</t>
        </is>
      </c>
      <c r="AH425" s="10" t="inlineStr">
        <is>
          <t>3201621635</t>
        </is>
      </c>
    </row>
    <row r="426">
      <c r="A426" s="10" t="inlineStr">
        <is>
          <t>Renault Twingo 1 découvrable</t>
        </is>
      </c>
      <c r="B426" s="10" t="inlineStr">
        <is>
          <t>Renault Twingo 1.2 HELIOS TOIT OUVRANT ELECTRIQUE</t>
        </is>
      </c>
      <c r="C426" s="10" t="inlineStr">
        <is>
          <t>En vente</t>
        </is>
      </c>
      <c r="D426" s="18" t="n">
        <v>46209</v>
      </c>
      <c r="E426" s="18" t="n">
        <v>46209</v>
      </c>
      <c r="F426" s="18" t="n">
        <v>46296</v>
      </c>
      <c r="G426" s="18" t="n"/>
      <c r="H426" s="17">
        <f>IF(OR(ISNUMBER(D426),ISNUMBER(E426)),IF(ISNUMBER(G426),G426,F426)-IF(ISNUMBER(D426),D426,E426),"")</f>
        <v/>
      </c>
      <c r="I426" s="12" t="n">
        <v>3490</v>
      </c>
      <c r="J426" s="12" t="n">
        <v>3490</v>
      </c>
      <c r="K426" s="13">
        <f>IF(AND(ISNUMBER(I426),ISNUMBER(J426),I426&gt;0),1-J426/I426,"")</f>
        <v/>
      </c>
      <c r="L426" s="16" t="n">
        <v>0</v>
      </c>
      <c r="M426" s="15" t="n">
        <v>159000</v>
      </c>
      <c r="N426" s="16" t="n">
        <v>2000</v>
      </c>
      <c r="O426" s="10" t="inlineStr">
        <is>
          <t>1</t>
        </is>
      </c>
      <c r="P426" s="10" t="inlineStr">
        <is>
          <t>1</t>
        </is>
      </c>
      <c r="Q426" s="16" t="n">
        <v>58</v>
      </c>
      <c r="R426" s="16" t="n">
        <v>4</v>
      </c>
      <c r="S426" s="10" t="inlineStr">
        <is>
          <t>bleu</t>
        </is>
      </c>
      <c r="T426" s="16" t="n">
        <v>3</v>
      </c>
      <c r="U426" s="10" t="n"/>
      <c r="V426" s="10" t="inlineStr">
        <is>
          <t>3</t>
        </is>
      </c>
      <c r="W426" s="10" t="inlineStr">
        <is>
          <t>Pro</t>
        </is>
      </c>
      <c r="X426" s="10" t="inlineStr">
        <is>
          <t>Craponne</t>
        </is>
      </c>
      <c r="Y426" s="10" t="inlineStr">
        <is>
          <t>69290</t>
        </is>
      </c>
      <c r="Z426" s="10" t="inlineStr">
        <is>
          <t>Rhône</t>
        </is>
      </c>
      <c r="AA426" s="10" t="inlineStr">
        <is>
          <t>Rhône-Alpes</t>
        </is>
      </c>
      <c r="AB426" s="16" t="n"/>
      <c r="AC426" s="16" t="n"/>
      <c r="AD426" s="10" t="n"/>
      <c r="AE426" s="10" t="n"/>
      <c r="AF426" s="10" t="inlineStr">
        <is>
          <t>1 : 1 ; 3 : 3 ; 4 : 4 ; 2000 : 2000 ; 5481 : 5481 ; 723122 : 723122 ; Renault : Renault ; Twingo : Twingo ; RENAULT : RENAULT ; 159000 km : 159000 ; Essence : 1 ; Manuelle : 1 ; Helios : RENAULT_Twingo_Helios ; Twingo 1.2 60ch Helios : Twingo 1.2 60ch Helios ; 01/2000 : 01/2000 ; Berline : berline ; Bleu : bleu ; 4 Cv : 4 ; 58 Ch : 58 ; Avec permis : avecpermis ; false : false ; https://img.leboncoin.fr/api/v1/lbcpb1/images/7f/14/13/7f141398-fa71-48fe-b9c4-39139a644024?rule=bo-thumb : https://img.leboncoin.fr/api/v1/lbcpb1/images/7f/14/13/7f141398-fa71-48fe-b9c4-39139a644024?rule=bo-thumb ; MIMO AUTOMOBILES : MIMO AUTOMOBILES ; VRO_8F5BC2 : VRO_8F5BC2 ; true : true ; broken : broken ; Non renseignée : non_renseignee ; activity_sector : 1 ; u_car_brand : RENAULT ; u_car_model : Twingo ; u_car_finition : Helios ; u_car_version : Twingo 1.2 60ch Helios ; vehicle_vsp : Avec permis ; recent_used_vehicle : false ; has_visibility_option : false ; store_logo : https://img.leboncoin.fr/api/v1/lbcpb1/images/7f/14/13/7f141398-fa71-48fe-b9c4-39139a644024?rule=bo-thumb ; store_name : MIMO AUTOMOBILES ; online_store_id : 5481 ; custom_ref : VRO_8F5BC2 ; is_import : true ; vehicle_history_report_status : broken ; argus_object_id : 723122 ; spare_parts_availability : Non renseignée ; licence_plate_available : true</t>
        </is>
      </c>
      <c r="AG426" s="19" t="inlineStr">
        <is>
          <t>Voir</t>
        </is>
      </c>
      <c r="AH426" s="10" t="inlineStr">
        <is>
          <t>3228654929</t>
        </is>
      </c>
    </row>
    <row r="427">
      <c r="A427" s="10" t="inlineStr">
        <is>
          <t>Renault Twingo 1 découvrable</t>
        </is>
      </c>
      <c r="B427" s="10" t="inlineStr">
        <is>
          <t>Twingo série 1 avec toit ouvrant decouvrable</t>
        </is>
      </c>
      <c r="C427" s="10" t="inlineStr">
        <is>
          <t>En vente</t>
        </is>
      </c>
      <c r="D427" s="18" t="n">
        <v>46280</v>
      </c>
      <c r="E427" s="18" t="n">
        <v>46280</v>
      </c>
      <c r="F427" s="18" t="n">
        <v>46296</v>
      </c>
      <c r="G427" s="18" t="n"/>
      <c r="H427" s="17">
        <f>IF(OR(ISNUMBER(D427),ISNUMBER(E427)),IF(ISNUMBER(G427),G427,F427)-IF(ISNUMBER(D427),D427,E427),"")</f>
        <v/>
      </c>
      <c r="I427" s="12" t="n">
        <v>5490</v>
      </c>
      <c r="J427" s="12" t="n">
        <v>5490</v>
      </c>
      <c r="K427" s="13">
        <f>IF(AND(ISNUMBER(I427),ISNUMBER(J427),I427&gt;0),1-J427/I427,"")</f>
        <v/>
      </c>
      <c r="L427" s="16" t="n">
        <v>0</v>
      </c>
      <c r="M427" s="15" t="n">
        <v>95000</v>
      </c>
      <c r="N427" s="16" t="n">
        <v>2006</v>
      </c>
      <c r="O427" s="10" t="inlineStr">
        <is>
          <t>1</t>
        </is>
      </c>
      <c r="P427" s="10" t="inlineStr">
        <is>
          <t>1</t>
        </is>
      </c>
      <c r="Q427" s="16" t="n">
        <v>60</v>
      </c>
      <c r="R427" s="16" t="n">
        <v>4</v>
      </c>
      <c r="S427" s="10" t="inlineStr">
        <is>
          <t>rouge</t>
        </is>
      </c>
      <c r="T427" s="16" t="n">
        <v>3</v>
      </c>
      <c r="U427" s="10" t="n"/>
      <c r="V427" s="10" t="n"/>
      <c r="W427" s="10" t="inlineStr">
        <is>
          <t>Particulier</t>
        </is>
      </c>
      <c r="X427" s="10" t="inlineStr">
        <is>
          <t>Mandelieu-la-Napoule</t>
        </is>
      </c>
      <c r="Y427" s="10" t="inlineStr">
        <is>
          <t>06210</t>
        </is>
      </c>
      <c r="Z427" s="10" t="inlineStr">
        <is>
          <t>Alpes-Maritimes</t>
        </is>
      </c>
      <c r="AA427" s="10" t="inlineStr">
        <is>
          <t>Provence-Alpes-Côte d'Azur</t>
        </is>
      </c>
      <c r="AB427" s="16" t="n"/>
      <c r="AC427" s="16" t="n"/>
      <c r="AD427" s="10" t="n"/>
      <c r="AE427" s="10" t="n"/>
      <c r="AF427" s="10" t="inlineStr">
        <is>
          <t>1 : 1 ; 2 : 2 ; 3 : 3 ; 4 : 4 ; 28 : 28 ; 2006 : 2006 ; 871308 : 871308 ; https://img.leboncoin.fr/api/v1/tenants/9a6387a1-6259-4f2c-a887-7e67f23dd4cb/domains/20bda58f-d650-462e-a72a-a5a7ecf2bf88/buckets/21d2b0bc-e54c-4b64-a30b-89127b18b785/images/profile/pictures/default/a6f9ac61-80b6-5b78-a9cb-33bab3d87f8c?rule=pp-small : https://img.leboncoin.fr/api/v1/tenants/9a6387a1-6259-4f2c-a887-7e67f23dd4cb/domains/20bda58f-d650-462e-a72a-a5a7ecf2bf88/buckets/21d2b0bc-e54c-4b64-a30b-89127b18b785/images/profile/pictures/default/a6f9ac61-80b6-5b78-a9cb-33bab3d87f8c?rule=pp-small ; Renault : Renault ; Twingo : Twingo ; RENAULT : RENAULT ; 95000 km : 95000 ; Essence : 1 ; Manuelle : 1 ; Emotion : RENAULT_Twingo_Emotion ; Twingo 1.2 60ch Emotion : Twingo 1.2 60ch Emotion ; Non : false ; 03/2006 : 03/2006 ; Excellent état (proche du neuf) : excellent_condition ; Berline : berline ; Rouge : rouge ; 4 Cv : 4 ; 60 Ch : 60 ; Avec permis : avecpermis ; credit_card : credit_card ; false : false ; https://autoviza.fr/report/report?uid=2ee1cefb-74ee-44b0-a172-3444a9a62413 : https://autoviza.fr/report/report?uid=2ee1cefb-74ee-44b0-a172-3444a9a62413 ; visible : visible ; true : true ; rating_score : 1 ; rating_count : 28 ; u_car_brand : RENAULT ; u_car_model : Twingo ; u_car_finition : Emotion ; u_car_version : Twingo 1.2 60ch Emotion ; vehicle_technical_inspection_valid : Non ; vehicle_damage : Excellent état (proche du neuf) ; vehicle_upholstery : Tissu ; vehicle_vsp : Avec permis ; vehicle_available_payment_methods : credit_card ; is_import : false ; vehicle_is_eligible_p2p : 2 ; vehicle_history_report_public_url : https://autoviza.fr/report/report?uid=2ee1cefb-74ee-44b0-a172-3444a9a62413 ; vehicle_history_report_status : visible ; argus_object_id : 871308 ; licence_plate_available : true</t>
        </is>
      </c>
      <c r="AG427" s="19" t="inlineStr">
        <is>
          <t>Voir</t>
        </is>
      </c>
      <c r="AH427" s="10" t="inlineStr">
        <is>
          <t>3232797806</t>
        </is>
      </c>
    </row>
    <row r="428">
      <c r="A428" s="10" t="inlineStr">
        <is>
          <t>Renault Twingo 1 découvrable</t>
        </is>
      </c>
      <c r="B428" s="10" t="inlineStr">
        <is>
          <t>Renault Twingo Wind 1.2 Essence – Toit ouvrant – Très bon état – CT OK</t>
        </is>
      </c>
      <c r="C428" s="10" t="inlineStr">
        <is>
          <t>En vente</t>
        </is>
      </c>
      <c r="D428" s="18" t="n">
        <v>46285</v>
      </c>
      <c r="E428" s="18" t="n">
        <v>46285</v>
      </c>
      <c r="F428" s="18" t="n">
        <v>46296</v>
      </c>
      <c r="G428" s="18" t="n"/>
      <c r="H428" s="17">
        <f>IF(OR(ISNUMBER(D428),ISNUMBER(E428)),IF(ISNUMBER(G428),G428,F428)-IF(ISNUMBER(D428),D428,E428),"")</f>
        <v/>
      </c>
      <c r="I428" s="12" t="n">
        <v>2800</v>
      </c>
      <c r="J428" s="12" t="n">
        <v>2800</v>
      </c>
      <c r="K428" s="13">
        <f>IF(AND(ISNUMBER(I428),ISNUMBER(J428),I428&gt;0),1-J428/I428,"")</f>
        <v/>
      </c>
      <c r="L428" s="16" t="n">
        <v>0</v>
      </c>
      <c r="M428" s="15" t="n">
        <v>233000</v>
      </c>
      <c r="N428" s="16" t="n">
        <v>1996</v>
      </c>
      <c r="O428" s="10" t="inlineStr">
        <is>
          <t>1</t>
        </is>
      </c>
      <c r="P428" s="10" t="inlineStr">
        <is>
          <t>1</t>
        </is>
      </c>
      <c r="Q428" s="16" t="n">
        <v>60</v>
      </c>
      <c r="R428" s="16" t="n">
        <v>4</v>
      </c>
      <c r="S428" s="10" t="inlineStr">
        <is>
          <t>bleu</t>
        </is>
      </c>
      <c r="T428" s="16" t="n">
        <v>3</v>
      </c>
      <c r="U428" s="10" t="n"/>
      <c r="V428" s="10" t="inlineStr">
        <is>
          <t>1</t>
        </is>
      </c>
      <c r="W428" s="10" t="inlineStr">
        <is>
          <t>Particulier</t>
        </is>
      </c>
      <c r="X428" s="10" t="inlineStr">
        <is>
          <t>Orléans</t>
        </is>
      </c>
      <c r="Y428" s="10" t="inlineStr">
        <is>
          <t>45000</t>
        </is>
      </c>
      <c r="Z428" s="10" t="inlineStr">
        <is>
          <t>Loiret</t>
        </is>
      </c>
      <c r="AA428" s="10" t="inlineStr">
        <is>
          <t>Centre</t>
        </is>
      </c>
      <c r="AB428" s="16" t="n"/>
      <c r="AC428" s="16" t="n"/>
      <c r="AD428" s="10" t="n"/>
      <c r="AE428" s="10" t="n"/>
      <c r="AF428" s="10" t="inlineStr">
        <is>
          <t>1 : 1 ; 2 : 2 ; 3 : 3 ; 4 : 4 ; 1996 : 1996 ; 3000 : 3000 ; https://img.leboncoin.fr/api/v1/tenants/9a6387a1-6259-4f2c-a887-7e67f23dd4cb/domains/20bda58f-d650-462e-a72a-a5a7ecf2bf88/buckets/21d2b0bc-e54c-4b64-a30b-89127b18b785/images/profile/pictures/default/d17c5d55-c592-5a1c-856b-6f3a1c1d9f9a?rule=pp-small : https://img.leboncoin.fr/api/v1/tenants/9a6387a1-6259-4f2c-a887-7e67f23dd4cb/domains/20bda58f-d650-462e-a72a-a5a7ecf2bf88/buckets/21d2b0bc-e54c-4b64-a30b-89127b18b785/images/profile/pictures/default/d17c5d55-c592-5a1c-856b-6f3a1c1d9f9a?rule=pp-small ; Renault : Renault ; Twingo : Twingo ; RENAULT : RENAULT ; 233000 km : 233000 ; Essence : 1 ; Manuelle : 1 ; 07/1997 : 07/1997 ; Bon état général : good_overall_condition ; Citadine : citadine ; Bleu : bleu ; 4 Cv : 4 ; 60 Ch : 60 ; Avec permis : avecpermis ; credit_card : credit_card ; false : false ; true : true ; u_car_brand : RENAULT ; u_car_model : Twingo ; vehicle_damage : Bon état général ; vehicle_interior_specs : Toit ouvrant / Toit panoramique ; vehicle_vsp : Avec permis ; vehicle_available_payment_methods : credit_card ; is_import : false ; old_price : 3000 ; vehicle_is_eligible_p2p : 2 ; licence_plate_available : true</t>
        </is>
      </c>
      <c r="AG428" s="19" t="inlineStr">
        <is>
          <t>Voir</t>
        </is>
      </c>
      <c r="AH428" s="10" t="inlineStr">
        <is>
          <t>3235601533</t>
        </is>
      </c>
    </row>
    <row r="429">
      <c r="A429" s="10" t="inlineStr">
        <is>
          <t>Renault Twingo 1 découvrable</t>
        </is>
      </c>
      <c r="B429" s="10" t="inlineStr">
        <is>
          <t>Renault Twingo Initiale Paris 1.2 16V 75 ch – Juin 2004 – Toit ouvrant – Cuir – Clim - 140 000 km</t>
        </is>
      </c>
      <c r="C429" s="10" t="inlineStr">
        <is>
          <t>En vente</t>
        </is>
      </c>
      <c r="D429" s="18" t="n">
        <v>46289</v>
      </c>
      <c r="E429" s="18" t="n">
        <v>46289</v>
      </c>
      <c r="F429" s="18" t="n">
        <v>46296</v>
      </c>
      <c r="G429" s="18" t="n"/>
      <c r="H429" s="17">
        <f>IF(OR(ISNUMBER(D429),ISNUMBER(E429)),IF(ISNUMBER(G429),G429,F429)-IF(ISNUMBER(D429),D429,E429),"")</f>
        <v/>
      </c>
      <c r="I429" s="12" t="n">
        <v>4900</v>
      </c>
      <c r="J429" s="12" t="n">
        <v>4900</v>
      </c>
      <c r="K429" s="13">
        <f>IF(AND(ISNUMBER(I429),ISNUMBER(J429),I429&gt;0),1-J429/I429,"")</f>
        <v/>
      </c>
      <c r="L429" s="16" t="n">
        <v>0</v>
      </c>
      <c r="M429" s="15" t="n">
        <v>140000</v>
      </c>
      <c r="N429" s="16" t="n">
        <v>2004</v>
      </c>
      <c r="O429" s="10" t="inlineStr">
        <is>
          <t>1</t>
        </is>
      </c>
      <c r="P429" s="10" t="inlineStr">
        <is>
          <t>1</t>
        </is>
      </c>
      <c r="Q429" s="16" t="n">
        <v>75</v>
      </c>
      <c r="R429" s="16" t="n">
        <v>5</v>
      </c>
      <c r="S429" s="10" t="inlineStr">
        <is>
          <t>noir</t>
        </is>
      </c>
      <c r="T429" s="16" t="n">
        <v>3</v>
      </c>
      <c r="U429" s="10" t="n"/>
      <c r="V429" s="10" t="n"/>
      <c r="W429" s="10" t="inlineStr">
        <is>
          <t>Particulier</t>
        </is>
      </c>
      <c r="X429" s="10" t="inlineStr">
        <is>
          <t>Limetz-Villez</t>
        </is>
      </c>
      <c r="Y429" s="10" t="inlineStr">
        <is>
          <t>78270</t>
        </is>
      </c>
      <c r="Z429" s="10" t="inlineStr">
        <is>
          <t>Yvelines</t>
        </is>
      </c>
      <c r="AA429" s="10" t="inlineStr">
        <is>
          <t>Ile-de-France</t>
        </is>
      </c>
      <c r="AB429" s="16" t="n"/>
      <c r="AC429" s="16" t="n"/>
      <c r="AD429" s="10" t="n"/>
      <c r="AE429" s="10" t="n"/>
      <c r="AF429" s="10" t="inlineStr">
        <is>
          <t>2 : 2 ; 3 : 3 ; 4 : 4 ; 2004 : 2004 ; 723166 : 723166 ; https://img.leboncoin.fr/api/v1/tenants/9a6387a1-6259-4f2c-a887-7e67f23dd4cb/domains/20bda58f-d650-462e-a72a-a5a7ecf2bf88/buckets/21d2b0bc-e54c-4b64-a30b-89127b18b785/images/profile/pictures/default/241ba243-834f-5df7-b1e2-4e4c728be924?rule=pp-small : https://img.leboncoin.fr/api/v1/tenants/9a6387a1-6259-4f2c-a887-7e67f23dd4cb/domains/20bda58f-d650-462e-a72a-a5a7ecf2bf88/buckets/21d2b0bc-e54c-4b64-a30b-89127b18b785/images/profile/pictures/default/241ba243-834f-5df7-b1e2-4e4c728be924?rule=pp-small ; Renault : Renault ; Twingo : Twingo ; RENAULT : RENAULT ; 140000 km : 140000 ; Essence : 1 ; Manuelle : 1 ; Initiale : RENAULT_Twingo_Initiale ; Twingo 1.2 16v 75ch Initiale : Twingo 1.2 16v 75ch Initiale ; Non : false ; 06/2004 : 06/2004 ; Berline : berline ; Noir : noir ; 5 Cv : 5 ; 75 Ch : 75 ; Avec permis : avecpermis ; credit_card : credit_card ; false : false ; https://autoviza.fr/report/report?uid=ed133e47-ea83-4c6b-b319-60ac7e37c5bb : https://autoviza.fr/report/report?uid=ed133e47-ea83-4c6b-b319-60ac7e37c5bb ; true : true ; u_car_brand : RENAULT ; u_car_model : Twingo ; u_car_finition : Initiale ; u_car_version : Twingo 1.2 16v 75ch Initiale ; vehicle_technical_inspection_valid : Non ; vehicle_upholstery : Tout cuir ; vehicle_interior_specs : Climatisation, Phares anti-brouillard, Sièges en cuir, Toit ouvrant / Toit panoramique ; vehicle_vsp : Avec permis ; vehicle_available_payment_methods : credit_card ; is_import : false ; vehicle_is_eligible_p2p : 2 ; vehicle_history_report_public_url : https://autoviza.fr/report/report?uid=ed133e47-ea83-4c6b-b319-60ac7e37c5bb ; argus_object_id : 723166 ; licence_plate_available : true</t>
        </is>
      </c>
      <c r="AG429" s="19" t="inlineStr">
        <is>
          <t>Voir</t>
        </is>
      </c>
      <c r="AH429" s="10" t="inlineStr">
        <is>
          <t>3236310353</t>
        </is>
      </c>
    </row>
    <row r="430">
      <c r="A430" s="10" t="inlineStr">
        <is>
          <t>Renault Twingo 1 découvrable</t>
        </is>
      </c>
      <c r="B430" s="10" t="inlineStr">
        <is>
          <t>Twingo I Matic toit ouvrant</t>
        </is>
      </c>
      <c r="C430" s="10" t="inlineStr">
        <is>
          <t>En vente</t>
        </is>
      </c>
      <c r="D430" s="18" t="n">
        <v>46242</v>
      </c>
      <c r="E430" s="18" t="n">
        <v>46242</v>
      </c>
      <c r="F430" s="18" t="n">
        <v>46296</v>
      </c>
      <c r="G430" s="18" t="n"/>
      <c r="H430" s="17">
        <f>IF(OR(ISNUMBER(D430),ISNUMBER(E430)),IF(ISNUMBER(G430),G430,F430)-IF(ISNUMBER(D430),D430,E430),"")</f>
        <v/>
      </c>
      <c r="I430" s="12" t="n">
        <v>699</v>
      </c>
      <c r="J430" s="12" t="n">
        <v>699</v>
      </c>
      <c r="K430" s="13">
        <f>IF(AND(ISNUMBER(I430),ISNUMBER(J430),I430&gt;0),1-J430/I430,"")</f>
        <v/>
      </c>
      <c r="L430" s="16" t="n">
        <v>0</v>
      </c>
      <c r="M430" s="15" t="n">
        <v>194000</v>
      </c>
      <c r="N430" s="16" t="n">
        <v>1997</v>
      </c>
      <c r="O430" s="10" t="inlineStr">
        <is>
          <t>1</t>
        </is>
      </c>
      <c r="P430" s="10" t="inlineStr">
        <is>
          <t>2</t>
        </is>
      </c>
      <c r="Q430" s="16" t="n">
        <v>60</v>
      </c>
      <c r="R430" s="16" t="n">
        <v>5</v>
      </c>
      <c r="S430" s="10" t="inlineStr">
        <is>
          <t>noir</t>
        </is>
      </c>
      <c r="T430" s="16" t="n">
        <v>3</v>
      </c>
      <c r="U430" s="10" t="n"/>
      <c r="V430" s="10" t="n"/>
      <c r="W430" s="10" t="inlineStr">
        <is>
          <t>Particulier</t>
        </is>
      </c>
      <c r="X430" s="10" t="inlineStr">
        <is>
          <t>Cahors</t>
        </is>
      </c>
      <c r="Y430" s="10" t="inlineStr">
        <is>
          <t>46000</t>
        </is>
      </c>
      <c r="Z430" s="10" t="inlineStr">
        <is>
          <t>Lot</t>
        </is>
      </c>
      <c r="AA430" s="10" t="inlineStr">
        <is>
          <t>Midi-Pyrénées</t>
        </is>
      </c>
      <c r="AB430" s="16" t="n"/>
      <c r="AC430" s="16" t="n"/>
      <c r="AD430" s="10" t="n"/>
      <c r="AE430" s="10" t="n"/>
      <c r="AF430" s="10" t="inlineStr">
        <is>
          <t>1 : 1 ; 2 : 2 ; 3 : 3 ; 15 : 15 ; 1997 : 1997 ; https://img.leboncoin.fr/api/v1/tenants/9a6387a1-6259-4f2c-a887-7e67f23dd4cb/domains/20bda58f-d650-462e-a72a-a5a7ecf2bf88/buckets/21d2b0bc-e54c-4b64-a30b-89127b18b785/images/profile/pictures/default/62ba70a0-41af-5146-81f3-2a46abb82c10?rule=pp-small : https://img.leboncoin.fr/api/v1/tenants/9a6387a1-6259-4f2c-a887-7e67f23dd4cb/domains/20bda58f-d650-462e-a72a-a5a7ecf2bf88/buckets/21d2b0bc-e54c-4b64-a30b-89127b18b785/images/profile/pictures/default/62ba70a0-41af-5146-81f3-2a46abb82c10?rule=pp-small ; Renault : Renault ; Twingo : Twingo ; RENAULT : RENAULT ; 194000 km : 194000 ; Essence : 1 ; Automatique : 2 ; 10/1997 : 10/1997 ; Berline : berline ; Noir : noir ; 5 Cv : 5 ; 60 Ch : 60 ; Avec permis : avecpermis ; credit_card : credit_card ; false : false ; true : true ; rating_score : 1 ; rating_count : 15 ; u_car_brand : RENAULT ; u_car_model : Twingo ; vehicle_upholstery : Tout cuir ; vehicle_vsp : Avec permis ; vehicle_available_payment_methods : credit_card ; is_import : false ; vehicle_is_eligible_p2p : 2 ; licence_plate_available : true</t>
        </is>
      </c>
      <c r="AG430" s="19" t="inlineStr">
        <is>
          <t>Voir</t>
        </is>
      </c>
      <c r="AH430" s="10" t="inlineStr">
        <is>
          <t>3246605855</t>
        </is>
      </c>
    </row>
    <row r="431">
      <c r="A431" s="10" t="inlineStr">
        <is>
          <t>Renault Twingo 1 découvrable</t>
        </is>
      </c>
      <c r="B431" s="10" t="inlineStr">
        <is>
          <t>Renault Twingo 1.2 16V 75 ch – Climatisation – Toit ouvrant</t>
        </is>
      </c>
      <c r="C431" s="10" t="inlineStr">
        <is>
          <t>En vente</t>
        </is>
      </c>
      <c r="D431" s="18" t="n">
        <v>46255</v>
      </c>
      <c r="E431" s="18" t="n">
        <v>46255</v>
      </c>
      <c r="F431" s="18" t="n">
        <v>46296</v>
      </c>
      <c r="G431" s="18" t="n"/>
      <c r="H431" s="17">
        <f>IF(OR(ISNUMBER(D431),ISNUMBER(E431)),IF(ISNUMBER(G431),G431,F431)-IF(ISNUMBER(D431),D431,E431),"")</f>
        <v/>
      </c>
      <c r="I431" s="12" t="n">
        <v>3500</v>
      </c>
      <c r="J431" s="12" t="n">
        <v>3500</v>
      </c>
      <c r="K431" s="13">
        <f>IF(AND(ISNUMBER(I431),ISNUMBER(J431),I431&gt;0),1-J431/I431,"")</f>
        <v/>
      </c>
      <c r="L431" s="16" t="n">
        <v>0</v>
      </c>
      <c r="M431" s="15" t="n">
        <v>167000</v>
      </c>
      <c r="N431" s="16" t="n">
        <v>2003</v>
      </c>
      <c r="O431" s="10" t="inlineStr">
        <is>
          <t>1</t>
        </is>
      </c>
      <c r="P431" s="10" t="inlineStr">
        <is>
          <t>1</t>
        </is>
      </c>
      <c r="Q431" s="16" t="n">
        <v>75</v>
      </c>
      <c r="R431" s="16" t="n">
        <v>5</v>
      </c>
      <c r="S431" s="10" t="inlineStr">
        <is>
          <t>gris</t>
        </is>
      </c>
      <c r="T431" s="16" t="n">
        <v>3</v>
      </c>
      <c r="U431" s="10" t="n"/>
      <c r="V431" s="10" t="n"/>
      <c r="W431" s="10" t="inlineStr">
        <is>
          <t>Particulier</t>
        </is>
      </c>
      <c r="X431" s="10" t="inlineStr">
        <is>
          <t>Montbrison</t>
        </is>
      </c>
      <c r="Y431" s="10" t="inlineStr">
        <is>
          <t>42600</t>
        </is>
      </c>
      <c r="Z431" s="10" t="inlineStr">
        <is>
          <t>Loire</t>
        </is>
      </c>
      <c r="AA431" s="10" t="inlineStr">
        <is>
          <t>Rhône-Alpes</t>
        </is>
      </c>
      <c r="AB431" s="16" t="n"/>
      <c r="AC431" s="16" t="n"/>
      <c r="AD431" s="10" t="n"/>
      <c r="AE431" s="10" t="n"/>
      <c r="AF431" s="10" t="inlineStr">
        <is>
          <t>2 : 2 ; 3 : 3 ; 4 : 4 ; 33 : 33 ; 2003 : 2003 ; 2028 : 2028 ; 723138 : 723138 ; 0.99 : 0.99 ; https://img.leboncoin.fr/api/v1/tenants/9a6387a1-6259-4f2c-a887-7e67f23dd4cb/domains/20bda58f-d650-462e-a72a-a5a7ecf2bf88/buckets/21d2b0bc-e54c-4b64-a30b-89127b18b785/images/profile/pictures/default/511bc5a5-ae72-5bca-9823-218437d06a59?rule=pp-small : https://img.leboncoin.fr/api/v1/tenants/9a6387a1-6259-4f2c-a887-7e67f23dd4cb/domains/20bda58f-d650-462e-a72a-a5a7ecf2bf88/buckets/21d2b0bc-e54c-4b64-a30b-89127b18b785/images/profile/pictures/default/511bc5a5-ae72-5bca-9823-218437d06a59?rule=pp-small ; Renault : Renault ; Twingo : Twingo ; RENAULT : RENAULT ; 167000 km : 167000 ; Essence : 1 ; Manuelle : 1 ; Expression : RENAULT_Twingo_Expression ; Twingo 1.2 16v 75ch Expression : Twingo 1.2 16v 75ch Expression ; Oui : true ; 10/2003 : 10/2003 ; Traces d’usure normales : normal_wear_and_tear ; Berline : berline ; Gris : gris ; 5 Cv : 5 ; 75 Ch : 75 ; Avec permis : avecpermis ; credit_card : credit_card ; false : false ; https://autoviza.fr/report/report?uid=3c2eb0d1-c8b7-42a4-901e-c37f7f895695 : https://autoviza.fr/report/report?uid=3c2eb0d1-c8b7-42a4-901e-c37f7f895695 ; visible : visible ; true : true ; rating_score : 0.99 ; rating_count : 33 ; u_car_brand : RENAULT ; u_car_model : Twingo ; u_car_finition : Expression ; u_car_version : Twingo 1.2 16v 75ch Expression ; vehicle_technical_inspection_valid : Oui ; vehicle_technical_inspection_a : 2028 ; vehicle_damage : Traces d’usure normales ; vehicle_upholstery : Tissu ; vehicle_maintenance : Réparations utiles déjà faites ; vehicle_interior_specs : Climatisation, Toit ouvrant / Toit panoramique ; vehicle_vsp : Avec permis ; vehicle_available_payment_methods : credit_card ; is_import : false ; vehicle_is_eligible_p2p : 2 ; vehicle_history_report_public_url : https://autoviza.fr/report/report?uid=3c2eb0d1-c8b7-42a4-901e-c37f7f895695 ; vehicle_history_report_status : visible ; argus_object_id : 723138 ; licence_plate_available : true</t>
        </is>
      </c>
      <c r="AG431" s="19" t="inlineStr">
        <is>
          <t>Voir</t>
        </is>
      </c>
      <c r="AH431" s="10" t="inlineStr">
        <is>
          <t>3254091933</t>
        </is>
      </c>
    </row>
    <row r="432">
      <c r="A432" s="10" t="inlineStr">
        <is>
          <t>Renault Twingo 1 découvrable</t>
        </is>
      </c>
      <c r="B432" s="10" t="inlineStr">
        <is>
          <t>RENAULT TWINGO PHASE 2 1.2i 60CH Cinetic Toit ouvrant…</t>
        </is>
      </c>
      <c r="C432" s="10" t="inlineStr">
        <is>
          <t>En vente</t>
        </is>
      </c>
      <c r="D432" s="18" t="n">
        <v>46256</v>
      </c>
      <c r="E432" s="18" t="n">
        <v>46256</v>
      </c>
      <c r="F432" s="18" t="n">
        <v>46296</v>
      </c>
      <c r="G432" s="18" t="n"/>
      <c r="H432" s="17">
        <f>IF(OR(ISNUMBER(D432),ISNUMBER(E432)),IF(ISNUMBER(G432),G432,F432)-IF(ISNUMBER(D432),D432,E432),"")</f>
        <v/>
      </c>
      <c r="I432" s="12" t="n">
        <v>3490</v>
      </c>
      <c r="J432" s="12" t="n">
        <v>3490</v>
      </c>
      <c r="K432" s="13">
        <f>IF(AND(ISNUMBER(I432),ISNUMBER(J432),I432&gt;0),1-J432/I432,"")</f>
        <v/>
      </c>
      <c r="L432" s="16" t="n">
        <v>0</v>
      </c>
      <c r="M432" s="15" t="n">
        <v>120513</v>
      </c>
      <c r="N432" s="16" t="n">
        <v>2001</v>
      </c>
      <c r="O432" s="10" t="inlineStr">
        <is>
          <t>1</t>
        </is>
      </c>
      <c r="P432" s="10" t="inlineStr">
        <is>
          <t>1</t>
        </is>
      </c>
      <c r="Q432" s="16" t="n">
        <v>60</v>
      </c>
      <c r="R432" s="16" t="n">
        <v>4</v>
      </c>
      <c r="S432" s="10" t="inlineStr">
        <is>
          <t>rouge</t>
        </is>
      </c>
      <c r="T432" s="16" t="n">
        <v>3</v>
      </c>
      <c r="U432" s="10" t="n"/>
      <c r="V432" s="10" t="inlineStr">
        <is>
          <t>3</t>
        </is>
      </c>
      <c r="W432" s="10" t="inlineStr">
        <is>
          <t>Pro</t>
        </is>
      </c>
      <c r="X432" s="10" t="inlineStr">
        <is>
          <t>Beaugency</t>
        </is>
      </c>
      <c r="Y432" s="10" t="inlineStr">
        <is>
          <t>45190</t>
        </is>
      </c>
      <c r="Z432" s="10" t="inlineStr">
        <is>
          <t>Loiret</t>
        </is>
      </c>
      <c r="AA432" s="10" t="inlineStr">
        <is>
          <t>Centre</t>
        </is>
      </c>
      <c r="AB432" s="16" t="n"/>
      <c r="AC432" s="16" t="n"/>
      <c r="AD432" s="10" t="n"/>
      <c r="AE432" s="10" t="n"/>
      <c r="AF432" s="10" t="inlineStr">
        <is>
          <t>1 : 1 ; 3 : 3 ; 4 : 4 ; 2001 : 2001 ; 2028 : 2028 ; Renault : Renault ; Twingo : Twingo ; RENAULT : RENAULT ; 120513 km : 120513 ; Essence : 1 ; Manuelle : 1 ; Oui : true ; 05/2001 : 05/2001 ; Bon état général : good_overall_condition ; Berline : berline ; Rouge : rouge ; 4 Cv : 4 ; 60 Ch : 60 ; Avec permis : avecpermis ; false : false ; Non : false ; https://autoviza.fr/report/report?uid=b1399419-b0ec-48dc-ac07-0b16fdf46825 : https://autoviza.fr/report/report?uid=b1399419-b0ec-48dc-ac07-0b16fdf46825 ; visible : visible ; Non renseignée : non_renseignee ; true : true ; activity_sector : 1 ; u_car_brand : RENAULT ; u_car_model : Twingo ; vehicle_technical_inspection_valid : Oui ; vehicle_technical_inspection_a : 2028 ; vehicle_damage : Bon état général ; vehicle_upholstery : Tissu ; vehicle_maintenance : Véhicule non fumeur, Factures disponibles, Réparations utiles déjà faites ; vehicle_interior_specs : Phares anti-brouillard, Roue de secours, Sièges arrières coulissants, Toit ouvrant / Toit panoramique, Volant réglable en hauteur ; vehicle_vsp : Avec permis ; recent_used_vehicle : false ; vehicle_commercial_warranty : Non ; vehicle_manufacturer_warranty : Non ; is_import : false ; vehicle_history_report_public_url : https://autoviza.fr/report/report?uid=b1399419-b0ec-48dc-ac07-0b16fdf46825 ; vehicle_history_report_status : visible ; spare_parts_availability : Non renseignée ; licence_plate_available : true</t>
        </is>
      </c>
      <c r="AG432" s="19" t="inlineStr">
        <is>
          <t>Voir</t>
        </is>
      </c>
      <c r="AH432" s="10" t="inlineStr">
        <is>
          <t>3254592892</t>
        </is>
      </c>
    </row>
    <row r="433">
      <c r="A433" s="10" t="inlineStr">
        <is>
          <t>Renault Twingo 1 découvrable</t>
        </is>
      </c>
      <c r="B433" s="10" t="inlineStr">
        <is>
          <t>Renault Twingo 1.2 16V - Toit ouvrant - CT OK</t>
        </is>
      </c>
      <c r="C433" s="10" t="inlineStr">
        <is>
          <t>En vente</t>
        </is>
      </c>
      <c r="D433" s="18" t="n">
        <v>46271</v>
      </c>
      <c r="E433" s="18" t="n">
        <v>46271</v>
      </c>
      <c r="F433" s="18" t="n">
        <v>46296</v>
      </c>
      <c r="G433" s="18" t="n"/>
      <c r="H433" s="17">
        <f>IF(OR(ISNUMBER(D433),ISNUMBER(E433)),IF(ISNUMBER(G433),G433,F433)-IF(ISNUMBER(D433),D433,E433),"")</f>
        <v/>
      </c>
      <c r="I433" s="12" t="n">
        <v>3100</v>
      </c>
      <c r="J433" s="12" t="n">
        <v>3100</v>
      </c>
      <c r="K433" s="13">
        <f>IF(AND(ISNUMBER(I433),ISNUMBER(J433),I433&gt;0),1-J433/I433,"")</f>
        <v/>
      </c>
      <c r="L433" s="16" t="n">
        <v>0</v>
      </c>
      <c r="M433" s="15" t="n">
        <v>147790</v>
      </c>
      <c r="N433" s="16" t="n">
        <v>2003</v>
      </c>
      <c r="O433" s="10" t="inlineStr">
        <is>
          <t>1</t>
        </is>
      </c>
      <c r="P433" s="10" t="inlineStr">
        <is>
          <t>1</t>
        </is>
      </c>
      <c r="Q433" s="16" t="n">
        <v>75</v>
      </c>
      <c r="R433" s="16" t="n">
        <v>5</v>
      </c>
      <c r="S433" s="10" t="inlineStr">
        <is>
          <t>bleu</t>
        </is>
      </c>
      <c r="T433" s="16" t="n">
        <v>3</v>
      </c>
      <c r="U433" s="10" t="n"/>
      <c r="V433" s="10" t="n"/>
      <c r="W433" s="10" t="inlineStr">
        <is>
          <t>Particulier</t>
        </is>
      </c>
      <c r="X433" s="10" t="inlineStr">
        <is>
          <t>Noyal-Châtillon-sur-Seiche</t>
        </is>
      </c>
      <c r="Y433" s="10" t="inlineStr">
        <is>
          <t>35230</t>
        </is>
      </c>
      <c r="Z433" s="10" t="inlineStr">
        <is>
          <t>Ille-et-Vilaine</t>
        </is>
      </c>
      <c r="AA433" s="10" t="inlineStr">
        <is>
          <t>Bretagne</t>
        </is>
      </c>
      <c r="AB433" s="16" t="n"/>
      <c r="AC433" s="16" t="n"/>
      <c r="AD433" s="10" t="n"/>
      <c r="AE433" s="10" t="n"/>
      <c r="AF433" s="10" t="inlineStr">
        <is>
          <t>1 : 1 ; 2 : 2 ; 3 : 3 ; 4 : 4 ; 33 : 33 ; 2003 : 2003 ; 2028 : 2028 ; https://img.leboncoin.fr/api/v1/tenants/9a6387a1-6259-4f2c-a887-7e67f23dd4cb/domains/20bda58f-d650-462e-a72a-a5a7ecf2bf88/buckets/21d2b0bc-e54c-4b64-a30b-89127b18b785/images/profile/pictures/default/0bc51c63-be28-5772-a89f-310e05789b99?rule=pp-small : https://img.leboncoin.fr/api/v1/tenants/9a6387a1-6259-4f2c-a887-7e67f23dd4cb/domains/20bda58f-d650-462e-a72a-a5a7ecf2bf88/buckets/21d2b0bc-e54c-4b64-a30b-89127b18b785/images/profile/pictures/default/0bc51c63-be28-5772-a89f-310e05789b99?rule=pp-small ; Renault : Renault ; Twingo : Twingo ; RENAULT : RENAULT ; 147790 km : 147790 ; Essence : 1 ; Manuelle : 1 ; Oui : true ; 06/2003 : 06/2003 ; Bon état général : good_overall_condition ; Citadine : citadine ; Bleu : bleu ; 5 Cv : 5 ; 75 Ch : 75 ; Avec permis : avecpermis ; credit_card : credit_card ; false : false ; true : true ; rating_score : 1 ; rating_count : 33 ; u_car_brand : RENAULT ; u_car_model : Twingo ; vehicle_technical_inspection_valid : Oui ; vehicle_technical_inspection_a : 2028 ; vehicle_damage : Bon état général ; vehicle_upholstery : Tissu ; vehicle_maintenance : Véhicule non fumeur, Réparations utiles déjà faites, Factures disponibles ; vehicle_interior_specs : Bluetooth, Chargeurs USB, Roue de secours, Siège arrière rabattable, Sièges arrières coulissants, Toit ouvrant / Toit panoramique ; vehicle_vsp : Avec permis ; vehicle_available_payment_methods : credit_card ; is_import : false ; vehicle_is_eligible_p2p : 2 ; licence_plate_available : true</t>
        </is>
      </c>
      <c r="AG433" s="19" t="inlineStr">
        <is>
          <t>Voir</t>
        </is>
      </c>
      <c r="AH433" s="10" t="inlineStr">
        <is>
          <t>3264401233</t>
        </is>
      </c>
    </row>
    <row r="434">
      <c r="A434" s="10" t="inlineStr">
        <is>
          <t>Renault Twingo 1 découvrable</t>
        </is>
      </c>
      <c r="B434" s="10" t="inlineStr">
        <is>
          <t>Renault Twingo 1.2 16V 75 ch Initiale – Toit ouvrant</t>
        </is>
      </c>
      <c r="C434" s="10" t="inlineStr">
        <is>
          <t>En vente</t>
        </is>
      </c>
      <c r="D434" s="18" t="n">
        <v>46272</v>
      </c>
      <c r="E434" s="18" t="n">
        <v>46272</v>
      </c>
      <c r="F434" s="18" t="n">
        <v>46296</v>
      </c>
      <c r="G434" s="18" t="n"/>
      <c r="H434" s="17">
        <f>IF(OR(ISNUMBER(D434),ISNUMBER(E434)),IF(ISNUMBER(G434),G434,F434)-IF(ISNUMBER(D434),D434,E434),"")</f>
        <v/>
      </c>
      <c r="I434" s="12" t="n">
        <v>2200</v>
      </c>
      <c r="J434" s="12" t="n">
        <v>2200</v>
      </c>
      <c r="K434" s="13">
        <f>IF(AND(ISNUMBER(I434),ISNUMBER(J434),I434&gt;0),1-J434/I434,"")</f>
        <v/>
      </c>
      <c r="L434" s="16" t="n">
        <v>0</v>
      </c>
      <c r="M434" s="15" t="n">
        <v>175395</v>
      </c>
      <c r="N434" s="16" t="n">
        <v>2003</v>
      </c>
      <c r="O434" s="10" t="inlineStr">
        <is>
          <t>1</t>
        </is>
      </c>
      <c r="P434" s="10" t="inlineStr">
        <is>
          <t>1</t>
        </is>
      </c>
      <c r="Q434" s="16" t="n">
        <v>75</v>
      </c>
      <c r="R434" s="16" t="n">
        <v>5</v>
      </c>
      <c r="S434" s="10" t="inlineStr">
        <is>
          <t>bleu</t>
        </is>
      </c>
      <c r="T434" s="16" t="n">
        <v>3</v>
      </c>
      <c r="U434" s="10" t="n"/>
      <c r="V434" s="10" t="n"/>
      <c r="W434" s="10" t="inlineStr">
        <is>
          <t>Particulier</t>
        </is>
      </c>
      <c r="X434" s="10" t="inlineStr">
        <is>
          <t>Suresnes</t>
        </is>
      </c>
      <c r="Y434" s="10" t="inlineStr">
        <is>
          <t>92150</t>
        </is>
      </c>
      <c r="Z434" s="10" t="inlineStr">
        <is>
          <t>Hauts-de-Seine</t>
        </is>
      </c>
      <c r="AA434" s="10" t="inlineStr">
        <is>
          <t>Ile-de-France</t>
        </is>
      </c>
      <c r="AB434" s="16" t="n"/>
      <c r="AC434" s="16" t="n"/>
      <c r="AD434" s="10" t="n"/>
      <c r="AE434" s="10" t="n"/>
      <c r="AF434" s="10" t="inlineStr">
        <is>
          <t>2 : 2 ; 3 : 3 ; 4 : 4 ; 2003 : 2003 ; 2028 : 2028 ; 723143 : 723143 ; https://img.leboncoin.fr/api/v1/tenants/9a6387a1-6259-4f2c-a887-7e67f23dd4cb/domains/20bda58f-d650-462e-a72a-a5a7ecf2bf88/buckets/21d2b0bc-e54c-4b64-a30b-89127b18b785/images/profile/pictures/default/783f1a10-9381-5708-8154-5ff7e0ae5677?rule=pp-small : https://img.leboncoin.fr/api/v1/tenants/9a6387a1-6259-4f2c-a887-7e67f23dd4cb/domains/20bda58f-d650-462e-a72a-a5a7ecf2bf88/buckets/21d2b0bc-e54c-4b64-a30b-89127b18b785/images/profile/pictures/default/783f1a10-9381-5708-8154-5ff7e0ae5677?rule=pp-small ; Renault : Renault ; Twingo : Twingo ; RENAULT : RENAULT ; 175395 km : 175395 ; Essence : 1 ; Manuelle : 1 ; Initiale : RENAULT_Twingo_Initiale ; Twingo 1.2 16v 75ch Initiale : Twingo 1.2 16v 75ch Initiale ; Oui : true ; 02/2003 : 02/2003 ; Réparations mineures à prévoir : minor_repairs_needed ; Berline : berline ; Bleu : bleu ; 5 Cv : 5 ; 75 Ch : 75 ; Avec permis : avecpermis ; credit_card : credit_card ; false : false ; https://autoviza.fr/report/report?uid=9cca6bf4-d38e-4d15-9b41-28b20f724f60 : https://autoviza.fr/report/report?uid=9cca6bf4-d38e-4d15-9b41-28b20f724f60 ; visible : visible ; true : true ; u_car_brand : RENAULT ; u_car_model : Twingo ; u_car_finition : Initiale ; u_car_version : Twingo 1.2 16v 75ch Initiale ; vehicle_technical_inspection_valid : Oui ; vehicle_technical_inspection_a : 2028 ; vehicle_damage : Réparations mineures à prévoir ; vehicle_upholstery : Tout cuir ; vehicle_maintenance : Véhicule non fumeur ; vehicle_interior_specs : Chargeurs USB, Climatisation, Jantes en alliage, Ordinateur de bord, Sièges en cuir, Toit ouvrant / Toit panoramique ; vehicle_vsp : Avec permis ; vehicle_available_payment_methods : credit_card ; is_import : false ; vehicle_is_eligible_p2p : 2 ; vehicle_history_report_public_url : https://autoviza.fr/report/report?uid=9cca6bf4-d38e-4d15-9b41-28b20f724f60 ; vehicle_history_report_status : visible ; argus_object_id : 723143 ; licence_plate_available : true</t>
        </is>
      </c>
      <c r="AG434" s="19" t="inlineStr">
        <is>
          <t>Voir</t>
        </is>
      </c>
      <c r="AH434" s="10" t="inlineStr">
        <is>
          <t>3265072540</t>
        </is>
      </c>
    </row>
    <row r="435">
      <c r="A435" s="10" t="inlineStr">
        <is>
          <t>Renault Twingo 1 découvrable</t>
        </is>
      </c>
      <c r="B435" s="10" t="inlineStr">
        <is>
          <t>Renault Twingo 1.2 4CV – 215 365 km – Toit ouvrant – CT 2027</t>
        </is>
      </c>
      <c r="C435" s="10" t="inlineStr">
        <is>
          <t>En vente</t>
        </is>
      </c>
      <c r="D435" s="18" t="n">
        <v>46272</v>
      </c>
      <c r="E435" s="18" t="n">
        <v>46272</v>
      </c>
      <c r="F435" s="18" t="n">
        <v>46296</v>
      </c>
      <c r="G435" s="18" t="n"/>
      <c r="H435" s="17">
        <f>IF(OR(ISNUMBER(D435),ISNUMBER(E435)),IF(ISNUMBER(G435),G435,F435)-IF(ISNUMBER(D435),D435,E435),"")</f>
        <v/>
      </c>
      <c r="I435" s="12" t="n">
        <v>2500</v>
      </c>
      <c r="J435" s="12" t="n">
        <v>2500</v>
      </c>
      <c r="K435" s="13">
        <f>IF(AND(ISNUMBER(I435),ISNUMBER(J435),I435&gt;0),1-J435/I435,"")</f>
        <v/>
      </c>
      <c r="L435" s="16" t="n">
        <v>0</v>
      </c>
      <c r="M435" s="15" t="n">
        <v>215365</v>
      </c>
      <c r="N435" s="16" t="n">
        <v>2000</v>
      </c>
      <c r="O435" s="10" t="inlineStr">
        <is>
          <t>1</t>
        </is>
      </c>
      <c r="P435" s="10" t="inlineStr">
        <is>
          <t>1</t>
        </is>
      </c>
      <c r="Q435" s="16" t="n">
        <v>60</v>
      </c>
      <c r="R435" s="16" t="n">
        <v>4</v>
      </c>
      <c r="S435" s="10" t="inlineStr">
        <is>
          <t>autre</t>
        </is>
      </c>
      <c r="T435" s="16" t="n">
        <v>3</v>
      </c>
      <c r="U435" s="10" t="n"/>
      <c r="V435" s="10" t="n"/>
      <c r="W435" s="10" t="inlineStr">
        <is>
          <t>Particulier</t>
        </is>
      </c>
      <c r="X435" s="10" t="inlineStr">
        <is>
          <t>Roquefort</t>
        </is>
      </c>
      <c r="Y435" s="10" t="inlineStr">
        <is>
          <t>47310</t>
        </is>
      </c>
      <c r="Z435" s="10" t="inlineStr">
        <is>
          <t>Lot-et-Garonne</t>
        </is>
      </c>
      <c r="AA435" s="10" t="inlineStr">
        <is>
          <t>Aquitaine</t>
        </is>
      </c>
      <c r="AB435" s="16" t="n"/>
      <c r="AC435" s="16" t="n"/>
      <c r="AD435" s="10" t="n"/>
      <c r="AE435" s="10" t="n"/>
      <c r="AF435" s="10" t="inlineStr">
        <is>
          <t>1 : 1 ; 2 : 2 ; 3 : 3 ; 4 : 4 ; 2000 : 2000 ; 2027 : 2027 ; https://img.leboncoin.fr/api/v1/tenants/9a6387a1-6259-4f2c-a887-7e67f23dd4cb/domains/20bda58f-d650-462e-a72a-a5a7ecf2bf88/buckets/21d2b0bc-e54c-4b64-a30b-89127b18b785/images/profile/pictures/default/62cbf97b-1c29-5c17-8e08-a3bef488df6b?rule=pp-small : https://img.leboncoin.fr/api/v1/tenants/9a6387a1-6259-4f2c-a887-7e67f23dd4cb/domains/20bda58f-d650-462e-a72a-a5a7ecf2bf88/buckets/21d2b0bc-e54c-4b64-a30b-89127b18b785/images/profile/pictures/default/62cbf97b-1c29-5c17-8e08-a3bef488df6b?rule=pp-small ; Renault : Renault ; Twingo : Twingo ; RENAULT : RENAULT ; 215365 km : 215365 ; Essence : 1 ; Manuelle : 1 ; Oui : true ; 01/2000 : 01/2000 ; Bon état général : good_overall_condition ; Berline : berline ; Autre : autre ; 4 Cv : 4 ; 60 Ch : 60 ; Avec permis : avecpermis ; credit_card : credit_card ; false : false ; true : true ; rating_score : 1 ; rating_count : 1 ; u_car_brand : RENAULT ; u_car_model : Twingo ; vehicle_technical_inspection_valid : Oui ; vehicle_technical_inspection_a : 2027 ; vehicle_damage : Bon état général ; vehicle_upholstery : Tissu ; vehicle_maintenance : Carnet d'entretien disponible, Véhicule non fumeur, Factures disponibles, Réparations utiles déjà faites ; vehicle_interior_specs : Roue de secours, Siège arrière rabattable, Sièges arrières coulissants, Toit ouvrant / Toit panoramique ; vehicle_vsp : Avec permis ; vehicle_available_payment_methods : credit_card ; is_import : false ; vehicle_is_eligible_p2p : 2 ; licence_plate_available : true</t>
        </is>
      </c>
      <c r="AG435" s="19" t="inlineStr">
        <is>
          <t>Voir</t>
        </is>
      </c>
      <c r="AH435" s="10" t="inlineStr">
        <is>
          <t>3265411834</t>
        </is>
      </c>
    </row>
    <row r="436">
      <c r="A436" s="10" t="inlineStr">
        <is>
          <t>Renault Twingo 1 découvrable</t>
        </is>
      </c>
      <c r="B436" s="10" t="inlineStr">
        <is>
          <t>Twingo 1 toit ouvrant</t>
        </is>
      </c>
      <c r="C436" s="10" t="inlineStr">
        <is>
          <t>En vente</t>
        </is>
      </c>
      <c r="D436" s="18" t="n">
        <v>46272</v>
      </c>
      <c r="E436" s="18" t="n">
        <v>46272</v>
      </c>
      <c r="F436" s="18" t="n">
        <v>46296</v>
      </c>
      <c r="G436" s="18" t="n"/>
      <c r="H436" s="17">
        <f>IF(OR(ISNUMBER(D436),ISNUMBER(E436)),IF(ISNUMBER(G436),G436,F436)-IF(ISNUMBER(D436),D436,E436),"")</f>
        <v/>
      </c>
      <c r="I436" s="12" t="n">
        <v>1200</v>
      </c>
      <c r="J436" s="12" t="n">
        <v>1200</v>
      </c>
      <c r="K436" s="13">
        <f>IF(AND(ISNUMBER(I436),ISNUMBER(J436),I436&gt;0),1-J436/I436,"")</f>
        <v/>
      </c>
      <c r="L436" s="16" t="n">
        <v>0</v>
      </c>
      <c r="M436" s="15" t="n">
        <v>202000</v>
      </c>
      <c r="N436" s="16" t="n">
        <v>1998</v>
      </c>
      <c r="O436" s="10" t="inlineStr">
        <is>
          <t>1</t>
        </is>
      </c>
      <c r="P436" s="10" t="inlineStr">
        <is>
          <t>1</t>
        </is>
      </c>
      <c r="Q436" s="16" t="n">
        <v>60</v>
      </c>
      <c r="R436" s="16" t="n">
        <v>4</v>
      </c>
      <c r="S436" s="10" t="inlineStr">
        <is>
          <t>jaune</t>
        </is>
      </c>
      <c r="T436" s="16" t="n">
        <v>3</v>
      </c>
      <c r="U436" s="10" t="n"/>
      <c r="V436" s="10" t="n"/>
      <c r="W436" s="10" t="inlineStr">
        <is>
          <t>Particulier</t>
        </is>
      </c>
      <c r="X436" s="10" t="inlineStr">
        <is>
          <t>Crest</t>
        </is>
      </c>
      <c r="Y436" s="10" t="inlineStr">
        <is>
          <t>26400</t>
        </is>
      </c>
      <c r="Z436" s="10" t="inlineStr">
        <is>
          <t>Drôme</t>
        </is>
      </c>
      <c r="AA436" s="10" t="inlineStr">
        <is>
          <t>Rhône-Alpes</t>
        </is>
      </c>
      <c r="AB436" s="16" t="n"/>
      <c r="AC436" s="16" t="n"/>
      <c r="AD436" s="10" t="n"/>
      <c r="AE436" s="10" t="n"/>
      <c r="AF436" s="10" t="inlineStr">
        <is>
          <t>1 : 1 ; 2 : 2 ; 3 : 3 ; 4 : 4 ; 1998 : 1998 ; 2027 : 2027 ; 723122 : 723122 ; https://img.leboncoin.fr/api/v1/tenants/9a6387a1-6259-4f2c-a887-7e67f23dd4cb/domains/20bda58f-d650-462e-a72a-a5a7ecf2bf88/buckets/21d2b0bc-e54c-4b64-a30b-89127b18b785/images/profile/pictures/default/7411f5b8-d0fd-5a40-9d96-9a85bb8bce07?rule=pp-small : https://img.leboncoin.fr/api/v1/tenants/9a6387a1-6259-4f2c-a887-7e67f23dd4cb/domains/20bda58f-d650-462e-a72a-a5a7ecf2bf88/buckets/21d2b0bc-e54c-4b64-a30b-89127b18b785/images/profile/pictures/default/7411f5b8-d0fd-5a40-9d96-9a85bb8bce07?rule=pp-small ; Renault : Renault ; Twingo : Twingo ; RENAULT : RENAULT ; 202000 km : 202000 ; Essence : 1 ; Manuelle : 1 ; Helios : RENAULT_Twingo_Helios ; Helios_Twingo 1.2 60ch Helios : Helios_Twingo 1.2 60ch Helios ; Oui : true ; 11/1998 : 11/1998 ; Berline : berline ; Jaune : jaune ; 4 Cv : 4 ; 60 Ch : 60 ; Avec permis : avecpermis ; credit_card : credit_card ; false : false ; https://autoviza.fr/report/report?uid=baa4e5b3-694b-4781-983b-d0c68c4366cc : https://autoviza.fr/report/report?uid=baa4e5b3-694b-4781-983b-d0c68c4366cc ; true : true ; rating_score : 1 ; rating_count : 2 ; u_car_brand : RENAULT ; u_car_model : Twingo ; u_car_finition : Helios ; u_car_version : Helios_Twingo 1.2 60ch Helios ; vehicle_technical_inspection_valid : Oui ; vehicle_technical_inspection_a : 2027 ; vehicle_upholstery : Tissu ; vehicle_maintenance : Réparations utiles déjà faites, Véhicule non fumeur, Factures disponibles ; vehicle_interior_specs : Roue de secours, Toit ouvrant / Toit panoramique ; vehicle_vsp : Avec permis ; vehicle_available_payment_methods : credit_card ; is_import : false ; vehicle_is_eligible_p2p : 2 ; vehicle_history_report_public_url : https://autoviza.fr/report/report?uid=baa4e5b3-694b-4781-983b-d0c68c4366cc ; argus_object_id : 723122 ; licence_plate_available : true</t>
        </is>
      </c>
      <c r="AG436" s="19" t="inlineStr">
        <is>
          <t>Voir</t>
        </is>
      </c>
      <c r="AH436" s="10" t="inlineStr">
        <is>
          <t>3265418338</t>
        </is>
      </c>
    </row>
    <row r="437">
      <c r="A437" s="10" t="inlineStr">
        <is>
          <t>Renault Twingo 1 découvrable</t>
        </is>
      </c>
      <c r="B437" s="10" t="inlineStr">
        <is>
          <t>Twingo 1 phase 2 élios toit ouvrant panoramique 4500e</t>
        </is>
      </c>
      <c r="C437" s="10" t="inlineStr">
        <is>
          <t>En vente</t>
        </is>
      </c>
      <c r="D437" s="18" t="n">
        <v>46274</v>
      </c>
      <c r="E437" s="18" t="n">
        <v>46274</v>
      </c>
      <c r="F437" s="18" t="n">
        <v>46296</v>
      </c>
      <c r="G437" s="18" t="n"/>
      <c r="H437" s="17">
        <f>IF(OR(ISNUMBER(D437),ISNUMBER(E437)),IF(ISNUMBER(G437),G437,F437)-IF(ISNUMBER(D437),D437,E437),"")</f>
        <v/>
      </c>
      <c r="I437" s="12" t="n">
        <v>4500</v>
      </c>
      <c r="J437" s="12" t="n">
        <v>4500</v>
      </c>
      <c r="K437" s="13">
        <f>IF(AND(ISNUMBER(I437),ISNUMBER(J437),I437&gt;0),1-J437/I437,"")</f>
        <v/>
      </c>
      <c r="L437" s="16" t="n">
        <v>0</v>
      </c>
      <c r="M437" s="15" t="n">
        <v>142000</v>
      </c>
      <c r="N437" s="16" t="n">
        <v>2000</v>
      </c>
      <c r="O437" s="10" t="inlineStr">
        <is>
          <t>1</t>
        </is>
      </c>
      <c r="P437" s="10" t="inlineStr">
        <is>
          <t>1</t>
        </is>
      </c>
      <c r="Q437" s="16" t="n">
        <v>60</v>
      </c>
      <c r="R437" s="16" t="n">
        <v>4</v>
      </c>
      <c r="S437" s="10" t="inlineStr">
        <is>
          <t>jaune</t>
        </is>
      </c>
      <c r="T437" s="16" t="n">
        <v>3</v>
      </c>
      <c r="U437" s="10" t="n"/>
      <c r="V437" s="10" t="n"/>
      <c r="W437" s="10" t="inlineStr">
        <is>
          <t>Particulier</t>
        </is>
      </c>
      <c r="X437" s="10" t="inlineStr">
        <is>
          <t>Reims</t>
        </is>
      </c>
      <c r="Y437" s="10" t="inlineStr">
        <is>
          <t>51100</t>
        </is>
      </c>
      <c r="Z437" s="10" t="inlineStr">
        <is>
          <t>Marne</t>
        </is>
      </c>
      <c r="AA437" s="10" t="inlineStr">
        <is>
          <t>Champagne-Ardenne</t>
        </is>
      </c>
      <c r="AB437" s="16" t="n"/>
      <c r="AC437" s="16" t="n"/>
      <c r="AD437" s="10" t="n"/>
      <c r="AE437" s="10" t="n"/>
      <c r="AF437" s="10" t="inlineStr">
        <is>
          <t>1 : 1 ; 2 : 2 ; 3 : 3 ; 4 : 4 ; 5 : 5 ; 12 : 12 ; 2000 : 2000 ; https://img.leboncoin.fr/api/v1/tenants/9a6387a1-6259-4f2c-a887-7e67f23dd4cb/domains/20bda58f-d650-462e-a72a-a5a7ecf2bf88/buckets/21d2b0bc-e54c-4b64-a30b-89127b18b785/images/profile/pictures/default/afaff4c6-6567-5993-a9e0-8633ba446c86?rule=pp-small : https://img.leboncoin.fr/api/v1/tenants/9a6387a1-6259-4f2c-a887-7e67f23dd4cb/domains/20bda58f-d650-462e-a72a-a5a7ecf2bf88/buckets/21d2b0bc-e54c-4b64-a30b-89127b18b785/images/profile/pictures/default/afaff4c6-6567-5993-a9e0-8633ba446c86?rule=pp-small ; Renault : Renault ; Twingo : Twingo ; RENAULT : RENAULT ; 142000 km : 142000 ; Essence : 1 ; Manuelle : 1 ; Non : false ; 03/2000 : 03/2000 ; Bon état général : good_overall_condition ; Berline : berline ; Jaune : jaune ; 4 Cv : 4 ; 60 Ch : 60 ; Avec permis : avecpermis ; credit_card : credit_card ; false : false ; https://autoviza.fr/report/report?uid=0f65d902-7c55-4907-9f5d-03695ef62838 : https://autoviza.fr/report/report?uid=0f65d902-7c55-4907-9f5d-03695ef62838 ; true : true ; rating_score : 1 ; rating_count : 12 ; u_car_brand : RENAULT ; u_car_model : Twingo ; vehicle_technical_inspection_valid : Non ; vehicle_damage : Bon état général ; vehicle_upholstery : Velours ; vehicle_maintenance : Factures disponibles ; vehicle_interior_specs : Toit ouvrant / Toit panoramique ; vehicle_vsp : Avec permis ; vehicle_available_payment_methods : credit_card ; is_import : false ; vehicle_is_eligible_p2p : 2 ; vehicle_history_report_public_url : https://autoviza.fr/report/report?uid=0f65d902-7c55-4907-9f5d-03695ef62838 ; vehicle_history_teaser_critair : 3 ; vehicle_history_teaser_owners : 5 ; vehicle_history_teaser_expertises : false ; vehicle_history_teaser_special_uses : false ; vehicle_history_teaser_atypical_operations : true ; vehicle_history_teaser_importations : false ; licence_plate_available : true</t>
        </is>
      </c>
      <c r="AG437" s="19" t="inlineStr">
        <is>
          <t>Voir</t>
        </is>
      </c>
      <c r="AH437" s="10" t="inlineStr">
        <is>
          <t>3266701696</t>
        </is>
      </c>
    </row>
    <row r="438">
      <c r="A438" s="10" t="inlineStr">
        <is>
          <t>Renault Twingo 1 découvrable</t>
        </is>
      </c>
      <c r="B438" s="10" t="inlineStr">
        <is>
          <t>Rare Twingo I Initiale Paris 1.2 16V 75ch – Cuir – Clim – Toit ouvrant</t>
        </is>
      </c>
      <c r="C438" s="10" t="inlineStr">
        <is>
          <t>En vente</t>
        </is>
      </c>
      <c r="D438" s="18" t="n">
        <v>46275</v>
      </c>
      <c r="E438" s="18" t="n">
        <v>46275</v>
      </c>
      <c r="F438" s="18" t="n">
        <v>46296</v>
      </c>
      <c r="G438" s="18" t="n"/>
      <c r="H438" s="17">
        <f>IF(OR(ISNUMBER(D438),ISNUMBER(E438)),IF(ISNUMBER(G438),G438,F438)-IF(ISNUMBER(D438),D438,E438),"")</f>
        <v/>
      </c>
      <c r="I438" s="12" t="n">
        <v>1690</v>
      </c>
      <c r="J438" s="12" t="n">
        <v>1690</v>
      </c>
      <c r="K438" s="13">
        <f>IF(AND(ISNUMBER(I438),ISNUMBER(J438),I438&gt;0),1-J438/I438,"")</f>
        <v/>
      </c>
      <c r="L438" s="16" t="n">
        <v>0</v>
      </c>
      <c r="M438" s="15" t="n">
        <v>242400</v>
      </c>
      <c r="N438" s="16" t="n">
        <v>2001</v>
      </c>
      <c r="O438" s="10" t="inlineStr">
        <is>
          <t>1</t>
        </is>
      </c>
      <c r="P438" s="10" t="inlineStr">
        <is>
          <t>1</t>
        </is>
      </c>
      <c r="Q438" s="16" t="n">
        <v>75</v>
      </c>
      <c r="R438" s="16" t="n">
        <v>5</v>
      </c>
      <c r="S438" s="10" t="inlineStr">
        <is>
          <t>gris</t>
        </is>
      </c>
      <c r="T438" s="16" t="n">
        <v>3</v>
      </c>
      <c r="U438" s="10" t="n"/>
      <c r="V438" s="10" t="inlineStr">
        <is>
          <t>3</t>
        </is>
      </c>
      <c r="W438" s="10" t="inlineStr">
        <is>
          <t>Particulier</t>
        </is>
      </c>
      <c r="X438" s="10" t="inlineStr">
        <is>
          <t>Saint-Étienne</t>
        </is>
      </c>
      <c r="Y438" s="10" t="inlineStr">
        <is>
          <t>42000</t>
        </is>
      </c>
      <c r="Z438" s="10" t="inlineStr">
        <is>
          <t>Loire</t>
        </is>
      </c>
      <c r="AA438" s="10" t="inlineStr">
        <is>
          <t>Rhône-Alpes</t>
        </is>
      </c>
      <c r="AB438" s="16" t="n"/>
      <c r="AC438" s="16" t="n"/>
      <c r="AD438" s="10" t="n"/>
      <c r="AE438" s="10" t="n"/>
      <c r="AF438" s="10" t="inlineStr">
        <is>
          <t>1 : 1 ; 2 : 2 ; 3 : 3 ; 4 : 4 ; 2001 : 2001 ; 2028 : 2028 ; https://img.leboncoin.fr/api/v1/tenants/9a6387a1-6259-4f2c-a887-7e67f23dd4cb/domains/20bda58f-d650-462e-a72a-a5a7ecf2bf88/buckets/21d2b0bc-e54c-4b64-a30b-89127b18b785/images/profile/pictures/default/c4b89ec9-53ef-5ba4-909f-65e1f6fbfa61?rule=pp-small : https://img.leboncoin.fr/api/v1/tenants/9a6387a1-6259-4f2c-a887-7e67f23dd4cb/domains/20bda58f-d650-462e-a72a-a5a7ecf2bf88/buckets/21d2b0bc-e54c-4b64-a30b-89127b18b785/images/profile/pictures/default/c4b89ec9-53ef-5ba4-909f-65e1f6fbfa61?rule=pp-small ; Renault : Renault ; Twingo : Twingo ; RENAULT : RENAULT ; 242400 km : 242400 ; Essence : 1 ; Manuelle : 1 ; Oui : true ; 02/2001 : 02/2001 ; Réparations majeures à prévoir : major_repairs_needed ; Berline : berline ; Gris : gris ; Euro 3 : euro3 ; 5 Cv : 5 ; 75 Ch : 75 ; Avec permis : avecpermis ; credit_card : credit_card ; false : false ; https://autoviza.fr/report/report?uid=b124ce79-dce8-48c7-b6ab-a471d194f02e : https://autoviza.fr/report/report?uid=b124ce79-dce8-48c7-b6ab-a471d194f02e ; true : true ; rating_score : 1 ; rating_count : 1 ; u_car_brand : RENAULT ; u_car_model : Twingo ; vehicle_technical_inspection_valid : Oui ; vehicle_technical_inspection_a : 2028 ; vehicle_damage : Réparations majeures à prévoir ; vehicle_upholstery : Tout cuir ; vehicle_maintenance : Carnet d'entretien disponible, Factures disponibles, Véhicule non fumeur ; vehicle_interior_specs : Climatisation, Jantes en alliage, Radio numérique DAB, Roue de secours, Siège arrière rabattable, Siège réglable en hauteur, Sièges arrières coulissants, Sièges en cuir, Toit ouvrant / Toit panoramique ; vehicle_euro_emissions_standard : Euro 3 ; vehicle_vsp : Avec permis ; vehicle_available_payment_methods : credit_card ; is_import : false ; vehicle_is_eligible_p2p : 2 ; vehicle_history_report_public_url : https://autoviza.fr/report/report?uid=b124ce79-dce8-48c7-b6ab-a471d194f02e ; licence_plate_available : true</t>
        </is>
      </c>
      <c r="AG438" s="19" t="inlineStr">
        <is>
          <t>Voir</t>
        </is>
      </c>
      <c r="AH438" s="10" t="inlineStr">
        <is>
          <t>3266949797</t>
        </is>
      </c>
    </row>
    <row r="439">
      <c r="A439" s="10" t="inlineStr">
        <is>
          <t>Renault Twingo 1 découvrable</t>
        </is>
      </c>
      <c r="B439" s="10" t="inlineStr">
        <is>
          <t>Twingo 1 phase 2 Clim toit ouvrant</t>
        </is>
      </c>
      <c r="C439" s="10" t="inlineStr">
        <is>
          <t>En vente</t>
        </is>
      </c>
      <c r="D439" s="18" t="n">
        <v>46277</v>
      </c>
      <c r="E439" s="18" t="n">
        <v>46277</v>
      </c>
      <c r="F439" s="18" t="n">
        <v>46296</v>
      </c>
      <c r="G439" s="18" t="n"/>
      <c r="H439" s="17">
        <f>IF(OR(ISNUMBER(D439),ISNUMBER(E439)),IF(ISNUMBER(G439),G439,F439)-IF(ISNUMBER(D439),D439,E439),"")</f>
        <v/>
      </c>
      <c r="I439" s="12" t="n">
        <v>2990</v>
      </c>
      <c r="J439" s="12" t="n">
        <v>2990</v>
      </c>
      <c r="K439" s="13">
        <f>IF(AND(ISNUMBER(I439),ISNUMBER(J439),I439&gt;0),1-J439/I439,"")</f>
        <v/>
      </c>
      <c r="L439" s="16" t="n">
        <v>0</v>
      </c>
      <c r="M439" s="15" t="n">
        <v>218800</v>
      </c>
      <c r="N439" s="16" t="n">
        <v>2004</v>
      </c>
      <c r="O439" s="10" t="inlineStr">
        <is>
          <t>1</t>
        </is>
      </c>
      <c r="P439" s="10" t="inlineStr">
        <is>
          <t>1</t>
        </is>
      </c>
      <c r="Q439" s="16" t="n">
        <v>75</v>
      </c>
      <c r="R439" s="16" t="n">
        <v>5</v>
      </c>
      <c r="S439" s="10" t="inlineStr">
        <is>
          <t>rouge</t>
        </is>
      </c>
      <c r="T439" s="16" t="n">
        <v>3</v>
      </c>
      <c r="U439" s="10" t="n"/>
      <c r="V439" s="10" t="n"/>
      <c r="W439" s="10" t="inlineStr">
        <is>
          <t>Particulier</t>
        </is>
      </c>
      <c r="X439" s="10" t="inlineStr">
        <is>
          <t>Bizonnes</t>
        </is>
      </c>
      <c r="Y439" s="10" t="inlineStr">
        <is>
          <t>38690</t>
        </is>
      </c>
      <c r="Z439" s="10" t="inlineStr">
        <is>
          <t>Isère</t>
        </is>
      </c>
      <c r="AA439" s="10" t="inlineStr">
        <is>
          <t>Rhône-Alpes</t>
        </is>
      </c>
      <c r="AB439" s="16" t="n"/>
      <c r="AC439" s="16" t="n"/>
      <c r="AD439" s="10" t="n"/>
      <c r="AE439" s="10" t="n"/>
      <c r="AF439" s="10" t="inlineStr">
        <is>
          <t>1 : 1 ; 2 : 2 ; 3 : 3 ; 4 : 4 ; 2004 : 2004 ; 3400 : 3400 ; 723160 : 723160 ; https://img.leboncoin.fr/api/v1/tenants/9a6387a1-6259-4f2c-a887-7e67f23dd4cb/domains/20bda58f-d650-462e-a72a-a5a7ecf2bf88/buckets/21d2b0bc-e54c-4b64-a30b-89127b18b785/images/profile/pictures/default/dfcef01c-5f51-5326-8884-cc9d8fb9e888?rule=pp-small : https://img.leboncoin.fr/api/v1/tenants/9a6387a1-6259-4f2c-a887-7e67f23dd4cb/domains/20bda58f-d650-462e-a72a-a5a7ecf2bf88/buckets/21d2b0bc-e54c-4b64-a30b-89127b18b785/images/profile/pictures/default/dfcef01c-5f51-5326-8884-cc9d8fb9e888?rule=pp-small ; Renault : Renault ; Twingo : Twingo ; RENAULT : RENAULT ; 218800 km : 218800 ; Essence : 1 ; Manuelle : 1 ; Expression : RENAULT_Twingo_Expression ; Twingo 1.2 16v 75ch Expression : Twingo 1.2 16v 75ch Expression ; 02/2004 : 02/2004 ; Bon état général : good_overall_condition ; Berline : berline ; Rouge : rouge ; 5 Cv : 5 ; 75 Ch : 75 ; Avec permis : avecpermis ; credit_card : credit_card ; false : false ; https://autoviza.fr/report/report?uid=4c450065-edcf-4ff3-bcf1-27bdb3bf4d88 : https://autoviza.fr/report/report?uid=4c450065-edcf-4ff3-bcf1-27bdb3bf4d88 ; true : true ; rating_score : 1 ; rating_count : 2 ; u_car_brand : RENAULT ; u_car_model : Twingo ; u_car_finition : Expression ; u_car_version : Twingo 1.2 16v 75ch Expression ; vehicle_damage : Bon état général ; vehicle_upholstery : Tissu ; vehicle_maintenance : Factures disponibles, Réparations utiles déjà faites ; vehicle_interior_specs : Climatisation, Essuie-glaces automatiques, Phares anti-brouillard, Roue de secours, Siège arrière rabattable, Siège réglable en hauteur, Sièges arrières coulissants, Toit ouvrant / Toit panoramique ; vehicle_vsp : Avec permis ; vehicle_available_payment_methods : credit_card ; is_import : false ; old_price : 3400 ; vehicle_is_eligible_p2p : 2 ; vehicle_history_report_public_url : https://autoviza.fr/report/report?uid=4c450065-edcf-4ff3-bcf1-27bdb3bf4d88 ; argus_object_id : 723160 ; licence_plate_available : true</t>
        </is>
      </c>
      <c r="AG439" s="19" t="inlineStr">
        <is>
          <t>Voir</t>
        </is>
      </c>
      <c r="AH439" s="10" t="inlineStr">
        <is>
          <t>3268258543</t>
        </is>
      </c>
    </row>
    <row r="440">
      <c r="A440" s="10" t="inlineStr">
        <is>
          <t>Renault Twingo 1 découvrable</t>
        </is>
      </c>
      <c r="B440" s="10" t="inlineStr">
        <is>
          <t>Twingo 1 1.2 60cv toit ouvrant</t>
        </is>
      </c>
      <c r="C440" s="10" t="inlineStr">
        <is>
          <t>En vente</t>
        </is>
      </c>
      <c r="D440" s="18" t="n">
        <v>46278</v>
      </c>
      <c r="E440" s="18" t="n">
        <v>46278</v>
      </c>
      <c r="F440" s="18" t="n">
        <v>46296</v>
      </c>
      <c r="G440" s="18" t="n"/>
      <c r="H440" s="17">
        <f>IF(OR(ISNUMBER(D440),ISNUMBER(E440)),IF(ISNUMBER(G440),G440,F440)-IF(ISNUMBER(D440),D440,E440),"")</f>
        <v/>
      </c>
      <c r="I440" s="12" t="n">
        <v>3600</v>
      </c>
      <c r="J440" s="12" t="n">
        <v>3600</v>
      </c>
      <c r="K440" s="13">
        <f>IF(AND(ISNUMBER(I440),ISNUMBER(J440),I440&gt;0),1-J440/I440,"")</f>
        <v/>
      </c>
      <c r="L440" s="16" t="n">
        <v>0</v>
      </c>
      <c r="M440" s="15" t="n">
        <v>146000</v>
      </c>
      <c r="N440" s="16" t="n">
        <v>2000</v>
      </c>
      <c r="O440" s="10" t="inlineStr">
        <is>
          <t>1</t>
        </is>
      </c>
      <c r="P440" s="10" t="inlineStr">
        <is>
          <t>1</t>
        </is>
      </c>
      <c r="Q440" s="16" t="n">
        <v>60</v>
      </c>
      <c r="R440" s="16" t="n">
        <v>4</v>
      </c>
      <c r="S440" s="10" t="inlineStr">
        <is>
          <t>noir</t>
        </is>
      </c>
      <c r="T440" s="16" t="n">
        <v>3</v>
      </c>
      <c r="U440" s="10" t="n"/>
      <c r="V440" s="10" t="inlineStr">
        <is>
          <t>3</t>
        </is>
      </c>
      <c r="W440" s="10" t="inlineStr">
        <is>
          <t>Particulier</t>
        </is>
      </c>
      <c r="X440" s="10" t="inlineStr">
        <is>
          <t>Cenon</t>
        </is>
      </c>
      <c r="Y440" s="10" t="inlineStr">
        <is>
          <t>33150</t>
        </is>
      </c>
      <c r="Z440" s="10" t="inlineStr">
        <is>
          <t>Gironde</t>
        </is>
      </c>
      <c r="AA440" s="10" t="inlineStr">
        <is>
          <t>Aquitaine</t>
        </is>
      </c>
      <c r="AB440" s="16" t="n"/>
      <c r="AC440" s="16" t="n"/>
      <c r="AD440" s="10" t="n"/>
      <c r="AE440" s="10" t="n"/>
      <c r="AF440" s="10" t="inlineStr">
        <is>
          <t>1 : 1 ; 2 : 2 ; 3 : 3 ; 4 : 4 ; 103 : 103 ; 2000 : 2000 ; 2028 : 2028 ; https://img.leboncoin.fr/api/v1/tenants/9a6387a1-6259-4f2c-a887-7e67f23dd4cb/domains/20bda58f-d650-462e-a72a-a5a7ecf2bf88/buckets/21d2b0bc-e54c-4b64-a30b-89127b18b785/images/profile/pictures/default/a7408c24-cdb3-5bf5-a4a3-d3bb4f31715e?rule=pp-small : https://img.leboncoin.fr/api/v1/tenants/9a6387a1-6259-4f2c-a887-7e67f23dd4cb/domains/20bda58f-d650-462e-a72a-a5a7ecf2bf88/buckets/21d2b0bc-e54c-4b64-a30b-89127b18b785/images/profile/pictures/default/a7408c24-cdb3-5bf5-a4a3-d3bb4f31715e?rule=pp-small ; Renault : Renault ; Twingo : Twingo ; RENAULT : RENAULT ; 146000 km : 146000 ; Essence : 1 ; Manuelle : 1 ; Oui : true ; 04/2000 : 04/2000 ; Traces d’usure normales : normal_wear_and_tear ; Berline : berline ; Noir : noir ; 4 Cv : 4 ; 60 Ch : 60 ; Avec permis : avecpermis ; credit_card : credit_card ; false : false ; https://autoviza.fr/report/report?uid=5a027f2c-b6d8-45bd-8b27-731b51641a75 : https://autoviza.fr/report/report?uid=5a027f2c-b6d8-45bd-8b27-731b51641a75 ; true : true ; rating_score : 1 ; rating_count : 103 ; u_car_brand : RENAULT ; u_car_model : Twingo ; vehicle_technical_inspection_valid : Oui ; vehicle_technical_inspection_a : 2028 ; vehicle_damage : Traces d’usure normales ; vehicle_upholstery : Tissu ; vehicle_maintenance : Factures disponibles, Véhicule non fumeur, Réparations utiles déjà faites ; vehicle_interior_specs : Attelage de remorque, Siège arrière rabattable, Toit ouvrant / Toit panoramique ; vehicle_vsp : Avec permis ; vehicle_available_payment_methods : credit_card ; is_import : false ; vehicle_is_eligible_p2p : 2 ; vehicle_history_report_public_url : https://autoviza.fr/report/report?uid=5a027f2c-b6d8-45bd-8b27-731b51641a75 ; licence_plate_available : true</t>
        </is>
      </c>
      <c r="AG440" s="19" t="inlineStr">
        <is>
          <t>Voir</t>
        </is>
      </c>
      <c r="AH440" s="10" t="inlineStr">
        <is>
          <t>3268824297</t>
        </is>
      </c>
    </row>
    <row r="441">
      <c r="A441" s="10" t="inlineStr">
        <is>
          <t>Renault Twingo 1 découvrable</t>
        </is>
      </c>
      <c r="B441" s="10" t="inlineStr">
        <is>
          <t>Twingo, Expression 16V toit ouvrant</t>
        </is>
      </c>
      <c r="C441" s="10" t="inlineStr">
        <is>
          <t>En vente</t>
        </is>
      </c>
      <c r="D441" s="18" t="n">
        <v>46278</v>
      </c>
      <c r="E441" s="18" t="n">
        <v>46278</v>
      </c>
      <c r="F441" s="18" t="n">
        <v>46296</v>
      </c>
      <c r="G441" s="18" t="n"/>
      <c r="H441" s="17">
        <f>IF(OR(ISNUMBER(D441),ISNUMBER(E441)),IF(ISNUMBER(G441),G441,F441)-IF(ISNUMBER(D441),D441,E441),"")</f>
        <v/>
      </c>
      <c r="I441" s="12" t="n">
        <v>1700</v>
      </c>
      <c r="J441" s="12" t="n">
        <v>1700</v>
      </c>
      <c r="K441" s="13">
        <f>IF(AND(ISNUMBER(I441),ISNUMBER(J441),I441&gt;0),1-J441/I441,"")</f>
        <v/>
      </c>
      <c r="L441" s="16" t="n">
        <v>0</v>
      </c>
      <c r="M441" s="15" t="n">
        <v>298500</v>
      </c>
      <c r="N441" s="16" t="n">
        <v>2004</v>
      </c>
      <c r="O441" s="10" t="inlineStr">
        <is>
          <t>1</t>
        </is>
      </c>
      <c r="P441" s="10" t="inlineStr">
        <is>
          <t>1</t>
        </is>
      </c>
      <c r="Q441" s="16" t="n">
        <v>75</v>
      </c>
      <c r="R441" s="16" t="n">
        <v>5</v>
      </c>
      <c r="S441" s="10" t="inlineStr">
        <is>
          <t>rouge</t>
        </is>
      </c>
      <c r="T441" s="16" t="n">
        <v>3</v>
      </c>
      <c r="U441" s="10" t="n"/>
      <c r="V441" s="10" t="n"/>
      <c r="W441" s="10" t="inlineStr">
        <is>
          <t>Particulier</t>
        </is>
      </c>
      <c r="X441" s="10" t="inlineStr">
        <is>
          <t>Antibes</t>
        </is>
      </c>
      <c r="Y441" s="10" t="inlineStr">
        <is>
          <t>06600</t>
        </is>
      </c>
      <c r="Z441" s="10" t="inlineStr">
        <is>
          <t>Alpes-Maritimes</t>
        </is>
      </c>
      <c r="AA441" s="10" t="inlineStr">
        <is>
          <t>Provence-Alpes-Côte d'Azur</t>
        </is>
      </c>
      <c r="AB441" s="16" t="n"/>
      <c r="AC441" s="16" t="n"/>
      <c r="AD441" s="10" t="n"/>
      <c r="AE441" s="10" t="n"/>
      <c r="AF441" s="10" t="inlineStr">
        <is>
          <t>1 : 1 ; 2 : 2 ; 3 : 3 ; 4 : 4 ; 2004 : 2004 ; 0.9 : 0.9 ; https://img.leboncoin.fr/api/v1/tenants/9a6387a1-6259-4f2c-a887-7e67f23dd4cb/domains/20bda58f-d650-462e-a72a-a5a7ecf2bf88/buckets/21d2b0bc-e54c-4b64-a30b-89127b18b785/images/profile/pictures/11dd61e5-627b-51eb-b082-7446392c74c1?rule=pp-small : https://img.leboncoin.fr/api/v1/tenants/9a6387a1-6259-4f2c-a887-7e67f23dd4cb/domains/20bda58f-d650-462e-a72a-a5a7ecf2bf88/buckets/21d2b0bc-e54c-4b64-a30b-89127b18b785/images/profile/pictures/11dd61e5-627b-51eb-b082-7446392c74c1?rule=pp-small ; Renault : Renault ; Twingo : Twingo ; RENAULT : RENAULT ; 298500 km : 298500 ; Essence : 1 ; Manuelle : 1 ; 06/2004 : 06/2004 ; Bon état général : good_overall_condition ; Berline : berline ; Rouge : rouge ; 5 Cv : 5 ; 75 Ch : 75 ; Avec permis : avecpermis ; credit_card : credit_card ; false : false ; true : true ; rating_score : 0.9 ; rating_count : 1 ; u_car_brand : RENAULT ; u_car_model : Twingo ; vehicle_damage : Bon état général ; vehicle_upholstery : Tissu ; vehicle_maintenance : Factures disponibles, Réparations utiles déjà faites ; vehicle_interior_specs : Climatisation, Toit ouvrant / Toit panoramique ; vehicle_vsp : Avec permis ; vehicle_available_payment_methods : credit_card ; is_import : false ; vehicle_is_eligible_p2p : 2 ; licence_plate_available : true</t>
        </is>
      </c>
      <c r="AG441" s="19" t="inlineStr">
        <is>
          <t>Voir</t>
        </is>
      </c>
      <c r="AH441" s="10" t="inlineStr">
        <is>
          <t>3269180003</t>
        </is>
      </c>
    </row>
    <row r="442">
      <c r="A442" s="10" t="inlineStr">
        <is>
          <t>Renault Twingo 1 découvrable</t>
        </is>
      </c>
      <c r="B442" s="10" t="inlineStr">
        <is>
          <t>Twingo 1 Phase 2 – Toit ouvrant – 1.2 essence – Fiable</t>
        </is>
      </c>
      <c r="C442" s="10" t="inlineStr">
        <is>
          <t>En vente</t>
        </is>
      </c>
      <c r="D442" s="18" t="n">
        <v>46278</v>
      </c>
      <c r="E442" s="18" t="n">
        <v>46278</v>
      </c>
      <c r="F442" s="18" t="n">
        <v>46296</v>
      </c>
      <c r="G442" s="18" t="n"/>
      <c r="H442" s="17">
        <f>IF(OR(ISNUMBER(D442),ISNUMBER(E442)),IF(ISNUMBER(G442),G442,F442)-IF(ISNUMBER(D442),D442,E442),"")</f>
        <v/>
      </c>
      <c r="I442" s="12" t="n">
        <v>1800</v>
      </c>
      <c r="J442" s="12" t="n">
        <v>1800</v>
      </c>
      <c r="K442" s="13">
        <f>IF(AND(ISNUMBER(I442),ISNUMBER(J442),I442&gt;0),1-J442/I442,"")</f>
        <v/>
      </c>
      <c r="L442" s="16" t="n">
        <v>0</v>
      </c>
      <c r="M442" s="15" t="n">
        <v>218000</v>
      </c>
      <c r="N442" s="16" t="n">
        <v>2003</v>
      </c>
      <c r="O442" s="10" t="inlineStr">
        <is>
          <t>1</t>
        </is>
      </c>
      <c r="P442" s="10" t="inlineStr">
        <is>
          <t>1</t>
        </is>
      </c>
      <c r="Q442" s="16" t="n">
        <v>75</v>
      </c>
      <c r="R442" s="16" t="n">
        <v>5</v>
      </c>
      <c r="S442" s="10" t="inlineStr">
        <is>
          <t>autre</t>
        </is>
      </c>
      <c r="T442" s="16" t="n">
        <v>3</v>
      </c>
      <c r="U442" s="10" t="n"/>
      <c r="V442" s="10" t="n"/>
      <c r="W442" s="10" t="inlineStr">
        <is>
          <t>Particulier</t>
        </is>
      </c>
      <c r="X442" s="10" t="inlineStr">
        <is>
          <t>Chécy</t>
        </is>
      </c>
      <c r="Y442" s="10" t="inlineStr">
        <is>
          <t>45430</t>
        </is>
      </c>
      <c r="Z442" s="10" t="inlineStr">
        <is>
          <t>Loiret</t>
        </is>
      </c>
      <c r="AA442" s="10" t="inlineStr">
        <is>
          <t>Centre</t>
        </is>
      </c>
      <c r="AB442" s="16" t="n"/>
      <c r="AC442" s="16" t="n"/>
      <c r="AD442" s="10" t="n"/>
      <c r="AE442" s="10" t="n"/>
      <c r="AF442" s="10" t="inlineStr">
        <is>
          <t>1 : 1 ; 2 : 2 ; 3 : 3 ; 4 : 4 ; 2003 : 2003 ; https://img.leboncoin.fr/api/v1/tenants/9a6387a1-6259-4f2c-a887-7e67f23dd4cb/domains/20bda58f-d650-462e-a72a-a5a7ecf2bf88/buckets/21d2b0bc-e54c-4b64-a30b-89127b18b785/images/profile/pictures/default/1496c9e9-bcf2-5dc5-b80b-0e76c4ed3f11?rule=pp-small : https://img.leboncoin.fr/api/v1/tenants/9a6387a1-6259-4f2c-a887-7e67f23dd4cb/domains/20bda58f-d650-462e-a72a-a5a7ecf2bf88/buckets/21d2b0bc-e54c-4b64-a30b-89127b18b785/images/profile/pictures/default/1496c9e9-bcf2-5dc5-b80b-0e76c4ed3f11?rule=pp-small ; Renault : Renault ; Twingo : Twingo ; RENAULT : RENAULT ; 218000 km : 218000 ; Essence : 1 ; Manuelle : 1 ; Non : false ; 03/2003 : 03/2003 ; Berline : berline ; Autre : autre ; 5 Cv : 5 ; 75 Ch : 75 ; Avec permis : avecpermis ; credit_card : credit_card ; false : false ; true : true ; rating_score : 1 ; rating_count : 4 ; u_car_brand : RENAULT ; u_car_model : Twingo ; vehicle_technical_inspection_valid : Non ; vehicle_vsp : Avec permis ; vehicle_available_payment_methods : credit_card ; is_import : false ; vehicle_is_eligible_p2p : 2 ; licence_plate_available : true</t>
        </is>
      </c>
      <c r="AG442" s="19" t="inlineStr">
        <is>
          <t>Voir</t>
        </is>
      </c>
      <c r="AH442" s="10" t="inlineStr">
        <is>
          <t>3269220561</t>
        </is>
      </c>
    </row>
    <row r="443">
      <c r="A443" s="10" t="inlineStr">
        <is>
          <t>Renault Twingo 1 découvrable</t>
        </is>
      </c>
      <c r="B443" s="10" t="inlineStr">
        <is>
          <t>TWINGO I, toit ouvrant</t>
        </is>
      </c>
      <c r="C443" s="10" t="inlineStr">
        <is>
          <t>En vente</t>
        </is>
      </c>
      <c r="D443" s="18" t="n">
        <v>46279</v>
      </c>
      <c r="E443" s="18" t="n">
        <v>46279</v>
      </c>
      <c r="F443" s="18" t="n">
        <v>46296</v>
      </c>
      <c r="G443" s="18" t="n"/>
      <c r="H443" s="17">
        <f>IF(OR(ISNUMBER(D443),ISNUMBER(E443)),IF(ISNUMBER(G443),G443,F443)-IF(ISNUMBER(D443),D443,E443),"")</f>
        <v/>
      </c>
      <c r="I443" s="12" t="n">
        <v>2900</v>
      </c>
      <c r="J443" s="12" t="n">
        <v>2900</v>
      </c>
      <c r="K443" s="13">
        <f>IF(AND(ISNUMBER(I443),ISNUMBER(J443),I443&gt;0),1-J443/I443,"")</f>
        <v/>
      </c>
      <c r="L443" s="16" t="n">
        <v>0</v>
      </c>
      <c r="M443" s="15" t="n">
        <v>213000</v>
      </c>
      <c r="N443" s="16" t="n">
        <v>2003</v>
      </c>
      <c r="O443" s="10" t="inlineStr">
        <is>
          <t>1</t>
        </is>
      </c>
      <c r="P443" s="10" t="inlineStr">
        <is>
          <t>1</t>
        </is>
      </c>
      <c r="Q443" s="16" t="n">
        <v>75</v>
      </c>
      <c r="R443" s="16" t="n">
        <v>5</v>
      </c>
      <c r="S443" s="10" t="inlineStr">
        <is>
          <t>gris</t>
        </is>
      </c>
      <c r="T443" s="16" t="n">
        <v>3</v>
      </c>
      <c r="U443" s="10" t="n"/>
      <c r="V443" s="10" t="n"/>
      <c r="W443" s="10" t="inlineStr">
        <is>
          <t>Particulier</t>
        </is>
      </c>
      <c r="X443" s="10" t="inlineStr">
        <is>
          <t>Dijon</t>
        </is>
      </c>
      <c r="Y443" s="10" t="inlineStr">
        <is>
          <t>21000</t>
        </is>
      </c>
      <c r="Z443" s="10" t="inlineStr">
        <is>
          <t>Côte-d'Or</t>
        </is>
      </c>
      <c r="AA443" s="10" t="inlineStr">
        <is>
          <t>Bourgogne</t>
        </is>
      </c>
      <c r="AB443" s="16" t="n"/>
      <c r="AC443" s="16" t="n"/>
      <c r="AD443" s="10" t="n"/>
      <c r="AE443" s="10" t="n"/>
      <c r="AF443" s="10" t="inlineStr">
        <is>
          <t>1 : 1 ; 2 : 2 ; 3 : 3 ; 4 : 4 ; 6 : 6 ; 2003 : 2003 ; 2027 : 2027 ; 723138 : 723138 ; https://img.leboncoin.fr/api/v1/tenants/9a6387a1-6259-4f2c-a887-7e67f23dd4cb/domains/20bda58f-d650-462e-a72a-a5a7ecf2bf88/buckets/21d2b0bc-e54c-4b64-a30b-89127b18b785/images/profile/pictures/b3781d3a-5ecc-58a5-9797-1984a612bdb1?rule=pp-small : https://img.leboncoin.fr/api/v1/tenants/9a6387a1-6259-4f2c-a887-7e67f23dd4cb/domains/20bda58f-d650-462e-a72a-a5a7ecf2bf88/buckets/21d2b0bc-e54c-4b64-a30b-89127b18b785/images/profile/pictures/b3781d3a-5ecc-58a5-9797-1984a612bdb1?rule=pp-small ; Renault : Renault ; Twingo : Twingo ; RENAULT : RENAULT ; 213000 km : 213000 ; Essence : 1 ; Manuelle : 1 ; Expression : RENAULT_Twingo_Expression ; Twingo 1.2 16v 75ch Expression : Twingo 1.2 16v 75ch Expression ; Oui : true ; 06/2003 : 06/2003 ; Traces d’usure normales : normal_wear_and_tear ; Berline : berline ; Gris : gris ; 5 Cv : 5 ; 75 Ch : 75 ; Avec permis : avecpermis ; credit_card : credit_card ; false : false ; https://autoviza.fr/report/report?uid=91009b4f-dd6d-4348-a8bb-424d06d61ec3 : https://autoviza.fr/report/report?uid=91009b4f-dd6d-4348-a8bb-424d06d61ec3 ; true : true ; rating_score : 1 ; rating_count : 6 ; u_car_brand : RENAULT ; u_car_model : Twingo ; u_car_finition : Expression ; u_car_version : Twingo 1.2 16v 75ch Expression ; vehicle_technical_inspection_valid : Oui ; vehicle_technical_inspection_a : 2027 ; vehicle_damage : Traces d’usure normales ; vehicle_upholstery : Cuir partiel ; vehicle_maintenance : Carnet d'entretien disponible, Factures disponibles, Véhicule non fumeur, Réparations utiles déjà faites ; vehicle_interior_specs : Roue de secours, Siège réglable en hauteur, Sièges en cuir, Toit ouvrant / Toit panoramique ; vehicle_vsp : Avec permis ; vehicle_available_payment_methods : credit_card ; is_import : false ; vehicle_is_eligible_p2p : 2 ; vehicle_history_report_public_url : https://autoviza.fr/report/report?uid=91009b4f-dd6d-4348-a8bb-424d06d61ec3 ; vehicle_history_teaser_critair : 3 ; vehicle_history_teaser_owners : 6 ; vehicle_history_teaser_expertises : false ; vehicle_history_teaser_special_uses : false ; vehicle_history_teaser_atypical_operations : false ; vehicle_history_teaser_importations : false ; argus_object_id : 723138 ; licence_plate_available : true</t>
        </is>
      </c>
      <c r="AG443" s="19" t="inlineStr">
        <is>
          <t>Voir</t>
        </is>
      </c>
      <c r="AH443" s="10" t="inlineStr">
        <is>
          <t>3269820668</t>
        </is>
      </c>
    </row>
    <row r="444">
      <c r="A444" s="10" t="inlineStr">
        <is>
          <t>Renault Twingo 1 découvrable</t>
        </is>
      </c>
      <c r="B444" s="10" t="inlineStr">
        <is>
          <t>RENAULT TWINGO 1.2L 75CV Dynamique Toit ouvrant</t>
        </is>
      </c>
      <c r="C444" s="10" t="inlineStr">
        <is>
          <t>En vente</t>
        </is>
      </c>
      <c r="D444" s="18" t="n">
        <v>46280</v>
      </c>
      <c r="E444" s="18" t="n">
        <v>46280</v>
      </c>
      <c r="F444" s="18" t="n">
        <v>46296</v>
      </c>
      <c r="G444" s="18" t="n"/>
      <c r="H444" s="17">
        <f>IF(OR(ISNUMBER(D444),ISNUMBER(E444)),IF(ISNUMBER(G444),G444,F444)-IF(ISNUMBER(D444),D444,E444),"")</f>
        <v/>
      </c>
      <c r="I444" s="12" t="n">
        <v>3490</v>
      </c>
      <c r="J444" s="12" t="n">
        <v>3490</v>
      </c>
      <c r="K444" s="13">
        <f>IF(AND(ISNUMBER(I444),ISNUMBER(J444),I444&gt;0),1-J444/I444,"")</f>
        <v/>
      </c>
      <c r="L444" s="16" t="n">
        <v>0</v>
      </c>
      <c r="M444" s="15" t="n">
        <v>126783</v>
      </c>
      <c r="N444" s="16" t="n">
        <v>2007</v>
      </c>
      <c r="O444" s="10" t="inlineStr">
        <is>
          <t>1</t>
        </is>
      </c>
      <c r="P444" s="10" t="inlineStr">
        <is>
          <t>1</t>
        </is>
      </c>
      <c r="Q444" s="16" t="n">
        <v>75</v>
      </c>
      <c r="R444" s="16" t="n">
        <v>4</v>
      </c>
      <c r="S444" s="10" t="n"/>
      <c r="T444" s="16" t="n"/>
      <c r="U444" s="10" t="n"/>
      <c r="V444" s="10" t="n"/>
      <c r="W444" s="10" t="inlineStr">
        <is>
          <t>Pro</t>
        </is>
      </c>
      <c r="X444" s="10" t="inlineStr">
        <is>
          <t>Florange</t>
        </is>
      </c>
      <c r="Y444" s="10" t="inlineStr">
        <is>
          <t>57190</t>
        </is>
      </c>
      <c r="Z444" s="10" t="inlineStr">
        <is>
          <t>Moselle</t>
        </is>
      </c>
      <c r="AA444" s="10" t="inlineStr">
        <is>
          <t>Lorraine</t>
        </is>
      </c>
      <c r="AB444" s="16" t="n"/>
      <c r="AC444" s="16" t="n"/>
      <c r="AD444" s="10" t="n"/>
      <c r="AE444" s="10" t="n"/>
      <c r="AF444" s="10" t="inlineStr">
        <is>
          <t>1 : 1 ; 4 : 4 ; 2007 : 2007 ; 3030 : 3030 ; 3350 : 3350 ; Renault : Renault ; Twingo : Twingo ; RENAULT : RENAULT ; 126783 km : 126783 ; Essence : 1 ; Manuelle : 1 ; Non : false ; 12/2007 : 12/2007 ; 4 Cv : 4 ; 75 Ch : 75 ; Avec permis : avecpermis ; false : false ; Légèrement supérieur : badge_key_2_5 ; Non renseignée : non_renseignee ; activity_sector : 1 ; u_car_brand : RENAULT ; u_car_model : Twingo ; vehicle_technical_inspection_valid : Non ; vehicle_vsp : Avec permis ; car_contract : Non ; recent_used_vehicle : false ; vehicle_commercial_warranty : Non ; vehicle_manufacturer_warranty : Non ; is_import : false ; car_price_min : 3030 ; car_price_max : 3350 ; car_price_positioning : Légèrement supérieur ; spare_parts_availability : Non renseignée</t>
        </is>
      </c>
      <c r="AG444" s="19" t="inlineStr">
        <is>
          <t>Voir</t>
        </is>
      </c>
      <c r="AH444" s="10" t="inlineStr">
        <is>
          <t>3270178988</t>
        </is>
      </c>
    </row>
    <row r="445">
      <c r="A445" s="10" t="inlineStr">
        <is>
          <t>Renault Twingo 1 découvrable</t>
        </is>
      </c>
      <c r="B445" s="10" t="inlineStr">
        <is>
          <t>Twingo 2003 toit ouvrant</t>
        </is>
      </c>
      <c r="C445" s="10" t="inlineStr">
        <is>
          <t>En vente</t>
        </is>
      </c>
      <c r="D445" s="18" t="n">
        <v>46282</v>
      </c>
      <c r="E445" s="18" t="n">
        <v>46282</v>
      </c>
      <c r="F445" s="18" t="n">
        <v>46296</v>
      </c>
      <c r="G445" s="18" t="n"/>
      <c r="H445" s="17">
        <f>IF(OR(ISNUMBER(D445),ISNUMBER(E445)),IF(ISNUMBER(G445),G445,F445)-IF(ISNUMBER(D445),D445,E445),"")</f>
        <v/>
      </c>
      <c r="I445" s="12" t="n">
        <v>1750</v>
      </c>
      <c r="J445" s="12" t="n">
        <v>1750</v>
      </c>
      <c r="K445" s="13">
        <f>IF(AND(ISNUMBER(I445),ISNUMBER(J445),I445&gt;0),1-J445/I445,"")</f>
        <v/>
      </c>
      <c r="L445" s="16" t="n">
        <v>0</v>
      </c>
      <c r="M445" s="15" t="n">
        <v>150000</v>
      </c>
      <c r="N445" s="16" t="n">
        <v>2003</v>
      </c>
      <c r="O445" s="10" t="inlineStr">
        <is>
          <t>1</t>
        </is>
      </c>
      <c r="P445" s="10" t="inlineStr">
        <is>
          <t>1</t>
        </is>
      </c>
      <c r="Q445" s="16" t="n">
        <v>60</v>
      </c>
      <c r="R445" s="16" t="n">
        <v>4</v>
      </c>
      <c r="S445" s="10" t="inlineStr">
        <is>
          <t>autre</t>
        </is>
      </c>
      <c r="T445" s="16" t="n">
        <v>3</v>
      </c>
      <c r="U445" s="10" t="n"/>
      <c r="V445" s="10" t="n"/>
      <c r="W445" s="10" t="inlineStr">
        <is>
          <t>Particulier</t>
        </is>
      </c>
      <c r="X445" s="10" t="inlineStr">
        <is>
          <t>Réguisheim</t>
        </is>
      </c>
      <c r="Y445" s="10" t="inlineStr">
        <is>
          <t>68890</t>
        </is>
      </c>
      <c r="Z445" s="10" t="inlineStr">
        <is>
          <t>Haut-Rhin</t>
        </is>
      </c>
      <c r="AA445" s="10" t="inlineStr">
        <is>
          <t>Alsace</t>
        </is>
      </c>
      <c r="AB445" s="16" t="n"/>
      <c r="AC445" s="16" t="n"/>
      <c r="AD445" s="10" t="n"/>
      <c r="AE445" s="10" t="n"/>
      <c r="AF445" s="10" t="inlineStr">
        <is>
          <t>2 : 2 ; 3 : 3 ; 4 : 4 ; 2003 : 2003 ; https://img.leboncoin.fr/api/v1/tenants/9a6387a1-6259-4f2c-a887-7e67f23dd4cb/domains/20bda58f-d650-462e-a72a-a5a7ecf2bf88/buckets/21d2b0bc-e54c-4b64-a30b-89127b18b785/images/profile/pictures/default/4053144b-0db7-59cf-a9c1-f51f5ece9490?rule=pp-small : https://img.leboncoin.fr/api/v1/tenants/9a6387a1-6259-4f2c-a887-7e67f23dd4cb/domains/20bda58f-d650-462e-a72a-a5a7ecf2bf88/buckets/21d2b0bc-e54c-4b64-a30b-89127b18b785/images/profile/pictures/default/4053144b-0db7-59cf-a9c1-f51f5ece9490?rule=pp-small ; Renault : Renault ; Twingo : Twingo ; RENAULT : RENAULT ; 150000 km : 150000 ; Essence : 1 ; Manuelle : 1 ; 05/2003 : 05/2003 ; Traces d’usure normales : normal_wear_and_tear ; Berline : berline ; Autre : autre ; 4 Cv : 4 ; 60 Ch : 60 ; Avec permis : avecpermis ; credit_card : credit_card ; false : false ; true : true ; u_car_brand : RENAULT ; u_car_model : Twingo ; vehicle_damage : Traces d’usure normales ; vehicle_upholstery : Tissu ; vehicle_maintenance : Réparations utiles déjà faites ; vehicle_vsp : Avec permis ; vehicle_available_payment_methods : credit_card ; is_import : false ; vehicle_is_eligible_p2p : 2 ; licence_plate_available : true</t>
        </is>
      </c>
      <c r="AG445" s="19" t="inlineStr">
        <is>
          <t>Voir</t>
        </is>
      </c>
      <c r="AH445" s="10" t="inlineStr">
        <is>
          <t>3271251775</t>
        </is>
      </c>
    </row>
    <row r="446">
      <c r="A446" s="10" t="inlineStr">
        <is>
          <t>Renault Twingo 1 découvrable</t>
        </is>
      </c>
      <c r="B446" s="10" t="inlineStr">
        <is>
          <t>Twingo Campus 1.2 - Toit ouvrant panoramique</t>
        </is>
      </c>
      <c r="C446" s="10" t="inlineStr">
        <is>
          <t>En vente</t>
        </is>
      </c>
      <c r="D446" s="18" t="n">
        <v>46282</v>
      </c>
      <c r="E446" s="18" t="n">
        <v>46282</v>
      </c>
      <c r="F446" s="18" t="n">
        <v>46296</v>
      </c>
      <c r="G446" s="18" t="n"/>
      <c r="H446" s="17">
        <f>IF(OR(ISNUMBER(D446),ISNUMBER(E446)),IF(ISNUMBER(G446),G446,F446)-IF(ISNUMBER(D446),D446,E446),"")</f>
        <v/>
      </c>
      <c r="I446" s="12" t="n">
        <v>3500</v>
      </c>
      <c r="J446" s="12" t="n">
        <v>3500</v>
      </c>
      <c r="K446" s="13">
        <f>IF(AND(ISNUMBER(I446),ISNUMBER(J446),I446&gt;0),1-J446/I446,"")</f>
        <v/>
      </c>
      <c r="L446" s="16" t="n">
        <v>0</v>
      </c>
      <c r="M446" s="15" t="n">
        <v>117600</v>
      </c>
      <c r="N446" s="16" t="n">
        <v>2003</v>
      </c>
      <c r="O446" s="10" t="inlineStr">
        <is>
          <t>1</t>
        </is>
      </c>
      <c r="P446" s="10" t="inlineStr">
        <is>
          <t>1</t>
        </is>
      </c>
      <c r="Q446" s="16" t="n">
        <v>60</v>
      </c>
      <c r="R446" s="16" t="n">
        <v>4</v>
      </c>
      <c r="S446" s="10" t="inlineStr">
        <is>
          <t>autre</t>
        </is>
      </c>
      <c r="T446" s="16" t="n">
        <v>3</v>
      </c>
      <c r="U446" s="10" t="n"/>
      <c r="V446" s="10" t="n"/>
      <c r="W446" s="10" t="inlineStr">
        <is>
          <t>Particulier</t>
        </is>
      </c>
      <c r="X446" s="10" t="inlineStr">
        <is>
          <t>Boulogne-Billancourt</t>
        </is>
      </c>
      <c r="Y446" s="10" t="inlineStr">
        <is>
          <t>92100</t>
        </is>
      </c>
      <c r="Z446" s="10" t="inlineStr">
        <is>
          <t>Hauts-de-Seine</t>
        </is>
      </c>
      <c r="AA446" s="10" t="inlineStr">
        <is>
          <t>Ile-de-France</t>
        </is>
      </c>
      <c r="AB446" s="16" t="n"/>
      <c r="AC446" s="16" t="n"/>
      <c r="AD446" s="10" t="n"/>
      <c r="AE446" s="10" t="n"/>
      <c r="AF446" s="10" t="inlineStr">
        <is>
          <t>2 : 2 ; 3 : 3 ; 4 : 4 ; 9 : 9 ; 2003 : 2003 ; 723158 : 723158 ; 0.92 : 0.92 ; https://img.leboncoin.fr/api/v1/tenants/9a6387a1-6259-4f2c-a887-7e67f23dd4cb/domains/20bda58f-d650-462e-a72a-a5a7ecf2bf88/buckets/21d2b0bc-e54c-4b64-a30b-89127b18b785/images/profile/pictures/2a93c59c-4f48-5a74-b911-81d84a845fed?rule=pp-small : https://img.leboncoin.fr/api/v1/tenants/9a6387a1-6259-4f2c-a887-7e67f23dd4cb/domains/20bda58f-d650-462e-a72a-a5a7ecf2bf88/buckets/21d2b0bc-e54c-4b64-a30b-89127b18b785/images/profile/pictures/2a93c59c-4f48-5a74-b911-81d84a845fed?rule=pp-small ; Renault : Renault ; Twingo : Twingo ; RENAULT : RENAULT ; 117600 km : 117600 ; Essence : 1 ; Manuelle : 1 ; Campus : RENAULT_Twingo_Campus ; Twingo 1.2 60ch Campus : Twingo 1.2 60ch Campus ; 11/2003 : 11/2003 ; Bon état général : good_overall_condition ; Berline : berline ; Autre : autre ; 4 Cv : 4 ; 60 Ch : 60 ; Avec permis : avecpermis ; credit_card : credit_card ; false : false ; true : true ; rating_score : 0.92 ; rating_count : 9 ; u_car_brand : RENAULT ; u_car_model : Twingo ; u_car_finition : Campus ; u_car_version : Twingo 1.2 60ch Campus ; vehicle_damage : Bon état général ; vehicle_upholstery : Tissu ; vehicle_maintenance : Réparations utiles déjà faites ; vehicle_interior_specs : Bluetooth, Chargeurs USB, Toit ouvrant / Toit panoramique ; vehicle_vsp : Avec permis ; vehicle_available_payment_methods : credit_card ; is_import : false ; vehicle_is_eligible_p2p : 2 ; argus_object_id : 723158 ; licence_plate_available : true</t>
        </is>
      </c>
      <c r="AG446" s="19" t="inlineStr">
        <is>
          <t>Voir</t>
        </is>
      </c>
      <c r="AH446" s="10" t="inlineStr">
        <is>
          <t>3271536730</t>
        </is>
      </c>
    </row>
    <row r="447">
      <c r="A447" s="10" t="inlineStr">
        <is>
          <t>Renault Twingo 1 découvrable</t>
        </is>
      </c>
      <c r="B447" s="10" t="inlineStr">
        <is>
          <t>Twingo 1 boîte automatique toit ouvrant</t>
        </is>
      </c>
      <c r="C447" s="10" t="inlineStr">
        <is>
          <t>En vente</t>
        </is>
      </c>
      <c r="D447" s="18" t="n">
        <v>46286</v>
      </c>
      <c r="E447" s="18" t="n">
        <v>46286</v>
      </c>
      <c r="F447" s="18" t="n">
        <v>46296</v>
      </c>
      <c r="G447" s="18" t="n"/>
      <c r="H447" s="17">
        <f>IF(OR(ISNUMBER(D447),ISNUMBER(E447)),IF(ISNUMBER(G447),G447,F447)-IF(ISNUMBER(D447),D447,E447),"")</f>
        <v/>
      </c>
      <c r="I447" s="12" t="n">
        <v>3650</v>
      </c>
      <c r="J447" s="12" t="n">
        <v>3650</v>
      </c>
      <c r="K447" s="13">
        <f>IF(AND(ISNUMBER(I447),ISNUMBER(J447),I447&gt;0),1-J447/I447,"")</f>
        <v/>
      </c>
      <c r="L447" s="16" t="n">
        <v>0</v>
      </c>
      <c r="M447" s="15" t="n">
        <v>143000</v>
      </c>
      <c r="N447" s="16" t="n">
        <v>2001</v>
      </c>
      <c r="O447" s="10" t="inlineStr">
        <is>
          <t>1</t>
        </is>
      </c>
      <c r="P447" s="10" t="inlineStr">
        <is>
          <t>2</t>
        </is>
      </c>
      <c r="Q447" s="16" t="n">
        <v>60</v>
      </c>
      <c r="R447" s="16" t="n">
        <v>4</v>
      </c>
      <c r="S447" s="10" t="inlineStr">
        <is>
          <t>gris</t>
        </is>
      </c>
      <c r="T447" s="16" t="n">
        <v>3</v>
      </c>
      <c r="U447" s="10" t="n"/>
      <c r="V447" s="10" t="n"/>
      <c r="W447" s="10" t="inlineStr">
        <is>
          <t>Particulier</t>
        </is>
      </c>
      <c r="X447" s="10" t="inlineStr">
        <is>
          <t>Nice</t>
        </is>
      </c>
      <c r="Y447" s="10" t="inlineStr">
        <is>
          <t>06300</t>
        </is>
      </c>
      <c r="Z447" s="10" t="inlineStr">
        <is>
          <t>Alpes-Maritimes</t>
        </is>
      </c>
      <c r="AA447" s="10" t="inlineStr">
        <is>
          <t>Provence-Alpes-Côte d'Azur</t>
        </is>
      </c>
      <c r="AB447" s="16" t="n"/>
      <c r="AC447" s="16" t="n"/>
      <c r="AD447" s="10" t="n"/>
      <c r="AE447" s="10" t="n"/>
      <c r="AF447" s="10" t="inlineStr">
        <is>
          <t>2 : 2 ; 3 : 3 ; 4 : 4 ; 2001 : 2001 ; 2028 : 2028 ; https://img.leboncoin.fr/api/v1/tenants/9a6387a1-6259-4f2c-a887-7e67f23dd4cb/domains/20bda58f-d650-462e-a72a-a5a7ecf2bf88/buckets/21d2b0bc-e54c-4b64-a30b-89127b18b785/images/profile/pictures/default/0e26df41-df23-5379-9619-8712c3d51421?rule=pp-small : https://img.leboncoin.fr/api/v1/tenants/9a6387a1-6259-4f2c-a887-7e67f23dd4cb/domains/20bda58f-d650-462e-a72a-a5a7ecf2bf88/buckets/21d2b0bc-e54c-4b64-a30b-89127b18b785/images/profile/pictures/default/0e26df41-df23-5379-9619-8712c3d51421?rule=pp-small ; Renault : Renault ; Twingo : Twingo ; RENAULT : RENAULT ; 143000 km : 143000 ; Essence : 1 ; Automatique : 2 ; Oui : true ; 08/2001 : 08/2001 ; Citadine : citadine ; Gris : gris ; 4 Cv : 4 ; 60 Ch : 60 ; Avec permis : avecpermis ; credit_card : credit_card ; false : false ; https://autoviza.fr/report/report?uid=93b41a73-2635-4c43-a0ab-ec37e5471ae4 : https://autoviza.fr/report/report?uid=93b41a73-2635-4c43-a0ab-ec37e5471ae4 ; true : true ; u_car_brand : RENAULT ; u_car_model : Twingo ; vehicle_technical_inspection_valid : Oui ; vehicle_technical_inspection_a : 2028 ; vehicle_vsp : Avec permis ; vehicle_available_payment_methods : credit_card ; is_import : false ; vehicle_is_eligible_p2p : 2 ; vehicle_history_report_public_url : https://autoviza.fr/report/report?uid=93b41a73-2635-4c43-a0ab-ec37e5471ae4 ; licence_plate_available : true</t>
        </is>
      </c>
      <c r="AG447" s="19" t="inlineStr">
        <is>
          <t>Voir</t>
        </is>
      </c>
      <c r="AH447" s="10" t="inlineStr">
        <is>
          <t>3273813000</t>
        </is>
      </c>
    </row>
    <row r="448">
      <c r="A448" s="10" t="inlineStr">
        <is>
          <t>Renault Twingo 1 découvrable</t>
        </is>
      </c>
      <c r="B448" s="10" t="inlineStr">
        <is>
          <t>Twingo phase 2 1.2I 16V 75vh toit ouvrant</t>
        </is>
      </c>
      <c r="C448" s="10" t="inlineStr">
        <is>
          <t>En vente</t>
        </is>
      </c>
      <c r="D448" s="18" t="n">
        <v>46290</v>
      </c>
      <c r="E448" s="18" t="n">
        <v>46290</v>
      </c>
      <c r="F448" s="18" t="n">
        <v>46296</v>
      </c>
      <c r="G448" s="18" t="n"/>
      <c r="H448" s="17">
        <f>IF(OR(ISNUMBER(D448),ISNUMBER(E448)),IF(ISNUMBER(G448),G448,F448)-IF(ISNUMBER(D448),D448,E448),"")</f>
        <v/>
      </c>
      <c r="I448" s="12" t="n">
        <v>1990</v>
      </c>
      <c r="J448" s="12" t="n">
        <v>1990</v>
      </c>
      <c r="K448" s="13">
        <f>IF(AND(ISNUMBER(I448),ISNUMBER(J448),I448&gt;0),1-J448/I448,"")</f>
        <v/>
      </c>
      <c r="L448" s="16" t="n">
        <v>0</v>
      </c>
      <c r="M448" s="15" t="n">
        <v>193000</v>
      </c>
      <c r="N448" s="16" t="n">
        <v>2001</v>
      </c>
      <c r="O448" s="10" t="inlineStr">
        <is>
          <t>1</t>
        </is>
      </c>
      <c r="P448" s="10" t="inlineStr">
        <is>
          <t>1</t>
        </is>
      </c>
      <c r="Q448" s="16" t="n">
        <v>75</v>
      </c>
      <c r="R448" s="16" t="n">
        <v>5</v>
      </c>
      <c r="S448" s="10" t="inlineStr">
        <is>
          <t>autre</t>
        </is>
      </c>
      <c r="T448" s="16" t="n">
        <v>3</v>
      </c>
      <c r="U448" s="10" t="n"/>
      <c r="V448" s="10" t="n"/>
      <c r="W448" s="10" t="inlineStr">
        <is>
          <t>Pro</t>
        </is>
      </c>
      <c r="X448" s="10" t="inlineStr">
        <is>
          <t>Grenoble</t>
        </is>
      </c>
      <c r="Y448" s="10" t="inlineStr">
        <is>
          <t>38000</t>
        </is>
      </c>
      <c r="Z448" s="10" t="inlineStr">
        <is>
          <t>Isère</t>
        </is>
      </c>
      <c r="AA448" s="10" t="inlineStr">
        <is>
          <t>Rhône-Alpes</t>
        </is>
      </c>
      <c r="AB448" s="16" t="n"/>
      <c r="AC448" s="16" t="n"/>
      <c r="AD448" s="10" t="n"/>
      <c r="AE448" s="10" t="n"/>
      <c r="AF448" s="10" t="inlineStr">
        <is>
          <t>1 : 1 ; 3 : 3 ; 2001 : 2001 ; Renault : Renault ; Twingo : Twingo ; RENAULT : RENAULT ; 193000 km : 193000 ; Essence : 1 ; Manuelle : 1 ; 04/2001 : 04/2001 ; Berline : berline ; Autre : autre ; 5 Cv : 5 ; 75 Ch : 75 ; Avec permis : avecpermis ; false : false ; Non : false ; https://autoviza.fr/report/report?uid=69bd84fb-338e-4191-b7e8-efdea45eb66f : https://autoviza.fr/report/report?uid=69bd84fb-338e-4191-b7e8-efdea45eb66f ; visible : visible ; Non renseignée : non_renseignee ; true : true ; activity_sector : 1 ; u_car_brand : RENAULT ; u_car_model : Twingo ; vehicle_vsp : Avec permis ; recent_used_vehicle : false ; vehicle_commercial_warranty : Non ; vehicle_manufacturer_warranty : Non ; is_import : false ; vehicle_history_report_public_url : https://autoviza.fr/report/report?uid=69bd84fb-338e-4191-b7e8-efdea45eb66f ; vehicle_history_report_status : visible ; spare_parts_availability : Non renseignée ; licence_plate_available : true</t>
        </is>
      </c>
      <c r="AG448" s="19" t="inlineStr">
        <is>
          <t>Voir</t>
        </is>
      </c>
      <c r="AH448" s="10" t="inlineStr">
        <is>
          <t>3276478695</t>
        </is>
      </c>
    </row>
    <row r="449">
      <c r="A449" s="10" t="inlineStr">
        <is>
          <t>Renault Twingo 1 découvrable</t>
        </is>
      </c>
      <c r="B449" s="10" t="inlineStr">
        <is>
          <t>Twingo 1 (phase 2) toit ouvrant (panoramique) en Parfait état</t>
        </is>
      </c>
      <c r="C449" s="10" t="inlineStr">
        <is>
          <t>En vente</t>
        </is>
      </c>
      <c r="D449" s="18" t="n">
        <v>46293</v>
      </c>
      <c r="E449" s="18" t="n">
        <v>46293</v>
      </c>
      <c r="F449" s="18" t="n">
        <v>46296</v>
      </c>
      <c r="G449" s="18" t="n"/>
      <c r="H449" s="17">
        <f>IF(OR(ISNUMBER(D449),ISNUMBER(E449)),IF(ISNUMBER(G449),G449,F449)-IF(ISNUMBER(D449),D449,E449),"")</f>
        <v/>
      </c>
      <c r="I449" s="12" t="n">
        <v>2850</v>
      </c>
      <c r="J449" s="12" t="n">
        <v>2850</v>
      </c>
      <c r="K449" s="13">
        <f>IF(AND(ISNUMBER(I449),ISNUMBER(J449),I449&gt;0),1-J449/I449,"")</f>
        <v/>
      </c>
      <c r="L449" s="16" t="n">
        <v>0</v>
      </c>
      <c r="M449" s="15" t="n">
        <v>175000</v>
      </c>
      <c r="N449" s="16" t="n">
        <v>2004</v>
      </c>
      <c r="O449" s="10" t="inlineStr">
        <is>
          <t>1</t>
        </is>
      </c>
      <c r="P449" s="10" t="inlineStr">
        <is>
          <t>1</t>
        </is>
      </c>
      <c r="Q449" s="16" t="n">
        <v>60</v>
      </c>
      <c r="R449" s="16" t="n">
        <v>4</v>
      </c>
      <c r="S449" s="10" t="inlineStr">
        <is>
          <t>gris</t>
        </is>
      </c>
      <c r="T449" s="16" t="n">
        <v>3</v>
      </c>
      <c r="U449" s="10" t="n"/>
      <c r="V449" s="10" t="n"/>
      <c r="W449" s="10" t="inlineStr">
        <is>
          <t>Particulier</t>
        </is>
      </c>
      <c r="X449" s="10" t="inlineStr">
        <is>
          <t>Lille</t>
        </is>
      </c>
      <c r="Y449" s="10" t="inlineStr">
        <is>
          <t>59000</t>
        </is>
      </c>
      <c r="Z449" s="10" t="inlineStr">
        <is>
          <t>Nord</t>
        </is>
      </c>
      <c r="AA449" s="10" t="inlineStr">
        <is>
          <t>Nord-Pas-de-Calais</t>
        </is>
      </c>
      <c r="AB449" s="16" t="n"/>
      <c r="AC449" s="16" t="n"/>
      <c r="AD449" s="10" t="n"/>
      <c r="AE449" s="10" t="n"/>
      <c r="AF449" s="10" t="inlineStr">
        <is>
          <t>1 : 1 ; 2 : 2 ; 3 : 3 ; 4 : 4 ; 2004 : 2004 ; 723155 : 723155 ; https://img.leboncoin.fr/api/v1/tenants/9a6387a1-6259-4f2c-a887-7e67f23dd4cb/domains/20bda58f-d650-462e-a72a-a5a7ecf2bf88/buckets/21d2b0bc-e54c-4b64-a30b-89127b18b785/images/profile/pictures/default/853c5704-7bc6-50b4-be15-4e5705e94ded?rule=pp-small : https://img.leboncoin.fr/api/v1/tenants/9a6387a1-6259-4f2c-a887-7e67f23dd4cb/domains/20bda58f-d650-462e-a72a-a5a7ecf2bf88/buckets/21d2b0bc-e54c-4b64-a30b-89127b18b785/images/profile/pictures/default/853c5704-7bc6-50b4-be15-4e5705e94ded?rule=pp-small ; Renault : Renault ; Twingo : Twingo ; RENAULT : RENAULT ; 175000 km : 175000 ; Essence : 1 ; Manuelle : 1 ; Authentique : RENAULT_Twingo_Authentique ; Twingo 1.2 60ch Authentique : Twingo 1.2 60ch Authentique ; 01/2004 : 01/2004 ; Excellent état (proche du neuf) : excellent_condition ; Berline : berline ; Gris : gris ; 4 Cv : 4 ; 60 Ch : 60 ; Avec permis : avecpermis ; credit_card : credit_card ; false : false ; true : true ; rating_score : 1 ; rating_count : 2 ; u_car_brand : RENAULT ; u_car_model : Twingo ; u_car_finition : Authentique ; u_car_version : Twingo 1.2 60ch Authentique ; vehicle_damage : Excellent état (proche du neuf) ; vehicle_upholstery : Tissu ; vehicle_maintenance : Carnet d'entretien disponible, Factures disponibles, Véhicule non fumeur, Réparations utiles déjà faites ; vehicle_vsp : Avec permis ; vehicle_available_payment_methods : credit_card ; is_import : false ; vehicle_is_eligible_p2p : 2 ; argus_object_id : 723155 ; licence_plate_available : true</t>
        </is>
      </c>
      <c r="AG449" s="19" t="inlineStr">
        <is>
          <t>Voir</t>
        </is>
      </c>
      <c r="AH449" s="10" t="inlineStr">
        <is>
          <t>3278551940</t>
        </is>
      </c>
    </row>
    <row r="450">
      <c r="A450" s="10" t="inlineStr">
        <is>
          <t>Renault Twingo 1 découvrable</t>
        </is>
      </c>
      <c r="B450" s="10" t="inlineStr">
        <is>
          <t>Twingo 1 toit ouvrant</t>
        </is>
      </c>
      <c r="C450" s="10" t="inlineStr">
        <is>
          <t>En vente</t>
        </is>
      </c>
      <c r="D450" s="18" t="n">
        <v>46294</v>
      </c>
      <c r="E450" s="18" t="n">
        <v>46294</v>
      </c>
      <c r="F450" s="18" t="n">
        <v>46296</v>
      </c>
      <c r="G450" s="18" t="n"/>
      <c r="H450" s="17">
        <f>IF(OR(ISNUMBER(D450),ISNUMBER(E450)),IF(ISNUMBER(G450),G450,F450)-IF(ISNUMBER(D450),D450,E450),"")</f>
        <v/>
      </c>
      <c r="I450" s="12" t="n">
        <v>3800</v>
      </c>
      <c r="J450" s="12" t="n">
        <v>3800</v>
      </c>
      <c r="K450" s="13">
        <f>IF(AND(ISNUMBER(I450),ISNUMBER(J450),I450&gt;0),1-J450/I450,"")</f>
        <v/>
      </c>
      <c r="L450" s="16" t="n">
        <v>0</v>
      </c>
      <c r="M450" s="15" t="n">
        <v>80000</v>
      </c>
      <c r="N450" s="16" t="n">
        <v>2004</v>
      </c>
      <c r="O450" s="10" t="inlineStr">
        <is>
          <t>1</t>
        </is>
      </c>
      <c r="P450" s="10" t="inlineStr">
        <is>
          <t>1</t>
        </is>
      </c>
      <c r="Q450" s="16" t="n">
        <v>60</v>
      </c>
      <c r="R450" s="16" t="n">
        <v>4</v>
      </c>
      <c r="S450" s="10" t="inlineStr">
        <is>
          <t>rouge</t>
        </is>
      </c>
      <c r="T450" s="16" t="n">
        <v>3</v>
      </c>
      <c r="U450" s="10" t="n"/>
      <c r="V450" s="10" t="n"/>
      <c r="W450" s="10" t="inlineStr">
        <is>
          <t>Particulier</t>
        </is>
      </c>
      <c r="X450" s="10" t="inlineStr">
        <is>
          <t>Lille</t>
        </is>
      </c>
      <c r="Y450" s="10" t="inlineStr">
        <is>
          <t>59000</t>
        </is>
      </c>
      <c r="Z450" s="10" t="inlineStr">
        <is>
          <t>Nord</t>
        </is>
      </c>
      <c r="AA450" s="10" t="inlineStr">
        <is>
          <t>Nord-Pas-de-Calais</t>
        </is>
      </c>
      <c r="AB450" s="16" t="n"/>
      <c r="AC450" s="16" t="n"/>
      <c r="AD450" s="10" t="n"/>
      <c r="AE450" s="10" t="n"/>
      <c r="AF450" s="10" t="inlineStr">
        <is>
          <t>1 : 1 ; 2 : 2 ; 3 : 3 ; 4 : 4 ; 2004 : 2004 ; https://img.leboncoin.fr/api/v1/tenants/9a6387a1-6259-4f2c-a887-7e67f23dd4cb/domains/20bda58f-d650-462e-a72a-a5a7ecf2bf88/buckets/21d2b0bc-e54c-4b64-a30b-89127b18b785/images/profile/pictures/default/274a7b7c-60c1-5f43-a4f6-009122584d7e?rule=pp-small : https://img.leboncoin.fr/api/v1/tenants/9a6387a1-6259-4f2c-a887-7e67f23dd4cb/domains/20bda58f-d650-462e-a72a-a5a7ecf2bf88/buckets/21d2b0bc-e54c-4b64-a30b-89127b18b785/images/profile/pictures/default/274a7b7c-60c1-5f43-a4f6-009122584d7e?rule=pp-small ; Renault : Renault ; Twingo : Twingo ; RENAULT : RENAULT ; 80000 km : 80000 ; Essence : 1 ; Manuelle : 1 ; Non : false ; 08/2004 : 08/2004 ; Excellent état (proche du neuf) : excellent_condition ; Berline : berline ; Rouge : rouge ; 4 Cv : 4 ; 60 Ch : 60 ; Avec permis : avecpermis ; credit_card : credit_card ; false : false ; true : true ; rating_score : 1 ; rating_count : 1 ; u_car_brand : RENAULT ; u_car_model : Twingo ; vehicle_technical_inspection_valid : Non ; vehicle_damage : Excellent état (proche du neuf) ; vehicle_upholstery : Tissu ; vehicle_maintenance : Carnet d'entretien disponible ; vehicle_interior_specs : Phares anti-brouillard, Siège arrière rabattable, Toit ouvrant / Toit panoramique ; vehicle_vsp : Avec permis ; vehicle_available_payment_methods : credit_card ; is_import : false ; vehicle_is_eligible_p2p : 2 ; licence_plate_available : true</t>
        </is>
      </c>
      <c r="AG450" s="19" t="inlineStr">
        <is>
          <t>Voir</t>
        </is>
      </c>
      <c r="AH450" s="10" t="inlineStr">
        <is>
          <t>3279265139</t>
        </is>
      </c>
    </row>
    <row r="451">
      <c r="A451" s="10" t="inlineStr">
        <is>
          <t>Renault Twingo 1 découvrable</t>
        </is>
      </c>
      <c r="B451" s="10" t="inlineStr">
        <is>
          <t>RENAULT TWINGO 1.2 16v 75 CH INITIALE boite automatique TOIT OUVRANT FAIBLE KILOMETRAGE 68 201 KM ETAT RARE TRES BI</t>
        </is>
      </c>
      <c r="C451" s="10" t="inlineStr">
        <is>
          <t>En vente</t>
        </is>
      </c>
      <c r="D451" s="18" t="n">
        <v>46296</v>
      </c>
      <c r="E451" s="18" t="n">
        <v>46296</v>
      </c>
      <c r="F451" s="18" t="n">
        <v>46296</v>
      </c>
      <c r="G451" s="18" t="n"/>
      <c r="H451" s="17">
        <f>IF(OR(ISNUMBER(D451),ISNUMBER(E451)),IF(ISNUMBER(G451),G451,F451)-IF(ISNUMBER(D451),D451,E451),"")</f>
        <v/>
      </c>
      <c r="I451" s="12" t="n">
        <v>5990</v>
      </c>
      <c r="J451" s="12" t="n">
        <v>5990</v>
      </c>
      <c r="K451" s="13">
        <f>IF(AND(ISNUMBER(I451),ISNUMBER(J451),I451&gt;0),1-J451/I451,"")</f>
        <v/>
      </c>
      <c r="L451" s="16" t="n">
        <v>0</v>
      </c>
      <c r="M451" s="15" t="n">
        <v>68189</v>
      </c>
      <c r="N451" s="16" t="n">
        <v>2007</v>
      </c>
      <c r="O451" s="10" t="inlineStr">
        <is>
          <t>1</t>
        </is>
      </c>
      <c r="P451" s="10" t="inlineStr">
        <is>
          <t>2</t>
        </is>
      </c>
      <c r="Q451" s="16" t="n">
        <v>75</v>
      </c>
      <c r="R451" s="16" t="n">
        <v>5</v>
      </c>
      <c r="S451" s="10" t="inlineStr">
        <is>
          <t>autre</t>
        </is>
      </c>
      <c r="T451" s="16" t="n">
        <v>3</v>
      </c>
      <c r="U451" s="10" t="n"/>
      <c r="V451" s="10" t="n"/>
      <c r="W451" s="10" t="inlineStr">
        <is>
          <t>Pro</t>
        </is>
      </c>
      <c r="X451" s="10" t="inlineStr">
        <is>
          <t>Versailles</t>
        </is>
      </c>
      <c r="Y451" s="10" t="inlineStr">
        <is>
          <t>78000</t>
        </is>
      </c>
      <c r="Z451" s="10" t="inlineStr">
        <is>
          <t>Yvelines</t>
        </is>
      </c>
      <c r="AA451" s="10" t="inlineStr">
        <is>
          <t>Ile-de-France</t>
        </is>
      </c>
      <c r="AB451" s="16" t="n"/>
      <c r="AC451" s="16" t="n"/>
      <c r="AD451" s="10" t="n"/>
      <c r="AE451" s="10" t="n"/>
      <c r="AF451" s="10" t="inlineStr">
        <is>
          <t>1 : 1 ; 3 : 3 ; 4 : 4 ; 2007 : 2007 ; 4300 : 4300 ; 4760 : 4760 ; 5024 : 5024 ; 946283 : 946283 ; 4219094 : 4219094 ; Renault : Renault ; Twingo : Twingo ; RENAULT : RENAULT ; 68189 km : 68189 ; Essence : 1 ; Automatique : 2 ; Initiale : RENAULT_Twingo_Initiale ; Twingo 1.2 16v 75ch Initiale Quickshift : Twingo 1.2 16v 75ch Initiale Quickshift ; 06/2007 : 06/2007 ; Berline : berline ; Autre : autre ; 5 Cv : 5 ; 75 Ch : 75 ; Avec permis : avecpermis ; false : false ; true : true ; https://img.leboncoin.fr/api/v1/lbcpb1/images/28/1f/00/281f008e-c40c-4355-b9a5-a3731dca3e33?rule=bo-thumb : https://img.leboncoin.fr/api/v1/lbcpb1/images/28/1f/00/281f008e-c40c-4355-b9a5-a3731dca3e33?rule=bo-thumb ; TRANSACTIONS AUTOS : TRANSACTIONS AUTOS ; Estimation indisponible : badge_key_0_5 ; https://autoviza.fr/report/report?uid=34e1253e-d314-459e-9f16-db339a717d2d : https://autoviza.fr/report/report?uid=34e1253e-d314-459e-9f16-db339a717d2d ; visible : visible ; Non renseignée : non_renseignee ; activity_sector : 1 ; u_car_brand : RENAULT ; u_car_model : Twingo ; u_car_finition : Initiale ; u_car_version : Twingo 1.2 16v 75ch Initiale Quickshift ; vehicle_interior_specs : Jantes en alliage, Toit ouvrant / Toit panoramique, Vitres électriques arrières ; vehicle_vsp : Avec permis ; recent_used_vehicle : false ; has_visibility_option : true ; store_logo : https://img.leboncoin.fr/api/v1/lbcpb1/images/28/1f/00/281f008e-c40c-4355-b9a5-a3731dca3e33?rule=bo-thumb ; store_name : TRANSACTIONS AUTOS ; online_store_id : 4219094 ; custom_ref : 5024 ; is_import : true ; car_price_min : 4300 ; car_price_max : 4760 ; car_price_positioning : Estimation indisponible ; vehicle_history_report_public_url : https://autoviza.fr/report/report?uid=34e1253e-d314-459e-9f16-db339a717d2d ; vehicle_history_report_status : visible ; argus_object_id : 946283 ; spare_parts_availability : Non renseignée ; licence_plate_available : true</t>
        </is>
      </c>
      <c r="AG451" s="19" t="inlineStr">
        <is>
          <t>Voir</t>
        </is>
      </c>
      <c r="AH451" s="10" t="inlineStr">
        <is>
          <t>3280012848</t>
        </is>
      </c>
    </row>
  </sheetData>
  <autoFilter ref="A1:AH451"/>
  <hyperlinks>
    <hyperlink xmlns:r="http://schemas.openxmlformats.org/officeDocument/2006/relationships" ref="AG2" r:id="rId1"/>
    <hyperlink xmlns:r="http://schemas.openxmlformats.org/officeDocument/2006/relationships" ref="AG3" r:id="rId2"/>
    <hyperlink xmlns:r="http://schemas.openxmlformats.org/officeDocument/2006/relationships" ref="AG4" r:id="rId3"/>
    <hyperlink xmlns:r="http://schemas.openxmlformats.org/officeDocument/2006/relationships" ref="AG5" r:id="rId4"/>
    <hyperlink xmlns:r="http://schemas.openxmlformats.org/officeDocument/2006/relationships" ref="AG6" r:id="rId5"/>
    <hyperlink xmlns:r="http://schemas.openxmlformats.org/officeDocument/2006/relationships" ref="AG7" r:id="rId6"/>
    <hyperlink xmlns:r="http://schemas.openxmlformats.org/officeDocument/2006/relationships" ref="AG8" r:id="rId7"/>
    <hyperlink xmlns:r="http://schemas.openxmlformats.org/officeDocument/2006/relationships" ref="AG9" r:id="rId8"/>
    <hyperlink xmlns:r="http://schemas.openxmlformats.org/officeDocument/2006/relationships" ref="AG10" r:id="rId9"/>
    <hyperlink xmlns:r="http://schemas.openxmlformats.org/officeDocument/2006/relationships" ref="AG11" r:id="rId10"/>
    <hyperlink xmlns:r="http://schemas.openxmlformats.org/officeDocument/2006/relationships" ref="AG12" r:id="rId11"/>
    <hyperlink xmlns:r="http://schemas.openxmlformats.org/officeDocument/2006/relationships" ref="AG13" r:id="rId12"/>
    <hyperlink xmlns:r="http://schemas.openxmlformats.org/officeDocument/2006/relationships" ref="AG14" r:id="rId13"/>
    <hyperlink xmlns:r="http://schemas.openxmlformats.org/officeDocument/2006/relationships" ref="AG15" r:id="rId14"/>
    <hyperlink xmlns:r="http://schemas.openxmlformats.org/officeDocument/2006/relationships" ref="AG16" r:id="rId15"/>
    <hyperlink xmlns:r="http://schemas.openxmlformats.org/officeDocument/2006/relationships" ref="AG17" r:id="rId16"/>
    <hyperlink xmlns:r="http://schemas.openxmlformats.org/officeDocument/2006/relationships" ref="AG18" r:id="rId17"/>
    <hyperlink xmlns:r="http://schemas.openxmlformats.org/officeDocument/2006/relationships" ref="AG19" r:id="rId18"/>
    <hyperlink xmlns:r="http://schemas.openxmlformats.org/officeDocument/2006/relationships" ref="AG20" r:id="rId19"/>
    <hyperlink xmlns:r="http://schemas.openxmlformats.org/officeDocument/2006/relationships" ref="AG21" r:id="rId20"/>
    <hyperlink xmlns:r="http://schemas.openxmlformats.org/officeDocument/2006/relationships" ref="AG22" r:id="rId21"/>
    <hyperlink xmlns:r="http://schemas.openxmlformats.org/officeDocument/2006/relationships" ref="AG23" r:id="rId22"/>
    <hyperlink xmlns:r="http://schemas.openxmlformats.org/officeDocument/2006/relationships" ref="AG24" r:id="rId23"/>
    <hyperlink xmlns:r="http://schemas.openxmlformats.org/officeDocument/2006/relationships" ref="AG25" r:id="rId24"/>
    <hyperlink xmlns:r="http://schemas.openxmlformats.org/officeDocument/2006/relationships" ref="AG26" r:id="rId25"/>
    <hyperlink xmlns:r="http://schemas.openxmlformats.org/officeDocument/2006/relationships" ref="AG27" r:id="rId26"/>
    <hyperlink xmlns:r="http://schemas.openxmlformats.org/officeDocument/2006/relationships" ref="AG28" r:id="rId27"/>
    <hyperlink xmlns:r="http://schemas.openxmlformats.org/officeDocument/2006/relationships" ref="AG29" r:id="rId28"/>
    <hyperlink xmlns:r="http://schemas.openxmlformats.org/officeDocument/2006/relationships" ref="AG30" r:id="rId29"/>
    <hyperlink xmlns:r="http://schemas.openxmlformats.org/officeDocument/2006/relationships" ref="AG31" r:id="rId30"/>
    <hyperlink xmlns:r="http://schemas.openxmlformats.org/officeDocument/2006/relationships" ref="AG32" r:id="rId31"/>
    <hyperlink xmlns:r="http://schemas.openxmlformats.org/officeDocument/2006/relationships" ref="AG33" r:id="rId32"/>
    <hyperlink xmlns:r="http://schemas.openxmlformats.org/officeDocument/2006/relationships" ref="AG34" r:id="rId33"/>
    <hyperlink xmlns:r="http://schemas.openxmlformats.org/officeDocument/2006/relationships" ref="AG35" r:id="rId34"/>
    <hyperlink xmlns:r="http://schemas.openxmlformats.org/officeDocument/2006/relationships" ref="AG36" r:id="rId35"/>
    <hyperlink xmlns:r="http://schemas.openxmlformats.org/officeDocument/2006/relationships" ref="AG37" r:id="rId36"/>
    <hyperlink xmlns:r="http://schemas.openxmlformats.org/officeDocument/2006/relationships" ref="AG38" r:id="rId37"/>
    <hyperlink xmlns:r="http://schemas.openxmlformats.org/officeDocument/2006/relationships" ref="AG39" r:id="rId38"/>
    <hyperlink xmlns:r="http://schemas.openxmlformats.org/officeDocument/2006/relationships" ref="AG40" r:id="rId39"/>
    <hyperlink xmlns:r="http://schemas.openxmlformats.org/officeDocument/2006/relationships" ref="AG41" r:id="rId40"/>
    <hyperlink xmlns:r="http://schemas.openxmlformats.org/officeDocument/2006/relationships" ref="AG42" r:id="rId41"/>
    <hyperlink xmlns:r="http://schemas.openxmlformats.org/officeDocument/2006/relationships" ref="AG43" r:id="rId42"/>
    <hyperlink xmlns:r="http://schemas.openxmlformats.org/officeDocument/2006/relationships" ref="AG44" r:id="rId43"/>
    <hyperlink xmlns:r="http://schemas.openxmlformats.org/officeDocument/2006/relationships" ref="AG45" r:id="rId44"/>
    <hyperlink xmlns:r="http://schemas.openxmlformats.org/officeDocument/2006/relationships" ref="AG46" r:id="rId45"/>
    <hyperlink xmlns:r="http://schemas.openxmlformats.org/officeDocument/2006/relationships" ref="AG47" r:id="rId46"/>
    <hyperlink xmlns:r="http://schemas.openxmlformats.org/officeDocument/2006/relationships" ref="AG48" r:id="rId47"/>
    <hyperlink xmlns:r="http://schemas.openxmlformats.org/officeDocument/2006/relationships" ref="AG49" r:id="rId48"/>
    <hyperlink xmlns:r="http://schemas.openxmlformats.org/officeDocument/2006/relationships" ref="AG50" r:id="rId49"/>
    <hyperlink xmlns:r="http://schemas.openxmlformats.org/officeDocument/2006/relationships" ref="AG51" r:id="rId50"/>
    <hyperlink xmlns:r="http://schemas.openxmlformats.org/officeDocument/2006/relationships" ref="AG52" r:id="rId51"/>
    <hyperlink xmlns:r="http://schemas.openxmlformats.org/officeDocument/2006/relationships" ref="AG53" r:id="rId52"/>
    <hyperlink xmlns:r="http://schemas.openxmlformats.org/officeDocument/2006/relationships" ref="AG54" r:id="rId53"/>
    <hyperlink xmlns:r="http://schemas.openxmlformats.org/officeDocument/2006/relationships" ref="AG55" r:id="rId54"/>
    <hyperlink xmlns:r="http://schemas.openxmlformats.org/officeDocument/2006/relationships" ref="AG56" r:id="rId55"/>
    <hyperlink xmlns:r="http://schemas.openxmlformats.org/officeDocument/2006/relationships" ref="AG57" r:id="rId56"/>
    <hyperlink xmlns:r="http://schemas.openxmlformats.org/officeDocument/2006/relationships" ref="AG58" r:id="rId57"/>
    <hyperlink xmlns:r="http://schemas.openxmlformats.org/officeDocument/2006/relationships" ref="AG59" r:id="rId58"/>
    <hyperlink xmlns:r="http://schemas.openxmlformats.org/officeDocument/2006/relationships" ref="AG60" r:id="rId59"/>
    <hyperlink xmlns:r="http://schemas.openxmlformats.org/officeDocument/2006/relationships" ref="AG61" r:id="rId60"/>
    <hyperlink xmlns:r="http://schemas.openxmlformats.org/officeDocument/2006/relationships" ref="AG62" r:id="rId61"/>
    <hyperlink xmlns:r="http://schemas.openxmlformats.org/officeDocument/2006/relationships" ref="AG63" r:id="rId62"/>
    <hyperlink xmlns:r="http://schemas.openxmlformats.org/officeDocument/2006/relationships" ref="AG64" r:id="rId63"/>
    <hyperlink xmlns:r="http://schemas.openxmlformats.org/officeDocument/2006/relationships" ref="AG65" r:id="rId64"/>
    <hyperlink xmlns:r="http://schemas.openxmlformats.org/officeDocument/2006/relationships" ref="AG66" r:id="rId65"/>
    <hyperlink xmlns:r="http://schemas.openxmlformats.org/officeDocument/2006/relationships" ref="AG67" r:id="rId66"/>
    <hyperlink xmlns:r="http://schemas.openxmlformats.org/officeDocument/2006/relationships" ref="AG68" r:id="rId67"/>
    <hyperlink xmlns:r="http://schemas.openxmlformats.org/officeDocument/2006/relationships" ref="AG69" r:id="rId68"/>
    <hyperlink xmlns:r="http://schemas.openxmlformats.org/officeDocument/2006/relationships" ref="AG70" r:id="rId69"/>
    <hyperlink xmlns:r="http://schemas.openxmlformats.org/officeDocument/2006/relationships" ref="AG71" r:id="rId70"/>
    <hyperlink xmlns:r="http://schemas.openxmlformats.org/officeDocument/2006/relationships" ref="AG72" r:id="rId71"/>
    <hyperlink xmlns:r="http://schemas.openxmlformats.org/officeDocument/2006/relationships" ref="AG73" r:id="rId72"/>
    <hyperlink xmlns:r="http://schemas.openxmlformats.org/officeDocument/2006/relationships" ref="AG74" r:id="rId73"/>
    <hyperlink xmlns:r="http://schemas.openxmlformats.org/officeDocument/2006/relationships" ref="AG75" r:id="rId74"/>
    <hyperlink xmlns:r="http://schemas.openxmlformats.org/officeDocument/2006/relationships" ref="AG76" r:id="rId75"/>
    <hyperlink xmlns:r="http://schemas.openxmlformats.org/officeDocument/2006/relationships" ref="AG77" r:id="rId76"/>
    <hyperlink xmlns:r="http://schemas.openxmlformats.org/officeDocument/2006/relationships" ref="AG78" r:id="rId77"/>
    <hyperlink xmlns:r="http://schemas.openxmlformats.org/officeDocument/2006/relationships" ref="AG79" r:id="rId78"/>
    <hyperlink xmlns:r="http://schemas.openxmlformats.org/officeDocument/2006/relationships" ref="AG80" r:id="rId79"/>
    <hyperlink xmlns:r="http://schemas.openxmlformats.org/officeDocument/2006/relationships" ref="AG81" r:id="rId80"/>
    <hyperlink xmlns:r="http://schemas.openxmlformats.org/officeDocument/2006/relationships" ref="AG82" r:id="rId81"/>
    <hyperlink xmlns:r="http://schemas.openxmlformats.org/officeDocument/2006/relationships" ref="AG83" r:id="rId82"/>
    <hyperlink xmlns:r="http://schemas.openxmlformats.org/officeDocument/2006/relationships" ref="AG84" r:id="rId83"/>
    <hyperlink xmlns:r="http://schemas.openxmlformats.org/officeDocument/2006/relationships" ref="AG85" r:id="rId84"/>
    <hyperlink xmlns:r="http://schemas.openxmlformats.org/officeDocument/2006/relationships" ref="AG86" r:id="rId85"/>
    <hyperlink xmlns:r="http://schemas.openxmlformats.org/officeDocument/2006/relationships" ref="AG87" r:id="rId86"/>
    <hyperlink xmlns:r="http://schemas.openxmlformats.org/officeDocument/2006/relationships" ref="AG88" r:id="rId87"/>
    <hyperlink xmlns:r="http://schemas.openxmlformats.org/officeDocument/2006/relationships" ref="AG89" r:id="rId88"/>
    <hyperlink xmlns:r="http://schemas.openxmlformats.org/officeDocument/2006/relationships" ref="AG90" r:id="rId89"/>
    <hyperlink xmlns:r="http://schemas.openxmlformats.org/officeDocument/2006/relationships" ref="AG91" r:id="rId90"/>
    <hyperlink xmlns:r="http://schemas.openxmlformats.org/officeDocument/2006/relationships" ref="AG92" r:id="rId91"/>
    <hyperlink xmlns:r="http://schemas.openxmlformats.org/officeDocument/2006/relationships" ref="AG93" r:id="rId92"/>
    <hyperlink xmlns:r="http://schemas.openxmlformats.org/officeDocument/2006/relationships" ref="AG94" r:id="rId93"/>
    <hyperlink xmlns:r="http://schemas.openxmlformats.org/officeDocument/2006/relationships" ref="AG95" r:id="rId94"/>
    <hyperlink xmlns:r="http://schemas.openxmlformats.org/officeDocument/2006/relationships" ref="AG96" r:id="rId95"/>
    <hyperlink xmlns:r="http://schemas.openxmlformats.org/officeDocument/2006/relationships" ref="AG97" r:id="rId96"/>
    <hyperlink xmlns:r="http://schemas.openxmlformats.org/officeDocument/2006/relationships" ref="AG98" r:id="rId97"/>
    <hyperlink xmlns:r="http://schemas.openxmlformats.org/officeDocument/2006/relationships" ref="AG99" r:id="rId98"/>
    <hyperlink xmlns:r="http://schemas.openxmlformats.org/officeDocument/2006/relationships" ref="AG100" r:id="rId99"/>
    <hyperlink xmlns:r="http://schemas.openxmlformats.org/officeDocument/2006/relationships" ref="AG101" r:id="rId100"/>
    <hyperlink xmlns:r="http://schemas.openxmlformats.org/officeDocument/2006/relationships" ref="AG102" r:id="rId101"/>
    <hyperlink xmlns:r="http://schemas.openxmlformats.org/officeDocument/2006/relationships" ref="AG103" r:id="rId102"/>
    <hyperlink xmlns:r="http://schemas.openxmlformats.org/officeDocument/2006/relationships" ref="AG104" r:id="rId103"/>
    <hyperlink xmlns:r="http://schemas.openxmlformats.org/officeDocument/2006/relationships" ref="AG105" r:id="rId104"/>
    <hyperlink xmlns:r="http://schemas.openxmlformats.org/officeDocument/2006/relationships" ref="AG106" r:id="rId105"/>
    <hyperlink xmlns:r="http://schemas.openxmlformats.org/officeDocument/2006/relationships" ref="AG107" r:id="rId106"/>
    <hyperlink xmlns:r="http://schemas.openxmlformats.org/officeDocument/2006/relationships" ref="AG108" r:id="rId107"/>
    <hyperlink xmlns:r="http://schemas.openxmlformats.org/officeDocument/2006/relationships" ref="AG109" r:id="rId108"/>
    <hyperlink xmlns:r="http://schemas.openxmlformats.org/officeDocument/2006/relationships" ref="AG110" r:id="rId109"/>
    <hyperlink xmlns:r="http://schemas.openxmlformats.org/officeDocument/2006/relationships" ref="AG111" r:id="rId110"/>
    <hyperlink xmlns:r="http://schemas.openxmlformats.org/officeDocument/2006/relationships" ref="AG112" r:id="rId111"/>
    <hyperlink xmlns:r="http://schemas.openxmlformats.org/officeDocument/2006/relationships" ref="AG113" r:id="rId112"/>
    <hyperlink xmlns:r="http://schemas.openxmlformats.org/officeDocument/2006/relationships" ref="AG114" r:id="rId113"/>
    <hyperlink xmlns:r="http://schemas.openxmlformats.org/officeDocument/2006/relationships" ref="AG115" r:id="rId114"/>
    <hyperlink xmlns:r="http://schemas.openxmlformats.org/officeDocument/2006/relationships" ref="AG116" r:id="rId115"/>
    <hyperlink xmlns:r="http://schemas.openxmlformats.org/officeDocument/2006/relationships" ref="AG117" r:id="rId116"/>
    <hyperlink xmlns:r="http://schemas.openxmlformats.org/officeDocument/2006/relationships" ref="AG118" r:id="rId117"/>
    <hyperlink xmlns:r="http://schemas.openxmlformats.org/officeDocument/2006/relationships" ref="AG119" r:id="rId118"/>
    <hyperlink xmlns:r="http://schemas.openxmlformats.org/officeDocument/2006/relationships" ref="AG120" r:id="rId119"/>
    <hyperlink xmlns:r="http://schemas.openxmlformats.org/officeDocument/2006/relationships" ref="AG121" r:id="rId120"/>
    <hyperlink xmlns:r="http://schemas.openxmlformats.org/officeDocument/2006/relationships" ref="AG122" r:id="rId121"/>
    <hyperlink xmlns:r="http://schemas.openxmlformats.org/officeDocument/2006/relationships" ref="AG123" r:id="rId122"/>
    <hyperlink xmlns:r="http://schemas.openxmlformats.org/officeDocument/2006/relationships" ref="AG124" r:id="rId123"/>
    <hyperlink xmlns:r="http://schemas.openxmlformats.org/officeDocument/2006/relationships" ref="AG125" r:id="rId124"/>
    <hyperlink xmlns:r="http://schemas.openxmlformats.org/officeDocument/2006/relationships" ref="AG126" r:id="rId125"/>
    <hyperlink xmlns:r="http://schemas.openxmlformats.org/officeDocument/2006/relationships" ref="AG127" r:id="rId126"/>
    <hyperlink xmlns:r="http://schemas.openxmlformats.org/officeDocument/2006/relationships" ref="AG128" r:id="rId127"/>
    <hyperlink xmlns:r="http://schemas.openxmlformats.org/officeDocument/2006/relationships" ref="AG129" r:id="rId128"/>
    <hyperlink xmlns:r="http://schemas.openxmlformats.org/officeDocument/2006/relationships" ref="AG130" r:id="rId129"/>
    <hyperlink xmlns:r="http://schemas.openxmlformats.org/officeDocument/2006/relationships" ref="AG131" r:id="rId130"/>
    <hyperlink xmlns:r="http://schemas.openxmlformats.org/officeDocument/2006/relationships" ref="AG132" r:id="rId131"/>
    <hyperlink xmlns:r="http://schemas.openxmlformats.org/officeDocument/2006/relationships" ref="AG133" r:id="rId132"/>
    <hyperlink xmlns:r="http://schemas.openxmlformats.org/officeDocument/2006/relationships" ref="AG134" r:id="rId133"/>
    <hyperlink xmlns:r="http://schemas.openxmlformats.org/officeDocument/2006/relationships" ref="AG135" r:id="rId134"/>
    <hyperlink xmlns:r="http://schemas.openxmlformats.org/officeDocument/2006/relationships" ref="AG136" r:id="rId135"/>
    <hyperlink xmlns:r="http://schemas.openxmlformats.org/officeDocument/2006/relationships" ref="AG137" r:id="rId136"/>
    <hyperlink xmlns:r="http://schemas.openxmlformats.org/officeDocument/2006/relationships" ref="AG138" r:id="rId137"/>
    <hyperlink xmlns:r="http://schemas.openxmlformats.org/officeDocument/2006/relationships" ref="AG139" r:id="rId138"/>
    <hyperlink xmlns:r="http://schemas.openxmlformats.org/officeDocument/2006/relationships" ref="AG140" r:id="rId139"/>
    <hyperlink xmlns:r="http://schemas.openxmlformats.org/officeDocument/2006/relationships" ref="AG141" r:id="rId140"/>
    <hyperlink xmlns:r="http://schemas.openxmlformats.org/officeDocument/2006/relationships" ref="AG142" r:id="rId141"/>
    <hyperlink xmlns:r="http://schemas.openxmlformats.org/officeDocument/2006/relationships" ref="AG143" r:id="rId142"/>
    <hyperlink xmlns:r="http://schemas.openxmlformats.org/officeDocument/2006/relationships" ref="AG144" r:id="rId143"/>
    <hyperlink xmlns:r="http://schemas.openxmlformats.org/officeDocument/2006/relationships" ref="AG145" r:id="rId144"/>
    <hyperlink xmlns:r="http://schemas.openxmlformats.org/officeDocument/2006/relationships" ref="AG146" r:id="rId145"/>
    <hyperlink xmlns:r="http://schemas.openxmlformats.org/officeDocument/2006/relationships" ref="AG147" r:id="rId146"/>
    <hyperlink xmlns:r="http://schemas.openxmlformats.org/officeDocument/2006/relationships" ref="AG148" r:id="rId147"/>
    <hyperlink xmlns:r="http://schemas.openxmlformats.org/officeDocument/2006/relationships" ref="AG149" r:id="rId148"/>
    <hyperlink xmlns:r="http://schemas.openxmlformats.org/officeDocument/2006/relationships" ref="AG150" r:id="rId149"/>
    <hyperlink xmlns:r="http://schemas.openxmlformats.org/officeDocument/2006/relationships" ref="AG151" r:id="rId150"/>
    <hyperlink xmlns:r="http://schemas.openxmlformats.org/officeDocument/2006/relationships" ref="AG152" r:id="rId151"/>
    <hyperlink xmlns:r="http://schemas.openxmlformats.org/officeDocument/2006/relationships" ref="AG153" r:id="rId152"/>
    <hyperlink xmlns:r="http://schemas.openxmlformats.org/officeDocument/2006/relationships" ref="AG154" r:id="rId153"/>
    <hyperlink xmlns:r="http://schemas.openxmlformats.org/officeDocument/2006/relationships" ref="AG155" r:id="rId154"/>
    <hyperlink xmlns:r="http://schemas.openxmlformats.org/officeDocument/2006/relationships" ref="AG156" r:id="rId155"/>
    <hyperlink xmlns:r="http://schemas.openxmlformats.org/officeDocument/2006/relationships" ref="AG157" r:id="rId156"/>
    <hyperlink xmlns:r="http://schemas.openxmlformats.org/officeDocument/2006/relationships" ref="AG158" r:id="rId157"/>
    <hyperlink xmlns:r="http://schemas.openxmlformats.org/officeDocument/2006/relationships" ref="AG159" r:id="rId158"/>
    <hyperlink xmlns:r="http://schemas.openxmlformats.org/officeDocument/2006/relationships" ref="AG160" r:id="rId159"/>
    <hyperlink xmlns:r="http://schemas.openxmlformats.org/officeDocument/2006/relationships" ref="AG161" r:id="rId160"/>
    <hyperlink xmlns:r="http://schemas.openxmlformats.org/officeDocument/2006/relationships" ref="AG162" r:id="rId161"/>
    <hyperlink xmlns:r="http://schemas.openxmlformats.org/officeDocument/2006/relationships" ref="AG163" r:id="rId162"/>
    <hyperlink xmlns:r="http://schemas.openxmlformats.org/officeDocument/2006/relationships" ref="AG164" r:id="rId163"/>
    <hyperlink xmlns:r="http://schemas.openxmlformats.org/officeDocument/2006/relationships" ref="AG165" r:id="rId164"/>
    <hyperlink xmlns:r="http://schemas.openxmlformats.org/officeDocument/2006/relationships" ref="AG166" r:id="rId165"/>
    <hyperlink xmlns:r="http://schemas.openxmlformats.org/officeDocument/2006/relationships" ref="AG167" r:id="rId166"/>
    <hyperlink xmlns:r="http://schemas.openxmlformats.org/officeDocument/2006/relationships" ref="AG168" r:id="rId167"/>
    <hyperlink xmlns:r="http://schemas.openxmlformats.org/officeDocument/2006/relationships" ref="AG169" r:id="rId168"/>
    <hyperlink xmlns:r="http://schemas.openxmlformats.org/officeDocument/2006/relationships" ref="AG170" r:id="rId169"/>
    <hyperlink xmlns:r="http://schemas.openxmlformats.org/officeDocument/2006/relationships" ref="AG171" r:id="rId170"/>
    <hyperlink xmlns:r="http://schemas.openxmlformats.org/officeDocument/2006/relationships" ref="AG172" r:id="rId171"/>
    <hyperlink xmlns:r="http://schemas.openxmlformats.org/officeDocument/2006/relationships" ref="AG173" r:id="rId172"/>
    <hyperlink xmlns:r="http://schemas.openxmlformats.org/officeDocument/2006/relationships" ref="AG174" r:id="rId173"/>
    <hyperlink xmlns:r="http://schemas.openxmlformats.org/officeDocument/2006/relationships" ref="AG175" r:id="rId174"/>
    <hyperlink xmlns:r="http://schemas.openxmlformats.org/officeDocument/2006/relationships" ref="AG176" r:id="rId175"/>
    <hyperlink xmlns:r="http://schemas.openxmlformats.org/officeDocument/2006/relationships" ref="AG177" r:id="rId176"/>
    <hyperlink xmlns:r="http://schemas.openxmlformats.org/officeDocument/2006/relationships" ref="AG178" r:id="rId177"/>
    <hyperlink xmlns:r="http://schemas.openxmlformats.org/officeDocument/2006/relationships" ref="AG179" r:id="rId178"/>
    <hyperlink xmlns:r="http://schemas.openxmlformats.org/officeDocument/2006/relationships" ref="AG180" r:id="rId179"/>
    <hyperlink xmlns:r="http://schemas.openxmlformats.org/officeDocument/2006/relationships" ref="AG181" r:id="rId180"/>
    <hyperlink xmlns:r="http://schemas.openxmlformats.org/officeDocument/2006/relationships" ref="AG182" r:id="rId181"/>
    <hyperlink xmlns:r="http://schemas.openxmlformats.org/officeDocument/2006/relationships" ref="AG183" r:id="rId182"/>
    <hyperlink xmlns:r="http://schemas.openxmlformats.org/officeDocument/2006/relationships" ref="AG184" r:id="rId183"/>
    <hyperlink xmlns:r="http://schemas.openxmlformats.org/officeDocument/2006/relationships" ref="AG185" r:id="rId184"/>
    <hyperlink xmlns:r="http://schemas.openxmlformats.org/officeDocument/2006/relationships" ref="AG186" r:id="rId185"/>
    <hyperlink xmlns:r="http://schemas.openxmlformats.org/officeDocument/2006/relationships" ref="AG187" r:id="rId186"/>
    <hyperlink xmlns:r="http://schemas.openxmlformats.org/officeDocument/2006/relationships" ref="AG188" r:id="rId187"/>
    <hyperlink xmlns:r="http://schemas.openxmlformats.org/officeDocument/2006/relationships" ref="AG189" r:id="rId188"/>
    <hyperlink xmlns:r="http://schemas.openxmlformats.org/officeDocument/2006/relationships" ref="AG190" r:id="rId189"/>
    <hyperlink xmlns:r="http://schemas.openxmlformats.org/officeDocument/2006/relationships" ref="AG191" r:id="rId190"/>
    <hyperlink xmlns:r="http://schemas.openxmlformats.org/officeDocument/2006/relationships" ref="AG192" r:id="rId191"/>
    <hyperlink xmlns:r="http://schemas.openxmlformats.org/officeDocument/2006/relationships" ref="AG193" r:id="rId192"/>
    <hyperlink xmlns:r="http://schemas.openxmlformats.org/officeDocument/2006/relationships" ref="AG194" r:id="rId193"/>
    <hyperlink xmlns:r="http://schemas.openxmlformats.org/officeDocument/2006/relationships" ref="AG195" r:id="rId194"/>
    <hyperlink xmlns:r="http://schemas.openxmlformats.org/officeDocument/2006/relationships" ref="AG196" r:id="rId195"/>
    <hyperlink xmlns:r="http://schemas.openxmlformats.org/officeDocument/2006/relationships" ref="AG197" r:id="rId196"/>
    <hyperlink xmlns:r="http://schemas.openxmlformats.org/officeDocument/2006/relationships" ref="AG198" r:id="rId197"/>
    <hyperlink xmlns:r="http://schemas.openxmlformats.org/officeDocument/2006/relationships" ref="AG199" r:id="rId198"/>
    <hyperlink xmlns:r="http://schemas.openxmlformats.org/officeDocument/2006/relationships" ref="AG200" r:id="rId199"/>
    <hyperlink xmlns:r="http://schemas.openxmlformats.org/officeDocument/2006/relationships" ref="AG201" r:id="rId200"/>
    <hyperlink xmlns:r="http://schemas.openxmlformats.org/officeDocument/2006/relationships" ref="AG202" r:id="rId201"/>
    <hyperlink xmlns:r="http://schemas.openxmlformats.org/officeDocument/2006/relationships" ref="AG203" r:id="rId202"/>
    <hyperlink xmlns:r="http://schemas.openxmlformats.org/officeDocument/2006/relationships" ref="AG204" r:id="rId203"/>
    <hyperlink xmlns:r="http://schemas.openxmlformats.org/officeDocument/2006/relationships" ref="AG205" r:id="rId204"/>
    <hyperlink xmlns:r="http://schemas.openxmlformats.org/officeDocument/2006/relationships" ref="AG206" r:id="rId205"/>
    <hyperlink xmlns:r="http://schemas.openxmlformats.org/officeDocument/2006/relationships" ref="AG207" r:id="rId206"/>
    <hyperlink xmlns:r="http://schemas.openxmlformats.org/officeDocument/2006/relationships" ref="AG208" r:id="rId207"/>
    <hyperlink xmlns:r="http://schemas.openxmlformats.org/officeDocument/2006/relationships" ref="AG209" r:id="rId208"/>
    <hyperlink xmlns:r="http://schemas.openxmlformats.org/officeDocument/2006/relationships" ref="AG210" r:id="rId209"/>
    <hyperlink xmlns:r="http://schemas.openxmlformats.org/officeDocument/2006/relationships" ref="AG211" r:id="rId210"/>
    <hyperlink xmlns:r="http://schemas.openxmlformats.org/officeDocument/2006/relationships" ref="AG212" r:id="rId211"/>
    <hyperlink xmlns:r="http://schemas.openxmlformats.org/officeDocument/2006/relationships" ref="AG213" r:id="rId212"/>
    <hyperlink xmlns:r="http://schemas.openxmlformats.org/officeDocument/2006/relationships" ref="AG214" r:id="rId213"/>
    <hyperlink xmlns:r="http://schemas.openxmlformats.org/officeDocument/2006/relationships" ref="AG215" r:id="rId214"/>
    <hyperlink xmlns:r="http://schemas.openxmlformats.org/officeDocument/2006/relationships" ref="AG216" r:id="rId215"/>
    <hyperlink xmlns:r="http://schemas.openxmlformats.org/officeDocument/2006/relationships" ref="AG217" r:id="rId216"/>
    <hyperlink xmlns:r="http://schemas.openxmlformats.org/officeDocument/2006/relationships" ref="AG218" r:id="rId217"/>
    <hyperlink xmlns:r="http://schemas.openxmlformats.org/officeDocument/2006/relationships" ref="AG219" r:id="rId218"/>
    <hyperlink xmlns:r="http://schemas.openxmlformats.org/officeDocument/2006/relationships" ref="AG220" r:id="rId219"/>
    <hyperlink xmlns:r="http://schemas.openxmlformats.org/officeDocument/2006/relationships" ref="AG221" r:id="rId220"/>
    <hyperlink xmlns:r="http://schemas.openxmlformats.org/officeDocument/2006/relationships" ref="AG222" r:id="rId221"/>
    <hyperlink xmlns:r="http://schemas.openxmlformats.org/officeDocument/2006/relationships" ref="AG223" r:id="rId222"/>
    <hyperlink xmlns:r="http://schemas.openxmlformats.org/officeDocument/2006/relationships" ref="AG224" r:id="rId223"/>
    <hyperlink xmlns:r="http://schemas.openxmlformats.org/officeDocument/2006/relationships" ref="AG225" r:id="rId224"/>
    <hyperlink xmlns:r="http://schemas.openxmlformats.org/officeDocument/2006/relationships" ref="AG226" r:id="rId225"/>
    <hyperlink xmlns:r="http://schemas.openxmlformats.org/officeDocument/2006/relationships" ref="AG227" r:id="rId226"/>
    <hyperlink xmlns:r="http://schemas.openxmlformats.org/officeDocument/2006/relationships" ref="AG228" r:id="rId227"/>
    <hyperlink xmlns:r="http://schemas.openxmlformats.org/officeDocument/2006/relationships" ref="AG229" r:id="rId228"/>
    <hyperlink xmlns:r="http://schemas.openxmlformats.org/officeDocument/2006/relationships" ref="AG230" r:id="rId229"/>
    <hyperlink xmlns:r="http://schemas.openxmlformats.org/officeDocument/2006/relationships" ref="AG231" r:id="rId230"/>
    <hyperlink xmlns:r="http://schemas.openxmlformats.org/officeDocument/2006/relationships" ref="AG232" r:id="rId231"/>
    <hyperlink xmlns:r="http://schemas.openxmlformats.org/officeDocument/2006/relationships" ref="AG233" r:id="rId232"/>
    <hyperlink xmlns:r="http://schemas.openxmlformats.org/officeDocument/2006/relationships" ref="AG234" r:id="rId233"/>
    <hyperlink xmlns:r="http://schemas.openxmlformats.org/officeDocument/2006/relationships" ref="AG235" r:id="rId234"/>
    <hyperlink xmlns:r="http://schemas.openxmlformats.org/officeDocument/2006/relationships" ref="AG236" r:id="rId235"/>
    <hyperlink xmlns:r="http://schemas.openxmlformats.org/officeDocument/2006/relationships" ref="AG237" r:id="rId236"/>
    <hyperlink xmlns:r="http://schemas.openxmlformats.org/officeDocument/2006/relationships" ref="AG238" r:id="rId237"/>
    <hyperlink xmlns:r="http://schemas.openxmlformats.org/officeDocument/2006/relationships" ref="AG239" r:id="rId238"/>
    <hyperlink xmlns:r="http://schemas.openxmlformats.org/officeDocument/2006/relationships" ref="AG240" r:id="rId239"/>
    <hyperlink xmlns:r="http://schemas.openxmlformats.org/officeDocument/2006/relationships" ref="AG241" r:id="rId240"/>
    <hyperlink xmlns:r="http://schemas.openxmlformats.org/officeDocument/2006/relationships" ref="AG242" r:id="rId241"/>
    <hyperlink xmlns:r="http://schemas.openxmlformats.org/officeDocument/2006/relationships" ref="AG243" r:id="rId242"/>
    <hyperlink xmlns:r="http://schemas.openxmlformats.org/officeDocument/2006/relationships" ref="AG244" r:id="rId243"/>
    <hyperlink xmlns:r="http://schemas.openxmlformats.org/officeDocument/2006/relationships" ref="AG245" r:id="rId244"/>
    <hyperlink xmlns:r="http://schemas.openxmlformats.org/officeDocument/2006/relationships" ref="AG246" r:id="rId245"/>
    <hyperlink xmlns:r="http://schemas.openxmlformats.org/officeDocument/2006/relationships" ref="AG247" r:id="rId246"/>
    <hyperlink xmlns:r="http://schemas.openxmlformats.org/officeDocument/2006/relationships" ref="AG248" r:id="rId247"/>
    <hyperlink xmlns:r="http://schemas.openxmlformats.org/officeDocument/2006/relationships" ref="AG249" r:id="rId248"/>
    <hyperlink xmlns:r="http://schemas.openxmlformats.org/officeDocument/2006/relationships" ref="AG250" r:id="rId249"/>
    <hyperlink xmlns:r="http://schemas.openxmlformats.org/officeDocument/2006/relationships" ref="AG251" r:id="rId250"/>
    <hyperlink xmlns:r="http://schemas.openxmlformats.org/officeDocument/2006/relationships" ref="AG252" r:id="rId251"/>
    <hyperlink xmlns:r="http://schemas.openxmlformats.org/officeDocument/2006/relationships" ref="AG253" r:id="rId252"/>
    <hyperlink xmlns:r="http://schemas.openxmlformats.org/officeDocument/2006/relationships" ref="AG254" r:id="rId253"/>
    <hyperlink xmlns:r="http://schemas.openxmlformats.org/officeDocument/2006/relationships" ref="AG255" r:id="rId254"/>
    <hyperlink xmlns:r="http://schemas.openxmlformats.org/officeDocument/2006/relationships" ref="AG256" r:id="rId255"/>
    <hyperlink xmlns:r="http://schemas.openxmlformats.org/officeDocument/2006/relationships" ref="AG257" r:id="rId256"/>
    <hyperlink xmlns:r="http://schemas.openxmlformats.org/officeDocument/2006/relationships" ref="AG258" r:id="rId257"/>
    <hyperlink xmlns:r="http://schemas.openxmlformats.org/officeDocument/2006/relationships" ref="AG259" r:id="rId258"/>
    <hyperlink xmlns:r="http://schemas.openxmlformats.org/officeDocument/2006/relationships" ref="AG260" r:id="rId259"/>
    <hyperlink xmlns:r="http://schemas.openxmlformats.org/officeDocument/2006/relationships" ref="AG261" r:id="rId260"/>
    <hyperlink xmlns:r="http://schemas.openxmlformats.org/officeDocument/2006/relationships" ref="AG262" r:id="rId261"/>
    <hyperlink xmlns:r="http://schemas.openxmlformats.org/officeDocument/2006/relationships" ref="AG263" r:id="rId262"/>
    <hyperlink xmlns:r="http://schemas.openxmlformats.org/officeDocument/2006/relationships" ref="AG264" r:id="rId263"/>
    <hyperlink xmlns:r="http://schemas.openxmlformats.org/officeDocument/2006/relationships" ref="AG265" r:id="rId264"/>
    <hyperlink xmlns:r="http://schemas.openxmlformats.org/officeDocument/2006/relationships" ref="AG266" r:id="rId265"/>
    <hyperlink xmlns:r="http://schemas.openxmlformats.org/officeDocument/2006/relationships" ref="AG267" r:id="rId266"/>
    <hyperlink xmlns:r="http://schemas.openxmlformats.org/officeDocument/2006/relationships" ref="AG268" r:id="rId267"/>
    <hyperlink xmlns:r="http://schemas.openxmlformats.org/officeDocument/2006/relationships" ref="AG269" r:id="rId268"/>
    <hyperlink xmlns:r="http://schemas.openxmlformats.org/officeDocument/2006/relationships" ref="AG270" r:id="rId269"/>
    <hyperlink xmlns:r="http://schemas.openxmlformats.org/officeDocument/2006/relationships" ref="AG271" r:id="rId270"/>
    <hyperlink xmlns:r="http://schemas.openxmlformats.org/officeDocument/2006/relationships" ref="AG272" r:id="rId271"/>
    <hyperlink xmlns:r="http://schemas.openxmlformats.org/officeDocument/2006/relationships" ref="AG273" r:id="rId272"/>
    <hyperlink xmlns:r="http://schemas.openxmlformats.org/officeDocument/2006/relationships" ref="AG274" r:id="rId273"/>
    <hyperlink xmlns:r="http://schemas.openxmlformats.org/officeDocument/2006/relationships" ref="AG275" r:id="rId274"/>
    <hyperlink xmlns:r="http://schemas.openxmlformats.org/officeDocument/2006/relationships" ref="AG276" r:id="rId275"/>
    <hyperlink xmlns:r="http://schemas.openxmlformats.org/officeDocument/2006/relationships" ref="AG277" r:id="rId276"/>
    <hyperlink xmlns:r="http://schemas.openxmlformats.org/officeDocument/2006/relationships" ref="AG278" r:id="rId277"/>
    <hyperlink xmlns:r="http://schemas.openxmlformats.org/officeDocument/2006/relationships" ref="AG279" r:id="rId278"/>
    <hyperlink xmlns:r="http://schemas.openxmlformats.org/officeDocument/2006/relationships" ref="AG280" r:id="rId279"/>
    <hyperlink xmlns:r="http://schemas.openxmlformats.org/officeDocument/2006/relationships" ref="AG281" r:id="rId280"/>
    <hyperlink xmlns:r="http://schemas.openxmlformats.org/officeDocument/2006/relationships" ref="AG282" r:id="rId281"/>
    <hyperlink xmlns:r="http://schemas.openxmlformats.org/officeDocument/2006/relationships" ref="AG283" r:id="rId282"/>
    <hyperlink xmlns:r="http://schemas.openxmlformats.org/officeDocument/2006/relationships" ref="AG284" r:id="rId283"/>
    <hyperlink xmlns:r="http://schemas.openxmlformats.org/officeDocument/2006/relationships" ref="AG285" r:id="rId284"/>
    <hyperlink xmlns:r="http://schemas.openxmlformats.org/officeDocument/2006/relationships" ref="AG286" r:id="rId285"/>
    <hyperlink xmlns:r="http://schemas.openxmlformats.org/officeDocument/2006/relationships" ref="AG287" r:id="rId286"/>
    <hyperlink xmlns:r="http://schemas.openxmlformats.org/officeDocument/2006/relationships" ref="AG288" r:id="rId287"/>
    <hyperlink xmlns:r="http://schemas.openxmlformats.org/officeDocument/2006/relationships" ref="AG289" r:id="rId288"/>
    <hyperlink xmlns:r="http://schemas.openxmlformats.org/officeDocument/2006/relationships" ref="AG290" r:id="rId289"/>
    <hyperlink xmlns:r="http://schemas.openxmlformats.org/officeDocument/2006/relationships" ref="AG291" r:id="rId290"/>
    <hyperlink xmlns:r="http://schemas.openxmlformats.org/officeDocument/2006/relationships" ref="AG292" r:id="rId291"/>
    <hyperlink xmlns:r="http://schemas.openxmlformats.org/officeDocument/2006/relationships" ref="AG293" r:id="rId292"/>
    <hyperlink xmlns:r="http://schemas.openxmlformats.org/officeDocument/2006/relationships" ref="AG294" r:id="rId293"/>
    <hyperlink xmlns:r="http://schemas.openxmlformats.org/officeDocument/2006/relationships" ref="AG295" r:id="rId294"/>
    <hyperlink xmlns:r="http://schemas.openxmlformats.org/officeDocument/2006/relationships" ref="AG296" r:id="rId295"/>
    <hyperlink xmlns:r="http://schemas.openxmlformats.org/officeDocument/2006/relationships" ref="AG297" r:id="rId296"/>
    <hyperlink xmlns:r="http://schemas.openxmlformats.org/officeDocument/2006/relationships" ref="AG298" r:id="rId297"/>
    <hyperlink xmlns:r="http://schemas.openxmlformats.org/officeDocument/2006/relationships" ref="AG299" r:id="rId298"/>
    <hyperlink xmlns:r="http://schemas.openxmlformats.org/officeDocument/2006/relationships" ref="AG300" r:id="rId299"/>
    <hyperlink xmlns:r="http://schemas.openxmlformats.org/officeDocument/2006/relationships" ref="AG301" r:id="rId300"/>
    <hyperlink xmlns:r="http://schemas.openxmlformats.org/officeDocument/2006/relationships" ref="AG302" r:id="rId301"/>
    <hyperlink xmlns:r="http://schemas.openxmlformats.org/officeDocument/2006/relationships" ref="AG303" r:id="rId302"/>
    <hyperlink xmlns:r="http://schemas.openxmlformats.org/officeDocument/2006/relationships" ref="AG304" r:id="rId303"/>
    <hyperlink xmlns:r="http://schemas.openxmlformats.org/officeDocument/2006/relationships" ref="AG305" r:id="rId304"/>
    <hyperlink xmlns:r="http://schemas.openxmlformats.org/officeDocument/2006/relationships" ref="AG306" r:id="rId305"/>
    <hyperlink xmlns:r="http://schemas.openxmlformats.org/officeDocument/2006/relationships" ref="AG307" r:id="rId306"/>
    <hyperlink xmlns:r="http://schemas.openxmlformats.org/officeDocument/2006/relationships" ref="AG308" r:id="rId307"/>
    <hyperlink xmlns:r="http://schemas.openxmlformats.org/officeDocument/2006/relationships" ref="AG309" r:id="rId308"/>
    <hyperlink xmlns:r="http://schemas.openxmlformats.org/officeDocument/2006/relationships" ref="AG310" r:id="rId309"/>
    <hyperlink xmlns:r="http://schemas.openxmlformats.org/officeDocument/2006/relationships" ref="AG311" r:id="rId310"/>
    <hyperlink xmlns:r="http://schemas.openxmlformats.org/officeDocument/2006/relationships" ref="AG312" r:id="rId311"/>
    <hyperlink xmlns:r="http://schemas.openxmlformats.org/officeDocument/2006/relationships" ref="AG313" r:id="rId312"/>
    <hyperlink xmlns:r="http://schemas.openxmlformats.org/officeDocument/2006/relationships" ref="AG314" r:id="rId313"/>
    <hyperlink xmlns:r="http://schemas.openxmlformats.org/officeDocument/2006/relationships" ref="AG315" r:id="rId314"/>
    <hyperlink xmlns:r="http://schemas.openxmlformats.org/officeDocument/2006/relationships" ref="AG316" r:id="rId315"/>
    <hyperlink xmlns:r="http://schemas.openxmlformats.org/officeDocument/2006/relationships" ref="AG317" r:id="rId316"/>
    <hyperlink xmlns:r="http://schemas.openxmlformats.org/officeDocument/2006/relationships" ref="AG318" r:id="rId317"/>
    <hyperlink xmlns:r="http://schemas.openxmlformats.org/officeDocument/2006/relationships" ref="AG319" r:id="rId318"/>
    <hyperlink xmlns:r="http://schemas.openxmlformats.org/officeDocument/2006/relationships" ref="AG320" r:id="rId319"/>
    <hyperlink xmlns:r="http://schemas.openxmlformats.org/officeDocument/2006/relationships" ref="AG321" r:id="rId320"/>
    <hyperlink xmlns:r="http://schemas.openxmlformats.org/officeDocument/2006/relationships" ref="AG322" r:id="rId321"/>
    <hyperlink xmlns:r="http://schemas.openxmlformats.org/officeDocument/2006/relationships" ref="AG323" r:id="rId322"/>
    <hyperlink xmlns:r="http://schemas.openxmlformats.org/officeDocument/2006/relationships" ref="AG324" r:id="rId323"/>
    <hyperlink xmlns:r="http://schemas.openxmlformats.org/officeDocument/2006/relationships" ref="AG325" r:id="rId324"/>
    <hyperlink xmlns:r="http://schemas.openxmlformats.org/officeDocument/2006/relationships" ref="AG326" r:id="rId325"/>
    <hyperlink xmlns:r="http://schemas.openxmlformats.org/officeDocument/2006/relationships" ref="AG327" r:id="rId326"/>
    <hyperlink xmlns:r="http://schemas.openxmlformats.org/officeDocument/2006/relationships" ref="AG328" r:id="rId327"/>
    <hyperlink xmlns:r="http://schemas.openxmlformats.org/officeDocument/2006/relationships" ref="AG329" r:id="rId328"/>
    <hyperlink xmlns:r="http://schemas.openxmlformats.org/officeDocument/2006/relationships" ref="AG330" r:id="rId329"/>
    <hyperlink xmlns:r="http://schemas.openxmlformats.org/officeDocument/2006/relationships" ref="AG331" r:id="rId330"/>
    <hyperlink xmlns:r="http://schemas.openxmlformats.org/officeDocument/2006/relationships" ref="AG332" r:id="rId331"/>
    <hyperlink xmlns:r="http://schemas.openxmlformats.org/officeDocument/2006/relationships" ref="AG333" r:id="rId332"/>
    <hyperlink xmlns:r="http://schemas.openxmlformats.org/officeDocument/2006/relationships" ref="AG334" r:id="rId333"/>
    <hyperlink xmlns:r="http://schemas.openxmlformats.org/officeDocument/2006/relationships" ref="AG335" r:id="rId334"/>
    <hyperlink xmlns:r="http://schemas.openxmlformats.org/officeDocument/2006/relationships" ref="AG336" r:id="rId335"/>
    <hyperlink xmlns:r="http://schemas.openxmlformats.org/officeDocument/2006/relationships" ref="AG337" r:id="rId336"/>
    <hyperlink xmlns:r="http://schemas.openxmlformats.org/officeDocument/2006/relationships" ref="AG338" r:id="rId337"/>
    <hyperlink xmlns:r="http://schemas.openxmlformats.org/officeDocument/2006/relationships" ref="AG339" r:id="rId338"/>
    <hyperlink xmlns:r="http://schemas.openxmlformats.org/officeDocument/2006/relationships" ref="AG340" r:id="rId339"/>
    <hyperlink xmlns:r="http://schemas.openxmlformats.org/officeDocument/2006/relationships" ref="AG341" r:id="rId340"/>
    <hyperlink xmlns:r="http://schemas.openxmlformats.org/officeDocument/2006/relationships" ref="AG342" r:id="rId341"/>
    <hyperlink xmlns:r="http://schemas.openxmlformats.org/officeDocument/2006/relationships" ref="AG343" r:id="rId342"/>
    <hyperlink xmlns:r="http://schemas.openxmlformats.org/officeDocument/2006/relationships" ref="AG344" r:id="rId343"/>
    <hyperlink xmlns:r="http://schemas.openxmlformats.org/officeDocument/2006/relationships" ref="AG345" r:id="rId344"/>
    <hyperlink xmlns:r="http://schemas.openxmlformats.org/officeDocument/2006/relationships" ref="AG346" r:id="rId345"/>
    <hyperlink xmlns:r="http://schemas.openxmlformats.org/officeDocument/2006/relationships" ref="AG347" r:id="rId346"/>
    <hyperlink xmlns:r="http://schemas.openxmlformats.org/officeDocument/2006/relationships" ref="AG348" r:id="rId347"/>
    <hyperlink xmlns:r="http://schemas.openxmlformats.org/officeDocument/2006/relationships" ref="AG349" r:id="rId348"/>
    <hyperlink xmlns:r="http://schemas.openxmlformats.org/officeDocument/2006/relationships" ref="AG350" r:id="rId349"/>
    <hyperlink xmlns:r="http://schemas.openxmlformats.org/officeDocument/2006/relationships" ref="AG351" r:id="rId350"/>
    <hyperlink xmlns:r="http://schemas.openxmlformats.org/officeDocument/2006/relationships" ref="AG352" r:id="rId351"/>
    <hyperlink xmlns:r="http://schemas.openxmlformats.org/officeDocument/2006/relationships" ref="AG353" r:id="rId352"/>
    <hyperlink xmlns:r="http://schemas.openxmlformats.org/officeDocument/2006/relationships" ref="AG354" r:id="rId353"/>
    <hyperlink xmlns:r="http://schemas.openxmlformats.org/officeDocument/2006/relationships" ref="AG355" r:id="rId354"/>
    <hyperlink xmlns:r="http://schemas.openxmlformats.org/officeDocument/2006/relationships" ref="AG356" r:id="rId355"/>
    <hyperlink xmlns:r="http://schemas.openxmlformats.org/officeDocument/2006/relationships" ref="AG357" r:id="rId356"/>
    <hyperlink xmlns:r="http://schemas.openxmlformats.org/officeDocument/2006/relationships" ref="AG358" r:id="rId357"/>
    <hyperlink xmlns:r="http://schemas.openxmlformats.org/officeDocument/2006/relationships" ref="AG359" r:id="rId358"/>
    <hyperlink xmlns:r="http://schemas.openxmlformats.org/officeDocument/2006/relationships" ref="AG360" r:id="rId359"/>
    <hyperlink xmlns:r="http://schemas.openxmlformats.org/officeDocument/2006/relationships" ref="AG361" r:id="rId360"/>
    <hyperlink xmlns:r="http://schemas.openxmlformats.org/officeDocument/2006/relationships" ref="AG362" r:id="rId361"/>
    <hyperlink xmlns:r="http://schemas.openxmlformats.org/officeDocument/2006/relationships" ref="AG363" r:id="rId362"/>
    <hyperlink xmlns:r="http://schemas.openxmlformats.org/officeDocument/2006/relationships" ref="AG364" r:id="rId363"/>
    <hyperlink xmlns:r="http://schemas.openxmlformats.org/officeDocument/2006/relationships" ref="AG365" r:id="rId364"/>
    <hyperlink xmlns:r="http://schemas.openxmlformats.org/officeDocument/2006/relationships" ref="AG366" r:id="rId365"/>
    <hyperlink xmlns:r="http://schemas.openxmlformats.org/officeDocument/2006/relationships" ref="AG367" r:id="rId366"/>
    <hyperlink xmlns:r="http://schemas.openxmlformats.org/officeDocument/2006/relationships" ref="AG368" r:id="rId367"/>
    <hyperlink xmlns:r="http://schemas.openxmlformats.org/officeDocument/2006/relationships" ref="AG369" r:id="rId368"/>
    <hyperlink xmlns:r="http://schemas.openxmlformats.org/officeDocument/2006/relationships" ref="AG370" r:id="rId369"/>
    <hyperlink xmlns:r="http://schemas.openxmlformats.org/officeDocument/2006/relationships" ref="AG371" r:id="rId370"/>
    <hyperlink xmlns:r="http://schemas.openxmlformats.org/officeDocument/2006/relationships" ref="AG372" r:id="rId371"/>
    <hyperlink xmlns:r="http://schemas.openxmlformats.org/officeDocument/2006/relationships" ref="AG373" r:id="rId372"/>
    <hyperlink xmlns:r="http://schemas.openxmlformats.org/officeDocument/2006/relationships" ref="AG374" r:id="rId373"/>
    <hyperlink xmlns:r="http://schemas.openxmlformats.org/officeDocument/2006/relationships" ref="AG375" r:id="rId374"/>
    <hyperlink xmlns:r="http://schemas.openxmlformats.org/officeDocument/2006/relationships" ref="AG376" r:id="rId375"/>
    <hyperlink xmlns:r="http://schemas.openxmlformats.org/officeDocument/2006/relationships" ref="AG377" r:id="rId376"/>
    <hyperlink xmlns:r="http://schemas.openxmlformats.org/officeDocument/2006/relationships" ref="AG378" r:id="rId377"/>
    <hyperlink xmlns:r="http://schemas.openxmlformats.org/officeDocument/2006/relationships" ref="AG379" r:id="rId378"/>
    <hyperlink xmlns:r="http://schemas.openxmlformats.org/officeDocument/2006/relationships" ref="AG380" r:id="rId379"/>
    <hyperlink xmlns:r="http://schemas.openxmlformats.org/officeDocument/2006/relationships" ref="AG381" r:id="rId380"/>
    <hyperlink xmlns:r="http://schemas.openxmlformats.org/officeDocument/2006/relationships" ref="AG382" r:id="rId381"/>
    <hyperlink xmlns:r="http://schemas.openxmlformats.org/officeDocument/2006/relationships" ref="AG383" r:id="rId382"/>
    <hyperlink xmlns:r="http://schemas.openxmlformats.org/officeDocument/2006/relationships" ref="AG384" r:id="rId383"/>
    <hyperlink xmlns:r="http://schemas.openxmlformats.org/officeDocument/2006/relationships" ref="AG385" r:id="rId384"/>
    <hyperlink xmlns:r="http://schemas.openxmlformats.org/officeDocument/2006/relationships" ref="AG386" r:id="rId385"/>
    <hyperlink xmlns:r="http://schemas.openxmlformats.org/officeDocument/2006/relationships" ref="AG387" r:id="rId386"/>
    <hyperlink xmlns:r="http://schemas.openxmlformats.org/officeDocument/2006/relationships" ref="AG388" r:id="rId387"/>
    <hyperlink xmlns:r="http://schemas.openxmlformats.org/officeDocument/2006/relationships" ref="AG389" r:id="rId388"/>
    <hyperlink xmlns:r="http://schemas.openxmlformats.org/officeDocument/2006/relationships" ref="AG390" r:id="rId389"/>
    <hyperlink xmlns:r="http://schemas.openxmlformats.org/officeDocument/2006/relationships" ref="AG391" r:id="rId390"/>
    <hyperlink xmlns:r="http://schemas.openxmlformats.org/officeDocument/2006/relationships" ref="AG392" r:id="rId391"/>
    <hyperlink xmlns:r="http://schemas.openxmlformats.org/officeDocument/2006/relationships" ref="AG393" r:id="rId392"/>
    <hyperlink xmlns:r="http://schemas.openxmlformats.org/officeDocument/2006/relationships" ref="AG394" r:id="rId393"/>
    <hyperlink xmlns:r="http://schemas.openxmlformats.org/officeDocument/2006/relationships" ref="AG395" r:id="rId394"/>
    <hyperlink xmlns:r="http://schemas.openxmlformats.org/officeDocument/2006/relationships" ref="AG396" r:id="rId395"/>
    <hyperlink xmlns:r="http://schemas.openxmlformats.org/officeDocument/2006/relationships" ref="AG397" r:id="rId396"/>
    <hyperlink xmlns:r="http://schemas.openxmlformats.org/officeDocument/2006/relationships" ref="AG398" r:id="rId397"/>
    <hyperlink xmlns:r="http://schemas.openxmlformats.org/officeDocument/2006/relationships" ref="AG399" r:id="rId398"/>
    <hyperlink xmlns:r="http://schemas.openxmlformats.org/officeDocument/2006/relationships" ref="AG400" r:id="rId399"/>
    <hyperlink xmlns:r="http://schemas.openxmlformats.org/officeDocument/2006/relationships" ref="AG401" r:id="rId400"/>
    <hyperlink xmlns:r="http://schemas.openxmlformats.org/officeDocument/2006/relationships" ref="AG402" r:id="rId401"/>
    <hyperlink xmlns:r="http://schemas.openxmlformats.org/officeDocument/2006/relationships" ref="AG403" r:id="rId402"/>
    <hyperlink xmlns:r="http://schemas.openxmlformats.org/officeDocument/2006/relationships" ref="AG404" r:id="rId403"/>
    <hyperlink xmlns:r="http://schemas.openxmlformats.org/officeDocument/2006/relationships" ref="AG405" r:id="rId404"/>
    <hyperlink xmlns:r="http://schemas.openxmlformats.org/officeDocument/2006/relationships" ref="AG406" r:id="rId405"/>
    <hyperlink xmlns:r="http://schemas.openxmlformats.org/officeDocument/2006/relationships" ref="AG407" r:id="rId406"/>
    <hyperlink xmlns:r="http://schemas.openxmlformats.org/officeDocument/2006/relationships" ref="AG408" r:id="rId407"/>
    <hyperlink xmlns:r="http://schemas.openxmlformats.org/officeDocument/2006/relationships" ref="AG409" r:id="rId408"/>
    <hyperlink xmlns:r="http://schemas.openxmlformats.org/officeDocument/2006/relationships" ref="AG410" r:id="rId409"/>
    <hyperlink xmlns:r="http://schemas.openxmlformats.org/officeDocument/2006/relationships" ref="AG411" r:id="rId410"/>
    <hyperlink xmlns:r="http://schemas.openxmlformats.org/officeDocument/2006/relationships" ref="AG412" r:id="rId411"/>
    <hyperlink xmlns:r="http://schemas.openxmlformats.org/officeDocument/2006/relationships" ref="AG413" r:id="rId412"/>
    <hyperlink xmlns:r="http://schemas.openxmlformats.org/officeDocument/2006/relationships" ref="AG414" r:id="rId413"/>
    <hyperlink xmlns:r="http://schemas.openxmlformats.org/officeDocument/2006/relationships" ref="AG415" r:id="rId414"/>
    <hyperlink xmlns:r="http://schemas.openxmlformats.org/officeDocument/2006/relationships" ref="AG416" r:id="rId415"/>
    <hyperlink xmlns:r="http://schemas.openxmlformats.org/officeDocument/2006/relationships" ref="AG417" r:id="rId416"/>
    <hyperlink xmlns:r="http://schemas.openxmlformats.org/officeDocument/2006/relationships" ref="AG418" r:id="rId417"/>
    <hyperlink xmlns:r="http://schemas.openxmlformats.org/officeDocument/2006/relationships" ref="AG419" r:id="rId418"/>
    <hyperlink xmlns:r="http://schemas.openxmlformats.org/officeDocument/2006/relationships" ref="AG420" r:id="rId419"/>
    <hyperlink xmlns:r="http://schemas.openxmlformats.org/officeDocument/2006/relationships" ref="AG421" r:id="rId420"/>
    <hyperlink xmlns:r="http://schemas.openxmlformats.org/officeDocument/2006/relationships" ref="AG422" r:id="rId421"/>
    <hyperlink xmlns:r="http://schemas.openxmlformats.org/officeDocument/2006/relationships" ref="AG423" r:id="rId422"/>
    <hyperlink xmlns:r="http://schemas.openxmlformats.org/officeDocument/2006/relationships" ref="AG424" r:id="rId423"/>
    <hyperlink xmlns:r="http://schemas.openxmlformats.org/officeDocument/2006/relationships" ref="AG425" r:id="rId424"/>
    <hyperlink xmlns:r="http://schemas.openxmlformats.org/officeDocument/2006/relationships" ref="AG426" r:id="rId425"/>
    <hyperlink xmlns:r="http://schemas.openxmlformats.org/officeDocument/2006/relationships" ref="AG427" r:id="rId426"/>
    <hyperlink xmlns:r="http://schemas.openxmlformats.org/officeDocument/2006/relationships" ref="AG428" r:id="rId427"/>
    <hyperlink xmlns:r="http://schemas.openxmlformats.org/officeDocument/2006/relationships" ref="AG429" r:id="rId428"/>
    <hyperlink xmlns:r="http://schemas.openxmlformats.org/officeDocument/2006/relationships" ref="AG430" r:id="rId429"/>
    <hyperlink xmlns:r="http://schemas.openxmlformats.org/officeDocument/2006/relationships" ref="AG431" r:id="rId430"/>
    <hyperlink xmlns:r="http://schemas.openxmlformats.org/officeDocument/2006/relationships" ref="AG432" r:id="rId431"/>
    <hyperlink xmlns:r="http://schemas.openxmlformats.org/officeDocument/2006/relationships" ref="AG433" r:id="rId432"/>
    <hyperlink xmlns:r="http://schemas.openxmlformats.org/officeDocument/2006/relationships" ref="AG434" r:id="rId433"/>
    <hyperlink xmlns:r="http://schemas.openxmlformats.org/officeDocument/2006/relationships" ref="AG435" r:id="rId434"/>
    <hyperlink xmlns:r="http://schemas.openxmlformats.org/officeDocument/2006/relationships" ref="AG436" r:id="rId435"/>
    <hyperlink xmlns:r="http://schemas.openxmlformats.org/officeDocument/2006/relationships" ref="AG437" r:id="rId436"/>
    <hyperlink xmlns:r="http://schemas.openxmlformats.org/officeDocument/2006/relationships" ref="AG438" r:id="rId437"/>
    <hyperlink xmlns:r="http://schemas.openxmlformats.org/officeDocument/2006/relationships" ref="AG439" r:id="rId438"/>
    <hyperlink xmlns:r="http://schemas.openxmlformats.org/officeDocument/2006/relationships" ref="AG440" r:id="rId439"/>
    <hyperlink xmlns:r="http://schemas.openxmlformats.org/officeDocument/2006/relationships" ref="AG441" r:id="rId440"/>
    <hyperlink xmlns:r="http://schemas.openxmlformats.org/officeDocument/2006/relationships" ref="AG442" r:id="rId441"/>
    <hyperlink xmlns:r="http://schemas.openxmlformats.org/officeDocument/2006/relationships" ref="AG443" r:id="rId442"/>
    <hyperlink xmlns:r="http://schemas.openxmlformats.org/officeDocument/2006/relationships" ref="AG444" r:id="rId443"/>
    <hyperlink xmlns:r="http://schemas.openxmlformats.org/officeDocument/2006/relationships" ref="AG445" r:id="rId444"/>
    <hyperlink xmlns:r="http://schemas.openxmlformats.org/officeDocument/2006/relationships" ref="AG446" r:id="rId445"/>
    <hyperlink xmlns:r="http://schemas.openxmlformats.org/officeDocument/2006/relationships" ref="AG447" r:id="rId446"/>
    <hyperlink xmlns:r="http://schemas.openxmlformats.org/officeDocument/2006/relationships" ref="AG448" r:id="rId447"/>
    <hyperlink xmlns:r="http://schemas.openxmlformats.org/officeDocument/2006/relationships" ref="AG449" r:id="rId448"/>
    <hyperlink xmlns:r="http://schemas.openxmlformats.org/officeDocument/2006/relationships" ref="AG450" r:id="rId449"/>
    <hyperlink xmlns:r="http://schemas.openxmlformats.org/officeDocument/2006/relationships" ref="AG451" r:id="rId45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BMW Z3 1.9i / 2.0i</t>
        </is>
      </c>
      <c r="B10" s="10" t="inlineStr">
        <is>
          <t>3171562700</t>
        </is>
      </c>
      <c r="C10" s="10" t="inlineStr">
        <is>
          <t>BMW Z3 1.9i 140ch Pack M Sport tbé Cuir Clim</t>
        </is>
      </c>
      <c r="D10" s="18" t="n">
        <v>46296</v>
      </c>
      <c r="E10" s="12" t="n">
        <v>8990</v>
      </c>
      <c r="F10" s="14">
        <f>IF(AND($B10=$B9,ISNUMBER(E9),E9&gt;0),E10/E9-1,"")</f>
        <v/>
      </c>
      <c r="G10" s="19" t="inlineStr">
        <is>
          <t>Voir</t>
        </is>
      </c>
    </row>
    <row r="11">
      <c r="A11" s="10" t="inlineStr">
        <is>
          <t>BMW Z3 1.9i / 2.0i</t>
        </is>
      </c>
      <c r="B11" s="10" t="inlineStr">
        <is>
          <t>3197947364</t>
        </is>
      </c>
      <c r="C11" s="10" t="inlineStr">
        <is>
          <t>Bmw z3 1.8 roadster GARANTIE</t>
        </is>
      </c>
      <c r="D11" s="18" t="n">
        <v>46296</v>
      </c>
      <c r="E11" s="12" t="n">
        <v>11490</v>
      </c>
      <c r="F11" s="14">
        <f>IF(AND($B11=$B10,ISNUMBER(E10),E10&gt;0),E11/E10-1,"")</f>
        <v/>
      </c>
      <c r="G11" s="19" t="inlineStr">
        <is>
          <t>Voir</t>
        </is>
      </c>
    </row>
    <row r="12">
      <c r="A12" s="10" t="inlineStr">
        <is>
          <t>BMW Z3 1.9i / 2.0i</t>
        </is>
      </c>
      <c r="B12" s="10" t="inlineStr">
        <is>
          <t>3217262918</t>
        </is>
      </c>
      <c r="C12" s="10" t="inlineStr">
        <is>
          <t>BMW Z3 1.9 140cv</t>
        </is>
      </c>
      <c r="D12" s="18" t="n">
        <v>46296</v>
      </c>
      <c r="E12" s="12" t="n">
        <v>9990</v>
      </c>
      <c r="F12" s="14">
        <f>IF(AND($B12=$B11,ISNUMBER(E11),E11&gt;0),E12/E11-1,"")</f>
        <v/>
      </c>
      <c r="G12" s="19" t="inlineStr">
        <is>
          <t>Voir</t>
        </is>
      </c>
    </row>
    <row r="13">
      <c r="A13" s="10" t="inlineStr">
        <is>
          <t>BMW Z3 1.9i / 2.0i</t>
        </is>
      </c>
      <c r="B13" s="10" t="inlineStr">
        <is>
          <t>3220328214</t>
        </is>
      </c>
      <c r="C13" s="10" t="inlineStr">
        <is>
          <t>BMW Z3 cabriolet 2.2 170 ch 6 cylindres 84700 km</t>
        </is>
      </c>
      <c r="D13" s="18" t="n">
        <v>46296</v>
      </c>
      <c r="E13" s="12" t="n">
        <v>17900</v>
      </c>
      <c r="F13" s="14">
        <f>IF(AND($B13=$B12,ISNUMBER(E12),E12&gt;0),E13/E12-1,"")</f>
        <v/>
      </c>
      <c r="G13" s="19" t="inlineStr">
        <is>
          <t>Voir</t>
        </is>
      </c>
    </row>
    <row r="14">
      <c r="A14" s="10" t="inlineStr">
        <is>
          <t>BMW Z3 1.9i / 2.0i</t>
        </is>
      </c>
      <c r="B14" s="10" t="inlineStr">
        <is>
          <t>3230964764</t>
        </is>
      </c>
      <c r="C14" s="10" t="inlineStr">
        <is>
          <t>Bmw Z3 ROADSTER (E36) 2.0 150CH</t>
        </is>
      </c>
      <c r="D14" s="18" t="n">
        <v>46296</v>
      </c>
      <c r="E14" s="12" t="n">
        <v>15990</v>
      </c>
      <c r="F14" s="14">
        <f>IF(AND($B14=$B13,ISNUMBER(E13),E13&gt;0),E14/E13-1,"")</f>
        <v/>
      </c>
      <c r="G14" s="19" t="inlineStr">
        <is>
          <t>Voir</t>
        </is>
      </c>
    </row>
    <row r="15">
      <c r="A15" s="10" t="inlineStr">
        <is>
          <t>BMW Z3 1.9i / 2.0i</t>
        </is>
      </c>
      <c r="B15" s="10" t="inlineStr">
        <is>
          <t>3245635449</t>
        </is>
      </c>
      <c r="C15" s="10" t="inlineStr">
        <is>
          <t>BMW Z3 Roadster 1.9i ROADSTER E36 Roadster BVM - GARANTIE 12 MOIS</t>
        </is>
      </c>
      <c r="D15" s="18" t="n">
        <v>46296</v>
      </c>
      <c r="E15" s="12" t="n">
        <v>10990</v>
      </c>
      <c r="F15" s="14">
        <f>IF(AND($B15=$B14,ISNUMBER(E14),E14&gt;0),E15/E14-1,"")</f>
        <v/>
      </c>
      <c r="G15" s="19" t="inlineStr">
        <is>
          <t>Voir</t>
        </is>
      </c>
    </row>
    <row r="16">
      <c r="A16" s="10" t="inlineStr">
        <is>
          <t>BMW Z3 1.9i / 2.0i</t>
        </is>
      </c>
      <c r="B16" s="10" t="inlineStr">
        <is>
          <t>3249081293</t>
        </is>
      </c>
      <c r="C16" s="10" t="inlineStr">
        <is>
          <t>BMW Z3 Roadster 1.9i 118ch Garantie 6 Mois</t>
        </is>
      </c>
      <c r="D16" s="18" t="n">
        <v>46296</v>
      </c>
      <c r="E16" s="12" t="n">
        <v>9990</v>
      </c>
      <c r="F16" s="14">
        <f>IF(AND($B16=$B15,ISNUMBER(E15),E15&gt;0),E16/E15-1,"")</f>
        <v/>
      </c>
      <c r="G16" s="19" t="inlineStr">
        <is>
          <t>Voir</t>
        </is>
      </c>
    </row>
    <row r="17">
      <c r="A17" s="10" t="inlineStr">
        <is>
          <t>BMW Z3 1.9i / 2.0i</t>
        </is>
      </c>
      <c r="B17" s="10" t="inlineStr">
        <is>
          <t>3249519594</t>
        </is>
      </c>
      <c r="C17" s="10" t="inlineStr">
        <is>
          <t>Bmw z3 1.9 i</t>
        </is>
      </c>
      <c r="D17" s="18" t="n">
        <v>46296</v>
      </c>
      <c r="E17" s="12" t="n">
        <v>9500</v>
      </c>
      <c r="F17" s="14">
        <f>IF(AND($B17=$B16,ISNUMBER(E16),E16&gt;0),E17/E16-1,"")</f>
        <v/>
      </c>
      <c r="G17" s="19" t="inlineStr">
        <is>
          <t>Voir</t>
        </is>
      </c>
    </row>
    <row r="18">
      <c r="A18" s="10" t="inlineStr">
        <is>
          <t>BMW Z3 1.9i / 2.0i</t>
        </is>
      </c>
      <c r="B18" s="10" t="inlineStr">
        <is>
          <t>3256683007</t>
        </is>
      </c>
      <c r="C18" s="10" t="inlineStr">
        <is>
          <t>Bmw z3 roadster 1.9 118 cv - 85 500 km - 13 900.00</t>
        </is>
      </c>
      <c r="D18" s="18" t="n">
        <v>46296</v>
      </c>
      <c r="E18" s="12" t="n">
        <v>13900</v>
      </c>
      <c r="F18" s="14">
        <f>IF(AND($B18=$B17,ISNUMBER(E17),E17&gt;0),E18/E17-1,"")</f>
        <v/>
      </c>
      <c r="G18" s="19" t="inlineStr">
        <is>
          <t>Voir</t>
        </is>
      </c>
    </row>
    <row r="19">
      <c r="A19" s="10" t="inlineStr">
        <is>
          <t>BMW Z3 1.9i / 2.0i</t>
        </is>
      </c>
      <c r="B19" s="10" t="inlineStr">
        <is>
          <t>3258200097</t>
        </is>
      </c>
      <c r="C19" s="10" t="inlineStr">
        <is>
          <t>BMW Z3 Z3 1.9i ORIGINE FRANCE</t>
        </is>
      </c>
      <c r="D19" s="18" t="n">
        <v>46296</v>
      </c>
      <c r="E19" s="12" t="n">
        <v>10990</v>
      </c>
      <c r="F19" s="14">
        <f>IF(AND($B19=$B18,ISNUMBER(E18),E18&gt;0),E19/E18-1,"")</f>
        <v/>
      </c>
      <c r="G19" s="19" t="inlineStr">
        <is>
          <t>Voir</t>
        </is>
      </c>
    </row>
    <row r="20">
      <c r="A20" s="10" t="inlineStr">
        <is>
          <t>BMW Z3 1.9i / 2.0i</t>
        </is>
      </c>
      <c r="B20" s="10" t="inlineStr">
        <is>
          <t>3258446503</t>
        </is>
      </c>
      <c r="C20" s="10" t="inlineStr">
        <is>
          <t>Bmw Z3 1,8 L 115 CV PACK M + 2 EME MAIN</t>
        </is>
      </c>
      <c r="D20" s="18" t="n">
        <v>46296</v>
      </c>
      <c r="E20" s="12" t="n">
        <v>11990</v>
      </c>
      <c r="F20" s="14">
        <f>IF(AND($B20=$B19,ISNUMBER(E19),E19&gt;0),E20/E19-1,"")</f>
        <v/>
      </c>
      <c r="G20" s="19" t="inlineStr">
        <is>
          <t>Voir</t>
        </is>
      </c>
    </row>
    <row r="21">
      <c r="A21" s="10" t="inlineStr">
        <is>
          <t>BMW Z3 1.9i / 2.0i</t>
        </is>
      </c>
      <c r="B21" s="10" t="inlineStr">
        <is>
          <t>3258548235</t>
        </is>
      </c>
      <c r="C21" s="10" t="inlineStr">
        <is>
          <t>Bmw Z3 2.0 150 ch 6 cylindres cabriolet</t>
        </is>
      </c>
      <c r="D21" s="18" t="n">
        <v>46296</v>
      </c>
      <c r="E21" s="12" t="n">
        <v>7490</v>
      </c>
      <c r="F21" s="14">
        <f>IF(AND($B21=$B20,ISNUMBER(E20),E20&gt;0),E21/E20-1,"")</f>
        <v/>
      </c>
      <c r="G21" s="19" t="inlineStr">
        <is>
          <t>Voir</t>
        </is>
      </c>
    </row>
    <row r="22">
      <c r="A22" s="10" t="inlineStr">
        <is>
          <t>BMW Z3 1.9i / 2.0i</t>
        </is>
      </c>
      <c r="B22" s="10" t="inlineStr">
        <is>
          <t>3271074708</t>
        </is>
      </c>
      <c r="C22" s="10" t="inlineStr">
        <is>
          <t>Bmw z3 roadster 1.9 i 140</t>
        </is>
      </c>
      <c r="D22" s="18" t="n">
        <v>46296</v>
      </c>
      <c r="E22" s="12" t="n">
        <v>12990</v>
      </c>
      <c r="F22" s="14">
        <f>IF(AND($B22=$B21,ISNUMBER(E21),E21&gt;0),E22/E21-1,"")</f>
        <v/>
      </c>
      <c r="G22" s="19" t="inlineStr">
        <is>
          <t>Voir</t>
        </is>
      </c>
    </row>
    <row r="23">
      <c r="A23" s="10" t="inlineStr">
        <is>
          <t>BMW Z3 1.9i / 2.0i</t>
        </is>
      </c>
      <c r="B23" s="10" t="inlineStr">
        <is>
          <t>3272577206</t>
        </is>
      </c>
      <c r="C23" s="10" t="inlineStr">
        <is>
          <t>Bmw Z3 1.8 116cv *Moteur 175000Km + factures BMW</t>
        </is>
      </c>
      <c r="D23" s="18" t="n">
        <v>46296</v>
      </c>
      <c r="E23" s="12" t="n">
        <v>11490</v>
      </c>
      <c r="F23" s="14">
        <f>IF(AND($B23=$B22,ISNUMBER(E22),E22&gt;0),E23/E22-1,"")</f>
        <v/>
      </c>
      <c r="G23" s="19" t="inlineStr">
        <is>
          <t>Voir</t>
        </is>
      </c>
    </row>
    <row r="24">
      <c r="A24" s="10" t="inlineStr">
        <is>
          <t>Citroën Saxo VTS 16V</t>
        </is>
      </c>
      <c r="B24" s="10" t="inlineStr">
        <is>
          <t>3122468671</t>
        </is>
      </c>
      <c r="C24" s="10" t="inlineStr">
        <is>
          <t>Citroen saxo vts</t>
        </is>
      </c>
      <c r="D24" s="18" t="n">
        <v>46296</v>
      </c>
      <c r="E24" s="12" t="n">
        <v>5500</v>
      </c>
      <c r="F24" s="14">
        <f>IF(AND($B24=$B23,ISNUMBER(E23),E23&gt;0),E24/E23-1,"")</f>
        <v/>
      </c>
      <c r="G24" s="19" t="inlineStr">
        <is>
          <t>Voir</t>
        </is>
      </c>
    </row>
    <row r="25">
      <c r="A25" s="10" t="inlineStr">
        <is>
          <t>Citroën Saxo VTS 16V</t>
        </is>
      </c>
      <c r="B25" s="10" t="inlineStr">
        <is>
          <t>3179205726</t>
        </is>
      </c>
      <c r="C25" s="10" t="inlineStr">
        <is>
          <t>Citroen Saxo VTS 16v</t>
        </is>
      </c>
      <c r="D25" s="18" t="n">
        <v>46296</v>
      </c>
      <c r="E25" s="12" t="n">
        <v>7500</v>
      </c>
      <c r="F25" s="14">
        <f>IF(AND($B25=$B24,ISNUMBER(E24),E24&gt;0),E25/E24-1,"")</f>
        <v/>
      </c>
      <c r="G25" s="19" t="inlineStr">
        <is>
          <t>Voir</t>
        </is>
      </c>
    </row>
    <row r="26">
      <c r="A26" s="10" t="inlineStr">
        <is>
          <t>Citroën Saxo VTS 16V</t>
        </is>
      </c>
      <c r="B26" s="10" t="inlineStr">
        <is>
          <t>3179893341</t>
        </is>
      </c>
      <c r="C26" s="10" t="inlineStr">
        <is>
          <t>Saxo vts 1.6 90cv</t>
        </is>
      </c>
      <c r="D26" s="18" t="n">
        <v>46296</v>
      </c>
      <c r="E26" s="12" t="n">
        <v>5500</v>
      </c>
      <c r="F26" s="14">
        <f>IF(AND($B26=$B25,ISNUMBER(E25),E25&gt;0),E26/E25-1,"")</f>
        <v/>
      </c>
      <c r="G26" s="19" t="inlineStr">
        <is>
          <t>Voir</t>
        </is>
      </c>
    </row>
    <row r="27">
      <c r="A27" s="10" t="inlineStr">
        <is>
          <t>Citroën Saxo VTS 16V</t>
        </is>
      </c>
      <c r="B27" s="10" t="inlineStr">
        <is>
          <t>3198012563</t>
        </is>
      </c>
      <c r="C27" s="10" t="inlineStr">
        <is>
          <t>Saxo VTS 1.6l 16s</t>
        </is>
      </c>
      <c r="D27" s="18" t="n">
        <v>46296</v>
      </c>
      <c r="E27" s="12" t="n">
        <v>10500</v>
      </c>
      <c r="F27" s="14">
        <f>IF(AND($B27=$B26,ISNUMBER(E26),E26&gt;0),E27/E26-1,"")</f>
        <v/>
      </c>
      <c r="G27" s="19" t="inlineStr">
        <is>
          <t>Voir</t>
        </is>
      </c>
    </row>
    <row r="28">
      <c r="A28" s="10" t="inlineStr">
        <is>
          <t>Citroën Saxo VTS 16V</t>
        </is>
      </c>
      <c r="B28" s="10" t="inlineStr">
        <is>
          <t>3217942758</t>
        </is>
      </c>
      <c r="C28" s="10" t="inlineStr">
        <is>
          <t>Citroen saxo vts 16v</t>
        </is>
      </c>
      <c r="D28" s="18" t="n">
        <v>46296</v>
      </c>
      <c r="E28" s="12" t="n">
        <v>6700</v>
      </c>
      <c r="F28" s="14">
        <f>IF(AND($B28=$B27,ISNUMBER(E27),E27&gt;0),E28/E27-1,"")</f>
        <v/>
      </c>
      <c r="G28" s="19" t="inlineStr">
        <is>
          <t>Voir</t>
        </is>
      </c>
    </row>
    <row r="29">
      <c r="A29" s="10" t="inlineStr">
        <is>
          <t>Citroën Saxo VTS 16V</t>
        </is>
      </c>
      <c r="B29" s="10" t="inlineStr">
        <is>
          <t>3229777091</t>
        </is>
      </c>
      <c r="C29" s="10" t="inlineStr">
        <is>
          <t>Saxo vts 1.6l 16s</t>
        </is>
      </c>
      <c r="D29" s="18" t="n">
        <v>46296</v>
      </c>
      <c r="E29" s="12" t="n">
        <v>5000</v>
      </c>
      <c r="F29" s="14">
        <f>IF(AND($B29=$B28,ISNUMBER(E28),E28&gt;0),E29/E28-1,"")</f>
        <v/>
      </c>
      <c r="G29" s="19" t="inlineStr">
        <is>
          <t>Voir</t>
        </is>
      </c>
    </row>
    <row r="30">
      <c r="A30" s="10" t="inlineStr">
        <is>
          <t>Citroën Saxo VTS 16V</t>
        </is>
      </c>
      <c r="B30" s="10" t="inlineStr">
        <is>
          <t>3233589487</t>
        </is>
      </c>
      <c r="C30" s="10" t="inlineStr">
        <is>
          <t>Saxo vts 1l4 echange possible</t>
        </is>
      </c>
      <c r="D30" s="18" t="n">
        <v>46296</v>
      </c>
      <c r="E30" s="12" t="n">
        <v>4500</v>
      </c>
      <c r="F30" s="14">
        <f>IF(AND($B30=$B29,ISNUMBER(E29),E29&gt;0),E30/E29-1,"")</f>
        <v/>
      </c>
      <c r="G30" s="19" t="inlineStr">
        <is>
          <t>Voir</t>
        </is>
      </c>
    </row>
    <row r="31">
      <c r="A31" s="10" t="inlineStr">
        <is>
          <t>Citroën Saxo VTS 16V</t>
        </is>
      </c>
      <c r="B31" s="10" t="inlineStr">
        <is>
          <t>3249782225</t>
        </is>
      </c>
      <c r="C31" s="10" t="inlineStr">
        <is>
          <t>Saxo vts 1l6</t>
        </is>
      </c>
      <c r="D31" s="18" t="n">
        <v>46296</v>
      </c>
      <c r="E31" s="12" t="n">
        <v>3000</v>
      </c>
      <c r="F31" s="14">
        <f>IF(AND($B31=$B30,ISNUMBER(E30),E30&gt;0),E31/E30-1,"")</f>
        <v/>
      </c>
      <c r="G31" s="19" t="inlineStr">
        <is>
          <t>Voir</t>
        </is>
      </c>
    </row>
    <row r="32">
      <c r="A32" s="10" t="inlineStr">
        <is>
          <t>Citroën Saxo VTS 16V</t>
        </is>
      </c>
      <c r="B32" s="10" t="inlineStr">
        <is>
          <t>3250813636</t>
        </is>
      </c>
      <c r="C32" s="10" t="inlineStr">
        <is>
          <t>Saxo VTS</t>
        </is>
      </c>
      <c r="D32" s="18" t="n">
        <v>46296</v>
      </c>
      <c r="E32" s="12" t="n">
        <v>8000</v>
      </c>
      <c r="F32" s="14">
        <f>IF(AND($B32=$B31,ISNUMBER(E31),E31&gt;0),E32/E31-1,"")</f>
        <v/>
      </c>
      <c r="G32" s="19" t="inlineStr">
        <is>
          <t>Voir</t>
        </is>
      </c>
    </row>
    <row r="33">
      <c r="A33" s="10" t="inlineStr">
        <is>
          <t>Citroën Saxo VTS 16V</t>
        </is>
      </c>
      <c r="B33" s="10" t="inlineStr">
        <is>
          <t>3252260409</t>
        </is>
      </c>
      <c r="C33" s="10" t="inlineStr">
        <is>
          <t>Saxo VTS 1.4 75cv</t>
        </is>
      </c>
      <c r="D33" s="18" t="n">
        <v>46296</v>
      </c>
      <c r="E33" s="12" t="n">
        <v>3000</v>
      </c>
      <c r="F33" s="14">
        <f>IF(AND($B33=$B32,ISNUMBER(E32),E32&gt;0),E33/E32-1,"")</f>
        <v/>
      </c>
      <c r="G33" s="19" t="inlineStr">
        <is>
          <t>Voir</t>
        </is>
      </c>
    </row>
    <row r="34">
      <c r="A34" s="10" t="inlineStr">
        <is>
          <t>Citroën Saxo VTS 16V</t>
        </is>
      </c>
      <c r="B34" s="10" t="inlineStr">
        <is>
          <t>3253410252</t>
        </is>
      </c>
      <c r="C34" s="10" t="inlineStr">
        <is>
          <t>Citröen Saxo VTS 16v</t>
        </is>
      </c>
      <c r="D34" s="18" t="n">
        <v>46296</v>
      </c>
      <c r="E34" s="12" t="n">
        <v>12900</v>
      </c>
      <c r="F34" s="14">
        <f>IF(AND($B34=$B33,ISNUMBER(E33),E33&gt;0),E34/E33-1,"")</f>
        <v/>
      </c>
      <c r="G34" s="19" t="inlineStr">
        <is>
          <t>Voir</t>
        </is>
      </c>
    </row>
    <row r="35">
      <c r="A35" s="10" t="inlineStr">
        <is>
          <t>Citroën Saxo VTS 16V</t>
        </is>
      </c>
      <c r="B35" s="10" t="inlineStr">
        <is>
          <t>3253798936</t>
        </is>
      </c>
      <c r="C35" s="10" t="inlineStr">
        <is>
          <t>Saxo vts</t>
        </is>
      </c>
      <c r="D35" s="18" t="n">
        <v>46296</v>
      </c>
      <c r="E35" s="12" t="n">
        <v>3000</v>
      </c>
      <c r="F35" s="14">
        <f>IF(AND($B35=$B34,ISNUMBER(E34),E34&gt;0),E35/E34-1,"")</f>
        <v/>
      </c>
      <c r="G35" s="19" t="inlineStr">
        <is>
          <t>Voir</t>
        </is>
      </c>
    </row>
    <row r="36">
      <c r="A36" s="10" t="inlineStr">
        <is>
          <t>Citroën Saxo VTS 16V</t>
        </is>
      </c>
      <c r="B36" s="10" t="inlineStr">
        <is>
          <t>3259234628</t>
        </is>
      </c>
      <c r="C36" s="10" t="inlineStr">
        <is>
          <t>Saxo VTS 16S</t>
        </is>
      </c>
      <c r="D36" s="18" t="n">
        <v>46296</v>
      </c>
      <c r="E36" s="12" t="n">
        <v>5000</v>
      </c>
      <c r="F36" s="14">
        <f>IF(AND($B36=$B35,ISNUMBER(E35),E35&gt;0),E36/E35-1,"")</f>
        <v/>
      </c>
      <c r="G36" s="19" t="inlineStr">
        <is>
          <t>Voir</t>
        </is>
      </c>
    </row>
    <row r="37">
      <c r="A37" s="10" t="inlineStr">
        <is>
          <t>Citroën Saxo VTS 16V</t>
        </is>
      </c>
      <c r="B37" s="10" t="inlineStr">
        <is>
          <t>3259437359</t>
        </is>
      </c>
      <c r="C37" s="10" t="inlineStr">
        <is>
          <t>Citroën Saxo Vts 1.6 8s</t>
        </is>
      </c>
      <c r="D37" s="18" t="n">
        <v>46296</v>
      </c>
      <c r="E37" s="12" t="n">
        <v>5990</v>
      </c>
      <c r="F37" s="14">
        <f>IF(AND($B37=$B36,ISNUMBER(E36),E36&gt;0),E37/E36-1,"")</f>
        <v/>
      </c>
      <c r="G37" s="19" t="inlineStr">
        <is>
          <t>Voir</t>
        </is>
      </c>
    </row>
    <row r="38">
      <c r="A38" s="10" t="inlineStr">
        <is>
          <t>Citroën Saxo VTS 16V</t>
        </is>
      </c>
      <c r="B38" s="10" t="inlineStr">
        <is>
          <t>3260316059</t>
        </is>
      </c>
      <c r="C38" s="10" t="inlineStr">
        <is>
          <t>Saxo Vts 1.6 8s</t>
        </is>
      </c>
      <c r="D38" s="18" t="n">
        <v>46296</v>
      </c>
      <c r="E38" s="12" t="n">
        <v>6000</v>
      </c>
      <c r="F38" s="14">
        <f>IF(AND($B38=$B37,ISNUMBER(E37),E37&gt;0),E38/E37-1,"")</f>
        <v/>
      </c>
      <c r="G38" s="19" t="inlineStr">
        <is>
          <t>Voir</t>
        </is>
      </c>
    </row>
    <row r="39">
      <c r="A39" s="10" t="inlineStr">
        <is>
          <t>Citroën Saxo VTS 16V</t>
        </is>
      </c>
      <c r="B39" s="10" t="inlineStr">
        <is>
          <t>3260650856</t>
        </is>
      </c>
      <c r="C39" s="10" t="inlineStr">
        <is>
          <t>Saxo vts 120ch</t>
        </is>
      </c>
      <c r="D39" s="18" t="n">
        <v>46296</v>
      </c>
      <c r="E39" s="12" t="n">
        <v>9990</v>
      </c>
      <c r="F39" s="14">
        <f>IF(AND($B39=$B38,ISNUMBER(E38),E38&gt;0),E39/E38-1,"")</f>
        <v/>
      </c>
      <c r="G39" s="19" t="inlineStr">
        <is>
          <t>Voir</t>
        </is>
      </c>
    </row>
    <row r="40">
      <c r="A40" s="10" t="inlineStr">
        <is>
          <t>Citroën Saxo VTS 16V</t>
        </is>
      </c>
      <c r="B40" s="10" t="inlineStr">
        <is>
          <t>3260831234</t>
        </is>
      </c>
      <c r="C40" s="10" t="inlineStr">
        <is>
          <t>Saxo Vts 1.6 8s 100ch</t>
        </is>
      </c>
      <c r="D40" s="18" t="n">
        <v>46296</v>
      </c>
      <c r="E40" s="12" t="n">
        <v>6700</v>
      </c>
      <c r="F40" s="14">
        <f>IF(AND($B40=$B39,ISNUMBER(E39),E39&gt;0),E40/E39-1,"")</f>
        <v/>
      </c>
      <c r="G40" s="19" t="inlineStr">
        <is>
          <t>Voir</t>
        </is>
      </c>
    </row>
    <row r="41">
      <c r="A41" s="10" t="inlineStr">
        <is>
          <t>Citroën Saxo VTS 16V</t>
        </is>
      </c>
      <c r="B41" s="10" t="inlineStr">
        <is>
          <t>3261627755</t>
        </is>
      </c>
      <c r="C41" s="10" t="inlineStr">
        <is>
          <t>Saxo vts 16v/16s route/piste</t>
        </is>
      </c>
      <c r="D41" s="18" t="n">
        <v>46296</v>
      </c>
      <c r="E41" s="12" t="n">
        <v>6800</v>
      </c>
      <c r="F41" s="14">
        <f>IF(AND($B41=$B40,ISNUMBER(E40),E40&gt;0),E41/E40-1,"")</f>
        <v/>
      </c>
      <c r="G41" s="19" t="inlineStr">
        <is>
          <t>Voir</t>
        </is>
      </c>
    </row>
    <row r="42">
      <c r="A42" s="10" t="inlineStr">
        <is>
          <t>Citroën Saxo VTS 16V</t>
        </is>
      </c>
      <c r="B42" s="10" t="inlineStr">
        <is>
          <t>3262635276</t>
        </is>
      </c>
      <c r="C42" s="10" t="inlineStr">
        <is>
          <t>Saxo vts 16s 120ch</t>
        </is>
      </c>
      <c r="D42" s="18" t="n">
        <v>46296</v>
      </c>
      <c r="E42" s="12" t="n">
        <v>7600</v>
      </c>
      <c r="F42" s="14">
        <f>IF(AND($B42=$B41,ISNUMBER(E41),E41&gt;0),E42/E41-1,"")</f>
        <v/>
      </c>
      <c r="G42" s="19" t="inlineStr">
        <is>
          <t>Voir</t>
        </is>
      </c>
    </row>
    <row r="43">
      <c r="A43" s="10" t="inlineStr">
        <is>
          <t>Citroën Saxo VTS 16V</t>
        </is>
      </c>
      <c r="B43" s="10" t="inlineStr">
        <is>
          <t>3264107945</t>
        </is>
      </c>
      <c r="C43" s="10" t="inlineStr">
        <is>
          <t>Saxo vts 16v</t>
        </is>
      </c>
      <c r="D43" s="18" t="n">
        <v>46296</v>
      </c>
      <c r="E43" s="12" t="n">
        <v>10900</v>
      </c>
      <c r="F43" s="14">
        <f>IF(AND($B43=$B42,ISNUMBER(E42),E42&gt;0),E43/E42-1,"")</f>
        <v/>
      </c>
      <c r="G43" s="19" t="inlineStr">
        <is>
          <t>Voir</t>
        </is>
      </c>
    </row>
    <row r="44">
      <c r="A44" s="10" t="inlineStr">
        <is>
          <t>Citroën Saxo VTS 16V</t>
        </is>
      </c>
      <c r="B44" s="10" t="inlineStr">
        <is>
          <t>3266045304</t>
        </is>
      </c>
      <c r="C44" s="10" t="inlineStr">
        <is>
          <t>Saxo vts 16v 2000</t>
        </is>
      </c>
      <c r="D44" s="18" t="n">
        <v>46296</v>
      </c>
      <c r="E44" s="12" t="n">
        <v>7500</v>
      </c>
      <c r="F44" s="14">
        <f>IF(AND($B44=$B43,ISNUMBER(E43),E43&gt;0),E44/E43-1,"")</f>
        <v/>
      </c>
      <c r="G44" s="19" t="inlineStr">
        <is>
          <t>Voir</t>
        </is>
      </c>
    </row>
    <row r="45">
      <c r="A45" s="10" t="inlineStr">
        <is>
          <t>Citroën Saxo VTS 16V</t>
        </is>
      </c>
      <c r="B45" s="10" t="inlineStr">
        <is>
          <t>3269890983</t>
        </is>
      </c>
      <c r="C45" s="10" t="inlineStr">
        <is>
          <t>Citroën saxo vts</t>
        </is>
      </c>
      <c r="D45" s="18" t="n">
        <v>46296</v>
      </c>
      <c r="E45" s="12" t="n">
        <v>2500</v>
      </c>
      <c r="F45" s="14">
        <f>IF(AND($B45=$B44,ISNUMBER(E44),E44&gt;0),E45/E44-1,"")</f>
        <v/>
      </c>
      <c r="G45" s="19" t="inlineStr">
        <is>
          <t>Voir</t>
        </is>
      </c>
    </row>
    <row r="46">
      <c r="A46" s="10" t="inlineStr">
        <is>
          <t>Citroën Saxo VTS 16V</t>
        </is>
      </c>
      <c r="B46" s="10" t="inlineStr">
        <is>
          <t>3270100305</t>
        </is>
      </c>
      <c r="C46" s="10" t="inlineStr">
        <is>
          <t>Saxo Vts 1.6 8s</t>
        </is>
      </c>
      <c r="D46" s="18" t="n">
        <v>46296</v>
      </c>
      <c r="E46" s="12" t="n">
        <v>4500</v>
      </c>
      <c r="F46" s="14">
        <f>IF(AND($B46=$B45,ISNUMBER(E45),E45&gt;0),E46/E45-1,"")</f>
        <v/>
      </c>
      <c r="G46" s="19" t="inlineStr">
        <is>
          <t>Voir</t>
        </is>
      </c>
    </row>
    <row r="47">
      <c r="A47" s="10" t="inlineStr">
        <is>
          <t>Citroën Saxo VTS 16V</t>
        </is>
      </c>
      <c r="B47" s="10" t="inlineStr">
        <is>
          <t>3271080732</t>
        </is>
      </c>
      <c r="C47" s="10" t="inlineStr">
        <is>
          <t>Saxo vts 1.6 8s</t>
        </is>
      </c>
      <c r="D47" s="18" t="n">
        <v>46296</v>
      </c>
      <c r="E47" s="12" t="n">
        <v>1600</v>
      </c>
      <c r="F47" s="14">
        <f>IF(AND($B47=$B46,ISNUMBER(E46),E46&gt;0),E47/E46-1,"")</f>
        <v/>
      </c>
      <c r="G47" s="19" t="inlineStr">
        <is>
          <t>Voir</t>
        </is>
      </c>
    </row>
    <row r="48">
      <c r="A48" s="10" t="inlineStr">
        <is>
          <t>Citroën Saxo VTS 16V</t>
        </is>
      </c>
      <c r="B48" s="10" t="inlineStr">
        <is>
          <t>3274386766</t>
        </is>
      </c>
      <c r="C48" s="10" t="inlineStr">
        <is>
          <t>Saxo vts</t>
        </is>
      </c>
      <c r="D48" s="18" t="n">
        <v>46296</v>
      </c>
      <c r="E48" s="12" t="n">
        <v>9000</v>
      </c>
      <c r="F48" s="14">
        <f>IF(AND($B48=$B47,ISNUMBER(E47),E47&gt;0),E48/E47-1,"")</f>
        <v/>
      </c>
      <c r="G48" s="19" t="inlineStr">
        <is>
          <t>Voir</t>
        </is>
      </c>
    </row>
    <row r="49">
      <c r="A49" s="10" t="inlineStr">
        <is>
          <t>Citroën Saxo VTS 16V</t>
        </is>
      </c>
      <c r="B49" s="10" t="inlineStr">
        <is>
          <t>3274786995</t>
        </is>
      </c>
      <c r="C49" s="10" t="inlineStr">
        <is>
          <t>Saxo vts</t>
        </is>
      </c>
      <c r="D49" s="18" t="n">
        <v>46296</v>
      </c>
      <c r="E49" s="12" t="n">
        <v>8000</v>
      </c>
      <c r="F49" s="14">
        <f>IF(AND($B49=$B48,ISNUMBER(E48),E48&gt;0),E49/E48-1,"")</f>
        <v/>
      </c>
      <c r="G49" s="19" t="inlineStr">
        <is>
          <t>Voir</t>
        </is>
      </c>
    </row>
    <row r="50">
      <c r="A50" s="10" t="inlineStr">
        <is>
          <t>Citroën Saxo VTS 16V</t>
        </is>
      </c>
      <c r="B50" s="10" t="inlineStr">
        <is>
          <t>3275584509</t>
        </is>
      </c>
      <c r="C50" s="10" t="inlineStr">
        <is>
          <t>Saxo vts</t>
        </is>
      </c>
      <c r="D50" s="18" t="n">
        <v>46296</v>
      </c>
      <c r="E50" s="12" t="n">
        <v>5250</v>
      </c>
      <c r="F50" s="14">
        <f>IF(AND($B50=$B49,ISNUMBER(E49),E49&gt;0),E50/E49-1,"")</f>
        <v/>
      </c>
      <c r="G50" s="19" t="inlineStr">
        <is>
          <t>Voir</t>
        </is>
      </c>
    </row>
    <row r="51">
      <c r="A51" s="10" t="inlineStr">
        <is>
          <t>Citroën Saxo VTS 16V</t>
        </is>
      </c>
      <c r="B51" s="10" t="inlineStr">
        <is>
          <t>3275636332</t>
        </is>
      </c>
      <c r="C51" s="10" t="inlineStr">
        <is>
          <t>Saxo VTS 16V restaurée</t>
        </is>
      </c>
      <c r="D51" s="18" t="n">
        <v>46296</v>
      </c>
      <c r="E51" s="12" t="n">
        <v>10000</v>
      </c>
      <c r="F51" s="14">
        <f>IF(AND($B51=$B50,ISNUMBER(E50),E50&gt;0),E51/E50-1,"")</f>
        <v/>
      </c>
      <c r="G51" s="19" t="inlineStr">
        <is>
          <t>Voir</t>
        </is>
      </c>
    </row>
    <row r="52">
      <c r="A52" s="10" t="inlineStr">
        <is>
          <t>Citroën Saxo VTS 16V</t>
        </is>
      </c>
      <c r="B52" s="10" t="inlineStr">
        <is>
          <t>3275939150</t>
        </is>
      </c>
      <c r="C52" s="10" t="inlineStr">
        <is>
          <t>Citroën saxo vts</t>
        </is>
      </c>
      <c r="D52" s="18" t="n">
        <v>46296</v>
      </c>
      <c r="E52" s="12" t="n">
        <v>6000</v>
      </c>
      <c r="F52" s="14">
        <f>IF(AND($B52=$B51,ISNUMBER(E51),E51&gt;0),E52/E51-1,"")</f>
        <v/>
      </c>
      <c r="G52" s="19" t="inlineStr">
        <is>
          <t>Voir</t>
        </is>
      </c>
    </row>
    <row r="53">
      <c r="A53" s="10" t="inlineStr">
        <is>
          <t>Citroën Saxo VTS 16V</t>
        </is>
      </c>
      <c r="B53" s="10" t="inlineStr">
        <is>
          <t>3276019569</t>
        </is>
      </c>
      <c r="C53" s="10" t="inlineStr">
        <is>
          <t>Vend saxo vts 100ch</t>
        </is>
      </c>
      <c r="D53" s="18" t="n">
        <v>46296</v>
      </c>
      <c r="E53" s="12" t="n">
        <v>5500</v>
      </c>
      <c r="F53" s="14">
        <f>IF(AND($B53=$B52,ISNUMBER(E52),E52&gt;0),E53/E52-1,"")</f>
        <v/>
      </c>
      <c r="G53" s="19" t="inlineStr">
        <is>
          <t>Voir</t>
        </is>
      </c>
    </row>
    <row r="54">
      <c r="A54" s="10" t="inlineStr">
        <is>
          <t>Citroën Saxo VTS 16V</t>
        </is>
      </c>
      <c r="B54" s="10" t="inlineStr">
        <is>
          <t>3276045076</t>
        </is>
      </c>
      <c r="C54" s="10" t="inlineStr">
        <is>
          <t>Saxo VTS 16v</t>
        </is>
      </c>
      <c r="D54" s="18" t="n">
        <v>46296</v>
      </c>
      <c r="E54" s="12" t="n">
        <v>8800</v>
      </c>
      <c r="F54" s="14">
        <f>IF(AND($B54=$B53,ISNUMBER(E53),E53&gt;0),E54/E53-1,"")</f>
        <v/>
      </c>
      <c r="G54" s="19" t="inlineStr">
        <is>
          <t>Voir</t>
        </is>
      </c>
    </row>
    <row r="55">
      <c r="A55" s="10" t="inlineStr">
        <is>
          <t>Citroën Saxo VTS 16V</t>
        </is>
      </c>
      <c r="B55" s="10" t="inlineStr">
        <is>
          <t>3276707355</t>
        </is>
      </c>
      <c r="C55" s="10" t="inlineStr">
        <is>
          <t>Saxo Vts 16v</t>
        </is>
      </c>
      <c r="D55" s="18" t="n">
        <v>46296</v>
      </c>
      <c r="E55" s="12" t="n">
        <v>7500</v>
      </c>
      <c r="F55" s="14">
        <f>IF(AND($B55=$B54,ISNUMBER(E54),E54&gt;0),E55/E54-1,"")</f>
        <v/>
      </c>
      <c r="G55" s="19" t="inlineStr">
        <is>
          <t>Voir</t>
        </is>
      </c>
    </row>
    <row r="56">
      <c r="A56" s="10" t="inlineStr">
        <is>
          <t>Citroën Saxo VTS 16V</t>
        </is>
      </c>
      <c r="B56" s="10" t="inlineStr">
        <is>
          <t>3277544949</t>
        </is>
      </c>
      <c r="C56" s="10" t="inlineStr">
        <is>
          <t>Saxo vts</t>
        </is>
      </c>
      <c r="D56" s="18" t="n">
        <v>46296</v>
      </c>
      <c r="E56" s="12" t="n">
        <v>4000</v>
      </c>
      <c r="F56" s="14">
        <f>IF(AND($B56=$B55,ISNUMBER(E55),E55&gt;0),E56/E55-1,"")</f>
        <v/>
      </c>
      <c r="G56" s="19" t="inlineStr">
        <is>
          <t>Voir</t>
        </is>
      </c>
    </row>
    <row r="57">
      <c r="A57" s="10" t="inlineStr">
        <is>
          <t>Citroën Saxo VTS 16V</t>
        </is>
      </c>
      <c r="B57" s="10" t="inlineStr">
        <is>
          <t>3278294886</t>
        </is>
      </c>
      <c r="C57" s="10" t="inlineStr">
        <is>
          <t>CITROEN SAXO VTS Phase 2 - 1.6 8s 100ch - Noir Onyx - 19.200 kms</t>
        </is>
      </c>
      <c r="D57" s="18" t="n">
        <v>46296</v>
      </c>
      <c r="E57" s="12" t="n">
        <v>12980</v>
      </c>
      <c r="F57" s="14">
        <f>IF(AND($B57=$B56,ISNUMBER(E56),E56&gt;0),E57/E56-1,"")</f>
        <v/>
      </c>
      <c r="G57" s="19" t="inlineStr">
        <is>
          <t>Voir</t>
        </is>
      </c>
    </row>
    <row r="58">
      <c r="A58" s="10" t="inlineStr">
        <is>
          <t>Citroën Saxo VTS 16V</t>
        </is>
      </c>
      <c r="B58" s="10" t="inlineStr">
        <is>
          <t>3278304303</t>
        </is>
      </c>
      <c r="C58" s="10" t="inlineStr">
        <is>
          <t>Vend saxo vts 1l4 essence</t>
        </is>
      </c>
      <c r="D58" s="18" t="n">
        <v>46296</v>
      </c>
      <c r="E58" s="12" t="n">
        <v>2000</v>
      </c>
      <c r="F58" s="14">
        <f>IF(AND($B58=$B57,ISNUMBER(E57),E57&gt;0),E58/E57-1,"")</f>
        <v/>
      </c>
      <c r="G58" s="19" t="inlineStr">
        <is>
          <t>Voir</t>
        </is>
      </c>
    </row>
    <row r="59">
      <c r="A59" s="10" t="inlineStr">
        <is>
          <t>Citroën Saxo VTS 16V</t>
        </is>
      </c>
      <c r="B59" s="10" t="inlineStr">
        <is>
          <t>3278388859</t>
        </is>
      </c>
      <c r="C59" s="10" t="inlineStr">
        <is>
          <t>Saxo vts 16s</t>
        </is>
      </c>
      <c r="D59" s="18" t="n">
        <v>46296</v>
      </c>
      <c r="E59" s="12" t="n">
        <v>12500</v>
      </c>
      <c r="F59" s="14">
        <f>IF(AND($B59=$B58,ISNUMBER(E58),E58&gt;0),E59/E58-1,"")</f>
        <v/>
      </c>
      <c r="G59" s="19" t="inlineStr">
        <is>
          <t>Voir</t>
        </is>
      </c>
    </row>
    <row r="60">
      <c r="A60" s="10" t="inlineStr">
        <is>
          <t>Citroën Saxo VTS 16V</t>
        </is>
      </c>
      <c r="B60" s="10" t="inlineStr">
        <is>
          <t>3278923547</t>
        </is>
      </c>
      <c r="C60" s="10" t="inlineStr">
        <is>
          <t>Saxo VTS</t>
        </is>
      </c>
      <c r="D60" s="18" t="n">
        <v>46296</v>
      </c>
      <c r="E60" s="12" t="n">
        <v>6000</v>
      </c>
      <c r="F60" s="14">
        <f>IF(AND($B60=$B59,ISNUMBER(E59),E59&gt;0),E60/E59-1,"")</f>
        <v/>
      </c>
      <c r="G60" s="19" t="inlineStr">
        <is>
          <t>Voir</t>
        </is>
      </c>
    </row>
    <row r="61">
      <c r="A61" s="10" t="inlineStr">
        <is>
          <t>Citroën Saxo VTS 16V</t>
        </is>
      </c>
      <c r="B61" s="10" t="inlineStr">
        <is>
          <t>3279836593</t>
        </is>
      </c>
      <c r="C61" s="10" t="inlineStr">
        <is>
          <t>Saxo vts</t>
        </is>
      </c>
      <c r="D61" s="18" t="n">
        <v>46296</v>
      </c>
      <c r="E61" s="12" t="n">
        <v>8200</v>
      </c>
      <c r="F61" s="14">
        <f>IF(AND($B61=$B60,ISNUMBER(E60),E60&gt;0),E61/E60-1,"")</f>
        <v/>
      </c>
      <c r="G61" s="19" t="inlineStr">
        <is>
          <t>Voir</t>
        </is>
      </c>
    </row>
    <row r="62">
      <c r="A62" s="10" t="inlineStr">
        <is>
          <t>Citroën Saxo VTS 16V</t>
        </is>
      </c>
      <c r="B62" s="10" t="inlineStr">
        <is>
          <t>3279840069</t>
        </is>
      </c>
      <c r="C62" s="10" t="inlineStr">
        <is>
          <t>Saxo vts 1,6 l 16v</t>
        </is>
      </c>
      <c r="D62" s="18" t="n">
        <v>46296</v>
      </c>
      <c r="E62" s="12" t="n">
        <v>8800</v>
      </c>
      <c r="F62" s="14">
        <f>IF(AND($B62=$B61,ISNUMBER(E61),E61&gt;0),E62/E61-1,"")</f>
        <v/>
      </c>
      <c r="G62" s="19" t="inlineStr">
        <is>
          <t>Voir</t>
        </is>
      </c>
    </row>
    <row r="63">
      <c r="A63" s="10" t="inlineStr">
        <is>
          <t>Citroën Saxo VTS 16V</t>
        </is>
      </c>
      <c r="B63" s="10" t="inlineStr">
        <is>
          <t>3279949039</t>
        </is>
      </c>
      <c r="C63" s="10" t="inlineStr">
        <is>
          <t>Saxo Vts 1.4</t>
        </is>
      </c>
      <c r="D63" s="18" t="n">
        <v>46296</v>
      </c>
      <c r="E63" s="12" t="n">
        <v>4000</v>
      </c>
      <c r="F63" s="14">
        <f>IF(AND($B63=$B62,ISNUMBER(E62),E62&gt;0),E63/E62-1,"")</f>
        <v/>
      </c>
      <c r="G63" s="19" t="inlineStr">
        <is>
          <t>Voir</t>
        </is>
      </c>
    </row>
    <row r="64">
      <c r="A64" s="10" t="inlineStr">
        <is>
          <t>Honda S2000</t>
        </is>
      </c>
      <c r="B64" s="10" t="inlineStr">
        <is>
          <t>3140247303</t>
        </is>
      </c>
      <c r="C64" s="10" t="inlineStr">
        <is>
          <t>Honda S2000 AP1 2.0 VTEC conduite à gauche</t>
        </is>
      </c>
      <c r="D64" s="18" t="n">
        <v>46296</v>
      </c>
      <c r="E64" s="12" t="n">
        <v>27500</v>
      </c>
      <c r="F64" s="14">
        <f>IF(AND($B64=$B63,ISNUMBER(E63),E63&gt;0),E64/E63-1,"")</f>
        <v/>
      </c>
      <c r="G64" s="19" t="inlineStr">
        <is>
          <t>Voir</t>
        </is>
      </c>
    </row>
    <row r="65">
      <c r="A65" s="10" t="inlineStr">
        <is>
          <t>Honda S2000</t>
        </is>
      </c>
      <c r="B65" s="10" t="inlineStr">
        <is>
          <t>3155762075</t>
        </is>
      </c>
      <c r="C65" s="10" t="inlineStr">
        <is>
          <t>Honda S2000 AP1 + 5000 de pièces</t>
        </is>
      </c>
      <c r="D65" s="18" t="n">
        <v>46296</v>
      </c>
      <c r="E65" s="12" t="n">
        <v>28900</v>
      </c>
      <c r="F65" s="14">
        <f>IF(AND($B65=$B64,ISNUMBER(E64),E64&gt;0),E65/E64-1,"")</f>
        <v/>
      </c>
      <c r="G65" s="19" t="inlineStr">
        <is>
          <t>Voir</t>
        </is>
      </c>
    </row>
    <row r="66">
      <c r="A66" s="10" t="inlineStr">
        <is>
          <t>Honda S2000</t>
        </is>
      </c>
      <c r="B66" s="10" t="inlineStr">
        <is>
          <t>3165194701</t>
        </is>
      </c>
      <c r="C66" s="10" t="inlineStr">
        <is>
          <t>Nissan 350z roadster 3.5 v6 280 pack</t>
        </is>
      </c>
      <c r="D66" s="18" t="n">
        <v>46296</v>
      </c>
      <c r="E66" s="12" t="n">
        <v>18990</v>
      </c>
      <c r="F66" s="14">
        <f>IF(AND($B66=$B65,ISNUMBER(E65),E65&gt;0),E66/E65-1,"")</f>
        <v/>
      </c>
      <c r="G66" s="19" t="inlineStr">
        <is>
          <t>Voir</t>
        </is>
      </c>
    </row>
    <row r="67">
      <c r="A67" s="10" t="inlineStr">
        <is>
          <t>Honda S2000</t>
        </is>
      </c>
      <c r="B67" s="10" t="inlineStr">
        <is>
          <t>3166175681</t>
        </is>
      </c>
      <c r="C67" s="10" t="inlineStr">
        <is>
          <t>Honda S2000 – Phase 1.5 - 139.000 KM - RHD</t>
        </is>
      </c>
      <c r="D67" s="18" t="n">
        <v>46296</v>
      </c>
      <c r="E67" s="12" t="n">
        <v>18500</v>
      </c>
      <c r="F67" s="14">
        <f>IF(AND($B67=$B66,ISNUMBER(E66),E66&gt;0),E67/E66-1,"")</f>
        <v/>
      </c>
      <c r="G67" s="19" t="inlineStr">
        <is>
          <t>Voir</t>
        </is>
      </c>
    </row>
    <row r="68">
      <c r="A68" s="10" t="inlineStr">
        <is>
          <t>Honda S2000</t>
        </is>
      </c>
      <c r="B68" s="10" t="inlineStr">
        <is>
          <t>3182140973</t>
        </is>
      </c>
      <c r="C68" s="10" t="inlineStr">
        <is>
          <t>Honda S2000 AP1 J's Racing - 67000km</t>
        </is>
      </c>
      <c r="D68" s="18" t="n">
        <v>46296</v>
      </c>
      <c r="E68" s="12" t="n">
        <v>35900</v>
      </c>
      <c r="F68" s="14">
        <f>IF(AND($B68=$B67,ISNUMBER(E67),E67&gt;0),E68/E67-1,"")</f>
        <v/>
      </c>
      <c r="G68" s="19" t="inlineStr">
        <is>
          <t>Voir</t>
        </is>
      </c>
    </row>
    <row r="69">
      <c r="A69" s="10" t="inlineStr">
        <is>
          <t>Honda S2000</t>
        </is>
      </c>
      <c r="B69" s="10" t="inlineStr">
        <is>
          <t>3183271891</t>
        </is>
      </c>
      <c r="C69" s="10" t="inlineStr">
        <is>
          <t>Audi tt 1.8 180 coupe</t>
        </is>
      </c>
      <c r="D69" s="18" t="n">
        <v>46296</v>
      </c>
      <c r="E69" s="12" t="n">
        <v>7990</v>
      </c>
      <c r="F69" s="14">
        <f>IF(AND($B69=$B68,ISNUMBER(E68),E68&gt;0),E69/E68-1,"")</f>
        <v/>
      </c>
      <c r="G69" s="19" t="inlineStr">
        <is>
          <t>Voir</t>
        </is>
      </c>
    </row>
    <row r="70">
      <c r="A70" s="10" t="inlineStr">
        <is>
          <t>Honda S2000</t>
        </is>
      </c>
      <c r="B70" s="10" t="inlineStr">
        <is>
          <t>3185838540</t>
        </is>
      </c>
      <c r="C70" s="10" t="inlineStr">
        <is>
          <t>Honda S 2000 Porsche Japonaise</t>
        </is>
      </c>
      <c r="D70" s="18" t="n">
        <v>46296</v>
      </c>
      <c r="E70" s="12" t="n">
        <v>19999</v>
      </c>
      <c r="F70" s="14">
        <f>IF(AND($B70=$B69,ISNUMBER(E69),E69&gt;0),E70/E69-1,"")</f>
        <v/>
      </c>
      <c r="G70" s="19" t="inlineStr">
        <is>
          <t>Voir</t>
        </is>
      </c>
    </row>
    <row r="71">
      <c r="A71" s="10" t="inlineStr">
        <is>
          <t>Honda S2000</t>
        </is>
      </c>
      <c r="B71" s="10" t="inlineStr">
        <is>
          <t>3206462061</t>
        </is>
      </c>
      <c r="C71" s="10" t="inlineStr">
        <is>
          <t>BMW Z4 Roadster 3.0i 231cv BVM6 - sièges chauffants - Bluetooth - Toit révisé - Garantie 12 Mois</t>
        </is>
      </c>
      <c r="D71" s="18" t="n">
        <v>46296</v>
      </c>
      <c r="E71" s="12" t="n">
        <v>12990</v>
      </c>
      <c r="F71" s="14">
        <f>IF(AND($B71=$B70,ISNUMBER(E70),E70&gt;0),E71/E70-1,"")</f>
        <v/>
      </c>
      <c r="G71" s="19" t="inlineStr">
        <is>
          <t>Voir</t>
        </is>
      </c>
    </row>
    <row r="72">
      <c r="A72" s="10" t="inlineStr">
        <is>
          <t>Honda S2000</t>
        </is>
      </c>
      <c r="B72" s="10" t="inlineStr">
        <is>
          <t>3217513763</t>
        </is>
      </c>
      <c r="C72" s="10" t="inlineStr">
        <is>
          <t>Honda S2000 ap1 '00</t>
        </is>
      </c>
      <c r="D72" s="18" t="n">
        <v>46296</v>
      </c>
      <c r="E72" s="12" t="n">
        <v>25500</v>
      </c>
      <c r="F72" s="14">
        <f>IF(AND($B72=$B71,ISNUMBER(E71),E71&gt;0),E72/E71-1,"")</f>
        <v/>
      </c>
      <c r="G72" s="19" t="inlineStr">
        <is>
          <t>Voir</t>
        </is>
      </c>
    </row>
    <row r="73">
      <c r="A73" s="10" t="inlineStr">
        <is>
          <t>Honda S2000</t>
        </is>
      </c>
      <c r="B73" s="10" t="inlineStr">
        <is>
          <t>3231572470</t>
        </is>
      </c>
      <c r="C73" s="10" t="inlineStr">
        <is>
          <t>Vente Honda S2000</t>
        </is>
      </c>
      <c r="D73" s="18" t="n">
        <v>46296</v>
      </c>
      <c r="E73" s="12" t="n">
        <v>29000</v>
      </c>
      <c r="F73" s="14">
        <f>IF(AND($B73=$B72,ISNUMBER(E72),E72&gt;0),E73/E72-1,"")</f>
        <v/>
      </c>
      <c r="G73" s="19" t="inlineStr">
        <is>
          <t>Voir</t>
        </is>
      </c>
    </row>
    <row r="74">
      <c r="A74" s="10" t="inlineStr">
        <is>
          <t>Honda S2000</t>
        </is>
      </c>
      <c r="B74" s="10" t="inlineStr">
        <is>
          <t>3234430383</t>
        </is>
      </c>
      <c r="C74" s="10" t="inlineStr">
        <is>
          <t>MG MGF/MGTF TF 115 CV fiabilisée RHD + HARDTOP</t>
        </is>
      </c>
      <c r="D74" s="18" t="n">
        <v>46296</v>
      </c>
      <c r="E74" s="12" t="n">
        <v>4599</v>
      </c>
      <c r="F74" s="14">
        <f>IF(AND($B74=$B73,ISNUMBER(E73),E73&gt;0),E74/E73-1,"")</f>
        <v/>
      </c>
      <c r="G74" s="19" t="inlineStr">
        <is>
          <t>Voir</t>
        </is>
      </c>
    </row>
    <row r="75">
      <c r="A75" s="10" t="inlineStr">
        <is>
          <t>Honda S2000</t>
        </is>
      </c>
      <c r="B75" s="10" t="inlineStr">
        <is>
          <t>3237454171</t>
        </is>
      </c>
      <c r="C75" s="10" t="inlineStr">
        <is>
          <t>Mazda Mx5 ROADSTER 1.8 MZR 125 ELEGANCE</t>
        </is>
      </c>
      <c r="D75" s="18" t="n">
        <v>46296</v>
      </c>
      <c r="E75" s="12" t="n">
        <v>12990</v>
      </c>
      <c r="F75" s="14">
        <f>IF(AND($B75=$B74,ISNUMBER(E74),E74&gt;0),E75/E74-1,"")</f>
        <v/>
      </c>
      <c r="G75" s="19" t="inlineStr">
        <is>
          <t>Voir</t>
        </is>
      </c>
    </row>
    <row r="76">
      <c r="A76" s="10" t="inlineStr">
        <is>
          <t>Honda S2000</t>
        </is>
      </c>
      <c r="B76" s="10" t="inlineStr">
        <is>
          <t>3243670260</t>
        </is>
      </c>
      <c r="C76" s="10" t="inlineStr">
        <is>
          <t>Honda s2000</t>
        </is>
      </c>
      <c r="D76" s="18" t="n">
        <v>46296</v>
      </c>
      <c r="E76" s="12" t="n">
        <v>12500</v>
      </c>
      <c r="F76" s="14">
        <f>IF(AND($B76=$B75,ISNUMBER(E75),E75&gt;0),E76/E75-1,"")</f>
        <v/>
      </c>
      <c r="G76" s="19" t="inlineStr">
        <is>
          <t>Voir</t>
        </is>
      </c>
    </row>
    <row r="77">
      <c r="A77" s="10" t="inlineStr">
        <is>
          <t>Honda S2000</t>
        </is>
      </c>
      <c r="B77" s="10" t="inlineStr">
        <is>
          <t>3246600883</t>
        </is>
      </c>
      <c r="C77" s="10" t="inlineStr">
        <is>
          <t>Honda S2000 (échange possible)</t>
        </is>
      </c>
      <c r="D77" s="18" t="n">
        <v>46296</v>
      </c>
      <c r="E77" s="12" t="n">
        <v>27000</v>
      </c>
      <c r="F77" s="14">
        <f>IF(AND($B77=$B76,ISNUMBER(E76),E76&gt;0),E77/E76-1,"")</f>
        <v/>
      </c>
      <c r="G77" s="19" t="inlineStr">
        <is>
          <t>Voir</t>
        </is>
      </c>
    </row>
    <row r="78">
      <c r="A78" s="10" t="inlineStr">
        <is>
          <t>Honda S2000</t>
        </is>
      </c>
      <c r="B78" s="10" t="inlineStr">
        <is>
          <t>3247204311</t>
        </is>
      </c>
      <c r="C78" s="10" t="inlineStr">
        <is>
          <t>Honda s2000 phase2 intérieur full red unique</t>
        </is>
      </c>
      <c r="D78" s="18" t="n">
        <v>46296</v>
      </c>
      <c r="E78" s="12" t="n">
        <v>19500</v>
      </c>
      <c r="F78" s="14">
        <f>IF(AND($B78=$B77,ISNUMBER(E77),E77&gt;0),E78/E77-1,"")</f>
        <v/>
      </c>
      <c r="G78" s="19" t="inlineStr">
        <is>
          <t>Voir</t>
        </is>
      </c>
    </row>
    <row r="79">
      <c r="A79" s="10" t="inlineStr">
        <is>
          <t>Honda S2000</t>
        </is>
      </c>
      <c r="B79" s="10" t="inlineStr">
        <is>
          <t>3247698308</t>
        </is>
      </c>
      <c r="C79" s="10" t="inlineStr">
        <is>
          <t>HONDA S2000 (AP) 2.0 i VTEC Roadster 240cv</t>
        </is>
      </c>
      <c r="D79" s="18" t="n">
        <v>46296</v>
      </c>
      <c r="E79" s="12" t="n">
        <v>46990</v>
      </c>
      <c r="F79" s="14">
        <f>IF(AND($B79=$B78,ISNUMBER(E78),E78&gt;0),E79/E78-1,"")</f>
        <v/>
      </c>
      <c r="G79" s="19" t="inlineStr">
        <is>
          <t>Voir</t>
        </is>
      </c>
    </row>
    <row r="80">
      <c r="A80" s="10" t="inlineStr">
        <is>
          <t>Honda S2000</t>
        </is>
      </c>
      <c r="B80" s="10" t="inlineStr">
        <is>
          <t>3247804233</t>
        </is>
      </c>
      <c r="C80" s="10" t="inlineStr">
        <is>
          <t>Porsche Boxster 2.7 240</t>
        </is>
      </c>
      <c r="D80" s="18" t="n">
        <v>46296</v>
      </c>
      <c r="E80" s="12" t="n">
        <v>22990</v>
      </c>
      <c r="F80" s="14">
        <f>IF(AND($B80=$B79,ISNUMBER(E79),E79&gt;0),E80/E79-1,"")</f>
        <v/>
      </c>
      <c r="G80" s="19" t="inlineStr">
        <is>
          <t>Voir</t>
        </is>
      </c>
    </row>
    <row r="81">
      <c r="A81" s="10" t="inlineStr">
        <is>
          <t>Honda S2000</t>
        </is>
      </c>
      <c r="B81" s="10" t="inlineStr">
        <is>
          <t>3249751722</t>
        </is>
      </c>
      <c r="C81" s="10" t="inlineStr">
        <is>
          <t>Honda S2000 LHD 2.0 VTEC 2002</t>
        </is>
      </c>
      <c r="D81" s="18" t="n">
        <v>46296</v>
      </c>
      <c r="E81" s="12" t="n">
        <v>26800</v>
      </c>
      <c r="F81" s="14">
        <f>IF(AND($B81=$B80,ISNUMBER(E80),E80&gt;0),E81/E80-1,"")</f>
        <v/>
      </c>
      <c r="G81" s="19" t="inlineStr">
        <is>
          <t>Voir</t>
        </is>
      </c>
    </row>
    <row r="82">
      <c r="A82" s="10" t="inlineStr">
        <is>
          <t>Honda S2000</t>
        </is>
      </c>
      <c r="B82" s="10" t="inlineStr">
        <is>
          <t>3253686728</t>
        </is>
      </c>
      <c r="C82" s="10" t="inlineStr">
        <is>
          <t>Honda s2000 rhd</t>
        </is>
      </c>
      <c r="D82" s="18" t="n">
        <v>46296</v>
      </c>
      <c r="E82" s="12" t="n">
        <v>17000</v>
      </c>
      <c r="F82" s="14">
        <f>IF(AND($B82=$B81,ISNUMBER(E81),E81&gt;0),E82/E81-1,"")</f>
        <v/>
      </c>
      <c r="G82" s="19" t="inlineStr">
        <is>
          <t>Voir</t>
        </is>
      </c>
    </row>
    <row r="83">
      <c r="A83" s="10" t="inlineStr">
        <is>
          <t>Honda S2000</t>
        </is>
      </c>
      <c r="B83" s="10" t="inlineStr">
        <is>
          <t>3254057230</t>
        </is>
      </c>
      <c r="C83" s="10" t="inlineStr">
        <is>
          <t>Honda s2000</t>
        </is>
      </c>
      <c r="D83" s="18" t="n">
        <v>46296</v>
      </c>
      <c r="E83" s="12" t="n">
        <v>25000</v>
      </c>
      <c r="F83" s="14">
        <f>IF(AND($B83=$B82,ISNUMBER(E82),E82&gt;0),E83/E82-1,"")</f>
        <v/>
      </c>
      <c r="G83" s="19" t="inlineStr">
        <is>
          <t>Voir</t>
        </is>
      </c>
    </row>
    <row r="84">
      <c r="A84" s="10" t="inlineStr">
        <is>
          <t>Honda S2000</t>
        </is>
      </c>
      <c r="B84" s="10" t="inlineStr">
        <is>
          <t>3254395601</t>
        </is>
      </c>
      <c r="C84" s="10" t="inlineStr">
        <is>
          <t>Honda S2000</t>
        </is>
      </c>
      <c r="D84" s="18" t="n">
        <v>46296</v>
      </c>
      <c r="E84" s="12" t="n">
        <v>13000</v>
      </c>
      <c r="F84" s="14">
        <f>IF(AND($B84=$B83,ISNUMBER(E83),E83&gt;0),E84/E83-1,"")</f>
        <v/>
      </c>
      <c r="G84" s="19" t="inlineStr">
        <is>
          <t>Voir</t>
        </is>
      </c>
    </row>
    <row r="85">
      <c r="A85" s="10" t="inlineStr">
        <is>
          <t>Honda S2000</t>
        </is>
      </c>
      <c r="B85" s="10" t="inlineStr">
        <is>
          <t>3254788855</t>
        </is>
      </c>
      <c r="C85" s="10" t="inlineStr">
        <is>
          <t>Honda s2000</t>
        </is>
      </c>
      <c r="D85" s="18" t="n">
        <v>46296</v>
      </c>
      <c r="E85" s="12" t="n">
        <v>33990</v>
      </c>
      <c r="F85" s="14">
        <f>IF(AND($B85=$B84,ISNUMBER(E84),E84&gt;0),E85/E84-1,"")</f>
        <v/>
      </c>
      <c r="G85" s="19" t="inlineStr">
        <is>
          <t>Voir</t>
        </is>
      </c>
    </row>
    <row r="86">
      <c r="A86" s="10" t="inlineStr">
        <is>
          <t>Honda S2000</t>
        </is>
      </c>
      <c r="B86" s="10" t="inlineStr">
        <is>
          <t>3256705549</t>
        </is>
      </c>
      <c r="C86" s="10" t="inlineStr">
        <is>
          <t>NISSAN 350Z Roadster 3.5 280ch Pack - 2006 - 87 500 km - Faible kilométrage</t>
        </is>
      </c>
      <c r="D86" s="18" t="n">
        <v>46296</v>
      </c>
      <c r="E86" s="12" t="n">
        <v>20490</v>
      </c>
      <c r="F86" s="14">
        <f>IF(AND($B86=$B85,ISNUMBER(E85),E85&gt;0),E86/E85-1,"")</f>
        <v/>
      </c>
      <c r="G86" s="19" t="inlineStr">
        <is>
          <t>Voir</t>
        </is>
      </c>
    </row>
    <row r="87">
      <c r="A87" s="10" t="inlineStr">
        <is>
          <t>Honda S2000</t>
        </is>
      </c>
      <c r="B87" s="10" t="inlineStr">
        <is>
          <t>3258000352</t>
        </is>
      </c>
      <c r="C87" s="10" t="inlineStr">
        <is>
          <t>Honda S2000</t>
        </is>
      </c>
      <c r="D87" s="18" t="n">
        <v>46296</v>
      </c>
      <c r="E87" s="12" t="n">
        <v>25000</v>
      </c>
      <c r="F87" s="14">
        <f>IF(AND($B87=$B86,ISNUMBER(E86),E86&gt;0),E87/E86-1,"")</f>
        <v/>
      </c>
      <c r="G87" s="19" t="inlineStr">
        <is>
          <t>Voir</t>
        </is>
      </c>
    </row>
    <row r="88">
      <c r="A88" s="10" t="inlineStr">
        <is>
          <t>Honda S2000</t>
        </is>
      </c>
      <c r="B88" s="10" t="inlineStr">
        <is>
          <t>3266038843</t>
        </is>
      </c>
      <c r="C88" s="10" t="inlineStr">
        <is>
          <t>Honda S2000</t>
        </is>
      </c>
      <c r="D88" s="18" t="n">
        <v>46296</v>
      </c>
      <c r="E88" s="12" t="n">
        <v>14800</v>
      </c>
      <c r="F88" s="14">
        <f>IF(AND($B88=$B87,ISNUMBER(E87),E87&gt;0),E88/E87-1,"")</f>
        <v/>
      </c>
      <c r="G88" s="19" t="inlineStr">
        <is>
          <t>Voir</t>
        </is>
      </c>
    </row>
    <row r="89">
      <c r="A89" s="10" t="inlineStr">
        <is>
          <t>Honda S2000</t>
        </is>
      </c>
      <c r="B89" s="10" t="inlineStr">
        <is>
          <t>3268164763</t>
        </is>
      </c>
      <c r="C89" s="10" t="inlineStr">
        <is>
          <t>Honda s2000 ap1</t>
        </is>
      </c>
      <c r="D89" s="18" t="n">
        <v>46296</v>
      </c>
      <c r="E89" s="12" t="n">
        <v>21000</v>
      </c>
      <c r="F89" s="14">
        <f>IF(AND($B89=$B88,ISNUMBER(E88),E88&gt;0),E89/E88-1,"")</f>
        <v/>
      </c>
      <c r="G89" s="19" t="inlineStr">
        <is>
          <t>Voir</t>
        </is>
      </c>
    </row>
    <row r="90">
      <c r="A90" s="10" t="inlineStr">
        <is>
          <t>Honda S2000</t>
        </is>
      </c>
      <c r="B90" s="10" t="inlineStr">
        <is>
          <t>3269545549</t>
        </is>
      </c>
      <c r="C90" s="10" t="inlineStr">
        <is>
          <t>Honda s2000</t>
        </is>
      </c>
      <c r="D90" s="18" t="n">
        <v>46296</v>
      </c>
      <c r="E90" s="12" t="n">
        <v>27500</v>
      </c>
      <c r="F90" s="14">
        <f>IF(AND($B90=$B89,ISNUMBER(E89),E89&gt;0),E90/E89-1,"")</f>
        <v/>
      </c>
      <c r="G90" s="19" t="inlineStr">
        <is>
          <t>Voir</t>
        </is>
      </c>
    </row>
    <row r="91">
      <c r="A91" s="10" t="inlineStr">
        <is>
          <t>Honda S2000</t>
        </is>
      </c>
      <c r="B91" s="10" t="inlineStr">
        <is>
          <t>3270236878</t>
        </is>
      </c>
      <c r="C91" s="10" t="inlineStr">
        <is>
          <t>TOYOTA MR2 1.8 140 VVT-i 2005 - 110 430 km - Réfection complète peinture - sellerie - capote - pneus arrière neufs -</t>
        </is>
      </c>
      <c r="D91" s="18" t="n">
        <v>46296</v>
      </c>
      <c r="E91" s="12" t="n">
        <v>11990</v>
      </c>
      <c r="F91" s="14">
        <f>IF(AND($B91=$B90,ISNUMBER(E90),E90&gt;0),E91/E90-1,"")</f>
        <v/>
      </c>
      <c r="G91" s="19" t="inlineStr">
        <is>
          <t>Voir</t>
        </is>
      </c>
    </row>
    <row r="92">
      <c r="A92" s="10" t="inlineStr">
        <is>
          <t>Honda S2000</t>
        </is>
      </c>
      <c r="B92" s="10" t="inlineStr">
        <is>
          <t>3270657423</t>
        </is>
      </c>
      <c r="C92" s="10" t="inlineStr">
        <is>
          <t>Audi tt décapotable 225cv quattro</t>
        </is>
      </c>
      <c r="D92" s="18" t="n">
        <v>46296</v>
      </c>
      <c r="E92" s="12" t="n">
        <v>9000</v>
      </c>
      <c r="F92" s="14">
        <f>IF(AND($B92=$B91,ISNUMBER(E91),E91&gt;0),E92/E91-1,"")</f>
        <v/>
      </c>
      <c r="G92" s="19" t="inlineStr">
        <is>
          <t>Voir</t>
        </is>
      </c>
    </row>
    <row r="93">
      <c r="A93" s="10" t="inlineStr">
        <is>
          <t>Honda S2000</t>
        </is>
      </c>
      <c r="B93" s="10" t="inlineStr">
        <is>
          <t>3271776834</t>
        </is>
      </c>
      <c r="C93" s="10" t="inlineStr">
        <is>
          <t>Honda s2000 2.0 vtec 240</t>
        </is>
      </c>
      <c r="D93" s="18" t="n">
        <v>46296</v>
      </c>
      <c r="E93" s="12" t="n">
        <v>30980</v>
      </c>
      <c r="F93" s="14">
        <f>IF(AND($B93=$B92,ISNUMBER(E92),E92&gt;0),E93/E92-1,"")</f>
        <v/>
      </c>
      <c r="G93" s="19" t="inlineStr">
        <is>
          <t>Voir</t>
        </is>
      </c>
    </row>
    <row r="94">
      <c r="A94" s="10" t="inlineStr">
        <is>
          <t>Honda S2000</t>
        </is>
      </c>
      <c r="B94" s="10" t="inlineStr">
        <is>
          <t>3274290118</t>
        </is>
      </c>
      <c r="C94" s="10" t="inlineStr">
        <is>
          <t>Honda S2000 AP1 2.0 vtec 240- Seulement 20 200 km - Origine France Japauto - Carnet d'entretien disponible tamponné</t>
        </is>
      </c>
      <c r="D94" s="18" t="n">
        <v>46296</v>
      </c>
      <c r="E94" s="12" t="n">
        <v>49990</v>
      </c>
      <c r="F94" s="14">
        <f>IF(AND($B94=$B93,ISNUMBER(E93),E93&gt;0),E94/E93-1,"")</f>
        <v/>
      </c>
      <c r="G94" s="19" t="inlineStr">
        <is>
          <t>Voir</t>
        </is>
      </c>
    </row>
    <row r="95">
      <c r="A95" s="10" t="inlineStr">
        <is>
          <t>Honda S2000</t>
        </is>
      </c>
      <c r="B95" s="10" t="inlineStr">
        <is>
          <t>3275414023</t>
        </is>
      </c>
      <c r="C95" s="10" t="inlineStr">
        <is>
          <t>Honda S2000</t>
        </is>
      </c>
      <c r="D95" s="18" t="n">
        <v>46296</v>
      </c>
      <c r="E95" s="12" t="n">
        <v>21500</v>
      </c>
      <c r="F95" s="14">
        <f>IF(AND($B95=$B94,ISNUMBER(E94),E94&gt;0),E95/E94-1,"")</f>
        <v/>
      </c>
      <c r="G95" s="19" t="inlineStr">
        <is>
          <t>Voir</t>
        </is>
      </c>
    </row>
    <row r="96">
      <c r="A96" s="10" t="inlineStr">
        <is>
          <t>Honda S2000</t>
        </is>
      </c>
      <c r="B96" s="10" t="inlineStr">
        <is>
          <t>3275889267</t>
        </is>
      </c>
      <c r="C96" s="10" t="inlineStr">
        <is>
          <t>Honda s2000</t>
        </is>
      </c>
      <c r="D96" s="18" t="n">
        <v>46296</v>
      </c>
      <c r="E96" s="12" t="n">
        <v>37990</v>
      </c>
      <c r="F96" s="14">
        <f>IF(AND($B96=$B95,ISNUMBER(E95),E95&gt;0),E96/E95-1,"")</f>
        <v/>
      </c>
      <c r="G96" s="19" t="inlineStr">
        <is>
          <t>Voir</t>
        </is>
      </c>
    </row>
    <row r="97">
      <c r="A97" s="10" t="inlineStr">
        <is>
          <t>Honda S2000</t>
        </is>
      </c>
      <c r="B97" s="10" t="inlineStr">
        <is>
          <t>3278304133</t>
        </is>
      </c>
      <c r="C97" s="10" t="inlineStr">
        <is>
          <t>HONDA S2000 2.0 i-VTEC COUPE . PHASE 2</t>
        </is>
      </c>
      <c r="D97" s="18" t="n">
        <v>46296</v>
      </c>
      <c r="E97" s="12" t="n">
        <v>35790</v>
      </c>
      <c r="F97" s="14">
        <f>IF(AND($B97=$B96,ISNUMBER(E96),E96&gt;0),E97/E96-1,"")</f>
        <v/>
      </c>
      <c r="G97" s="19" t="inlineStr">
        <is>
          <t>Voir</t>
        </is>
      </c>
    </row>
    <row r="98">
      <c r="A98" s="10" t="inlineStr">
        <is>
          <t>Honda S2000</t>
        </is>
      </c>
      <c r="B98" s="10" t="inlineStr">
        <is>
          <t>3278641460</t>
        </is>
      </c>
      <c r="C98" s="10" t="inlineStr">
        <is>
          <t>Honda S2000</t>
        </is>
      </c>
      <c r="D98" s="18" t="n">
        <v>46296</v>
      </c>
      <c r="E98" s="12" t="n">
        <v>18000</v>
      </c>
      <c r="F98" s="14">
        <f>IF(AND($B98=$B97,ISNUMBER(E97),E97&gt;0),E98/E97-1,"")</f>
        <v/>
      </c>
      <c r="G98" s="19" t="inlineStr">
        <is>
          <t>Voir</t>
        </is>
      </c>
    </row>
    <row r="99">
      <c r="A99" s="10" t="inlineStr">
        <is>
          <t>Honda S2000</t>
        </is>
      </c>
      <c r="B99" s="10" t="inlineStr">
        <is>
          <t>3278735968</t>
        </is>
      </c>
      <c r="C99" s="10" t="inlineStr">
        <is>
          <t>Honda S2000 AP1</t>
        </is>
      </c>
      <c r="D99" s="18" t="n">
        <v>46296</v>
      </c>
      <c r="E99" s="12" t="n">
        <v>15000</v>
      </c>
      <c r="F99" s="14">
        <f>IF(AND($B99=$B98,ISNUMBER(E98),E98&gt;0),E99/E98-1,"")</f>
        <v/>
      </c>
      <c r="G99" s="19" t="inlineStr">
        <is>
          <t>Voir</t>
        </is>
      </c>
    </row>
    <row r="100">
      <c r="A100" s="10" t="inlineStr">
        <is>
          <t>Honda S2000</t>
        </is>
      </c>
      <c r="B100" s="10" t="inlineStr">
        <is>
          <t>3278871252</t>
        </is>
      </c>
      <c r="C100" s="10" t="inlineStr">
        <is>
          <t>Honda S2000 2.0 IVTEC 240 réf 446</t>
        </is>
      </c>
      <c r="D100" s="18" t="n">
        <v>46296</v>
      </c>
      <c r="E100" s="12" t="n">
        <v>19490</v>
      </c>
      <c r="F100" s="14">
        <f>IF(AND($B100=$B99,ISNUMBER(E99),E99&gt;0),E100/E99-1,"")</f>
        <v/>
      </c>
      <c r="G100" s="19" t="inlineStr">
        <is>
          <t>Voir</t>
        </is>
      </c>
    </row>
    <row r="101">
      <c r="A101" s="10" t="inlineStr">
        <is>
          <t>Honda S2000</t>
        </is>
      </c>
      <c r="B101" s="10" t="inlineStr">
        <is>
          <t>3279647179</t>
        </is>
      </c>
      <c r="C101" s="10" t="inlineStr">
        <is>
          <t>HONDA S2000 HONDA 2.0 i-VTEC 240ch AP1 Origine Dossier complet – RHD</t>
        </is>
      </c>
      <c r="D101" s="18" t="n">
        <v>46296</v>
      </c>
      <c r="E101" s="12" t="n">
        <v>23990</v>
      </c>
      <c r="F101" s="14">
        <f>IF(AND($B101=$B100,ISNUMBER(E100),E100&gt;0),E101/E100-1,"")</f>
        <v/>
      </c>
      <c r="G101" s="19" t="inlineStr">
        <is>
          <t>Voir</t>
        </is>
      </c>
    </row>
    <row r="102">
      <c r="A102" s="10" t="inlineStr">
        <is>
          <t>Honda S2000</t>
        </is>
      </c>
      <c r="B102" s="10" t="inlineStr">
        <is>
          <t>3280188594</t>
        </is>
      </c>
      <c r="C102" s="10" t="inlineStr">
        <is>
          <t>Honda S2000 2.0 Essence 240 ch</t>
        </is>
      </c>
      <c r="D102" s="18" t="n">
        <v>46296</v>
      </c>
      <c r="E102" s="12" t="n">
        <v>10500</v>
      </c>
      <c r="F102" s="14">
        <f>IF(AND($B102=$B101,ISNUMBER(E101),E101&gt;0),E102/E101-1,"")</f>
        <v/>
      </c>
      <c r="G102" s="19" t="inlineStr">
        <is>
          <t>Voir</t>
        </is>
      </c>
    </row>
    <row r="103">
      <c r="A103" s="10" t="inlineStr">
        <is>
          <t>Mazda MX-5 NA</t>
        </is>
      </c>
      <c r="B103" s="10" t="inlineStr">
        <is>
          <t>3198496140</t>
        </is>
      </c>
      <c r="C103" s="10" t="inlineStr">
        <is>
          <t>MAZDA MX5/ NA/1995/65000km D‘ORIGINE/ TBE 15500E</t>
        </is>
      </c>
      <c r="D103" s="18" t="n">
        <v>46296</v>
      </c>
      <c r="E103" s="12" t="n">
        <v>15500</v>
      </c>
      <c r="F103" s="14">
        <f>IF(AND($B103=$B102,ISNUMBER(E102),E102&gt;0),E103/E102-1,"")</f>
        <v/>
      </c>
      <c r="G103" s="19" t="inlineStr">
        <is>
          <t>Voir</t>
        </is>
      </c>
    </row>
    <row r="104">
      <c r="A104" s="10" t="inlineStr">
        <is>
          <t>Mazda MX-5 NA</t>
        </is>
      </c>
      <c r="B104" s="10" t="inlineStr">
        <is>
          <t>3199317557</t>
        </is>
      </c>
      <c r="C104" s="10" t="inlineStr">
        <is>
          <t>MAZDA MX5 Mazda Mx5 de 1991</t>
        </is>
      </c>
      <c r="D104" s="18" t="n">
        <v>46296</v>
      </c>
      <c r="E104" s="12" t="n">
        <v>11980</v>
      </c>
      <c r="F104" s="14">
        <f>IF(AND($B104=$B103,ISNUMBER(E103),E103&gt;0),E104/E103-1,"")</f>
        <v/>
      </c>
      <c r="G104" s="19" t="inlineStr">
        <is>
          <t>Voir</t>
        </is>
      </c>
    </row>
    <row r="105">
      <c r="A105" s="10" t="inlineStr">
        <is>
          <t>Mazda MX-5 NA</t>
        </is>
      </c>
      <c r="B105" s="10" t="inlineStr">
        <is>
          <t>3203841842</t>
        </is>
      </c>
      <c r="C105" s="10" t="inlineStr">
        <is>
          <t>Mazda mx5 na 1.6l 116ch 1991</t>
        </is>
      </c>
      <c r="D105" s="18" t="n">
        <v>46296</v>
      </c>
      <c r="E105" s="12" t="n">
        <v>14000</v>
      </c>
      <c r="F105" s="14">
        <f>IF(AND($B105=$B104,ISNUMBER(E104),E104&gt;0),E105/E104-1,"")</f>
        <v/>
      </c>
      <c r="G105" s="19" t="inlineStr">
        <is>
          <t>Voir</t>
        </is>
      </c>
    </row>
    <row r="106">
      <c r="A106" s="10" t="inlineStr">
        <is>
          <t>Mazda MX-5 NA</t>
        </is>
      </c>
      <c r="B106" s="10" t="inlineStr">
        <is>
          <t>3227901009</t>
        </is>
      </c>
      <c r="C106" s="10" t="inlineStr">
        <is>
          <t>Mazda MX5</t>
        </is>
      </c>
      <c r="D106" s="18" t="n">
        <v>46296</v>
      </c>
      <c r="E106" s="12" t="n">
        <v>15500</v>
      </c>
      <c r="F106" s="14">
        <f>IF(AND($B106=$B105,ISNUMBER(E105),E105&gt;0),E106/E105-1,"")</f>
        <v/>
      </c>
      <c r="G106" s="19" t="inlineStr">
        <is>
          <t>Voir</t>
        </is>
      </c>
    </row>
    <row r="107">
      <c r="A107" s="10" t="inlineStr">
        <is>
          <t>Mazda MX-5 NA</t>
        </is>
      </c>
      <c r="B107" s="10" t="inlineStr">
        <is>
          <t>3232034023</t>
        </is>
      </c>
      <c r="C107" s="10" t="inlineStr">
        <is>
          <t>Magnifique cabriolet MAZDA MX5</t>
        </is>
      </c>
      <c r="D107" s="18" t="n">
        <v>46296</v>
      </c>
      <c r="E107" s="12" t="n">
        <v>10990</v>
      </c>
      <c r="F107" s="14">
        <f>IF(AND($B107=$B106,ISNUMBER(E106),E106&gt;0),E107/E106-1,"")</f>
        <v/>
      </c>
      <c r="G107" s="19" t="inlineStr">
        <is>
          <t>Voir</t>
        </is>
      </c>
    </row>
    <row r="108">
      <c r="A108" s="10" t="inlineStr">
        <is>
          <t>Mazda MX-5 NA</t>
        </is>
      </c>
      <c r="B108" s="10" t="inlineStr">
        <is>
          <t>3234020888</t>
        </is>
      </c>
      <c r="C108" s="10" t="inlineStr">
        <is>
          <t>Mazda mx5 na</t>
        </is>
      </c>
      <c r="D108" s="18" t="n">
        <v>46296</v>
      </c>
      <c r="E108" s="12" t="n">
        <v>6500</v>
      </c>
      <c r="F108" s="14">
        <f>IF(AND($B108=$B107,ISNUMBER(E107),E107&gt;0),E108/E107-1,"")</f>
        <v/>
      </c>
      <c r="G108" s="19" t="inlineStr">
        <is>
          <t>Voir</t>
        </is>
      </c>
    </row>
    <row r="109">
      <c r="A109" s="10" t="inlineStr">
        <is>
          <t>Mazda MX-5 NA</t>
        </is>
      </c>
      <c r="B109" s="10" t="inlineStr">
        <is>
          <t>3235292026</t>
        </is>
      </c>
      <c r="C109" s="10" t="inlineStr">
        <is>
          <t>Mazda mx5 Na</t>
        </is>
      </c>
      <c r="D109" s="18" t="n">
        <v>46296</v>
      </c>
      <c r="E109" s="12" t="n">
        <v>7500</v>
      </c>
      <c r="F109" s="14">
        <f>IF(AND($B109=$B108,ISNUMBER(E108),E108&gt;0),E109/E108-1,"")</f>
        <v/>
      </c>
      <c r="G109" s="19" t="inlineStr">
        <is>
          <t>Voir</t>
        </is>
      </c>
    </row>
    <row r="110">
      <c r="A110" s="10" t="inlineStr">
        <is>
          <t>Mazda MX-5 NA</t>
        </is>
      </c>
      <c r="B110" s="10" t="inlineStr">
        <is>
          <t>3235335116</t>
        </is>
      </c>
      <c r="C110" s="10" t="inlineStr">
        <is>
          <t>Mazda MX5 na Roadster Pro Cup</t>
        </is>
      </c>
      <c r="D110" s="18" t="n">
        <v>46296</v>
      </c>
      <c r="E110" s="12" t="n">
        <v>12500</v>
      </c>
      <c r="F110" s="14">
        <f>IF(AND($B110=$B109,ISNUMBER(E109),E109&gt;0),E110/E109-1,"")</f>
        <v/>
      </c>
      <c r="G110" s="19" t="inlineStr">
        <is>
          <t>Voir</t>
        </is>
      </c>
    </row>
    <row r="111">
      <c r="A111" s="10" t="inlineStr">
        <is>
          <t>Mazda MX-5 NA</t>
        </is>
      </c>
      <c r="B111" s="10" t="inlineStr">
        <is>
          <t>3236647415</t>
        </is>
      </c>
      <c r="C111" s="10" t="inlineStr">
        <is>
          <t>Mazda mx5 na</t>
        </is>
      </c>
      <c r="D111" s="18" t="n">
        <v>46296</v>
      </c>
      <c r="E111" s="12" t="n">
        <v>12000</v>
      </c>
      <c r="F111" s="14">
        <f>IF(AND($B111=$B110,ISNUMBER(E110),E110&gt;0),E111/E110-1,"")</f>
        <v/>
      </c>
      <c r="G111" s="19" t="inlineStr">
        <is>
          <t>Voir</t>
        </is>
      </c>
    </row>
    <row r="112">
      <c r="A112" s="10" t="inlineStr">
        <is>
          <t>Mazda MX-5 NA</t>
        </is>
      </c>
      <c r="B112" s="10" t="inlineStr">
        <is>
          <t>3237501387</t>
        </is>
      </c>
      <c r="C112" s="10" t="inlineStr">
        <is>
          <t>Mazda MX5 NA 1.8l</t>
        </is>
      </c>
      <c r="D112" s="18" t="n">
        <v>46296</v>
      </c>
      <c r="E112" s="12" t="n">
        <v>12500</v>
      </c>
      <c r="F112" s="14">
        <f>IF(AND($B112=$B111,ISNUMBER(E111),E111&gt;0),E112/E111-1,"")</f>
        <v/>
      </c>
      <c r="G112" s="19" t="inlineStr">
        <is>
          <t>Voir</t>
        </is>
      </c>
    </row>
    <row r="113">
      <c r="A113" s="10" t="inlineStr">
        <is>
          <t>Mazda MX-5 NA</t>
        </is>
      </c>
      <c r="B113" s="10" t="inlineStr">
        <is>
          <t>3255091039</t>
        </is>
      </c>
      <c r="C113" s="10" t="inlineStr">
        <is>
          <t>Mazda mx5</t>
        </is>
      </c>
      <c r="D113" s="18" t="n">
        <v>46296</v>
      </c>
      <c r="E113" s="12" t="n">
        <v>9500</v>
      </c>
      <c r="F113" s="14">
        <f>IF(AND($B113=$B112,ISNUMBER(E112),E112&gt;0),E113/E112-1,"")</f>
        <v/>
      </c>
      <c r="G113" s="19" t="inlineStr">
        <is>
          <t>Voir</t>
        </is>
      </c>
    </row>
    <row r="114">
      <c r="A114" s="10" t="inlineStr">
        <is>
          <t>Mazda MX-5 NA</t>
        </is>
      </c>
      <c r="B114" s="10" t="inlineStr">
        <is>
          <t>3260415699</t>
        </is>
      </c>
      <c r="C114" s="10" t="inlineStr">
        <is>
          <t>Mazda MX5</t>
        </is>
      </c>
      <c r="D114" s="18" t="n">
        <v>46296</v>
      </c>
      <c r="E114" s="12" t="n">
        <v>11500</v>
      </c>
      <c r="F114" s="14">
        <f>IF(AND($B114=$B113,ISNUMBER(E113),E113&gt;0),E114/E113-1,"")</f>
        <v/>
      </c>
      <c r="G114" s="19" t="inlineStr">
        <is>
          <t>Voir</t>
        </is>
      </c>
    </row>
    <row r="115">
      <c r="A115" s="10" t="inlineStr">
        <is>
          <t>Mazda MX-5 NA</t>
        </is>
      </c>
      <c r="B115" s="10" t="inlineStr">
        <is>
          <t>3260654659</t>
        </is>
      </c>
      <c r="C115" s="10" t="inlineStr">
        <is>
          <t>Mazda Mx5 miata na</t>
        </is>
      </c>
      <c r="D115" s="18" t="n">
        <v>46296</v>
      </c>
      <c r="E115" s="12" t="n">
        <v>11500</v>
      </c>
      <c r="F115" s="14">
        <f>IF(AND($B115=$B114,ISNUMBER(E114),E114&gt;0),E115/E114-1,"")</f>
        <v/>
      </c>
      <c r="G115" s="19" t="inlineStr">
        <is>
          <t>Voir</t>
        </is>
      </c>
    </row>
    <row r="116">
      <c r="A116" s="10" t="inlineStr">
        <is>
          <t>Mazda MX-5 NA</t>
        </is>
      </c>
      <c r="B116" s="10" t="inlineStr">
        <is>
          <t>3262698527</t>
        </is>
      </c>
      <c r="C116" s="10" t="inlineStr">
        <is>
          <t>A vendre mazda mx5</t>
        </is>
      </c>
      <c r="D116" s="18" t="n">
        <v>46296</v>
      </c>
      <c r="E116" s="12" t="n">
        <v>16000</v>
      </c>
      <c r="F116" s="14">
        <f>IF(AND($B116=$B115,ISNUMBER(E115),E115&gt;0),E116/E115-1,"")</f>
        <v/>
      </c>
      <c r="G116" s="19" t="inlineStr">
        <is>
          <t>Voir</t>
        </is>
      </c>
    </row>
    <row r="117">
      <c r="A117" s="10" t="inlineStr">
        <is>
          <t>Mazda MX-5 NA</t>
        </is>
      </c>
      <c r="B117" s="10" t="inlineStr">
        <is>
          <t>3263224799</t>
        </is>
      </c>
      <c r="C117" s="10" t="inlineStr">
        <is>
          <t>Mazda Mx5 NBFL Hardtop</t>
        </is>
      </c>
      <c r="D117" s="18" t="n">
        <v>46296</v>
      </c>
      <c r="E117" s="12" t="n">
        <v>13000</v>
      </c>
      <c r="F117" s="14">
        <f>IF(AND($B117=$B116,ISNUMBER(E116),E116&gt;0),E117/E116-1,"")</f>
        <v/>
      </c>
      <c r="G117" s="19" t="inlineStr">
        <is>
          <t>Voir</t>
        </is>
      </c>
    </row>
    <row r="118">
      <c r="A118" s="10" t="inlineStr">
        <is>
          <t>Mazda MX-5 NA</t>
        </is>
      </c>
      <c r="B118" s="10" t="inlineStr">
        <is>
          <t>3265533307</t>
        </is>
      </c>
      <c r="C118" s="10" t="inlineStr">
        <is>
          <t>1990 Mazda MX5 BBR Turbo</t>
        </is>
      </c>
      <c r="D118" s="18" t="n">
        <v>46296</v>
      </c>
      <c r="E118" s="12" t="n">
        <v>17990</v>
      </c>
      <c r="F118" s="14">
        <f>IF(AND($B118=$B117,ISNUMBER(E117),E117&gt;0),E118/E117-1,"")</f>
        <v/>
      </c>
      <c r="G118" s="19" t="inlineStr">
        <is>
          <t>Voir</t>
        </is>
      </c>
    </row>
    <row r="119">
      <c r="A119" s="10" t="inlineStr">
        <is>
          <t>Mazda MX-5 NA</t>
        </is>
      </c>
      <c r="B119" s="10" t="inlineStr">
        <is>
          <t>3267479895</t>
        </is>
      </c>
      <c r="C119" s="10" t="inlineStr">
        <is>
          <t>Mazda mx5 BBR turbo</t>
        </is>
      </c>
      <c r="D119" s="18" t="n">
        <v>46296</v>
      </c>
      <c r="E119" s="12" t="n">
        <v>10550</v>
      </c>
      <c r="F119" s="14">
        <f>IF(AND($B119=$B118,ISNUMBER(E118),E118&gt;0),E119/E118-1,"")</f>
        <v/>
      </c>
      <c r="G119" s="19" t="inlineStr">
        <is>
          <t>Voir</t>
        </is>
      </c>
    </row>
    <row r="120">
      <c r="A120" s="10" t="inlineStr">
        <is>
          <t>Mazda MX-5 NA</t>
        </is>
      </c>
      <c r="B120" s="10" t="inlineStr">
        <is>
          <t>3268572356</t>
        </is>
      </c>
      <c r="C120" s="10" t="inlineStr">
        <is>
          <t>Mazda MX5 NA</t>
        </is>
      </c>
      <c r="D120" s="18" t="n">
        <v>46296</v>
      </c>
      <c r="E120" s="12" t="n">
        <v>14000</v>
      </c>
      <c r="F120" s="14">
        <f>IF(AND($B120=$B119,ISNUMBER(E119),E119&gt;0),E120/E119-1,"")</f>
        <v/>
      </c>
      <c r="G120" s="19" t="inlineStr">
        <is>
          <t>Voir</t>
        </is>
      </c>
    </row>
    <row r="121">
      <c r="A121" s="10" t="inlineStr">
        <is>
          <t>Mazda MX-5 NA</t>
        </is>
      </c>
      <c r="B121" s="10" t="inlineStr">
        <is>
          <t>3268726676</t>
        </is>
      </c>
      <c r="C121" s="10" t="inlineStr">
        <is>
          <t>Mazda MX5 NA</t>
        </is>
      </c>
      <c r="D121" s="18" t="n">
        <v>46296</v>
      </c>
      <c r="E121" s="12" t="n">
        <v>6000</v>
      </c>
      <c r="F121" s="14">
        <f>IF(AND($B121=$B120,ISNUMBER(E120),E120&gt;0),E121/E120-1,"")</f>
        <v/>
      </c>
      <c r="G121" s="19" t="inlineStr">
        <is>
          <t>Voir</t>
        </is>
      </c>
    </row>
    <row r="122">
      <c r="A122" s="10" t="inlineStr">
        <is>
          <t>Mazda MX-5 NA</t>
        </is>
      </c>
      <c r="B122" s="10" t="inlineStr">
        <is>
          <t>3269222663</t>
        </is>
      </c>
      <c r="C122" s="10" t="inlineStr">
        <is>
          <t>Mazda Mx5 Miata 1990</t>
        </is>
      </c>
      <c r="D122" s="18" t="n">
        <v>46296</v>
      </c>
      <c r="E122" s="12" t="n">
        <v>9200</v>
      </c>
      <c r="F122" s="14">
        <f>IF(AND($B122=$B121,ISNUMBER(E121),E121&gt;0),E122/E121-1,"")</f>
        <v/>
      </c>
      <c r="G122" s="19" t="inlineStr">
        <is>
          <t>Voir</t>
        </is>
      </c>
    </row>
    <row r="123">
      <c r="A123" s="10" t="inlineStr">
        <is>
          <t>Mazda MX-5 NA</t>
        </is>
      </c>
      <c r="B123" s="10" t="inlineStr">
        <is>
          <t>3269876574</t>
        </is>
      </c>
      <c r="C123" s="10" t="inlineStr">
        <is>
          <t>MAZDA MX5 NA 1.6L 90CV Montego blue</t>
        </is>
      </c>
      <c r="D123" s="18" t="n">
        <v>46296</v>
      </c>
      <c r="E123" s="12" t="n">
        <v>8750</v>
      </c>
      <c r="F123" s="14">
        <f>IF(AND($B123=$B122,ISNUMBER(E122),E122&gt;0),E123/E122-1,"")</f>
        <v/>
      </c>
      <c r="G123" s="19" t="inlineStr">
        <is>
          <t>Voir</t>
        </is>
      </c>
    </row>
    <row r="124">
      <c r="A124" s="10" t="inlineStr">
        <is>
          <t>Mazda MX-5 NA</t>
        </is>
      </c>
      <c r="B124" s="10" t="inlineStr">
        <is>
          <t>3269880037</t>
        </is>
      </c>
      <c r="C124" s="10" t="inlineStr">
        <is>
          <t>Mazda mx5 na 1.6 115cv hard top</t>
        </is>
      </c>
      <c r="D124" s="18" t="n">
        <v>46296</v>
      </c>
      <c r="E124" s="12" t="n">
        <v>15900</v>
      </c>
      <c r="F124" s="14">
        <f>IF(AND($B124=$B123,ISNUMBER(E123),E123&gt;0),E124/E123-1,"")</f>
        <v/>
      </c>
      <c r="G124" s="19" t="inlineStr">
        <is>
          <t>Voir</t>
        </is>
      </c>
    </row>
    <row r="125">
      <c r="A125" s="10" t="inlineStr">
        <is>
          <t>Mazda MX-5 NA</t>
        </is>
      </c>
      <c r="B125" s="10" t="inlineStr">
        <is>
          <t>3269883180</t>
        </is>
      </c>
      <c r="C125" s="10" t="inlineStr">
        <is>
          <t>Mazda mx5 na 1.8l 130cv</t>
        </is>
      </c>
      <c r="D125" s="18" t="n">
        <v>46296</v>
      </c>
      <c r="E125" s="12" t="n">
        <v>15990</v>
      </c>
      <c r="F125" s="14">
        <f>IF(AND($B125=$B124,ISNUMBER(E124),E124&gt;0),E125/E124-1,"")</f>
        <v/>
      </c>
      <c r="G125" s="19" t="inlineStr">
        <is>
          <t>Voir</t>
        </is>
      </c>
    </row>
    <row r="126">
      <c r="A126" s="10" t="inlineStr">
        <is>
          <t>Mazda MX-5 NA</t>
        </is>
      </c>
      <c r="B126" s="10" t="inlineStr">
        <is>
          <t>3270050795</t>
        </is>
      </c>
      <c r="C126" s="10" t="inlineStr">
        <is>
          <t>Mazda MX5 décapotable vintage CT</t>
        </is>
      </c>
      <c r="D126" s="18" t="n">
        <v>46296</v>
      </c>
      <c r="E126" s="12" t="n">
        <v>3990</v>
      </c>
      <c r="F126" s="14">
        <f>IF(AND($B126=$B125,ISNUMBER(E125),E125&gt;0),E126/E125-1,"")</f>
        <v/>
      </c>
      <c r="G126" s="19" t="inlineStr">
        <is>
          <t>Voir</t>
        </is>
      </c>
    </row>
    <row r="127">
      <c r="A127" s="10" t="inlineStr">
        <is>
          <t>Mazda MX-5 NA</t>
        </is>
      </c>
      <c r="B127" s="10" t="inlineStr">
        <is>
          <t>3270203905</t>
        </is>
      </c>
      <c r="C127" s="10" t="inlineStr">
        <is>
          <t>Mazda Mx5 NA</t>
        </is>
      </c>
      <c r="D127" s="18" t="n">
        <v>46296</v>
      </c>
      <c r="E127" s="12" t="n">
        <v>7000</v>
      </c>
      <c r="F127" s="14">
        <f>IF(AND($B127=$B126,ISNUMBER(E126),E126&gt;0),E127/E126-1,"")</f>
        <v/>
      </c>
      <c r="G127" s="19" t="inlineStr">
        <is>
          <t>Voir</t>
        </is>
      </c>
    </row>
    <row r="128">
      <c r="A128" s="10" t="inlineStr">
        <is>
          <t>Mazda MX-5 NA</t>
        </is>
      </c>
      <c r="B128" s="10" t="inlineStr">
        <is>
          <t>3270232311</t>
        </is>
      </c>
      <c r="C128" s="10" t="inlineStr">
        <is>
          <t>Mazda mx5, mx-5,</t>
        </is>
      </c>
      <c r="D128" s="18" t="n">
        <v>46296</v>
      </c>
      <c r="E128" s="12" t="n">
        <v>6200</v>
      </c>
      <c r="F128" s="14">
        <f>IF(AND($B128=$B127,ISNUMBER(E127),E127&gt;0),E128/E127-1,"")</f>
        <v/>
      </c>
      <c r="G128" s="19" t="inlineStr">
        <is>
          <t>Voir</t>
        </is>
      </c>
    </row>
    <row r="129">
      <c r="A129" s="10" t="inlineStr">
        <is>
          <t>Mazda MX-5 NA</t>
        </is>
      </c>
      <c r="B129" s="10" t="inlineStr">
        <is>
          <t>3270458808</t>
        </is>
      </c>
      <c r="C129" s="10" t="inlineStr">
        <is>
          <t>Mazda MX5 na</t>
        </is>
      </c>
      <c r="D129" s="18" t="n">
        <v>46296</v>
      </c>
      <c r="E129" s="12" t="n">
        <v>12500</v>
      </c>
      <c r="F129" s="14">
        <f>IF(AND($B129=$B128,ISNUMBER(E128),E128&gt;0),E129/E128-1,"")</f>
        <v/>
      </c>
      <c r="G129" s="19" t="inlineStr">
        <is>
          <t>Voir</t>
        </is>
      </c>
    </row>
    <row r="130">
      <c r="A130" s="10" t="inlineStr">
        <is>
          <t>Mazda MX-5 NA</t>
        </is>
      </c>
      <c r="B130" s="10" t="inlineStr">
        <is>
          <t>3270565112</t>
        </is>
      </c>
      <c r="C130" s="10" t="inlineStr">
        <is>
          <t>Mazda MX5 NA 115 CV 🔴</t>
        </is>
      </c>
      <c r="D130" s="18" t="n">
        <v>46296</v>
      </c>
      <c r="E130" s="12" t="n">
        <v>9500</v>
      </c>
      <c r="F130" s="14">
        <f>IF(AND($B130=$B129,ISNUMBER(E129),E129&gt;0),E130/E129-1,"")</f>
        <v/>
      </c>
      <c r="G130" s="19" t="inlineStr">
        <is>
          <t>Voir</t>
        </is>
      </c>
    </row>
    <row r="131">
      <c r="A131" s="10" t="inlineStr">
        <is>
          <t>Mazda MX-5 NA</t>
        </is>
      </c>
      <c r="B131" s="10" t="inlineStr">
        <is>
          <t>3271672291</t>
        </is>
      </c>
      <c r="C131" s="10" t="inlineStr">
        <is>
          <t>Splendide Cabriolet mazda mx5</t>
        </is>
      </c>
      <c r="D131" s="18" t="n">
        <v>46296</v>
      </c>
      <c r="E131" s="12" t="n">
        <v>12900</v>
      </c>
      <c r="F131" s="14">
        <f>IF(AND($B131=$B130,ISNUMBER(E130),E130&gt;0),E131/E130-1,"")</f>
        <v/>
      </c>
      <c r="G131" s="19" t="inlineStr">
        <is>
          <t>Voir</t>
        </is>
      </c>
    </row>
    <row r="132">
      <c r="A132" s="10" t="inlineStr">
        <is>
          <t>Mazda MX-5 NA</t>
        </is>
      </c>
      <c r="B132" s="10" t="inlineStr">
        <is>
          <t>3272203068</t>
        </is>
      </c>
      <c r="C132" s="10" t="inlineStr">
        <is>
          <t>Mazda MX5 NA</t>
        </is>
      </c>
      <c r="D132" s="18" t="n">
        <v>46296</v>
      </c>
      <c r="E132" s="12" t="n">
        <v>11000</v>
      </c>
      <c r="F132" s="14">
        <f>IF(AND($B132=$B131,ISNUMBER(E131),E131&gt;0),E132/E131-1,"")</f>
        <v/>
      </c>
      <c r="G132" s="19" t="inlineStr">
        <is>
          <t>Voir</t>
        </is>
      </c>
    </row>
    <row r="133">
      <c r="A133" s="10" t="inlineStr">
        <is>
          <t>Mazda MX-5 NA</t>
        </is>
      </c>
      <c r="B133" s="10" t="inlineStr">
        <is>
          <t>3273479241</t>
        </is>
      </c>
      <c r="C133" s="10" t="inlineStr">
        <is>
          <t>Mazda MX5</t>
        </is>
      </c>
      <c r="D133" s="18" t="n">
        <v>46296</v>
      </c>
      <c r="E133" s="12" t="n">
        <v>8500</v>
      </c>
      <c r="F133" s="14">
        <f>IF(AND($B133=$B132,ISNUMBER(E132),E132&gt;0),E133/E132-1,"")</f>
        <v/>
      </c>
      <c r="G133" s="19" t="inlineStr">
        <is>
          <t>Voir</t>
        </is>
      </c>
    </row>
    <row r="134">
      <c r="A134" s="10" t="inlineStr">
        <is>
          <t>Mazda MX-5 NA</t>
        </is>
      </c>
      <c r="B134" s="10" t="inlineStr">
        <is>
          <t>3275326732</t>
        </is>
      </c>
      <c r="C134" s="10" t="inlineStr">
        <is>
          <t>Mazda MX5 Roadster Pro Cup</t>
        </is>
      </c>
      <c r="D134" s="18" t="n">
        <v>46296</v>
      </c>
      <c r="E134" s="12" t="n">
        <v>13000</v>
      </c>
      <c r="F134" s="14">
        <f>IF(AND($B134=$B133,ISNUMBER(E133),E133&gt;0),E134/E133-1,"")</f>
        <v/>
      </c>
      <c r="G134" s="19" t="inlineStr">
        <is>
          <t>Voir</t>
        </is>
      </c>
    </row>
    <row r="135">
      <c r="A135" s="10" t="inlineStr">
        <is>
          <t>Mazda MX-5 NA</t>
        </is>
      </c>
      <c r="B135" s="10" t="inlineStr">
        <is>
          <t>3276609067</t>
        </is>
      </c>
      <c r="C135" s="10" t="inlineStr">
        <is>
          <t>Mazda mx5 na 1993</t>
        </is>
      </c>
      <c r="D135" s="18" t="n">
        <v>46296</v>
      </c>
      <c r="E135" s="12" t="n">
        <v>12000</v>
      </c>
      <c r="F135" s="14">
        <f>IF(AND($B135=$B134,ISNUMBER(E134),E134&gt;0),E135/E134-1,"")</f>
        <v/>
      </c>
      <c r="G135" s="19" t="inlineStr">
        <is>
          <t>Voir</t>
        </is>
      </c>
    </row>
    <row r="136">
      <c r="A136" s="10" t="inlineStr">
        <is>
          <t>Mazda MX-5 NA</t>
        </is>
      </c>
      <c r="B136" s="10" t="inlineStr">
        <is>
          <t>3277088692</t>
        </is>
      </c>
      <c r="C136" s="10" t="inlineStr">
        <is>
          <t>Mazda mx5 NA 1.6 édition limitée</t>
        </is>
      </c>
      <c r="D136" s="18" t="n">
        <v>46296</v>
      </c>
      <c r="E136" s="12" t="n">
        <v>13500</v>
      </c>
      <c r="F136" s="14">
        <f>IF(AND($B136=$B135,ISNUMBER(E135),E135&gt;0),E136/E135-1,"")</f>
        <v/>
      </c>
      <c r="G136" s="19" t="inlineStr">
        <is>
          <t>Voir</t>
        </is>
      </c>
    </row>
    <row r="137">
      <c r="A137" s="10" t="inlineStr">
        <is>
          <t>Mazda MX-5 NA</t>
        </is>
      </c>
      <c r="B137" s="10" t="inlineStr">
        <is>
          <t>3277280211</t>
        </is>
      </c>
      <c r="C137" s="10" t="inlineStr">
        <is>
          <t>Mazda mx5 na 1,8l</t>
        </is>
      </c>
      <c r="D137" s="18" t="n">
        <v>46296</v>
      </c>
      <c r="E137" s="12" t="n">
        <v>16990</v>
      </c>
      <c r="F137" s="14">
        <f>IF(AND($B137=$B136,ISNUMBER(E136),E136&gt;0),E137/E136-1,"")</f>
        <v/>
      </c>
      <c r="G137" s="19" t="inlineStr">
        <is>
          <t>Voir</t>
        </is>
      </c>
    </row>
    <row r="138">
      <c r="A138" s="10" t="inlineStr">
        <is>
          <t>Mazda MX-5 NA</t>
        </is>
      </c>
      <c r="B138" s="10" t="inlineStr">
        <is>
          <t>3279515840</t>
        </is>
      </c>
      <c r="C138" s="10" t="inlineStr">
        <is>
          <t>Mazda Mx5 NA 1.6 90ch</t>
        </is>
      </c>
      <c r="D138" s="18" t="n">
        <v>46296</v>
      </c>
      <c r="E138" s="12" t="n">
        <v>10500</v>
      </c>
      <c r="F138" s="14">
        <f>IF(AND($B138=$B137,ISNUMBER(E137),E137&gt;0),E138/E137-1,"")</f>
        <v/>
      </c>
      <c r="G138" s="19" t="inlineStr">
        <is>
          <t>Voir</t>
        </is>
      </c>
    </row>
    <row r="139">
      <c r="A139" s="10" t="inlineStr">
        <is>
          <t>Mazda MX-5 NA</t>
        </is>
      </c>
      <c r="B139" s="10" t="inlineStr">
        <is>
          <t>3280227190</t>
        </is>
      </c>
      <c r="C139" s="10" t="inlineStr">
        <is>
          <t>Mazda MX5</t>
        </is>
      </c>
      <c r="D139" s="18" t="n">
        <v>46296</v>
      </c>
      <c r="E139" s="12" t="n">
        <v>11200</v>
      </c>
      <c r="F139" s="14">
        <f>IF(AND($B139=$B138,ISNUMBER(E138),E138&gt;0),E139/E138-1,"")</f>
        <v/>
      </c>
      <c r="G139" s="19" t="inlineStr">
        <is>
          <t>Voir</t>
        </is>
      </c>
    </row>
    <row r="140">
      <c r="A140" s="10" t="inlineStr">
        <is>
          <t>Peugeot 205 GTI</t>
        </is>
      </c>
      <c r="B140" s="10" t="inlineStr">
        <is>
          <t>3199378668</t>
        </is>
      </c>
      <c r="C140" s="10" t="inlineStr">
        <is>
          <t>205 gti 1,6</t>
        </is>
      </c>
      <c r="D140" s="18" t="n">
        <v>46296</v>
      </c>
      <c r="E140" s="12" t="n">
        <v>15200</v>
      </c>
      <c r="F140" s="14">
        <f>IF(AND($B140=$B139,ISNUMBER(E139),E139&gt;0),E140/E139-1,"")</f>
        <v/>
      </c>
      <c r="G140" s="19" t="inlineStr">
        <is>
          <t>Voir</t>
        </is>
      </c>
    </row>
    <row r="141">
      <c r="A141" s="10" t="inlineStr">
        <is>
          <t>Peugeot 205 GTI</t>
        </is>
      </c>
      <c r="B141" s="10" t="inlineStr">
        <is>
          <t>3226018309</t>
        </is>
      </c>
      <c r="C141" s="10" t="inlineStr">
        <is>
          <t>205 gti</t>
        </is>
      </c>
      <c r="D141" s="18" t="n">
        <v>46296</v>
      </c>
      <c r="E141" s="12" t="n">
        <v>25000</v>
      </c>
      <c r="F141" s="14">
        <f>IF(AND($B141=$B140,ISNUMBER(E140),E140&gt;0),E141/E140-1,"")</f>
        <v/>
      </c>
      <c r="G141" s="19" t="inlineStr">
        <is>
          <t>Voir</t>
        </is>
      </c>
    </row>
    <row r="142">
      <c r="A142" s="10" t="inlineStr">
        <is>
          <t>Peugeot 205 GTI</t>
        </is>
      </c>
      <c r="B142" s="10" t="inlineStr">
        <is>
          <t>3228549093</t>
        </is>
      </c>
      <c r="C142" s="10" t="inlineStr">
        <is>
          <t>Peugeot 205 GTi Phase 2 / 1.9 i 130cv / Entretiens complet / 4ème main / Air ventilé</t>
        </is>
      </c>
      <c r="D142" s="18" t="n">
        <v>46296</v>
      </c>
      <c r="E142" s="12" t="n">
        <v>19990</v>
      </c>
      <c r="F142" s="14">
        <f>IF(AND($B142=$B141,ISNUMBER(E141),E141&gt;0),E142/E141-1,"")</f>
        <v/>
      </c>
      <c r="G142" s="19" t="inlineStr">
        <is>
          <t>Voir</t>
        </is>
      </c>
    </row>
    <row r="143">
      <c r="A143" s="10" t="inlineStr">
        <is>
          <t>Peugeot 205 GTI</t>
        </is>
      </c>
      <c r="B143" s="10" t="inlineStr">
        <is>
          <t>3232618598</t>
        </is>
      </c>
      <c r="C143" s="10" t="inlineStr">
        <is>
          <t>205 gti 1.9</t>
        </is>
      </c>
      <c r="D143" s="18" t="n">
        <v>46296</v>
      </c>
      <c r="E143" s="12" t="n">
        <v>15500</v>
      </c>
      <c r="F143" s="14">
        <f>IF(AND($B143=$B142,ISNUMBER(E142),E142&gt;0),E143/E142-1,"")</f>
        <v/>
      </c>
      <c r="G143" s="19" t="inlineStr">
        <is>
          <t>Voir</t>
        </is>
      </c>
    </row>
    <row r="144">
      <c r="A144" s="10" t="inlineStr">
        <is>
          <t>Peugeot 205 GTI</t>
        </is>
      </c>
      <c r="B144" s="10" t="inlineStr">
        <is>
          <t>3236436226</t>
        </is>
      </c>
      <c r="C144" s="10" t="inlineStr">
        <is>
          <t>205 gti 1l6</t>
        </is>
      </c>
      <c r="D144" s="18" t="n">
        <v>46296</v>
      </c>
      <c r="E144" s="12" t="n">
        <v>11500</v>
      </c>
      <c r="F144" s="14">
        <f>IF(AND($B144=$B143,ISNUMBER(E143),E143&gt;0),E144/E143-1,"")</f>
        <v/>
      </c>
      <c r="G144" s="19" t="inlineStr">
        <is>
          <t>Voir</t>
        </is>
      </c>
    </row>
    <row r="145">
      <c r="A145" s="10" t="inlineStr">
        <is>
          <t>Peugeot 205 GTI</t>
        </is>
      </c>
      <c r="B145" s="10" t="inlineStr">
        <is>
          <t>3252631252</t>
        </is>
      </c>
      <c r="C145" s="10" t="inlineStr">
        <is>
          <t>Peugeot 205 gti 1.9 130cv</t>
        </is>
      </c>
      <c r="D145" s="18" t="n">
        <v>46296</v>
      </c>
      <c r="E145" s="12" t="n">
        <v>22490</v>
      </c>
      <c r="F145" s="14">
        <f>IF(AND($B145=$B144,ISNUMBER(E144),E144&gt;0),E145/E144-1,"")</f>
        <v/>
      </c>
      <c r="G145" s="19" t="inlineStr">
        <is>
          <t>Voir</t>
        </is>
      </c>
    </row>
    <row r="146">
      <c r="A146" s="10" t="inlineStr">
        <is>
          <t>Peugeot 205 GTI</t>
        </is>
      </c>
      <c r="B146" s="10" t="inlineStr">
        <is>
          <t>3257729524</t>
        </is>
      </c>
      <c r="C146" s="10" t="inlineStr">
        <is>
          <t>205 gti</t>
        </is>
      </c>
      <c r="D146" s="18" t="n">
        <v>46296</v>
      </c>
      <c r="E146" s="12" t="n">
        <v>20000</v>
      </c>
      <c r="F146" s="14">
        <f>IF(AND($B146=$B145,ISNUMBER(E145),E145&gt;0),E146/E145-1,"")</f>
        <v/>
      </c>
      <c r="G146" s="19" t="inlineStr">
        <is>
          <t>Voir</t>
        </is>
      </c>
    </row>
    <row r="147">
      <c r="A147" s="10" t="inlineStr">
        <is>
          <t>Peugeot 205 GTI</t>
        </is>
      </c>
      <c r="B147" s="10" t="inlineStr">
        <is>
          <t>3259144220</t>
        </is>
      </c>
      <c r="C147" s="10" t="inlineStr">
        <is>
          <t>205 gti</t>
        </is>
      </c>
      <c r="D147" s="18" t="n">
        <v>46296</v>
      </c>
      <c r="E147" s="12" t="n">
        <v>17000</v>
      </c>
      <c r="F147" s="14">
        <f>IF(AND($B147=$B146,ISNUMBER(E146),E146&gt;0),E147/E146-1,"")</f>
        <v/>
      </c>
      <c r="G147" s="19" t="inlineStr">
        <is>
          <t>Voir</t>
        </is>
      </c>
    </row>
    <row r="148">
      <c r="A148" s="10" t="inlineStr">
        <is>
          <t>Peugeot 205 GTI</t>
        </is>
      </c>
      <c r="B148" s="10" t="inlineStr">
        <is>
          <t>3262353989</t>
        </is>
      </c>
      <c r="C148" s="10" t="inlineStr">
        <is>
          <t>205 gti</t>
        </is>
      </c>
      <c r="D148" s="18" t="n">
        <v>46296</v>
      </c>
      <c r="E148" s="12" t="n">
        <v>10000</v>
      </c>
      <c r="F148" s="14">
        <f>IF(AND($B148=$B147,ISNUMBER(E147),E147&gt;0),E148/E147-1,"")</f>
        <v/>
      </c>
      <c r="G148" s="19" t="inlineStr">
        <is>
          <t>Voir</t>
        </is>
      </c>
    </row>
    <row r="149">
      <c r="A149" s="10" t="inlineStr">
        <is>
          <t>Peugeot 205 GTI</t>
        </is>
      </c>
      <c r="B149" s="10" t="inlineStr">
        <is>
          <t>3264569173</t>
        </is>
      </c>
      <c r="C149" s="10" t="inlineStr">
        <is>
          <t>Peugeot 205 gti 1,6</t>
        </is>
      </c>
      <c r="D149" s="18" t="n">
        <v>46296</v>
      </c>
      <c r="E149" s="12" t="n">
        <v>23900</v>
      </c>
      <c r="F149" s="14">
        <f>IF(AND($B149=$B148,ISNUMBER(E148),E148&gt;0),E149/E148-1,"")</f>
        <v/>
      </c>
      <c r="G149" s="19" t="inlineStr">
        <is>
          <t>Voir</t>
        </is>
      </c>
    </row>
    <row r="150">
      <c r="A150" s="10" t="inlineStr">
        <is>
          <t>Peugeot 205 GTI</t>
        </is>
      </c>
      <c r="B150" s="10" t="inlineStr">
        <is>
          <t>3265038164</t>
        </is>
      </c>
      <c r="C150" s="10" t="inlineStr">
        <is>
          <t>205 gti</t>
        </is>
      </c>
      <c r="D150" s="18" t="n">
        <v>46296</v>
      </c>
      <c r="E150" s="12" t="n">
        <v>15000</v>
      </c>
      <c r="F150" s="14">
        <f>IF(AND($B150=$B149,ISNUMBER(E149),E149&gt;0),E150/E149-1,"")</f>
        <v/>
      </c>
      <c r="G150" s="19" t="inlineStr">
        <is>
          <t>Voir</t>
        </is>
      </c>
    </row>
    <row r="151">
      <c r="A151" s="10" t="inlineStr">
        <is>
          <t>Peugeot 205 GTI</t>
        </is>
      </c>
      <c r="B151" s="10" t="inlineStr">
        <is>
          <t>3267921242</t>
        </is>
      </c>
      <c r="C151" s="10" t="inlineStr">
        <is>
          <t>205 gti</t>
        </is>
      </c>
      <c r="D151" s="18" t="n">
        <v>46296</v>
      </c>
      <c r="E151" s="12" t="n">
        <v>9999</v>
      </c>
      <c r="F151" s="14">
        <f>IF(AND($B151=$B150,ISNUMBER(E150),E150&gt;0),E151/E150-1,"")</f>
        <v/>
      </c>
      <c r="G151" s="19" t="inlineStr">
        <is>
          <t>Voir</t>
        </is>
      </c>
    </row>
    <row r="152">
      <c r="A152" s="10" t="inlineStr">
        <is>
          <t>Peugeot 205 GTI</t>
        </is>
      </c>
      <c r="B152" s="10" t="inlineStr">
        <is>
          <t>3270139360</t>
        </is>
      </c>
      <c r="C152" s="10" t="inlineStr">
        <is>
          <t>205 gti 1.6 105</t>
        </is>
      </c>
      <c r="D152" s="18" t="n">
        <v>46296</v>
      </c>
      <c r="E152" s="12" t="n">
        <v>20000</v>
      </c>
      <c r="F152" s="14">
        <f>IF(AND($B152=$B151,ISNUMBER(E151),E151&gt;0),E152/E151-1,"")</f>
        <v/>
      </c>
      <c r="G152" s="19" t="inlineStr">
        <is>
          <t>Voir</t>
        </is>
      </c>
    </row>
    <row r="153">
      <c r="A153" s="10" t="inlineStr">
        <is>
          <t>Peugeot 205 GTI</t>
        </is>
      </c>
      <c r="B153" s="10" t="inlineStr">
        <is>
          <t>3271015511</t>
        </is>
      </c>
      <c r="C153" s="10" t="inlineStr">
        <is>
          <t>Peugeot 205 gti</t>
        </is>
      </c>
      <c r="D153" s="18" t="n">
        <v>46296</v>
      </c>
      <c r="E153" s="12" t="n">
        <v>15000</v>
      </c>
      <c r="F153" s="14">
        <f>IF(AND($B153=$B152,ISNUMBER(E152),E152&gt;0),E153/E152-1,"")</f>
        <v/>
      </c>
      <c r="G153" s="19" t="inlineStr">
        <is>
          <t>Voir</t>
        </is>
      </c>
    </row>
    <row r="154">
      <c r="A154" s="10" t="inlineStr">
        <is>
          <t>Peugeot 205 GTI</t>
        </is>
      </c>
      <c r="B154" s="10" t="inlineStr">
        <is>
          <t>3271061636</t>
        </is>
      </c>
      <c r="C154" s="10" t="inlineStr">
        <is>
          <t>Peugeot 205 gti 1.9</t>
        </is>
      </c>
      <c r="D154" s="18" t="n">
        <v>46296</v>
      </c>
      <c r="E154" s="12" t="n">
        <v>29800</v>
      </c>
      <c r="F154" s="14">
        <f>IF(AND($B154=$B153,ISNUMBER(E153),E153&gt;0),E154/E153-1,"")</f>
        <v/>
      </c>
      <c r="G154" s="19" t="inlineStr">
        <is>
          <t>Voir</t>
        </is>
      </c>
    </row>
    <row r="155">
      <c r="A155" s="10" t="inlineStr">
        <is>
          <t>Peugeot 205 GTI</t>
        </is>
      </c>
      <c r="B155" s="10" t="inlineStr">
        <is>
          <t>3271423566</t>
        </is>
      </c>
      <c r="C155" s="10" t="inlineStr">
        <is>
          <t>205 gti</t>
        </is>
      </c>
      <c r="D155" s="18" t="n">
        <v>46296</v>
      </c>
      <c r="E155" s="12" t="n">
        <v>17000</v>
      </c>
      <c r="F155" s="14">
        <f>IF(AND($B155=$B154,ISNUMBER(E154),E154&gt;0),E155/E154-1,"")</f>
        <v/>
      </c>
      <c r="G155" s="19" t="inlineStr">
        <is>
          <t>Voir</t>
        </is>
      </c>
    </row>
    <row r="156">
      <c r="A156" s="10" t="inlineStr">
        <is>
          <t>Peugeot 205 GTI</t>
        </is>
      </c>
      <c r="B156" s="10" t="inlineStr">
        <is>
          <t>3272026247</t>
        </is>
      </c>
      <c r="C156" s="10" t="inlineStr">
        <is>
          <t>205 Gti</t>
        </is>
      </c>
      <c r="D156" s="18" t="n">
        <v>46296</v>
      </c>
      <c r="E156" s="12" t="n">
        <v>18800</v>
      </c>
      <c r="F156" s="14">
        <f>IF(AND($B156=$B155,ISNUMBER(E155),E155&gt;0),E156/E155-1,"")</f>
        <v/>
      </c>
      <c r="G156" s="19" t="inlineStr">
        <is>
          <t>Voir</t>
        </is>
      </c>
    </row>
    <row r="157">
      <c r="A157" s="10" t="inlineStr">
        <is>
          <t>Peugeot 205 GTI</t>
        </is>
      </c>
      <c r="B157" s="10" t="inlineStr">
        <is>
          <t>3273035594</t>
        </is>
      </c>
      <c r="C157" s="10" t="inlineStr">
        <is>
          <t>205 gti 1.9</t>
        </is>
      </c>
      <c r="D157" s="18" t="n">
        <v>46296</v>
      </c>
      <c r="E157" s="12" t="n">
        <v>22000</v>
      </c>
      <c r="F157" s="14">
        <f>IF(AND($B157=$B156,ISNUMBER(E156),E156&gt;0),E157/E156-1,"")</f>
        <v/>
      </c>
      <c r="G157" s="19" t="inlineStr">
        <is>
          <t>Voir</t>
        </is>
      </c>
    </row>
    <row r="158">
      <c r="A158" s="10" t="inlineStr">
        <is>
          <t>Peugeot 205 GTI</t>
        </is>
      </c>
      <c r="B158" s="10" t="inlineStr">
        <is>
          <t>3273223439</t>
        </is>
      </c>
      <c r="C158" s="10" t="inlineStr">
        <is>
          <t>Peugeot 205 GTI</t>
        </is>
      </c>
      <c r="D158" s="18" t="n">
        <v>46296</v>
      </c>
      <c r="E158" s="12" t="n">
        <v>13500</v>
      </c>
      <c r="F158" s="14">
        <f>IF(AND($B158=$B157,ISNUMBER(E157),E157&gt;0),E158/E157-1,"")</f>
        <v/>
      </c>
      <c r="G158" s="19" t="inlineStr">
        <is>
          <t>Voir</t>
        </is>
      </c>
    </row>
    <row r="159">
      <c r="A159" s="10" t="inlineStr">
        <is>
          <t>Peugeot 205 GTI</t>
        </is>
      </c>
      <c r="B159" s="10" t="inlineStr">
        <is>
          <t>3273415437</t>
        </is>
      </c>
      <c r="C159" s="10" t="inlineStr">
        <is>
          <t>205 gti 1l6</t>
        </is>
      </c>
      <c r="D159" s="18" t="n">
        <v>46296</v>
      </c>
      <c r="E159" s="12" t="n">
        <v>14500</v>
      </c>
      <c r="F159" s="14">
        <f>IF(AND($B159=$B158,ISNUMBER(E158),E158&gt;0),E159/E158-1,"")</f>
        <v/>
      </c>
      <c r="G159" s="19" t="inlineStr">
        <is>
          <t>Voir</t>
        </is>
      </c>
    </row>
    <row r="160">
      <c r="A160" s="10" t="inlineStr">
        <is>
          <t>Peugeot 205 GTI</t>
        </is>
      </c>
      <c r="B160" s="10" t="inlineStr">
        <is>
          <t>3273551701</t>
        </is>
      </c>
      <c r="C160" s="10" t="inlineStr">
        <is>
          <t>205 gti 115 1,6</t>
        </is>
      </c>
      <c r="D160" s="18" t="n">
        <v>46296</v>
      </c>
      <c r="E160" s="12" t="n">
        <v>14900</v>
      </c>
      <c r="F160" s="14">
        <f>IF(AND($B160=$B159,ISNUMBER(E159),E159&gt;0),E160/E159-1,"")</f>
        <v/>
      </c>
      <c r="G160" s="19" t="inlineStr">
        <is>
          <t>Voir</t>
        </is>
      </c>
    </row>
    <row r="161">
      <c r="A161" s="10" t="inlineStr">
        <is>
          <t>Peugeot 205 GTI</t>
        </is>
      </c>
      <c r="B161" s="10" t="inlineStr">
        <is>
          <t>3273983702</t>
        </is>
      </c>
      <c r="C161" s="10" t="inlineStr">
        <is>
          <t>205 gti mi16</t>
        </is>
      </c>
      <c r="D161" s="18" t="n">
        <v>46296</v>
      </c>
      <c r="E161" s="12" t="n">
        <v>18000</v>
      </c>
      <c r="F161" s="14">
        <f>IF(AND($B161=$B160,ISNUMBER(E160),E160&gt;0),E161/E160-1,"")</f>
        <v/>
      </c>
      <c r="G161" s="19" t="inlineStr">
        <is>
          <t>Voir</t>
        </is>
      </c>
    </row>
    <row r="162">
      <c r="A162" s="10" t="inlineStr">
        <is>
          <t>Peugeot 205 GTI</t>
        </is>
      </c>
      <c r="B162" s="10" t="inlineStr">
        <is>
          <t>3274091200</t>
        </is>
      </c>
      <c r="C162" s="10" t="inlineStr">
        <is>
          <t>205 GTI 1,9 130cv</t>
        </is>
      </c>
      <c r="D162" s="18" t="n">
        <v>46296</v>
      </c>
      <c r="E162" s="12" t="n">
        <v>25000</v>
      </c>
      <c r="F162" s="14">
        <f>IF(AND($B162=$B161,ISNUMBER(E161),E161&gt;0),E162/E161-1,"")</f>
        <v/>
      </c>
      <c r="G162" s="19" t="inlineStr">
        <is>
          <t>Voir</t>
        </is>
      </c>
    </row>
    <row r="163">
      <c r="A163" s="10" t="inlineStr">
        <is>
          <t>Peugeot 205 GTI</t>
        </is>
      </c>
      <c r="B163" s="10" t="inlineStr">
        <is>
          <t>3274510816</t>
        </is>
      </c>
      <c r="C163" s="10" t="inlineStr">
        <is>
          <t>205 gti 1.6 105</t>
        </is>
      </c>
      <c r="D163" s="18" t="n">
        <v>46296</v>
      </c>
      <c r="E163" s="12" t="n">
        <v>5500</v>
      </c>
      <c r="F163" s="14">
        <f>IF(AND($B163=$B162,ISNUMBER(E162),E162&gt;0),E163/E162-1,"")</f>
        <v/>
      </c>
      <c r="G163" s="19" t="inlineStr">
        <is>
          <t>Voir</t>
        </is>
      </c>
    </row>
    <row r="164">
      <c r="A164" s="10" t="inlineStr">
        <is>
          <t>Peugeot 205 GTI</t>
        </is>
      </c>
      <c r="B164" s="10" t="inlineStr">
        <is>
          <t>3274519093</t>
        </is>
      </c>
      <c r="C164" s="10" t="inlineStr">
        <is>
          <t>205 gti 1,6l</t>
        </is>
      </c>
      <c r="D164" s="18" t="n">
        <v>46296</v>
      </c>
      <c r="E164" s="12" t="n">
        <v>20000</v>
      </c>
      <c r="F164" s="14">
        <f>IF(AND($B164=$B163,ISNUMBER(E163),E163&gt;0),E164/E163-1,"")</f>
        <v/>
      </c>
      <c r="G164" s="19" t="inlineStr">
        <is>
          <t>Voir</t>
        </is>
      </c>
    </row>
    <row r="165">
      <c r="A165" s="10" t="inlineStr">
        <is>
          <t>Peugeot 205 GTI</t>
        </is>
      </c>
      <c r="B165" s="10" t="inlineStr">
        <is>
          <t>3274885691</t>
        </is>
      </c>
      <c r="C165" s="10" t="inlineStr">
        <is>
          <t>205 gti</t>
        </is>
      </c>
      <c r="D165" s="18" t="n">
        <v>46296</v>
      </c>
      <c r="E165" s="12" t="n">
        <v>6000</v>
      </c>
      <c r="F165" s="14">
        <f>IF(AND($B165=$B164,ISNUMBER(E164),E164&gt;0),E165/E164-1,"")</f>
        <v/>
      </c>
      <c r="G165" s="19" t="inlineStr">
        <is>
          <t>Voir</t>
        </is>
      </c>
    </row>
    <row r="166">
      <c r="A166" s="10" t="inlineStr">
        <is>
          <t>Peugeot 205 GTI</t>
        </is>
      </c>
      <c r="B166" s="10" t="inlineStr">
        <is>
          <t>3276172426</t>
        </is>
      </c>
      <c r="C166" s="10" t="inlineStr">
        <is>
          <t>205 gti 1.9</t>
        </is>
      </c>
      <c r="D166" s="18" t="n">
        <v>46296</v>
      </c>
      <c r="E166" s="12" t="n">
        <v>20900</v>
      </c>
      <c r="F166" s="14">
        <f>IF(AND($B166=$B165,ISNUMBER(E165),E165&gt;0),E166/E165-1,"")</f>
        <v/>
      </c>
      <c r="G166" s="19" t="inlineStr">
        <is>
          <t>Voir</t>
        </is>
      </c>
    </row>
    <row r="167">
      <c r="A167" s="10" t="inlineStr">
        <is>
          <t>Peugeot 205 GTI</t>
        </is>
      </c>
      <c r="B167" s="10" t="inlineStr">
        <is>
          <t>3276591709</t>
        </is>
      </c>
      <c r="C167" s="10" t="inlineStr">
        <is>
          <t>205 gti</t>
        </is>
      </c>
      <c r="D167" s="18" t="n">
        <v>46296</v>
      </c>
      <c r="E167" s="12" t="n">
        <v>14500</v>
      </c>
      <c r="F167" s="14">
        <f>IF(AND($B167=$B166,ISNUMBER(E166),E166&gt;0),E167/E166-1,"")</f>
        <v/>
      </c>
      <c r="G167" s="19" t="inlineStr">
        <is>
          <t>Voir</t>
        </is>
      </c>
    </row>
    <row r="168">
      <c r="A168" s="10" t="inlineStr">
        <is>
          <t>Peugeot 205 GTI</t>
        </is>
      </c>
      <c r="B168" s="10" t="inlineStr">
        <is>
          <t>3278135099</t>
        </is>
      </c>
      <c r="C168" s="10" t="inlineStr">
        <is>
          <t>Peugeot 205 gti</t>
        </is>
      </c>
      <c r="D168" s="18" t="n">
        <v>46296</v>
      </c>
      <c r="E168" s="12" t="n">
        <v>12000</v>
      </c>
      <c r="F168" s="14">
        <f>IF(AND($B168=$B167,ISNUMBER(E167),E167&gt;0),E168/E167-1,"")</f>
        <v/>
      </c>
      <c r="G168" s="19" t="inlineStr">
        <is>
          <t>Voir</t>
        </is>
      </c>
    </row>
    <row r="169">
      <c r="A169" s="10" t="inlineStr">
        <is>
          <t>Peugeot 205 GTI</t>
        </is>
      </c>
      <c r="B169" s="10" t="inlineStr">
        <is>
          <t>3278574221</t>
        </is>
      </c>
      <c r="C169" s="10" t="inlineStr">
        <is>
          <t>205 GTI 1.6 l</t>
        </is>
      </c>
      <c r="D169" s="18" t="n">
        <v>46296</v>
      </c>
      <c r="E169" s="12" t="n">
        <v>18000</v>
      </c>
      <c r="F169" s="14">
        <f>IF(AND($B169=$B168,ISNUMBER(E168),E168&gt;0),E169/E168-1,"")</f>
        <v/>
      </c>
      <c r="G169" s="19" t="inlineStr">
        <is>
          <t>Voir</t>
        </is>
      </c>
    </row>
    <row r="170">
      <c r="A170" s="10" t="inlineStr">
        <is>
          <t>Peugeot 205 GTI</t>
        </is>
      </c>
      <c r="B170" s="10" t="inlineStr">
        <is>
          <t>3278855920</t>
        </is>
      </c>
      <c r="C170" s="10" t="inlineStr">
        <is>
          <t>Peugeot 205 gti</t>
        </is>
      </c>
      <c r="D170" s="18" t="n">
        <v>46296</v>
      </c>
      <c r="E170" s="12" t="n">
        <v>18000</v>
      </c>
      <c r="F170" s="14">
        <f>IF(AND($B170=$B169,ISNUMBER(E169),E169&gt;0),E170/E169-1,"")</f>
        <v/>
      </c>
      <c r="G170" s="19" t="inlineStr">
        <is>
          <t>Voir</t>
        </is>
      </c>
    </row>
    <row r="171">
      <c r="A171" s="10" t="inlineStr">
        <is>
          <t>Peugeot 205 GTI</t>
        </is>
      </c>
      <c r="B171" s="10" t="inlineStr">
        <is>
          <t>3279074639</t>
        </is>
      </c>
      <c r="C171" s="10" t="inlineStr">
        <is>
          <t>Vend Peugeot 205 Gti</t>
        </is>
      </c>
      <c r="D171" s="18" t="n">
        <v>46296</v>
      </c>
      <c r="E171" s="12" t="n">
        <v>20000</v>
      </c>
      <c r="F171" s="14">
        <f>IF(AND($B171=$B170,ISNUMBER(E170),E170&gt;0),E171/E170-1,"")</f>
        <v/>
      </c>
      <c r="G171" s="19" t="inlineStr">
        <is>
          <t>Voir</t>
        </is>
      </c>
    </row>
    <row r="172">
      <c r="A172" s="10" t="inlineStr">
        <is>
          <t>Peugeot 205 GTI</t>
        </is>
      </c>
      <c r="B172" s="10" t="inlineStr">
        <is>
          <t>3279249484</t>
        </is>
      </c>
      <c r="C172" s="10" t="inlineStr">
        <is>
          <t>Peugeot 205 GTI</t>
        </is>
      </c>
      <c r="D172" s="18" t="n">
        <v>46296</v>
      </c>
      <c r="E172" s="12" t="n">
        <v>26500</v>
      </c>
      <c r="F172" s="14">
        <f>IF(AND($B172=$B171,ISNUMBER(E171),E171&gt;0),E172/E171-1,"")</f>
        <v/>
      </c>
      <c r="G172" s="19" t="inlineStr">
        <is>
          <t>Voir</t>
        </is>
      </c>
    </row>
    <row r="173">
      <c r="A173" s="10" t="inlineStr">
        <is>
          <t>Peugeot 205 GTI</t>
        </is>
      </c>
      <c r="B173" s="10" t="inlineStr">
        <is>
          <t>3279375431</t>
        </is>
      </c>
      <c r="C173" s="10" t="inlineStr">
        <is>
          <t>205 gti dimma</t>
        </is>
      </c>
      <c r="D173" s="18" t="n">
        <v>46296</v>
      </c>
      <c r="E173" s="12" t="n">
        <v>15000</v>
      </c>
      <c r="F173" s="14">
        <f>IF(AND($B173=$B172,ISNUMBER(E172),E172&gt;0),E173/E172-1,"")</f>
        <v/>
      </c>
      <c r="G173" s="19" t="inlineStr">
        <is>
          <t>Voir</t>
        </is>
      </c>
    </row>
    <row r="174">
      <c r="A174" s="10" t="inlineStr">
        <is>
          <t>Peugeot 205 GTI</t>
        </is>
      </c>
      <c r="B174" s="10" t="inlineStr">
        <is>
          <t>3279615676</t>
        </is>
      </c>
      <c r="C174" s="10" t="inlineStr">
        <is>
          <t>205 gti 1.9l</t>
        </is>
      </c>
      <c r="D174" s="18" t="n">
        <v>46296</v>
      </c>
      <c r="E174" s="12" t="n">
        <v>20000</v>
      </c>
      <c r="F174" s="14">
        <f>IF(AND($B174=$B173,ISNUMBER(E173),E173&gt;0),E174/E173-1,"")</f>
        <v/>
      </c>
      <c r="G174" s="19" t="inlineStr">
        <is>
          <t>Voir</t>
        </is>
      </c>
    </row>
    <row r="175">
      <c r="A175" s="10" t="inlineStr">
        <is>
          <t>Peugeot 205 GTI</t>
        </is>
      </c>
      <c r="B175" s="10" t="inlineStr">
        <is>
          <t>3279816006</t>
        </is>
      </c>
      <c r="C175" s="10" t="inlineStr">
        <is>
          <t>205 gti 1,9l 130ch</t>
        </is>
      </c>
      <c r="D175" s="18" t="n">
        <v>46296</v>
      </c>
      <c r="E175" s="12" t="n">
        <v>22500</v>
      </c>
      <c r="F175" s="14">
        <f>IF(AND($B175=$B174,ISNUMBER(E174),E174&gt;0),E175/E174-1,"")</f>
        <v/>
      </c>
      <c r="G175" s="19" t="inlineStr">
        <is>
          <t>Voir</t>
        </is>
      </c>
    </row>
    <row r="176">
      <c r="A176" s="10" t="inlineStr">
        <is>
          <t>Peugeot 205 GTI</t>
        </is>
      </c>
      <c r="B176" s="10" t="inlineStr">
        <is>
          <t>3280078944</t>
        </is>
      </c>
      <c r="C176" s="10" t="inlineStr">
        <is>
          <t>205 gti</t>
        </is>
      </c>
      <c r="D176" s="18" t="n">
        <v>46296</v>
      </c>
      <c r="E176" s="12" t="n">
        <v>31000</v>
      </c>
      <c r="F176" s="14">
        <f>IF(AND($B176=$B175,ISNUMBER(E175),E175&gt;0),E176/E175-1,"")</f>
        <v/>
      </c>
      <c r="G176" s="19" t="inlineStr">
        <is>
          <t>Voir</t>
        </is>
      </c>
    </row>
    <row r="177">
      <c r="A177" s="10" t="inlineStr">
        <is>
          <t>Peugeot 205 GTI</t>
        </is>
      </c>
      <c r="B177" s="10" t="inlineStr">
        <is>
          <t>3280278211</t>
        </is>
      </c>
      <c r="C177" s="10" t="inlineStr">
        <is>
          <t>205 gti 1.6 115 Rouge</t>
        </is>
      </c>
      <c r="D177" s="18" t="n">
        <v>46296</v>
      </c>
      <c r="E177" s="12" t="n">
        <v>15500</v>
      </c>
      <c r="F177" s="14">
        <f>IF(AND($B177=$B176,ISNUMBER(E176),E176&gt;0),E177/E176-1,"")</f>
        <v/>
      </c>
      <c r="G177" s="19" t="inlineStr">
        <is>
          <t>Voir</t>
        </is>
      </c>
    </row>
    <row r="178">
      <c r="A178" s="10" t="inlineStr">
        <is>
          <t>Peugeot 206 RC</t>
        </is>
      </c>
      <c r="B178" s="10" t="inlineStr">
        <is>
          <t>2988747124</t>
        </is>
      </c>
      <c r="C178" s="10" t="inlineStr">
        <is>
          <t>206 rc</t>
        </is>
      </c>
      <c r="D178" s="18" t="n">
        <v>46296</v>
      </c>
      <c r="E178" s="12" t="n">
        <v>17900</v>
      </c>
      <c r="F178" s="14">
        <f>IF(AND($B178=$B177,ISNUMBER(E177),E177&gt;0),E178/E177-1,"")</f>
        <v/>
      </c>
      <c r="G178" s="19" t="inlineStr">
        <is>
          <t>Voir</t>
        </is>
      </c>
    </row>
    <row r="179">
      <c r="A179" s="10" t="inlineStr">
        <is>
          <t>Peugeot 206 RC</t>
        </is>
      </c>
      <c r="B179" s="10" t="inlineStr">
        <is>
          <t>3123040394</t>
        </is>
      </c>
      <c r="C179" s="10" t="inlineStr">
        <is>
          <t>206 rc</t>
        </is>
      </c>
      <c r="D179" s="18" t="n">
        <v>46296</v>
      </c>
      <c r="E179" s="12" t="n">
        <v>11000</v>
      </c>
      <c r="F179" s="14">
        <f>IF(AND($B179=$B178,ISNUMBER(E178),E178&gt;0),E179/E178-1,"")</f>
        <v/>
      </c>
      <c r="G179" s="19" t="inlineStr">
        <is>
          <t>Voir</t>
        </is>
      </c>
    </row>
    <row r="180">
      <c r="A180" s="10" t="inlineStr">
        <is>
          <t>Peugeot 206 RC</t>
        </is>
      </c>
      <c r="B180" s="10" t="inlineStr">
        <is>
          <t>3151025653</t>
        </is>
      </c>
      <c r="C180" s="10" t="inlineStr">
        <is>
          <t>206 rc f2014</t>
        </is>
      </c>
      <c r="D180" s="18" t="n">
        <v>46296</v>
      </c>
      <c r="E180" s="12" t="n">
        <v>18500</v>
      </c>
      <c r="F180" s="14">
        <f>IF(AND($B180=$B179,ISNUMBER(E179),E179&gt;0),E180/E179-1,"")</f>
        <v/>
      </c>
      <c r="G180" s="19" t="inlineStr">
        <is>
          <t>Voir</t>
        </is>
      </c>
    </row>
    <row r="181">
      <c r="A181" s="10" t="inlineStr">
        <is>
          <t>Peugeot 206 RC</t>
        </is>
      </c>
      <c r="B181" s="10" t="inlineStr">
        <is>
          <t>3193819824</t>
        </is>
      </c>
      <c r="C181" s="10" t="inlineStr">
        <is>
          <t>Peugeot 206 RC</t>
        </is>
      </c>
      <c r="D181" s="18" t="n">
        <v>46296</v>
      </c>
      <c r="E181" s="12" t="n">
        <v>10500</v>
      </c>
      <c r="F181" s="14">
        <f>IF(AND($B181=$B180,ISNUMBER(E180),E180&gt;0),E181/E180-1,"")</f>
        <v/>
      </c>
      <c r="G181" s="19" t="inlineStr">
        <is>
          <t>Voir</t>
        </is>
      </c>
    </row>
    <row r="182">
      <c r="A182" s="10" t="inlineStr">
        <is>
          <t>Peugeot 206 RC</t>
        </is>
      </c>
      <c r="B182" s="10" t="inlineStr">
        <is>
          <t>3202654340</t>
        </is>
      </c>
      <c r="C182" s="10" t="inlineStr">
        <is>
          <t>Peugeot 206 RC</t>
        </is>
      </c>
      <c r="D182" s="18" t="n">
        <v>46296</v>
      </c>
      <c r="E182" s="12" t="n">
        <v>9500</v>
      </c>
      <c r="F182" s="14">
        <f>IF(AND($B182=$B181,ISNUMBER(E181),E181&gt;0),E182/E181-1,"")</f>
        <v/>
      </c>
      <c r="G182" s="19" t="inlineStr">
        <is>
          <t>Voir</t>
        </is>
      </c>
    </row>
    <row r="183">
      <c r="A183" s="10" t="inlineStr">
        <is>
          <t>Peugeot 206 RC</t>
        </is>
      </c>
      <c r="B183" s="10" t="inlineStr">
        <is>
          <t>3227695185</t>
        </is>
      </c>
      <c r="C183" s="10" t="inlineStr">
        <is>
          <t>Peugeot 206 rc</t>
        </is>
      </c>
      <c r="D183" s="18" t="n">
        <v>46296</v>
      </c>
      <c r="E183" s="12" t="n">
        <v>8800</v>
      </c>
      <c r="F183" s="14">
        <f>IF(AND($B183=$B182,ISNUMBER(E182),E182&gt;0),E183/E182-1,"")</f>
        <v/>
      </c>
      <c r="G183" s="19" t="inlineStr">
        <is>
          <t>Voir</t>
        </is>
      </c>
    </row>
    <row r="184">
      <c r="A184" s="10" t="inlineStr">
        <is>
          <t>Peugeot 206 RC</t>
        </is>
      </c>
      <c r="B184" s="10" t="inlineStr">
        <is>
          <t>3234323904</t>
        </is>
      </c>
      <c r="C184" s="10" t="inlineStr">
        <is>
          <t>PEUGEOT 206 2.0e 180 RC / LIGNE A CLAPET / COURROIE OK</t>
        </is>
      </c>
      <c r="D184" s="18" t="n">
        <v>46296</v>
      </c>
      <c r="E184" s="12" t="n">
        <v>9990</v>
      </c>
      <c r="F184" s="14">
        <f>IF(AND($B184=$B183,ISNUMBER(E183),E183&gt;0),E184/E183-1,"")</f>
        <v/>
      </c>
      <c r="G184" s="19" t="inlineStr">
        <is>
          <t>Voir</t>
        </is>
      </c>
    </row>
    <row r="185">
      <c r="A185" s="10" t="inlineStr">
        <is>
          <t>Peugeot 206 RC</t>
        </is>
      </c>
      <c r="B185" s="10" t="inlineStr">
        <is>
          <t>3248463615</t>
        </is>
      </c>
      <c r="C185" s="10" t="inlineStr">
        <is>
          <t>Peugeot 206 2.0 177ch RC - SUIVI COMPLET - DISTRIBUTION OK - BLUETOOTH</t>
        </is>
      </c>
      <c r="D185" s="18" t="n">
        <v>46296</v>
      </c>
      <c r="E185" s="12" t="n">
        <v>13990</v>
      </c>
      <c r="F185" s="14">
        <f>IF(AND($B185=$B184,ISNUMBER(E184),E184&gt;0),E185/E184-1,"")</f>
        <v/>
      </c>
      <c r="G185" s="19" t="inlineStr">
        <is>
          <t>Voir</t>
        </is>
      </c>
    </row>
    <row r="186">
      <c r="A186" s="10" t="inlineStr">
        <is>
          <t>Peugeot 206 RC</t>
        </is>
      </c>
      <c r="B186" s="10" t="inlineStr">
        <is>
          <t>3251217335</t>
        </is>
      </c>
      <c r="C186" s="10" t="inlineStr">
        <is>
          <t>206 rc</t>
        </is>
      </c>
      <c r="D186" s="18" t="n">
        <v>46296</v>
      </c>
      <c r="E186" s="12" t="n">
        <v>6200</v>
      </c>
      <c r="F186" s="14">
        <f>IF(AND($B186=$B185,ISNUMBER(E185),E185&gt;0),E186/E185-1,"")</f>
        <v/>
      </c>
      <c r="G186" s="19" t="inlineStr">
        <is>
          <t>Voir</t>
        </is>
      </c>
    </row>
    <row r="187">
      <c r="A187" s="10" t="inlineStr">
        <is>
          <t>Peugeot 206 RC</t>
        </is>
      </c>
      <c r="B187" s="10" t="inlineStr">
        <is>
          <t>3254206684</t>
        </is>
      </c>
      <c r="C187" s="10" t="inlineStr">
        <is>
          <t>206 rc</t>
        </is>
      </c>
      <c r="D187" s="18" t="n">
        <v>46296</v>
      </c>
      <c r="E187" s="12" t="n">
        <v>11500</v>
      </c>
      <c r="F187" s="14">
        <f>IF(AND($B187=$B186,ISNUMBER(E186),E186&gt;0),E187/E186-1,"")</f>
        <v/>
      </c>
      <c r="G187" s="19" t="inlineStr">
        <is>
          <t>Voir</t>
        </is>
      </c>
    </row>
    <row r="188">
      <c r="A188" s="10" t="inlineStr">
        <is>
          <t>Peugeot 206 RC</t>
        </is>
      </c>
      <c r="B188" s="10" t="inlineStr">
        <is>
          <t>3256639318</t>
        </is>
      </c>
      <c r="C188" s="10" t="inlineStr">
        <is>
          <t>206 rc</t>
        </is>
      </c>
      <c r="D188" s="18" t="n">
        <v>46296</v>
      </c>
      <c r="E188" s="12" t="n">
        <v>7000</v>
      </c>
      <c r="F188" s="14">
        <f>IF(AND($B188=$B187,ISNUMBER(E187),E187&gt;0),E188/E187-1,"")</f>
        <v/>
      </c>
      <c r="G188" s="19" t="inlineStr">
        <is>
          <t>Voir</t>
        </is>
      </c>
    </row>
    <row r="189">
      <c r="A189" s="10" t="inlineStr">
        <is>
          <t>Peugeot 206 RC</t>
        </is>
      </c>
      <c r="B189" s="10" t="inlineStr">
        <is>
          <t>3258113450</t>
        </is>
      </c>
      <c r="C189" s="10" t="inlineStr">
        <is>
          <t>Peugeot 206 RC</t>
        </is>
      </c>
      <c r="D189" s="18" t="n">
        <v>46296</v>
      </c>
      <c r="E189" s="12" t="n">
        <v>15500</v>
      </c>
      <c r="F189" s="14">
        <f>IF(AND($B189=$B188,ISNUMBER(E188),E188&gt;0),E189/E188-1,"")</f>
        <v/>
      </c>
      <c r="G189" s="19" t="inlineStr">
        <is>
          <t>Voir</t>
        </is>
      </c>
    </row>
    <row r="190">
      <c r="A190" s="10" t="inlineStr">
        <is>
          <t>Peugeot 206 RC</t>
        </is>
      </c>
      <c r="B190" s="10" t="inlineStr">
        <is>
          <t>3258422146</t>
        </is>
      </c>
      <c r="C190" s="10" t="inlineStr">
        <is>
          <t>206 rc</t>
        </is>
      </c>
      <c r="D190" s="18" t="n">
        <v>46296</v>
      </c>
      <c r="E190" s="12" t="n">
        <v>16300</v>
      </c>
      <c r="F190" s="14">
        <f>IF(AND($B190=$B189,ISNUMBER(E189),E189&gt;0),E190/E189-1,"")</f>
        <v/>
      </c>
      <c r="G190" s="19" t="inlineStr">
        <is>
          <t>Voir</t>
        </is>
      </c>
    </row>
    <row r="191">
      <c r="A191" s="10" t="inlineStr">
        <is>
          <t>Peugeot 206 RC</t>
        </is>
      </c>
      <c r="B191" s="10" t="inlineStr">
        <is>
          <t>3259064609</t>
        </is>
      </c>
      <c r="C191" s="10" t="inlineStr">
        <is>
          <t>206 rc</t>
        </is>
      </c>
      <c r="D191" s="18" t="n">
        <v>46296</v>
      </c>
      <c r="E191" s="12" t="n">
        <v>7500</v>
      </c>
      <c r="F191" s="14">
        <f>IF(AND($B191=$B190,ISNUMBER(E190),E190&gt;0),E191/E190-1,"")</f>
        <v/>
      </c>
      <c r="G191" s="19" t="inlineStr">
        <is>
          <t>Voir</t>
        </is>
      </c>
    </row>
    <row r="192">
      <c r="A192" s="10" t="inlineStr">
        <is>
          <t>Peugeot 206 RC</t>
        </is>
      </c>
      <c r="B192" s="10" t="inlineStr">
        <is>
          <t>3262442354</t>
        </is>
      </c>
      <c r="C192" s="10" t="inlineStr">
        <is>
          <t>206 rc 180</t>
        </is>
      </c>
      <c r="D192" s="18" t="n">
        <v>46296</v>
      </c>
      <c r="E192" s="12" t="n">
        <v>11000</v>
      </c>
      <c r="F192" s="14">
        <f>IF(AND($B192=$B191,ISNUMBER(E191),E191&gt;0),E192/E191-1,"")</f>
        <v/>
      </c>
      <c r="G192" s="19" t="inlineStr">
        <is>
          <t>Voir</t>
        </is>
      </c>
    </row>
    <row r="193">
      <c r="A193" s="10" t="inlineStr">
        <is>
          <t>Peugeot 206 RC</t>
        </is>
      </c>
      <c r="B193" s="10" t="inlineStr">
        <is>
          <t>3264412764</t>
        </is>
      </c>
      <c r="C193" s="10" t="inlineStr">
        <is>
          <t>206 rc</t>
        </is>
      </c>
      <c r="D193" s="18" t="n">
        <v>46296</v>
      </c>
      <c r="E193" s="12" t="n">
        <v>12000</v>
      </c>
      <c r="F193" s="14">
        <f>IF(AND($B193=$B192,ISNUMBER(E192),E192&gt;0),E193/E192-1,"")</f>
        <v/>
      </c>
      <c r="G193" s="19" t="inlineStr">
        <is>
          <t>Voir</t>
        </is>
      </c>
    </row>
    <row r="194">
      <c r="A194" s="10" t="inlineStr">
        <is>
          <t>Peugeot 206 RC</t>
        </is>
      </c>
      <c r="B194" s="10" t="inlineStr">
        <is>
          <t>3265358347</t>
        </is>
      </c>
      <c r="C194" s="10" t="inlineStr">
        <is>
          <t>206 rc</t>
        </is>
      </c>
      <c r="D194" s="18" t="n">
        <v>46296</v>
      </c>
      <c r="E194" s="12" t="n">
        <v>11000</v>
      </c>
      <c r="F194" s="14">
        <f>IF(AND($B194=$B193,ISNUMBER(E193),E193&gt;0),E194/E193-1,"")</f>
        <v/>
      </c>
      <c r="G194" s="19" t="inlineStr">
        <is>
          <t>Voir</t>
        </is>
      </c>
    </row>
    <row r="195">
      <c r="A195" s="10" t="inlineStr">
        <is>
          <t>Peugeot 206 RC</t>
        </is>
      </c>
      <c r="B195" s="10" t="inlineStr">
        <is>
          <t>3265384769</t>
        </is>
      </c>
      <c r="C195" s="10" t="inlineStr">
        <is>
          <t>206 RC Rouge Aden</t>
        </is>
      </c>
      <c r="D195" s="18" t="n">
        <v>46296</v>
      </c>
      <c r="E195" s="12" t="n">
        <v>13990</v>
      </c>
      <c r="F195" s="14">
        <f>IF(AND($B195=$B194,ISNUMBER(E194),E194&gt;0),E195/E194-1,"")</f>
        <v/>
      </c>
      <c r="G195" s="19" t="inlineStr">
        <is>
          <t>Voir</t>
        </is>
      </c>
    </row>
    <row r="196">
      <c r="A196" s="10" t="inlineStr">
        <is>
          <t>Peugeot 206 RC</t>
        </is>
      </c>
      <c r="B196" s="10" t="inlineStr">
        <is>
          <t>3267576253</t>
        </is>
      </c>
      <c r="C196" s="10" t="inlineStr">
        <is>
          <t>Peugeot 206 RC - Rouge Aden - 180cv</t>
        </is>
      </c>
      <c r="D196" s="18" t="n">
        <v>46296</v>
      </c>
      <c r="E196" s="12" t="n">
        <v>12500</v>
      </c>
      <c r="F196" s="14">
        <f>IF(AND($B196=$B195,ISNUMBER(E195),E195&gt;0),E196/E195-1,"")</f>
        <v/>
      </c>
      <c r="G196" s="19" t="inlineStr">
        <is>
          <t>Voir</t>
        </is>
      </c>
    </row>
    <row r="197">
      <c r="A197" s="10" t="inlineStr">
        <is>
          <t>Peugeot 206 RC</t>
        </is>
      </c>
      <c r="B197" s="10" t="inlineStr">
        <is>
          <t>3268704461</t>
        </is>
      </c>
      <c r="C197" s="10" t="inlineStr">
        <is>
          <t>Peugeot 206 rc</t>
        </is>
      </c>
      <c r="D197" s="18" t="n">
        <v>46296</v>
      </c>
      <c r="E197" s="12" t="n">
        <v>12700</v>
      </c>
      <c r="F197" s="14">
        <f>IF(AND($B197=$B196,ISNUMBER(E196),E196&gt;0),E197/E196-1,"")</f>
        <v/>
      </c>
      <c r="G197" s="19" t="inlineStr">
        <is>
          <t>Voir</t>
        </is>
      </c>
    </row>
    <row r="198">
      <c r="A198" s="10" t="inlineStr">
        <is>
          <t>Peugeot 206 RC</t>
        </is>
      </c>
      <c r="B198" s="10" t="inlineStr">
        <is>
          <t>3269057716</t>
        </is>
      </c>
      <c r="C198" s="10" t="inlineStr">
        <is>
          <t>Peugeot 206 RC 2.0 177ch</t>
        </is>
      </c>
      <c r="D198" s="18" t="n">
        <v>46296</v>
      </c>
      <c r="E198" s="12" t="n">
        <v>9800</v>
      </c>
      <c r="F198" s="14">
        <f>IF(AND($B198=$B197,ISNUMBER(E197),E197&gt;0),E198/E197-1,"")</f>
        <v/>
      </c>
      <c r="G198" s="19" t="inlineStr">
        <is>
          <t>Voir</t>
        </is>
      </c>
    </row>
    <row r="199">
      <c r="A199" s="10" t="inlineStr">
        <is>
          <t>Peugeot 206 RC</t>
        </is>
      </c>
      <c r="B199" s="10" t="inlineStr">
        <is>
          <t>3270523427</t>
        </is>
      </c>
      <c r="C199" s="10" t="inlineStr">
        <is>
          <t>206 rc</t>
        </is>
      </c>
      <c r="D199" s="18" t="n">
        <v>46296</v>
      </c>
      <c r="E199" s="12" t="n">
        <v>11500</v>
      </c>
      <c r="F199" s="14">
        <f>IF(AND($B199=$B198,ISNUMBER(E198),E198&gt;0),E199/E198-1,"")</f>
        <v/>
      </c>
      <c r="G199" s="19" t="inlineStr">
        <is>
          <t>Voir</t>
        </is>
      </c>
    </row>
    <row r="200">
      <c r="A200" s="10" t="inlineStr">
        <is>
          <t>Peugeot 206 RC</t>
        </is>
      </c>
      <c r="B200" s="10" t="inlineStr">
        <is>
          <t>3270650631</t>
        </is>
      </c>
      <c r="C200" s="10" t="inlineStr">
        <is>
          <t>Peugeot 206 rc 2.0 180</t>
        </is>
      </c>
      <c r="D200" s="18" t="n">
        <v>46296</v>
      </c>
      <c r="E200" s="12" t="n">
        <v>13990</v>
      </c>
      <c r="F200" s="14">
        <f>IF(AND($B200=$B199,ISNUMBER(E199),E199&gt;0),E200/E199-1,"")</f>
        <v/>
      </c>
      <c r="G200" s="19" t="inlineStr">
        <is>
          <t>Voir</t>
        </is>
      </c>
    </row>
    <row r="201">
      <c r="A201" s="10" t="inlineStr">
        <is>
          <t>Peugeot 206 RC</t>
        </is>
      </c>
      <c r="B201" s="10" t="inlineStr">
        <is>
          <t>3271026847</t>
        </is>
      </c>
      <c r="C201" s="10" t="inlineStr">
        <is>
          <t>Peugeot 206 rc</t>
        </is>
      </c>
      <c r="D201" s="18" t="n">
        <v>46296</v>
      </c>
      <c r="E201" s="12" t="n">
        <v>7800</v>
      </c>
      <c r="F201" s="14">
        <f>IF(AND($B201=$B200,ISNUMBER(E200),E200&gt;0),E201/E200-1,"")</f>
        <v/>
      </c>
      <c r="G201" s="19" t="inlineStr">
        <is>
          <t>Voir</t>
        </is>
      </c>
    </row>
    <row r="202">
      <c r="A202" s="10" t="inlineStr">
        <is>
          <t>Peugeot 206 RC</t>
        </is>
      </c>
      <c r="B202" s="10" t="inlineStr">
        <is>
          <t>3271661241</t>
        </is>
      </c>
      <c r="C202" s="10" t="inlineStr">
        <is>
          <t>206 rc</t>
        </is>
      </c>
      <c r="D202" s="18" t="n">
        <v>46296</v>
      </c>
      <c r="E202" s="12" t="n">
        <v>7000</v>
      </c>
      <c r="F202" s="14">
        <f>IF(AND($B202=$B201,ISNUMBER(E201),E201&gt;0),E202/E201-1,"")</f>
        <v/>
      </c>
      <c r="G202" s="19" t="inlineStr">
        <is>
          <t>Voir</t>
        </is>
      </c>
    </row>
    <row r="203">
      <c r="A203" s="10" t="inlineStr">
        <is>
          <t>Peugeot 206 RC</t>
        </is>
      </c>
      <c r="B203" s="10" t="inlineStr">
        <is>
          <t>3273170431</t>
        </is>
      </c>
      <c r="C203" s="10" t="inlineStr">
        <is>
          <t>206 rc</t>
        </is>
      </c>
      <c r="D203" s="18" t="n">
        <v>46296</v>
      </c>
      <c r="E203" s="12" t="n">
        <v>5900</v>
      </c>
      <c r="F203" s="14">
        <f>IF(AND($B203=$B202,ISNUMBER(E202),E202&gt;0),E203/E202-1,"")</f>
        <v/>
      </c>
      <c r="G203" s="19" t="inlineStr">
        <is>
          <t>Voir</t>
        </is>
      </c>
    </row>
    <row r="204">
      <c r="A204" s="10" t="inlineStr">
        <is>
          <t>Peugeot 206 RC</t>
        </is>
      </c>
      <c r="B204" s="10" t="inlineStr">
        <is>
          <t>3275009272</t>
        </is>
      </c>
      <c r="C204" s="10" t="inlineStr">
        <is>
          <t>Peugeot 206 Rc</t>
        </is>
      </c>
      <c r="D204" s="18" t="n">
        <v>46296</v>
      </c>
      <c r="E204" s="12" t="n">
        <v>8000</v>
      </c>
      <c r="F204" s="14">
        <f>IF(AND($B204=$B203,ISNUMBER(E203),E203&gt;0),E204/E203-1,"")</f>
        <v/>
      </c>
      <c r="G204" s="19" t="inlineStr">
        <is>
          <t>Voir</t>
        </is>
      </c>
    </row>
    <row r="205">
      <c r="A205" s="10" t="inlineStr">
        <is>
          <t>Peugeot 206 RC</t>
        </is>
      </c>
      <c r="B205" s="10" t="inlineStr">
        <is>
          <t>3275531733</t>
        </is>
      </c>
      <c r="C205" s="10" t="inlineStr">
        <is>
          <t>206 rc</t>
        </is>
      </c>
      <c r="D205" s="18" t="n">
        <v>46296</v>
      </c>
      <c r="E205" s="12" t="n">
        <v>7500</v>
      </c>
      <c r="F205" s="14">
        <f>IF(AND($B205=$B204,ISNUMBER(E204),E204&gt;0),E205/E204-1,"")</f>
        <v/>
      </c>
      <c r="G205" s="19" t="inlineStr">
        <is>
          <t>Voir</t>
        </is>
      </c>
    </row>
    <row r="206">
      <c r="A206" s="10" t="inlineStr">
        <is>
          <t>Peugeot 206 RC</t>
        </is>
      </c>
      <c r="B206" s="10" t="inlineStr">
        <is>
          <t>3276061576</t>
        </is>
      </c>
      <c r="C206" s="10" t="inlineStr">
        <is>
          <t>206 rc</t>
        </is>
      </c>
      <c r="D206" s="18" t="n">
        <v>46296</v>
      </c>
      <c r="E206" s="12" t="n">
        <v>13499</v>
      </c>
      <c r="F206" s="14">
        <f>IF(AND($B206=$B205,ISNUMBER(E205),E205&gt;0),E206/E205-1,"")</f>
        <v/>
      </c>
      <c r="G206" s="19" t="inlineStr">
        <is>
          <t>Voir</t>
        </is>
      </c>
    </row>
    <row r="207">
      <c r="A207" s="10" t="inlineStr">
        <is>
          <t>Peugeot 206 RC</t>
        </is>
      </c>
      <c r="B207" s="10" t="inlineStr">
        <is>
          <t>3276929411</t>
        </is>
      </c>
      <c r="C207" s="10" t="inlineStr">
        <is>
          <t>206 rc line 1.6 110 cv</t>
        </is>
      </c>
      <c r="D207" s="18" t="n">
        <v>46296</v>
      </c>
      <c r="E207" s="12" t="n">
        <v>6800</v>
      </c>
      <c r="F207" s="14">
        <f>IF(AND($B207=$B206,ISNUMBER(E206),E206&gt;0),E207/E206-1,"")</f>
        <v/>
      </c>
      <c r="G207" s="19" t="inlineStr">
        <is>
          <t>Voir</t>
        </is>
      </c>
    </row>
    <row r="208">
      <c r="A208" s="10" t="inlineStr">
        <is>
          <t>Peugeot 206 RC</t>
        </is>
      </c>
      <c r="B208" s="10" t="inlineStr">
        <is>
          <t>3277073683</t>
        </is>
      </c>
      <c r="C208" s="10" t="inlineStr">
        <is>
          <t>Peugeot 206 RC 2.0 177ch - Bleu Récif</t>
        </is>
      </c>
      <c r="D208" s="18" t="n">
        <v>46296</v>
      </c>
      <c r="E208" s="12" t="n">
        <v>5300</v>
      </c>
      <c r="F208" s="14">
        <f>IF(AND($B208=$B207,ISNUMBER(E207),E207&gt;0),E208/E207-1,"")</f>
        <v/>
      </c>
      <c r="G208" s="19" t="inlineStr">
        <is>
          <t>Voir</t>
        </is>
      </c>
    </row>
    <row r="209">
      <c r="A209" s="10" t="inlineStr">
        <is>
          <t>Peugeot 206 RC</t>
        </is>
      </c>
      <c r="B209" s="10" t="inlineStr">
        <is>
          <t>3277840482</t>
        </is>
      </c>
      <c r="C209" s="10" t="inlineStr">
        <is>
          <t>Peugeot 206 rc</t>
        </is>
      </c>
      <c r="D209" s="18" t="n">
        <v>46296</v>
      </c>
      <c r="E209" s="12" t="n">
        <v>11000</v>
      </c>
      <c r="F209" s="14">
        <f>IF(AND($B209=$B208,ISNUMBER(E208),E208&gt;0),E209/E208-1,"")</f>
        <v/>
      </c>
      <c r="G209" s="19" t="inlineStr">
        <is>
          <t>Voir</t>
        </is>
      </c>
    </row>
    <row r="210">
      <c r="A210" s="10" t="inlineStr">
        <is>
          <t>Peugeot 206 RC</t>
        </is>
      </c>
      <c r="B210" s="10" t="inlineStr">
        <is>
          <t>3278317897</t>
        </is>
      </c>
      <c r="C210" s="10" t="inlineStr">
        <is>
          <t>206 rc</t>
        </is>
      </c>
      <c r="D210" s="18" t="n">
        <v>46296</v>
      </c>
      <c r="E210" s="12" t="n">
        <v>6000</v>
      </c>
      <c r="F210" s="14">
        <f>IF(AND($B210=$B209,ISNUMBER(E209),E209&gt;0),E210/E209-1,"")</f>
        <v/>
      </c>
      <c r="G210" s="19" t="inlineStr">
        <is>
          <t>Voir</t>
        </is>
      </c>
    </row>
    <row r="211">
      <c r="A211" s="10" t="inlineStr">
        <is>
          <t>Peugeot 206 RC</t>
        </is>
      </c>
      <c r="B211" s="10" t="inlineStr">
        <is>
          <t>3278631826</t>
        </is>
      </c>
      <c r="C211" s="10" t="inlineStr">
        <is>
          <t>206 rc</t>
        </is>
      </c>
      <c r="D211" s="18" t="n">
        <v>46296</v>
      </c>
      <c r="E211" s="12" t="n">
        <v>8500</v>
      </c>
      <c r="F211" s="14">
        <f>IF(AND($B211=$B210,ISNUMBER(E210),E210&gt;0),E211/E210-1,"")</f>
        <v/>
      </c>
      <c r="G211" s="19" t="inlineStr">
        <is>
          <t>Voir</t>
        </is>
      </c>
    </row>
    <row r="212">
      <c r="A212" s="10" t="inlineStr">
        <is>
          <t>Peugeot 206 RC</t>
        </is>
      </c>
      <c r="B212" s="10" t="inlineStr">
        <is>
          <t>3278866640</t>
        </is>
      </c>
      <c r="C212" s="10" t="inlineStr">
        <is>
          <t>Peugeot 206 RC</t>
        </is>
      </c>
      <c r="D212" s="18" t="n">
        <v>46296</v>
      </c>
      <c r="E212" s="12" t="n">
        <v>5400</v>
      </c>
      <c r="F212" s="14">
        <f>IF(AND($B212=$B211,ISNUMBER(E211),E211&gt;0),E212/E211-1,"")</f>
        <v/>
      </c>
      <c r="G212" s="19" t="inlineStr">
        <is>
          <t>Voir</t>
        </is>
      </c>
    </row>
    <row r="213">
      <c r="A213" s="10" t="inlineStr">
        <is>
          <t>Peugeot 206 RC</t>
        </is>
      </c>
      <c r="B213" s="10" t="inlineStr">
        <is>
          <t>3278894245</t>
        </is>
      </c>
      <c r="C213" s="10" t="inlineStr">
        <is>
          <t>Peugeot 206 RC</t>
        </is>
      </c>
      <c r="D213" s="18" t="n">
        <v>46296</v>
      </c>
      <c r="E213" s="12" t="n">
        <v>14500</v>
      </c>
      <c r="F213" s="14">
        <f>IF(AND($B213=$B212,ISNUMBER(E212),E212&gt;0),E213/E212-1,"")</f>
        <v/>
      </c>
      <c r="G213" s="19" t="inlineStr">
        <is>
          <t>Voir</t>
        </is>
      </c>
    </row>
    <row r="214">
      <c r="A214" s="10" t="inlineStr">
        <is>
          <t>Peugeot 206 RC</t>
        </is>
      </c>
      <c r="B214" s="10" t="inlineStr">
        <is>
          <t>3279039279</t>
        </is>
      </c>
      <c r="C214" s="10" t="inlineStr">
        <is>
          <t>206 rc</t>
        </is>
      </c>
      <c r="D214" s="18" t="n">
        <v>46296</v>
      </c>
      <c r="E214" s="12" t="n">
        <v>9000</v>
      </c>
      <c r="F214" s="14">
        <f>IF(AND($B214=$B213,ISNUMBER(E213),E213&gt;0),E214/E213-1,"")</f>
        <v/>
      </c>
      <c r="G214" s="19" t="inlineStr">
        <is>
          <t>Voir</t>
        </is>
      </c>
    </row>
    <row r="215">
      <c r="A215" s="10" t="inlineStr">
        <is>
          <t>Peugeot 206 RC</t>
        </is>
      </c>
      <c r="B215" s="10" t="inlineStr">
        <is>
          <t>3279053465</t>
        </is>
      </c>
      <c r="C215" s="10" t="inlineStr">
        <is>
          <t>206 rc</t>
        </is>
      </c>
      <c r="D215" s="18" t="n">
        <v>46296</v>
      </c>
      <c r="E215" s="12" t="n">
        <v>5900</v>
      </c>
      <c r="F215" s="14">
        <f>IF(AND($B215=$B214,ISNUMBER(E214),E214&gt;0),E215/E214-1,"")</f>
        <v/>
      </c>
      <c r="G215" s="19" t="inlineStr">
        <is>
          <t>Voir</t>
        </is>
      </c>
    </row>
    <row r="216">
      <c r="A216" s="10" t="inlineStr">
        <is>
          <t>Peugeot 206 RC</t>
        </is>
      </c>
      <c r="B216" s="10" t="inlineStr">
        <is>
          <t>3279236263</t>
        </is>
      </c>
      <c r="C216" s="10" t="inlineStr">
        <is>
          <t>Peugeot 206 rc</t>
        </is>
      </c>
      <c r="D216" s="18" t="n">
        <v>46296</v>
      </c>
      <c r="E216" s="12" t="n">
        <v>9190</v>
      </c>
      <c r="F216" s="14">
        <f>IF(AND($B216=$B215,ISNUMBER(E215),E215&gt;0),E216/E215-1,"")</f>
        <v/>
      </c>
      <c r="G216" s="19" t="inlineStr">
        <is>
          <t>Voir</t>
        </is>
      </c>
    </row>
    <row r="217">
      <c r="A217" s="10" t="inlineStr">
        <is>
          <t>Peugeot 206 RC</t>
        </is>
      </c>
      <c r="B217" s="10" t="inlineStr">
        <is>
          <t>3279820686</t>
        </is>
      </c>
      <c r="C217" s="10" t="inlineStr">
        <is>
          <t>Peugeot 206 RC</t>
        </is>
      </c>
      <c r="D217" s="18" t="n">
        <v>46296</v>
      </c>
      <c r="E217" s="12" t="n">
        <v>6500</v>
      </c>
      <c r="F217" s="14">
        <f>IF(AND($B217=$B216,ISNUMBER(E216),E216&gt;0),E217/E216-1,"")</f>
        <v/>
      </c>
      <c r="G217" s="19" t="inlineStr">
        <is>
          <t>Voir</t>
        </is>
      </c>
    </row>
    <row r="218">
      <c r="A218" s="10" t="inlineStr">
        <is>
          <t>Peugeot 206 RC</t>
        </is>
      </c>
      <c r="B218" s="10" t="inlineStr">
        <is>
          <t>3280095370</t>
        </is>
      </c>
      <c r="C218" s="10" t="inlineStr">
        <is>
          <t>Peugeot 206 rc 20.16v</t>
        </is>
      </c>
      <c r="D218" s="18" t="n">
        <v>46296</v>
      </c>
      <c r="E218" s="12" t="n">
        <v>6000</v>
      </c>
      <c r="F218" s="14">
        <f>IF(AND($B218=$B217,ISNUMBER(E217),E217&gt;0),E218/E217-1,"")</f>
        <v/>
      </c>
      <c r="G218" s="19" t="inlineStr">
        <is>
          <t>Voir</t>
        </is>
      </c>
    </row>
    <row r="219">
      <c r="A219" s="10" t="inlineStr">
        <is>
          <t>Peugeot 206 RC</t>
        </is>
      </c>
      <c r="B219" s="10" t="inlineStr">
        <is>
          <t>3280307630</t>
        </is>
      </c>
      <c r="C219" s="10" t="inlineStr">
        <is>
          <t>Peugeot 206 RC / 2ème Main JBL</t>
        </is>
      </c>
      <c r="D219" s="18" t="n">
        <v>46296</v>
      </c>
      <c r="E219" s="12" t="n">
        <v>11990</v>
      </c>
      <c r="F219" s="14">
        <f>IF(AND($B219=$B218,ISNUMBER(E218),E218&gt;0),E219/E218-1,"")</f>
        <v/>
      </c>
      <c r="G219" s="19" t="inlineStr">
        <is>
          <t>Voir</t>
        </is>
      </c>
    </row>
    <row r="220">
      <c r="A220" s="10" t="inlineStr">
        <is>
          <t>Peugeot 208 GTi 30th</t>
        </is>
      </c>
      <c r="B220" s="10" t="inlineStr">
        <is>
          <t>3164531752</t>
        </is>
      </c>
      <c r="C220" s="10" t="inlineStr">
        <is>
          <t>PEUGEOT 208 GTi 1.6 30Th Numérotée 898</t>
        </is>
      </c>
      <c r="D220" s="18" t="n">
        <v>46296</v>
      </c>
      <c r="E220" s="12" t="n">
        <v>23490</v>
      </c>
      <c r="F220" s="14">
        <f>IF(AND($B220=$B219,ISNUMBER(E219),E219&gt;0),E220/E219-1,"")</f>
        <v/>
      </c>
      <c r="G220" s="19" t="inlineStr">
        <is>
          <t>Voir</t>
        </is>
      </c>
    </row>
    <row r="221">
      <c r="A221" s="10" t="inlineStr">
        <is>
          <t>Peugeot 208 GTi 30th</t>
        </is>
      </c>
      <c r="B221" s="10" t="inlineStr">
        <is>
          <t>3210880878</t>
        </is>
      </c>
      <c r="C221" s="10" t="inlineStr">
        <is>
          <t>PEUGEOT 208 GTI 30th 1.6 THP 208CV FULL OPTION</t>
        </is>
      </c>
      <c r="D221" s="18" t="n">
        <v>46296</v>
      </c>
      <c r="E221" s="12" t="n">
        <v>12000</v>
      </c>
      <c r="F221" s="14">
        <f>IF(AND($B221=$B220,ISNUMBER(E220),E220&gt;0),E221/E220-1,"")</f>
        <v/>
      </c>
      <c r="G221" s="19" t="inlineStr">
        <is>
          <t>Voir</t>
        </is>
      </c>
    </row>
    <row r="222">
      <c r="A222" s="10" t="inlineStr">
        <is>
          <t>Peugeot 208 GTi 30th</t>
        </is>
      </c>
      <c r="B222" s="10" t="inlineStr">
        <is>
          <t>3242289072</t>
        </is>
      </c>
      <c r="C222" s="10" t="inlineStr">
        <is>
          <t>Peugeot 208 gti 30th by peugeot sport 208ch 2 ou 5 places</t>
        </is>
      </c>
      <c r="D222" s="18" t="n">
        <v>46296</v>
      </c>
      <c r="E222" s="12" t="n">
        <v>14990</v>
      </c>
      <c r="F222" s="14">
        <f>IF(AND($B222=$B221,ISNUMBER(E221),E221&gt;0),E222/E221-1,"")</f>
        <v/>
      </c>
      <c r="G222" s="19" t="inlineStr">
        <is>
          <t>Voir</t>
        </is>
      </c>
    </row>
    <row r="223">
      <c r="A223" s="10" t="inlineStr">
        <is>
          <t>Peugeot 208 GTi 30th</t>
        </is>
      </c>
      <c r="B223" s="10" t="inlineStr">
        <is>
          <t>3249108312</t>
        </is>
      </c>
      <c r="C223" s="10" t="inlineStr">
        <is>
          <t>Peugeot 208 30th n°205</t>
        </is>
      </c>
      <c r="D223" s="18" t="n">
        <v>46296</v>
      </c>
      <c r="E223" s="12" t="n">
        <v>17500</v>
      </c>
      <c r="F223" s="14">
        <f>IF(AND($B223=$B222,ISNUMBER(E222),E222&gt;0),E223/E222-1,"")</f>
        <v/>
      </c>
      <c r="G223" s="19" t="inlineStr">
        <is>
          <t>Voir</t>
        </is>
      </c>
    </row>
    <row r="224">
      <c r="A224" s="10" t="inlineStr">
        <is>
          <t>Peugeot 208 GTi 30th</t>
        </is>
      </c>
      <c r="B224" s="10" t="inlineStr">
        <is>
          <t>3268508446</t>
        </is>
      </c>
      <c r="C224" s="10" t="inlineStr">
        <is>
          <t>208 Gti 30th</t>
        </is>
      </c>
      <c r="D224" s="18" t="n">
        <v>46296</v>
      </c>
      <c r="E224" s="12" t="n">
        <v>14890</v>
      </c>
      <c r="F224" s="14">
        <f>IF(AND($B224=$B223,ISNUMBER(E223),E223&gt;0),E224/E223-1,"")</f>
        <v/>
      </c>
      <c r="G224" s="19" t="inlineStr">
        <is>
          <t>Voir</t>
        </is>
      </c>
    </row>
    <row r="225">
      <c r="A225" s="10" t="inlineStr">
        <is>
          <t>Peugeot 208 GTi 30th</t>
        </is>
      </c>
      <c r="B225" s="10" t="inlineStr">
        <is>
          <t>3270584772</t>
        </is>
      </c>
      <c r="C225" s="10" t="inlineStr">
        <is>
          <t>208 GTI 30th BPS</t>
        </is>
      </c>
      <c r="D225" s="18" t="n">
        <v>46296</v>
      </c>
      <c r="E225" s="12" t="n">
        <v>15900</v>
      </c>
      <c r="F225" s="14">
        <f>IF(AND($B225=$B224,ISNUMBER(E224),E224&gt;0),E225/E224-1,"")</f>
        <v/>
      </c>
      <c r="G225" s="19" t="inlineStr">
        <is>
          <t>Voir</t>
        </is>
      </c>
    </row>
    <row r="226">
      <c r="A226" s="10" t="inlineStr">
        <is>
          <t>Peugeot 208 GTi 30th</t>
        </is>
      </c>
      <c r="B226" s="10" t="inlineStr">
        <is>
          <t>3271215938</t>
        </is>
      </c>
      <c r="C226" s="10" t="inlineStr">
        <is>
          <t>208 git 30th anniversaire</t>
        </is>
      </c>
      <c r="D226" s="18" t="n">
        <v>46296</v>
      </c>
      <c r="E226" s="12" t="n">
        <v>10500</v>
      </c>
      <c r="F226" s="14">
        <f>IF(AND($B226=$B225,ISNUMBER(E225),E225&gt;0),E226/E225-1,"")</f>
        <v/>
      </c>
      <c r="G226" s="19" t="inlineStr">
        <is>
          <t>Voir</t>
        </is>
      </c>
    </row>
    <row r="227">
      <c r="A227" s="10" t="inlineStr">
        <is>
          <t>Peugeot 208 GTi 30th</t>
        </is>
      </c>
      <c r="B227" s="10" t="inlineStr">
        <is>
          <t>3275390710</t>
        </is>
      </c>
      <c r="C227" s="10" t="inlineStr">
        <is>
          <t>208 GTI 30th</t>
        </is>
      </c>
      <c r="D227" s="18" t="n">
        <v>46296</v>
      </c>
      <c r="E227" s="12" t="n">
        <v>14500</v>
      </c>
      <c r="F227" s="14">
        <f>IF(AND($B227=$B226,ISNUMBER(E226),E226&gt;0),E227/E226-1,"")</f>
        <v/>
      </c>
      <c r="G227" s="19" t="inlineStr">
        <is>
          <t>Voir</t>
        </is>
      </c>
    </row>
    <row r="228">
      <c r="A228" s="10" t="inlineStr">
        <is>
          <t>Peugeot 208 GTi 30th</t>
        </is>
      </c>
      <c r="B228" s="10" t="inlineStr">
        <is>
          <t>3275427165</t>
        </is>
      </c>
      <c r="C228" s="10" t="inlineStr">
        <is>
          <t>Peugeot 208 GTI 30th</t>
        </is>
      </c>
      <c r="D228" s="18" t="n">
        <v>46296</v>
      </c>
      <c r="E228" s="12" t="n">
        <v>17900</v>
      </c>
      <c r="F228" s="14">
        <f>IF(AND($B228=$B227,ISNUMBER(E227),E227&gt;0),E228/E227-1,"")</f>
        <v/>
      </c>
      <c r="G228" s="19" t="inlineStr">
        <is>
          <t>Voir</t>
        </is>
      </c>
    </row>
    <row r="229">
      <c r="A229" s="10" t="inlineStr">
        <is>
          <t>Peugeot 208 GTi 30th</t>
        </is>
      </c>
      <c r="B229" s="10" t="inlineStr">
        <is>
          <t>3278215050</t>
        </is>
      </c>
      <c r="C229" s="10" t="inlineStr">
        <is>
          <t>Peugeot 208 generation-i 1.6 thp 210 gti 30th peugeot sport - suivi complet/garantie 12 mois</t>
        </is>
      </c>
      <c r="D229" s="18" t="n">
        <v>46296</v>
      </c>
      <c r="E229" s="12" t="n">
        <v>12990</v>
      </c>
      <c r="F229" s="14">
        <f>IF(AND($B229=$B228,ISNUMBER(E228),E228&gt;0),E229/E228-1,"")</f>
        <v/>
      </c>
      <c r="G229" s="19" t="inlineStr">
        <is>
          <t>Voir</t>
        </is>
      </c>
    </row>
    <row r="230">
      <c r="A230" s="10" t="inlineStr">
        <is>
          <t>Peugeot 306 S16</t>
        </is>
      </c>
      <c r="B230" s="10" t="inlineStr">
        <is>
          <t>3006219965</t>
        </is>
      </c>
      <c r="C230" s="10" t="inlineStr">
        <is>
          <t>306 s16 ACAV 1997 boite 6</t>
        </is>
      </c>
      <c r="D230" s="18" t="n">
        <v>46296</v>
      </c>
      <c r="E230" s="12" t="n">
        <v>12800</v>
      </c>
      <c r="F230" s="14">
        <f>IF(AND($B230=$B229,ISNUMBER(E229),E229&gt;0),E230/E229-1,"")</f>
        <v/>
      </c>
      <c r="G230" s="19" t="inlineStr">
        <is>
          <t>Voir</t>
        </is>
      </c>
    </row>
    <row r="231">
      <c r="A231" s="10" t="inlineStr">
        <is>
          <t>Peugeot 306 S16</t>
        </is>
      </c>
      <c r="B231" s="10" t="inlineStr">
        <is>
          <t>3218818524</t>
        </is>
      </c>
      <c r="C231" s="10" t="inlineStr">
        <is>
          <t>Xsara vts 167 éthanol</t>
        </is>
      </c>
      <c r="D231" s="18" t="n">
        <v>46296</v>
      </c>
      <c r="E231" s="12" t="n">
        <v>11900</v>
      </c>
      <c r="F231" s="14">
        <f>IF(AND($B231=$B230,ISNUMBER(E230),E230&gt;0),E231/E230-1,"")</f>
        <v/>
      </c>
      <c r="G231" s="19" t="inlineStr">
        <is>
          <t>Voir</t>
        </is>
      </c>
    </row>
    <row r="232">
      <c r="A232" s="10" t="inlineStr">
        <is>
          <t>Peugeot 306 S16</t>
        </is>
      </c>
      <c r="B232" s="10" t="inlineStr">
        <is>
          <t>3235223068</t>
        </is>
      </c>
      <c r="C232" s="10" t="inlineStr">
        <is>
          <t>205 piste</t>
        </is>
      </c>
      <c r="D232" s="18" t="n">
        <v>46296</v>
      </c>
      <c r="E232" s="12" t="n">
        <v>7000</v>
      </c>
      <c r="F232" s="14">
        <f>IF(AND($B232=$B231,ISNUMBER(E231),E231&gt;0),E232/E231-1,"")</f>
        <v/>
      </c>
      <c r="G232" s="19" t="inlineStr">
        <is>
          <t>Voir</t>
        </is>
      </c>
    </row>
    <row r="233">
      <c r="A233" s="10" t="inlineStr">
        <is>
          <t>Peugeot 306 S16</t>
        </is>
      </c>
      <c r="B233" s="10" t="inlineStr">
        <is>
          <t>3257692927</t>
        </is>
      </c>
      <c r="C233" s="10" t="inlineStr">
        <is>
          <t>306 s16 Le Mans</t>
        </is>
      </c>
      <c r="D233" s="18" t="n">
        <v>46296</v>
      </c>
      <c r="E233" s="12" t="n">
        <v>12000</v>
      </c>
      <c r="F233" s="14">
        <f>IF(AND($B233=$B232,ISNUMBER(E232),E232&gt;0),E233/E232-1,"")</f>
        <v/>
      </c>
      <c r="G233" s="19" t="inlineStr">
        <is>
          <t>Voir</t>
        </is>
      </c>
    </row>
    <row r="234">
      <c r="A234" s="10" t="inlineStr">
        <is>
          <t>Peugeot 306 S16</t>
        </is>
      </c>
      <c r="B234" s="10" t="inlineStr">
        <is>
          <t>3261159396</t>
        </is>
      </c>
      <c r="C234" s="10" t="inlineStr">
        <is>
          <t>206 s16 Tracktool</t>
        </is>
      </c>
      <c r="D234" s="18" t="n">
        <v>46296</v>
      </c>
      <c r="E234" s="12" t="n">
        <v>6300</v>
      </c>
      <c r="F234" s="14">
        <f>IF(AND($B234=$B233,ISNUMBER(E233),E233&gt;0),E234/E233-1,"")</f>
        <v/>
      </c>
      <c r="G234" s="19" t="inlineStr">
        <is>
          <t>Voir</t>
        </is>
      </c>
    </row>
    <row r="235">
      <c r="A235" s="10" t="inlineStr">
        <is>
          <t>Peugeot 306 S16</t>
        </is>
      </c>
      <c r="B235" s="10" t="inlineStr">
        <is>
          <t>3261609180</t>
        </is>
      </c>
      <c r="C235" s="10" t="inlineStr">
        <is>
          <t>306 s16 phase 3</t>
        </is>
      </c>
      <c r="D235" s="18" t="n">
        <v>46296</v>
      </c>
      <c r="E235" s="12" t="n">
        <v>15000</v>
      </c>
      <c r="F235" s="14">
        <f>IF(AND($B235=$B234,ISNUMBER(E234),E234&gt;0),E235/E234-1,"")</f>
        <v/>
      </c>
      <c r="G235" s="19" t="inlineStr">
        <is>
          <t>Voir</t>
        </is>
      </c>
    </row>
    <row r="236">
      <c r="A236" s="10" t="inlineStr">
        <is>
          <t>Peugeot 306 S16</t>
        </is>
      </c>
      <c r="B236" s="10" t="inlineStr">
        <is>
          <t>3261852437</t>
        </is>
      </c>
      <c r="C236" s="10" t="inlineStr">
        <is>
          <t>Peugeot 306 S16 155Ch</t>
        </is>
      </c>
      <c r="D236" s="18" t="n">
        <v>46296</v>
      </c>
      <c r="E236" s="12" t="n">
        <v>7800</v>
      </c>
      <c r="F236" s="14">
        <f>IF(AND($B236=$B235,ISNUMBER(E235),E235&gt;0),E236/E235-1,"")</f>
        <v/>
      </c>
      <c r="G236" s="19" t="inlineStr">
        <is>
          <t>Voir</t>
        </is>
      </c>
    </row>
    <row r="237">
      <c r="A237" s="10" t="inlineStr">
        <is>
          <t>Peugeot 306 S16</t>
        </is>
      </c>
      <c r="B237" s="10" t="inlineStr">
        <is>
          <t>3263390958</t>
        </is>
      </c>
      <c r="C237" s="10" t="inlineStr">
        <is>
          <t>Peugeot 306 S16 Le Mans</t>
        </is>
      </c>
      <c r="D237" s="18" t="n">
        <v>46296</v>
      </c>
      <c r="E237" s="12" t="n">
        <v>16000</v>
      </c>
      <c r="F237" s="14">
        <f>IF(AND($B237=$B236,ISNUMBER(E236),E236&gt;0),E237/E236-1,"")</f>
        <v/>
      </c>
      <c r="G237" s="19" t="inlineStr">
        <is>
          <t>Voir</t>
        </is>
      </c>
    </row>
    <row r="238">
      <c r="A238" s="10" t="inlineStr">
        <is>
          <t>Peugeot 306 S16</t>
        </is>
      </c>
      <c r="B238" s="10" t="inlineStr">
        <is>
          <t>3267049380</t>
        </is>
      </c>
      <c r="C238" s="10" t="inlineStr">
        <is>
          <t>306 1.6 90cv</t>
        </is>
      </c>
      <c r="D238" s="18" t="n">
        <v>46296</v>
      </c>
      <c r="E238" s="12" t="n">
        <v>1000</v>
      </c>
      <c r="F238" s="14">
        <f>IF(AND($B238=$B237,ISNUMBER(E237),E237&gt;0),E238/E237-1,"")</f>
        <v/>
      </c>
      <c r="G238" s="19" t="inlineStr">
        <is>
          <t>Voir</t>
        </is>
      </c>
    </row>
    <row r="239">
      <c r="A239" s="10" t="inlineStr">
        <is>
          <t>Peugeot 306 S16</t>
        </is>
      </c>
      <c r="B239" s="10" t="inlineStr">
        <is>
          <t>3267140247</t>
        </is>
      </c>
      <c r="C239" s="10" t="inlineStr">
        <is>
          <t>Peugeot 306 S16 Bleu</t>
        </is>
      </c>
      <c r="D239" s="18" t="n">
        <v>46296</v>
      </c>
      <c r="E239" s="12" t="n">
        <v>1000</v>
      </c>
      <c r="F239" s="14">
        <f>IF(AND($B239=$B238,ISNUMBER(E238),E238&gt;0),E239/E238-1,"")</f>
        <v/>
      </c>
      <c r="G239" s="19" t="inlineStr">
        <is>
          <t>Voir</t>
        </is>
      </c>
    </row>
    <row r="240">
      <c r="A240" s="10" t="inlineStr">
        <is>
          <t>Peugeot 306 S16</t>
        </is>
      </c>
      <c r="B240" s="10" t="inlineStr">
        <is>
          <t>3267746572</t>
        </is>
      </c>
      <c r="C240" s="10" t="inlineStr">
        <is>
          <t>306 xsi swap TCT</t>
        </is>
      </c>
      <c r="D240" s="18" t="n">
        <v>46296</v>
      </c>
      <c r="E240" s="12" t="n">
        <v>3500</v>
      </c>
      <c r="F240" s="14">
        <f>IF(AND($B240=$B239,ISNUMBER(E239),E239&gt;0),E240/E239-1,"")</f>
        <v/>
      </c>
      <c r="G240" s="19" t="inlineStr">
        <is>
          <t>Voir</t>
        </is>
      </c>
    </row>
    <row r="241">
      <c r="A241" s="10" t="inlineStr">
        <is>
          <t>Peugeot 306 S16</t>
        </is>
      </c>
      <c r="B241" s="10" t="inlineStr">
        <is>
          <t>3268479738</t>
        </is>
      </c>
      <c r="C241" s="10" t="inlineStr">
        <is>
          <t>106 S16 préparée</t>
        </is>
      </c>
      <c r="D241" s="18" t="n">
        <v>46296</v>
      </c>
      <c r="E241" s="12" t="n">
        <v>14000</v>
      </c>
      <c r="F241" s="14">
        <f>IF(AND($B241=$B240,ISNUMBER(E240),E240&gt;0),E241/E240-1,"")</f>
        <v/>
      </c>
      <c r="G241" s="19" t="inlineStr">
        <is>
          <t>Voir</t>
        </is>
      </c>
    </row>
    <row r="242">
      <c r="A242" s="10" t="inlineStr">
        <is>
          <t>Peugeot 306 S16</t>
        </is>
      </c>
      <c r="B242" s="10" t="inlineStr">
        <is>
          <t>3270051665</t>
        </is>
      </c>
      <c r="C242" s="10" t="inlineStr">
        <is>
          <t>306 s16 bv6</t>
        </is>
      </c>
      <c r="D242" s="18" t="n">
        <v>46296</v>
      </c>
      <c r="E242" s="12" t="n">
        <v>10000</v>
      </c>
      <c r="F242" s="14">
        <f>IF(AND($B242=$B241,ISNUMBER(E241),E241&gt;0),E242/E241-1,"")</f>
        <v/>
      </c>
      <c r="G242" s="19" t="inlineStr">
        <is>
          <t>Voir</t>
        </is>
      </c>
    </row>
    <row r="243">
      <c r="A243" s="10" t="inlineStr">
        <is>
          <t>Peugeot 306 S16</t>
        </is>
      </c>
      <c r="B243" s="10" t="inlineStr">
        <is>
          <t>3270125349</t>
        </is>
      </c>
      <c r="C243" s="10" t="inlineStr">
        <is>
          <t>306 s16 167cv</t>
        </is>
      </c>
      <c r="D243" s="18" t="n">
        <v>46296</v>
      </c>
      <c r="E243" s="12" t="n">
        <v>8000</v>
      </c>
      <c r="F243" s="14">
        <f>IF(AND($B243=$B242,ISNUMBER(E242),E242&gt;0),E243/E242-1,"")</f>
        <v/>
      </c>
      <c r="G243" s="19" t="inlineStr">
        <is>
          <t>Voir</t>
        </is>
      </c>
    </row>
    <row r="244">
      <c r="A244" s="10" t="inlineStr">
        <is>
          <t>Peugeot 306 S16</t>
        </is>
      </c>
      <c r="B244" s="10" t="inlineStr">
        <is>
          <t>3271090302</t>
        </is>
      </c>
      <c r="C244" s="10" t="inlineStr">
        <is>
          <t>Peugeot 306 s16 bv6</t>
        </is>
      </c>
      <c r="D244" s="18" t="n">
        <v>46296</v>
      </c>
      <c r="E244" s="12" t="n">
        <v>15000</v>
      </c>
      <c r="F244" s="14">
        <f>IF(AND($B244=$B243,ISNUMBER(E243),E243&gt;0),E244/E243-1,"")</f>
        <v/>
      </c>
      <c r="G244" s="19" t="inlineStr">
        <is>
          <t>Voir</t>
        </is>
      </c>
    </row>
    <row r="245">
      <c r="A245" s="10" t="inlineStr">
        <is>
          <t>Peugeot 306 S16</t>
        </is>
      </c>
      <c r="B245" s="10" t="inlineStr">
        <is>
          <t>3272177449</t>
        </is>
      </c>
      <c r="C245" s="10" t="inlineStr">
        <is>
          <t>306 s16 Bv6</t>
        </is>
      </c>
      <c r="D245" s="18" t="n">
        <v>46296</v>
      </c>
      <c r="E245" s="12" t="n">
        <v>26800</v>
      </c>
      <c r="F245" s="14">
        <f>IF(AND($B245=$B244,ISNUMBER(E244),E244&gt;0),E245/E244-1,"")</f>
        <v/>
      </c>
      <c r="G245" s="19" t="inlineStr">
        <is>
          <t>Voir</t>
        </is>
      </c>
    </row>
    <row r="246">
      <c r="A246" s="10" t="inlineStr">
        <is>
          <t>Peugeot 306 S16</t>
        </is>
      </c>
      <c r="B246" s="10" t="inlineStr">
        <is>
          <t>3272423201</t>
        </is>
      </c>
      <c r="C246" s="10" t="inlineStr">
        <is>
          <t>Peugeot 306 s16</t>
        </is>
      </c>
      <c r="D246" s="18" t="n">
        <v>46296</v>
      </c>
      <c r="E246" s="12" t="n">
        <v>9000</v>
      </c>
      <c r="F246" s="14">
        <f>IF(AND($B246=$B245,ISNUMBER(E245),E245&gt;0),E246/E245-1,"")</f>
        <v/>
      </c>
      <c r="G246" s="19" t="inlineStr">
        <is>
          <t>Voir</t>
        </is>
      </c>
    </row>
    <row r="247">
      <c r="A247" s="10" t="inlineStr">
        <is>
          <t>Peugeot 306 S16</t>
        </is>
      </c>
      <c r="B247" s="10" t="inlineStr">
        <is>
          <t>3272452236</t>
        </is>
      </c>
      <c r="C247" s="10" t="inlineStr">
        <is>
          <t>306 S16 phase 1 BV6 / 167 cv</t>
        </is>
      </c>
      <c r="D247" s="18" t="n">
        <v>46296</v>
      </c>
      <c r="E247" s="12" t="n">
        <v>6800</v>
      </c>
      <c r="F247" s="14">
        <f>IF(AND($B247=$B246,ISNUMBER(E246),E246&gt;0),E247/E246-1,"")</f>
        <v/>
      </c>
      <c r="G247" s="19" t="inlineStr">
        <is>
          <t>Voir</t>
        </is>
      </c>
    </row>
    <row r="248">
      <c r="A248" s="10" t="inlineStr">
        <is>
          <t>Peugeot 306 S16</t>
        </is>
      </c>
      <c r="B248" s="10" t="inlineStr">
        <is>
          <t>3273929462</t>
        </is>
      </c>
      <c r="C248" s="10" t="inlineStr">
        <is>
          <t>306</t>
        </is>
      </c>
      <c r="D248" s="18" t="n">
        <v>46296</v>
      </c>
      <c r="E248" s="12" t="n">
        <v>5200</v>
      </c>
      <c r="F248" s="14">
        <f>IF(AND($B248=$B247,ISNUMBER(E247),E247&gt;0),E248/E247-1,"")</f>
        <v/>
      </c>
      <c r="G248" s="19" t="inlineStr">
        <is>
          <t>Voir</t>
        </is>
      </c>
    </row>
    <row r="249">
      <c r="A249" s="10" t="inlineStr">
        <is>
          <t>Peugeot 306 S16</t>
        </is>
      </c>
      <c r="B249" s="10" t="inlineStr">
        <is>
          <t>3276024169</t>
        </is>
      </c>
      <c r="C249" s="10" t="inlineStr">
        <is>
          <t>Citroën zx 16v</t>
        </is>
      </c>
      <c r="D249" s="18" t="n">
        <v>46296</v>
      </c>
      <c r="E249" s="12" t="n">
        <v>8200</v>
      </c>
      <c r="F249" s="14">
        <f>IF(AND($B249=$B248,ISNUMBER(E248),E248&gt;0),E249/E248-1,"")</f>
        <v/>
      </c>
      <c r="G249" s="19" t="inlineStr">
        <is>
          <t>Voir</t>
        </is>
      </c>
    </row>
    <row r="250">
      <c r="A250" s="10" t="inlineStr">
        <is>
          <t>Peugeot 306 S16</t>
        </is>
      </c>
      <c r="B250" s="10" t="inlineStr">
        <is>
          <t>3276353657</t>
        </is>
      </c>
      <c r="C250" s="10" t="inlineStr">
        <is>
          <t>Peugeot 306 S16 BV6</t>
        </is>
      </c>
      <c r="D250" s="18" t="n">
        <v>46296</v>
      </c>
      <c r="E250" s="12" t="n">
        <v>8000</v>
      </c>
      <c r="F250" s="14">
        <f>IF(AND($B250=$B249,ISNUMBER(E249),E249&gt;0),E250/E249-1,"")</f>
        <v/>
      </c>
      <c r="G250" s="19" t="inlineStr">
        <is>
          <t>Voir</t>
        </is>
      </c>
    </row>
    <row r="251">
      <c r="A251" s="10" t="inlineStr">
        <is>
          <t>Peugeot 306 S16</t>
        </is>
      </c>
      <c r="B251" s="10" t="inlineStr">
        <is>
          <t>3276437381</t>
        </is>
      </c>
      <c r="C251" s="10" t="inlineStr">
        <is>
          <t>Peugeot 306 s16 / BV6 / 167</t>
        </is>
      </c>
      <c r="D251" s="18" t="n">
        <v>46296</v>
      </c>
      <c r="E251" s="12" t="n">
        <v>16500</v>
      </c>
      <c r="F251" s="14">
        <f>IF(AND($B251=$B250,ISNUMBER(E250),E250&gt;0),E251/E250-1,"")</f>
        <v/>
      </c>
      <c r="G251" s="19" t="inlineStr">
        <is>
          <t>Voir</t>
        </is>
      </c>
    </row>
    <row r="252">
      <c r="A252" s="10" t="inlineStr">
        <is>
          <t>Peugeot 306 S16</t>
        </is>
      </c>
      <c r="B252" s="10" t="inlineStr">
        <is>
          <t>3276571950</t>
        </is>
      </c>
      <c r="C252" s="10" t="inlineStr">
        <is>
          <t>Peugeot 306 s16 / gti bv6</t>
        </is>
      </c>
      <c r="D252" s="18" t="n">
        <v>46296</v>
      </c>
      <c r="E252" s="12" t="n">
        <v>8000</v>
      </c>
      <c r="F252" s="14">
        <f>IF(AND($B252=$B251,ISNUMBER(E251),E251&gt;0),E252/E251-1,"")</f>
        <v/>
      </c>
      <c r="G252" s="19" t="inlineStr">
        <is>
          <t>Voir</t>
        </is>
      </c>
    </row>
    <row r="253">
      <c r="A253" s="10" t="inlineStr">
        <is>
          <t>Peugeot 306 S16</t>
        </is>
      </c>
      <c r="B253" s="10" t="inlineStr">
        <is>
          <t>3277457567</t>
        </is>
      </c>
      <c r="C253" s="10" t="inlineStr">
        <is>
          <t>Peugeot 106 1.6L XSI</t>
        </is>
      </c>
      <c r="D253" s="18" t="n">
        <v>46296</v>
      </c>
      <c r="E253" s="12" t="n">
        <v>10000</v>
      </c>
      <c r="F253" s="14">
        <f>IF(AND($B253=$B252,ISNUMBER(E252),E252&gt;0),E253/E252-1,"")</f>
        <v/>
      </c>
      <c r="G253" s="19" t="inlineStr">
        <is>
          <t>Voir</t>
        </is>
      </c>
    </row>
    <row r="254">
      <c r="A254" s="10" t="inlineStr">
        <is>
          <t>Peugeot 306 S16</t>
        </is>
      </c>
      <c r="B254" s="10" t="inlineStr">
        <is>
          <t>3280107297</t>
        </is>
      </c>
      <c r="C254" s="10" t="inlineStr">
        <is>
          <t>306 s16</t>
        </is>
      </c>
      <c r="D254" s="18" t="n">
        <v>46296</v>
      </c>
      <c r="E254" s="12" t="n">
        <v>4000</v>
      </c>
      <c r="F254" s="14">
        <f>IF(AND($B254=$B253,ISNUMBER(E253),E253&gt;0),E254/E253-1,"")</f>
        <v/>
      </c>
      <c r="G254" s="19" t="inlineStr">
        <is>
          <t>Voir</t>
        </is>
      </c>
    </row>
    <row r="255">
      <c r="A255" s="10" t="inlineStr">
        <is>
          <t>Porsche 911 997 Carrera S</t>
        </is>
      </c>
      <c r="B255" s="10" t="inlineStr">
        <is>
          <t>2751924257</t>
        </is>
      </c>
      <c r="C255" s="10" t="inlineStr">
        <is>
          <t>Porsche 911 3.8i 355 F6 CARRERA S (997)</t>
        </is>
      </c>
      <c r="D255" s="18" t="n">
        <v>46296</v>
      </c>
      <c r="E255" s="12" t="n">
        <v>49900</v>
      </c>
      <c r="F255" s="14">
        <f>IF(AND($B255=$B254,ISNUMBER(E254),E254&gt;0),E255/E254-1,"")</f>
        <v/>
      </c>
      <c r="G255" s="19" t="inlineStr">
        <is>
          <t>Voir</t>
        </is>
      </c>
    </row>
    <row r="256">
      <c r="A256" s="10" t="inlineStr">
        <is>
          <t>Porsche 911 997 Carrera S</t>
        </is>
      </c>
      <c r="B256" s="10" t="inlineStr">
        <is>
          <t>3024366461</t>
        </is>
      </c>
      <c r="C256" s="10" t="inlineStr">
        <is>
          <t>Porsche 911 CABRIOLET (997) CARRERA 4 TIPTRONIC S</t>
        </is>
      </c>
      <c r="D256" s="18" t="n">
        <v>46296</v>
      </c>
      <c r="E256" s="12" t="n">
        <v>48000</v>
      </c>
      <c r="F256" s="14">
        <f>IF(AND($B256=$B255,ISNUMBER(E255),E255&gt;0),E256/E255-1,"")</f>
        <v/>
      </c>
      <c r="G256" s="19" t="inlineStr">
        <is>
          <t>Voir</t>
        </is>
      </c>
    </row>
    <row r="257">
      <c r="A257" s="10" t="inlineStr">
        <is>
          <t>Porsche 911 997 Carrera S</t>
        </is>
      </c>
      <c r="B257" s="10" t="inlineStr">
        <is>
          <t>3058221809</t>
        </is>
      </c>
      <c r="C257" s="10" t="inlineStr">
        <is>
          <t>Porsche 911 (997) Carrera S 3.8i TipTronic / PASM Bose Echappement Sport Toit Ouvrant etc</t>
        </is>
      </c>
      <c r="D257" s="18" t="n">
        <v>46296</v>
      </c>
      <c r="E257" s="12" t="n">
        <v>46990</v>
      </c>
      <c r="F257" s="14">
        <f>IF(AND($B257=$B256,ISNUMBER(E256),E256&gt;0),E257/E256-1,"")</f>
        <v/>
      </c>
      <c r="G257" s="19" t="inlineStr">
        <is>
          <t>Voir</t>
        </is>
      </c>
    </row>
    <row r="258">
      <c r="A258" s="10" t="inlineStr">
        <is>
          <t>Porsche 911 997 Carrera S</t>
        </is>
      </c>
      <c r="B258" s="10" t="inlineStr">
        <is>
          <t>3100841497</t>
        </is>
      </c>
      <c r="C258" s="10" t="inlineStr">
        <is>
          <t>Porsche 911 997 Cabriolet Carrera S 3.8 355ch Boîte Manuelle</t>
        </is>
      </c>
      <c r="D258" s="18" t="n">
        <v>46296</v>
      </c>
      <c r="E258" s="12" t="n">
        <v>58900</v>
      </c>
      <c r="F258" s="14">
        <f>IF(AND($B258=$B257,ISNUMBER(E257),E257&gt;0),E258/E257-1,"")</f>
        <v/>
      </c>
      <c r="G258" s="19" t="inlineStr">
        <is>
          <t>Voir</t>
        </is>
      </c>
    </row>
    <row r="259">
      <c r="A259" s="10" t="inlineStr">
        <is>
          <t>Porsche 911 997 Carrera S</t>
        </is>
      </c>
      <c r="B259" s="10" t="inlineStr">
        <is>
          <t>3135209876</t>
        </is>
      </c>
      <c r="C259" s="10" t="inlineStr">
        <is>
          <t>Porsche 911 CARRERA COUPE 997 S Coupé 3.8i</t>
        </is>
      </c>
      <c r="D259" s="18" t="n">
        <v>46296</v>
      </c>
      <c r="E259" s="12" t="n">
        <v>55990</v>
      </c>
      <c r="F259" s="14">
        <f>IF(AND($B259=$B258,ISNUMBER(E258),E258&gt;0),E259/E258-1,"")</f>
        <v/>
      </c>
      <c r="G259" s="19" t="inlineStr">
        <is>
          <t>Voir</t>
        </is>
      </c>
    </row>
    <row r="260">
      <c r="A260" s="10" t="inlineStr">
        <is>
          <t>Porsche 911 997 Carrera S</t>
        </is>
      </c>
      <c r="B260" s="10" t="inlineStr">
        <is>
          <t>3177094157</t>
        </is>
      </c>
      <c r="C260" s="10" t="inlineStr">
        <is>
          <t>PORSCHE 911 COUPE (997) carrera s</t>
        </is>
      </c>
      <c r="D260" s="18" t="n">
        <v>46296</v>
      </c>
      <c r="E260" s="12" t="n">
        <v>49980</v>
      </c>
      <c r="F260" s="14">
        <f>IF(AND($B260=$B259,ISNUMBER(E259),E259&gt;0),E260/E259-1,"")</f>
        <v/>
      </c>
      <c r="G260" s="19" t="inlineStr">
        <is>
          <t>Voir</t>
        </is>
      </c>
    </row>
    <row r="261">
      <c r="A261" s="10" t="inlineStr">
        <is>
          <t>Porsche 911 997 Carrera S</t>
        </is>
      </c>
      <c r="B261" s="10" t="inlineStr">
        <is>
          <t>3203471672</t>
        </is>
      </c>
      <c r="C261" s="10" t="inlineStr">
        <is>
          <t>Porsche 911 IV (997) Carrera S TipTronic</t>
        </is>
      </c>
      <c r="D261" s="18" t="n">
        <v>46296</v>
      </c>
      <c r="E261" s="12" t="n">
        <v>49990</v>
      </c>
      <c r="F261" s="14">
        <f>IF(AND($B261=$B260,ISNUMBER(E260),E260&gt;0),E261/E260-1,"")</f>
        <v/>
      </c>
      <c r="G261" s="19" t="inlineStr">
        <is>
          <t>Voir</t>
        </is>
      </c>
    </row>
    <row r="262">
      <c r="A262" s="10" t="inlineStr">
        <is>
          <t>Porsche 911 997 Carrera S</t>
        </is>
      </c>
      <c r="B262" s="10" t="inlineStr">
        <is>
          <t>3205610309</t>
        </is>
      </c>
      <c r="C262" s="10" t="inlineStr">
        <is>
          <t>Porsche 911 997 Carrera S Cabriolet 2005 - Garantie</t>
        </is>
      </c>
      <c r="D262" s="18" t="n">
        <v>46296</v>
      </c>
      <c r="E262" s="12" t="n">
        <v>55000</v>
      </c>
      <c r="F262" s="14">
        <f>IF(AND($B262=$B261,ISNUMBER(E261),E261&gt;0),E262/E261-1,"")</f>
        <v/>
      </c>
      <c r="G262" s="19" t="inlineStr">
        <is>
          <t>Voir</t>
        </is>
      </c>
    </row>
    <row r="263">
      <c r="A263" s="10" t="inlineStr">
        <is>
          <t>Porsche 911 997 Carrera S</t>
        </is>
      </c>
      <c r="B263" s="10" t="inlineStr">
        <is>
          <t>3207867613</t>
        </is>
      </c>
      <c r="C263" s="10" t="inlineStr">
        <is>
          <t>Porsche 911 IV (997) Carrera 4S TipTronic S</t>
        </is>
      </c>
      <c r="D263" s="18" t="n">
        <v>46296</v>
      </c>
      <c r="E263" s="12" t="n">
        <v>49990</v>
      </c>
      <c r="F263" s="14">
        <f>IF(AND($B263=$B262,ISNUMBER(E262),E262&gt;0),E263/E262-1,"")</f>
        <v/>
      </c>
      <c r="G263" s="19" t="inlineStr">
        <is>
          <t>Voir</t>
        </is>
      </c>
    </row>
    <row r="264">
      <c r="A264" s="10" t="inlineStr">
        <is>
          <t>Porsche 911 997 Carrera S</t>
        </is>
      </c>
      <c r="B264" s="10" t="inlineStr">
        <is>
          <t>3208968875</t>
        </is>
      </c>
      <c r="C264" s="10" t="inlineStr">
        <is>
          <t>Porsche 911 (997) CARRERA S TIPTRONIC</t>
        </is>
      </c>
      <c r="D264" s="18" t="n">
        <v>46296</v>
      </c>
      <c r="E264" s="12" t="n">
        <v>50990</v>
      </c>
      <c r="F264" s="14">
        <f>IF(AND($B264=$B263,ISNUMBER(E263),E263&gt;0),E264/E263-1,"")</f>
        <v/>
      </c>
      <c r="G264" s="19" t="inlineStr">
        <is>
          <t>Voir</t>
        </is>
      </c>
    </row>
    <row r="265">
      <c r="A265" s="10" t="inlineStr">
        <is>
          <t>Porsche 911 997 Carrera S</t>
        </is>
      </c>
      <c r="B265" s="10" t="inlineStr">
        <is>
          <t>3225420947</t>
        </is>
      </c>
      <c r="C265" s="10" t="inlineStr">
        <is>
          <t>Porsche 911 (997) cabriolet 3.8 355 carrera s tiptronic / suivi d'entretien limpide / garanti 12m p&amp;mo</t>
        </is>
      </c>
      <c r="D265" s="18" t="n">
        <v>46296</v>
      </c>
      <c r="E265" s="12" t="n">
        <v>52980</v>
      </c>
      <c r="F265" s="14">
        <f>IF(AND($B265=$B264,ISNUMBER(E264),E264&gt;0),E265/E264-1,"")</f>
        <v/>
      </c>
      <c r="G265" s="19" t="inlineStr">
        <is>
          <t>Voir</t>
        </is>
      </c>
    </row>
    <row r="266">
      <c r="A266" s="10" t="inlineStr">
        <is>
          <t>Porsche 911 997 Carrera S</t>
        </is>
      </c>
      <c r="B266" s="10" t="inlineStr">
        <is>
          <t>3225995323</t>
        </is>
      </c>
      <c r="C266" s="10" t="inlineStr">
        <is>
          <t>Porsche 911 997 CARRERA S - Très bon état - Boite méca</t>
        </is>
      </c>
      <c r="D266" s="18" t="n">
        <v>46296</v>
      </c>
      <c r="E266" s="12" t="n">
        <v>55990</v>
      </c>
      <c r="F266" s="14">
        <f>IF(AND($B266=$B265,ISNUMBER(E265),E265&gt;0),E266/E265-1,"")</f>
        <v/>
      </c>
      <c r="G266" s="19" t="inlineStr">
        <is>
          <t>Voir</t>
        </is>
      </c>
    </row>
    <row r="267">
      <c r="A267" s="10" t="inlineStr">
        <is>
          <t>Porsche 911 997 Carrera S</t>
        </is>
      </c>
      <c r="B267" s="10" t="inlineStr">
        <is>
          <t>3226399068</t>
        </is>
      </c>
      <c r="C267" s="10" t="inlineStr">
        <is>
          <t>PORSCHE 911 CARRERA COUPE 997 S Coupe 3.8i 355cv</t>
        </is>
      </c>
      <c r="D267" s="18" t="n">
        <v>46296</v>
      </c>
      <c r="E267" s="12" t="n">
        <v>48990</v>
      </c>
      <c r="F267" s="14">
        <f>IF(AND($B267=$B266,ISNUMBER(E266),E266&gt;0),E267/E266-1,"")</f>
        <v/>
      </c>
      <c r="G267" s="19" t="inlineStr">
        <is>
          <t>Voir</t>
        </is>
      </c>
    </row>
    <row r="268">
      <c r="A268" s="10" t="inlineStr">
        <is>
          <t>Porsche 911 997 Carrera S</t>
        </is>
      </c>
      <c r="B268" s="10" t="inlineStr">
        <is>
          <t>3229875348</t>
        </is>
      </c>
      <c r="C268" s="10" t="inlineStr">
        <is>
          <t>Porsche 911 997 Carrera S</t>
        </is>
      </c>
      <c r="D268" s="18" t="n">
        <v>46296</v>
      </c>
      <c r="E268" s="12" t="n">
        <v>59000</v>
      </c>
      <c r="F268" s="14">
        <f>IF(AND($B268=$B267,ISNUMBER(E267),E267&gt;0),E268/E267-1,"")</f>
        <v/>
      </c>
      <c r="G268" s="19" t="inlineStr">
        <is>
          <t>Voir</t>
        </is>
      </c>
    </row>
    <row r="269">
      <c r="A269" s="10" t="inlineStr">
        <is>
          <t>Porsche 911 997 Carrera S</t>
        </is>
      </c>
      <c r="B269" s="10" t="inlineStr">
        <is>
          <t>3230591026</t>
        </is>
      </c>
      <c r="C269" s="10" t="inlineStr">
        <is>
          <t>PORSCHE 911 CARRERA COUPE 997 S Coupe 3.8i</t>
        </is>
      </c>
      <c r="D269" s="18" t="n">
        <v>46296</v>
      </c>
      <c r="E269" s="12" t="n">
        <v>52980</v>
      </c>
      <c r="F269" s="14">
        <f>IF(AND($B269=$B268,ISNUMBER(E268),E268&gt;0),E269/E268-1,"")</f>
        <v/>
      </c>
      <c r="G269" s="19" t="inlineStr">
        <is>
          <t>Voir</t>
        </is>
      </c>
    </row>
    <row r="270">
      <c r="A270" s="10" t="inlineStr">
        <is>
          <t>Porsche 911 997 Carrera S</t>
        </is>
      </c>
      <c r="B270" s="10" t="inlineStr">
        <is>
          <t>3231127202</t>
        </is>
      </c>
      <c r="C270" s="10" t="inlineStr">
        <is>
          <t>PORSCHE 911 Type 997 3.8 355ch Carrera S TipTronic S - 2005 - 182 000 km - Endoscope Cylindre réalisé - Suivi complet</t>
        </is>
      </c>
      <c r="D270" s="18" t="n">
        <v>46296</v>
      </c>
      <c r="E270" s="12" t="n">
        <v>39990</v>
      </c>
      <c r="F270" s="14">
        <f>IF(AND($B270=$B269,ISNUMBER(E269),E269&gt;0),E270/E269-1,"")</f>
        <v/>
      </c>
      <c r="G270" s="19" t="inlineStr">
        <is>
          <t>Voir</t>
        </is>
      </c>
    </row>
    <row r="271">
      <c r="A271" s="10" t="inlineStr">
        <is>
          <t>Porsche 911 997 Carrera S</t>
        </is>
      </c>
      <c r="B271" s="10" t="inlineStr">
        <is>
          <t>3234122932</t>
        </is>
      </c>
      <c r="C271" s="10" t="inlineStr">
        <is>
          <t>PORSCHE 911 997 Carrera S 3.8 i Coupé 355 cv</t>
        </is>
      </c>
      <c r="D271" s="18" t="n">
        <v>46296</v>
      </c>
      <c r="E271" s="12" t="n">
        <v>49990</v>
      </c>
      <c r="F271" s="14">
        <f>IF(AND($B271=$B270,ISNUMBER(E270),E270&gt;0),E271/E270-1,"")</f>
        <v/>
      </c>
      <c r="G271" s="19" t="inlineStr">
        <is>
          <t>Voir</t>
        </is>
      </c>
    </row>
    <row r="272">
      <c r="A272" s="10" t="inlineStr">
        <is>
          <t>Porsche 911 997 Carrera S</t>
        </is>
      </c>
      <c r="B272" s="10" t="inlineStr">
        <is>
          <t>3242206815</t>
        </is>
      </c>
      <c r="C272" s="10" t="inlineStr">
        <is>
          <t>Porsche 911 CABRIOLET (997) CARRERA S 3.8 355</t>
        </is>
      </c>
      <c r="D272" s="18" t="n">
        <v>46296</v>
      </c>
      <c r="E272" s="12" t="n">
        <v>49990</v>
      </c>
      <c r="F272" s="14">
        <f>IF(AND($B272=$B271,ISNUMBER(E271),E271&gt;0),E272/E271-1,"")</f>
        <v/>
      </c>
      <c r="G272" s="19" t="inlineStr">
        <is>
          <t>Voir</t>
        </is>
      </c>
    </row>
    <row r="273">
      <c r="A273" s="10" t="inlineStr">
        <is>
          <t>Porsche 911 997 Carrera S</t>
        </is>
      </c>
      <c r="B273" s="10" t="inlineStr">
        <is>
          <t>3255178405</t>
        </is>
      </c>
      <c r="C273" s="10" t="inlineStr">
        <is>
          <t>Porsche 911 997 Carrera S 3.8 355ch BVM / Pack Sport Chrono Entretien complet Porsche</t>
        </is>
      </c>
      <c r="D273" s="18" t="n">
        <v>46296</v>
      </c>
      <c r="E273" s="12" t="n">
        <v>58990</v>
      </c>
      <c r="F273" s="14">
        <f>IF(AND($B273=$B272,ISNUMBER(E272),E272&gt;0),E273/E272-1,"")</f>
        <v/>
      </c>
      <c r="G273" s="19" t="inlineStr">
        <is>
          <t>Voir</t>
        </is>
      </c>
    </row>
    <row r="274">
      <c r="A274" s="10" t="inlineStr">
        <is>
          <t>Porsche 911 997 Carrera S</t>
        </is>
      </c>
      <c r="B274" s="10" t="inlineStr">
        <is>
          <t>3260467720</t>
        </is>
      </c>
      <c r="C274" s="10" t="inlineStr">
        <is>
          <t>Porsche 911 997.1 Carrera 4S Cabriolet 3.8L 355 ch BVM - Suivi - Jantes Carrera S 19" - Garantie</t>
        </is>
      </c>
      <c r="D274" s="18" t="n">
        <v>46296</v>
      </c>
      <c r="E274" s="12" t="n">
        <v>63500</v>
      </c>
      <c r="F274" s="14">
        <f>IF(AND($B274=$B273,ISNUMBER(E273),E273&gt;0),E274/E273-1,"")</f>
        <v/>
      </c>
      <c r="G274" s="19" t="inlineStr">
        <is>
          <t>Voir</t>
        </is>
      </c>
    </row>
    <row r="275">
      <c r="A275" s="10" t="inlineStr">
        <is>
          <t>Porsche 911 997 Carrera S</t>
        </is>
      </c>
      <c r="B275" s="10" t="inlineStr">
        <is>
          <t>3260820600</t>
        </is>
      </c>
      <c r="C275" s="10" t="inlineStr">
        <is>
          <t>Porsche 911 (997) carrera s cabriolet 3.8 – 355 ch – bvm6 – pack sport chrono –</t>
        </is>
      </c>
      <c r="D275" s="18" t="n">
        <v>46296</v>
      </c>
      <c r="E275" s="12" t="n">
        <v>50990</v>
      </c>
      <c r="F275" s="14">
        <f>IF(AND($B275=$B274,ISNUMBER(E274),E274&gt;0),E275/E274-1,"")</f>
        <v/>
      </c>
      <c r="G275" s="19" t="inlineStr">
        <is>
          <t>Voir</t>
        </is>
      </c>
    </row>
    <row r="276">
      <c r="A276" s="10" t="inlineStr">
        <is>
          <t>Porsche 911 997 Carrera S</t>
        </is>
      </c>
      <c r="B276" s="10" t="inlineStr">
        <is>
          <t>3262657061</t>
        </is>
      </c>
      <c r="C276" s="10" t="inlineStr">
        <is>
          <t>Porsche 911 997.1 Coupe 3.8 355 ch Carrera S TIPTRONIC / Toit ouvrant / PASM / IMS OK / Gris Météor</t>
        </is>
      </c>
      <c r="D276" s="18" t="n">
        <v>46296</v>
      </c>
      <c r="E276" s="12" t="n">
        <v>55490</v>
      </c>
      <c r="F276" s="14">
        <f>IF(AND($B276=$B275,ISNUMBER(E275),E275&gt;0),E276/E275-1,"")</f>
        <v/>
      </c>
      <c r="G276" s="19" t="inlineStr">
        <is>
          <t>Voir</t>
        </is>
      </c>
    </row>
    <row r="277">
      <c r="A277" s="10" t="inlineStr">
        <is>
          <t>Porsche 911 997 Carrera S</t>
        </is>
      </c>
      <c r="B277" s="10" t="inlineStr">
        <is>
          <t>3265883612</t>
        </is>
      </c>
      <c r="C277" s="10" t="inlineStr">
        <is>
          <t>PORSCHE 911 Coupé Type 997 Phase 1 CARRERA S 3.8 355ch Boite Manuelle</t>
        </is>
      </c>
      <c r="D277" s="18" t="n">
        <v>46296</v>
      </c>
      <c r="E277" s="12" t="n">
        <v>64900</v>
      </c>
      <c r="F277" s="14">
        <f>IF(AND($B277=$B276,ISNUMBER(E276),E276&gt;0),E277/E276-1,"")</f>
        <v/>
      </c>
      <c r="G277" s="19" t="inlineStr">
        <is>
          <t>Voir</t>
        </is>
      </c>
    </row>
    <row r="278">
      <c r="A278" s="10" t="inlineStr">
        <is>
          <t>Porsche 911 997 Carrera S</t>
        </is>
      </c>
      <c r="B278" s="10" t="inlineStr">
        <is>
          <t>3268572742</t>
        </is>
      </c>
      <c r="C278" s="10" t="inlineStr">
        <is>
          <t>Porsche 911 997 Carrera S 3.8 355ch BVM6 – 99 500 km – Sport – 19"</t>
        </is>
      </c>
      <c r="D278" s="18" t="n">
        <v>46296</v>
      </c>
      <c r="E278" s="12" t="n">
        <v>55000</v>
      </c>
      <c r="F278" s="14">
        <f>IF(AND($B278=$B277,ISNUMBER(E277),E277&gt;0),E278/E277-1,"")</f>
        <v/>
      </c>
      <c r="G278" s="19" t="inlineStr">
        <is>
          <t>Voir</t>
        </is>
      </c>
    </row>
    <row r="279">
      <c r="A279" s="10" t="inlineStr">
        <is>
          <t>Porsche 911 997 Carrera S</t>
        </is>
      </c>
      <c r="B279" s="10" t="inlineStr">
        <is>
          <t>3270837815</t>
        </is>
      </c>
      <c r="C279" s="10" t="inlineStr">
        <is>
          <t>Porsche 911 CARRERA CABRIOLET 997 S 3.8i Flat 6 Tiptronic Suivi Porsche</t>
        </is>
      </c>
      <c r="D279" s="18" t="n">
        <v>46296</v>
      </c>
      <c r="E279" s="12" t="n">
        <v>49990</v>
      </c>
      <c r="F279" s="14">
        <f>IF(AND($B279=$B278,ISNUMBER(E278),E278&gt;0),E279/E278-1,"")</f>
        <v/>
      </c>
      <c r="G279" s="19" t="inlineStr">
        <is>
          <t>Voir</t>
        </is>
      </c>
    </row>
    <row r="280">
      <c r="A280" s="10" t="inlineStr">
        <is>
          <t>Porsche 911 997 Carrera S</t>
        </is>
      </c>
      <c r="B280" s="10" t="inlineStr">
        <is>
          <t>3271951396</t>
        </is>
      </c>
      <c r="C280" s="10" t="inlineStr">
        <is>
          <t>Porsche 911 997 Carrera S 3.8 355ch BVM / SUIVI COMPLET / ECHAPPEMENT SCART / TOIT OUVRANT / PACK CHRONO / SIEGES ELECTRIQUES /</t>
        </is>
      </c>
      <c r="D280" s="18" t="n">
        <v>46296</v>
      </c>
      <c r="E280" s="12" t="n">
        <v>51000</v>
      </c>
      <c r="F280" s="14">
        <f>IF(AND($B280=$B279,ISNUMBER(E279),E279&gt;0),E280/E279-1,"")</f>
        <v/>
      </c>
      <c r="G280" s="19" t="inlineStr">
        <is>
          <t>Voir</t>
        </is>
      </c>
    </row>
    <row r="281">
      <c r="A281" s="10" t="inlineStr">
        <is>
          <t>Porsche 911 997 Carrera S</t>
        </is>
      </c>
      <c r="B281" s="10" t="inlineStr">
        <is>
          <t>3272054365</t>
        </is>
      </c>
      <c r="C281" s="10" t="inlineStr">
        <is>
          <t>Porsche 911 997 carrera s cabriolet bvm 3.8 355</t>
        </is>
      </c>
      <c r="D281" s="18" t="n">
        <v>46296</v>
      </c>
      <c r="E281" s="12" t="n">
        <v>48980</v>
      </c>
      <c r="F281" s="14">
        <f>IF(AND($B281=$B280,ISNUMBER(E280),E280&gt;0),E281/E280-1,"")</f>
        <v/>
      </c>
      <c r="G281" s="19" t="inlineStr">
        <is>
          <t>Voir</t>
        </is>
      </c>
    </row>
    <row r="282">
      <c r="A282" s="10" t="inlineStr">
        <is>
          <t>Porsche 911 997 Carrera S</t>
        </is>
      </c>
      <c r="B282" s="10" t="inlineStr">
        <is>
          <t>3272281258</t>
        </is>
      </c>
      <c r="C282" s="10" t="inlineStr">
        <is>
          <t>Porsche 911 CABRIOLET (997) CARRERA 4S TIPTRONIC S</t>
        </is>
      </c>
      <c r="D282" s="18" t="n">
        <v>46296</v>
      </c>
      <c r="E282" s="12" t="n">
        <v>57890</v>
      </c>
      <c r="F282" s="14">
        <f>IF(AND($B282=$B281,ISNUMBER(E281),E281&gt;0),E282/E281-1,"")</f>
        <v/>
      </c>
      <c r="G282" s="19" t="inlineStr">
        <is>
          <t>Voir</t>
        </is>
      </c>
    </row>
    <row r="283">
      <c r="A283" s="10" t="inlineStr">
        <is>
          <t>Porsche 911 997 Carrera S</t>
        </is>
      </c>
      <c r="B283" s="10" t="inlineStr">
        <is>
          <t>3272652346</t>
        </is>
      </c>
      <c r="C283" s="10" t="inlineStr">
        <is>
          <t>PORSCHE 911 (997) Carrera S 3.8l</t>
        </is>
      </c>
      <c r="D283" s="18" t="n">
        <v>46296</v>
      </c>
      <c r="E283" s="12" t="n">
        <v>49997</v>
      </c>
      <c r="F283" s="14">
        <f>IF(AND($B283=$B282,ISNUMBER(E282),E282&gt;0),E283/E282-1,"")</f>
        <v/>
      </c>
      <c r="G283" s="19" t="inlineStr">
        <is>
          <t>Voir</t>
        </is>
      </c>
    </row>
    <row r="284">
      <c r="A284" s="10" t="inlineStr">
        <is>
          <t>Porsche 911 997 Carrera S</t>
        </is>
      </c>
      <c r="B284" s="10" t="inlineStr">
        <is>
          <t>3274429079</t>
        </is>
      </c>
      <c r="C284" s="10" t="inlineStr">
        <is>
          <t>Porsche 911 (997) Carrera S Cabriolet – Boîte Manuelle – Configuration Rare – 118 500 km</t>
        </is>
      </c>
      <c r="D284" s="18" t="n">
        <v>46296</v>
      </c>
      <c r="E284" s="12" t="n">
        <v>59911</v>
      </c>
      <c r="F284" s="14">
        <f>IF(AND($B284=$B283,ISNUMBER(E283),E283&gt;0),E284/E283-1,"")</f>
        <v/>
      </c>
      <c r="G284" s="19" t="inlineStr">
        <is>
          <t>Voir</t>
        </is>
      </c>
    </row>
    <row r="285">
      <c r="A285" s="10" t="inlineStr">
        <is>
          <t>Porsche 911 997 Carrera S</t>
        </is>
      </c>
      <c r="B285" s="10" t="inlineStr">
        <is>
          <t>3274821732</t>
        </is>
      </c>
      <c r="C285" s="10" t="inlineStr">
        <is>
          <t>Porsche 911 IV (997) Carrera S TipTronic</t>
        </is>
      </c>
      <c r="D285" s="18" t="n">
        <v>46296</v>
      </c>
      <c r="E285" s="12" t="n">
        <v>53990</v>
      </c>
      <c r="F285" s="14">
        <f>IF(AND($B285=$B284,ISNUMBER(E284),E284&gt;0),E285/E284-1,"")</f>
        <v/>
      </c>
      <c r="G285" s="19" t="inlineStr">
        <is>
          <t>Voir</t>
        </is>
      </c>
    </row>
    <row r="286">
      <c r="A286" s="10" t="inlineStr">
        <is>
          <t>Porsche 911 997 Carrera S</t>
        </is>
      </c>
      <c r="B286" s="10" t="inlineStr">
        <is>
          <t>3277227146</t>
        </is>
      </c>
      <c r="C286" s="10" t="inlineStr">
        <is>
          <t>Porsche 911 997 Carrera S</t>
        </is>
      </c>
      <c r="D286" s="18" t="n">
        <v>46296</v>
      </c>
      <c r="E286" s="12" t="n">
        <v>44997</v>
      </c>
      <c r="F286" s="14">
        <f>IF(AND($B286=$B285,ISNUMBER(E285),E285&gt;0),E286/E285-1,"")</f>
        <v/>
      </c>
      <c r="G286" s="19" t="inlineStr">
        <is>
          <t>Voir</t>
        </is>
      </c>
    </row>
    <row r="287">
      <c r="A287" s="10" t="inlineStr">
        <is>
          <t>Porsche 911 997 Carrera S</t>
        </is>
      </c>
      <c r="B287" s="10" t="inlineStr">
        <is>
          <t>3278165059</t>
        </is>
      </c>
      <c r="C287" s="10" t="inlineStr">
        <is>
          <t>Porsche 911 coupe 3.8i type 997 355 ch - carrera s - garantie 1 an</t>
        </is>
      </c>
      <c r="D287" s="18" t="n">
        <v>46296</v>
      </c>
      <c r="E287" s="12" t="n">
        <v>51790</v>
      </c>
      <c r="F287" s="14">
        <f>IF(AND($B287=$B286,ISNUMBER(E286),E286&gt;0),E287/E286-1,"")</f>
        <v/>
      </c>
      <c r="G287" s="19" t="inlineStr">
        <is>
          <t>Voir</t>
        </is>
      </c>
    </row>
    <row r="288">
      <c r="A288" s="10" t="inlineStr">
        <is>
          <t>Porsche 911 997 Carrera S</t>
        </is>
      </c>
      <c r="B288" s="10" t="inlineStr">
        <is>
          <t>3278304511</t>
        </is>
      </c>
      <c r="C288" s="10" t="inlineStr">
        <is>
          <t>Porsche 911 997 3.8 355 ch carrera s bvm</t>
        </is>
      </c>
      <c r="D288" s="18" t="n">
        <v>46296</v>
      </c>
      <c r="E288" s="12" t="n">
        <v>56990</v>
      </c>
      <c r="F288" s="14">
        <f>IF(AND($B288=$B287,ISNUMBER(E287),E287&gt;0),E288/E287-1,"")</f>
        <v/>
      </c>
      <c r="G288" s="19" t="inlineStr">
        <is>
          <t>Voir</t>
        </is>
      </c>
    </row>
    <row r="289">
      <c r="A289" s="10" t="inlineStr">
        <is>
          <t>Porsche 911 997 Carrera S</t>
        </is>
      </c>
      <c r="B289" s="10" t="inlineStr">
        <is>
          <t>3278388453</t>
        </is>
      </c>
      <c r="C289" s="10" t="inlineStr">
        <is>
          <t>PORSCHE 911 3.8i - BV PDK TYPE 997 II Carrera S - Suivi Porsche - Pack Chrono - ech Sport</t>
        </is>
      </c>
      <c r="D289" s="18" t="n">
        <v>46296</v>
      </c>
      <c r="E289" s="12" t="n">
        <v>69599</v>
      </c>
      <c r="F289" s="14">
        <f>IF(AND($B289=$B288,ISNUMBER(E288),E288&gt;0),E289/E288-1,"")</f>
        <v/>
      </c>
      <c r="G289" s="19" t="inlineStr">
        <is>
          <t>Voir</t>
        </is>
      </c>
    </row>
    <row r="290">
      <c r="A290" s="10" t="inlineStr">
        <is>
          <t>Porsche 911 997 Carrera S</t>
        </is>
      </c>
      <c r="B290" s="10" t="inlineStr">
        <is>
          <t>3278787277</t>
        </is>
      </c>
      <c r="C290" s="10" t="inlineStr">
        <is>
          <t>Porsche 911 997 Carrera S Cabriolet</t>
        </is>
      </c>
      <c r="D290" s="18" t="n">
        <v>46296</v>
      </c>
      <c r="E290" s="12" t="n">
        <v>45997</v>
      </c>
      <c r="F290" s="14">
        <f>IF(AND($B290=$B289,ISNUMBER(E289),E289&gt;0),E290/E289-1,"")</f>
        <v/>
      </c>
      <c r="G290" s="19" t="inlineStr">
        <is>
          <t>Voir</t>
        </is>
      </c>
    </row>
    <row r="291">
      <c r="A291" s="10" t="inlineStr">
        <is>
          <t>Porsche Boxster 986</t>
        </is>
      </c>
      <c r="B291" s="10" t="inlineStr">
        <is>
          <t>3089498689</t>
        </is>
      </c>
      <c r="C291" s="10" t="inlineStr">
        <is>
          <t>PORSCHE BOXSTER 986 2.5 i 204CH</t>
        </is>
      </c>
      <c r="D291" s="18" t="n">
        <v>46296</v>
      </c>
      <c r="E291" s="12" t="n">
        <v>13990</v>
      </c>
      <c r="F291" s="14">
        <f>IF(AND($B291=$B290,ISNUMBER(E290),E290&gt;0),E291/E290-1,"")</f>
        <v/>
      </c>
      <c r="G291" s="19" t="inlineStr">
        <is>
          <t>Voir</t>
        </is>
      </c>
    </row>
    <row r="292">
      <c r="A292" s="10" t="inlineStr">
        <is>
          <t>Porsche Boxster 986</t>
        </is>
      </c>
      <c r="B292" s="10" t="inlineStr">
        <is>
          <t>3106206580</t>
        </is>
      </c>
      <c r="C292" s="10" t="inlineStr">
        <is>
          <t>Porsche BOXSTER (986) 2.7 220cv</t>
        </is>
      </c>
      <c r="D292" s="18" t="n">
        <v>46296</v>
      </c>
      <c r="E292" s="12" t="n">
        <v>19990</v>
      </c>
      <c r="F292" s="14">
        <f>IF(AND($B292=$B291,ISNUMBER(E291),E291&gt;0),E292/E291-1,"")</f>
        <v/>
      </c>
      <c r="G292" s="19" t="inlineStr">
        <is>
          <t>Voir</t>
        </is>
      </c>
    </row>
    <row r="293">
      <c r="A293" s="10" t="inlineStr">
        <is>
          <t>Porsche Boxster 986</t>
        </is>
      </c>
      <c r="B293" s="10" t="inlineStr">
        <is>
          <t>3147288483</t>
        </is>
      </c>
      <c r="C293" s="10" t="inlineStr">
        <is>
          <t>Porsche Boxster 986</t>
        </is>
      </c>
      <c r="D293" s="18" t="n">
        <v>46296</v>
      </c>
      <c r="E293" s="12" t="n">
        <v>14500</v>
      </c>
      <c r="F293" s="14">
        <f>IF(AND($B293=$B292,ISNUMBER(E292),E292&gt;0),E293/E292-1,"")</f>
        <v/>
      </c>
      <c r="G293" s="19" t="inlineStr">
        <is>
          <t>Voir</t>
        </is>
      </c>
    </row>
    <row r="294">
      <c r="A294" s="10" t="inlineStr">
        <is>
          <t>Porsche Boxster 986</t>
        </is>
      </c>
      <c r="B294" s="10" t="inlineStr">
        <is>
          <t>3151264594</t>
        </is>
      </c>
      <c r="C294" s="10" t="inlineStr">
        <is>
          <t>Porsche Boxster 986 2.7 i Roadster 220cv</t>
        </is>
      </c>
      <c r="D294" s="18" t="n">
        <v>46296</v>
      </c>
      <c r="E294" s="12" t="n">
        <v>18490</v>
      </c>
      <c r="F294" s="14">
        <f>IF(AND($B294=$B293,ISNUMBER(E293),E293&gt;0),E294/E293-1,"")</f>
        <v/>
      </c>
      <c r="G294" s="19" t="inlineStr">
        <is>
          <t>Voir</t>
        </is>
      </c>
    </row>
    <row r="295">
      <c r="A295" s="10" t="inlineStr">
        <is>
          <t>Porsche Boxster 986</t>
        </is>
      </c>
      <c r="B295" s="10" t="inlineStr">
        <is>
          <t>3161953342</t>
        </is>
      </c>
      <c r="C295" s="10" t="inlineStr">
        <is>
          <t>Porsche BOXSTER (986) 3.2 S</t>
        </is>
      </c>
      <c r="D295" s="18" t="n">
        <v>46296</v>
      </c>
      <c r="E295" s="12" t="n">
        <v>25950</v>
      </c>
      <c r="F295" s="14">
        <f>IF(AND($B295=$B294,ISNUMBER(E294),E294&gt;0),E295/E294-1,"")</f>
        <v/>
      </c>
      <c r="G295" s="19" t="inlineStr">
        <is>
          <t>Voir</t>
        </is>
      </c>
    </row>
    <row r="296">
      <c r="A296" s="10" t="inlineStr">
        <is>
          <t>Porsche Boxster 986</t>
        </is>
      </c>
      <c r="B296" s="10" t="inlineStr">
        <is>
          <t>3171445222</t>
        </is>
      </c>
      <c r="C296" s="10" t="inlineStr">
        <is>
          <t>Porsche Boxster 986 (Vente ou Echange)</t>
        </is>
      </c>
      <c r="D296" s="18" t="n">
        <v>46296</v>
      </c>
      <c r="E296" s="12" t="n">
        <v>9700</v>
      </c>
      <c r="F296" s="14">
        <f>IF(AND($B296=$B295,ISNUMBER(E295),E295&gt;0),E296/E295-1,"")</f>
        <v/>
      </c>
      <c r="G296" s="19" t="inlineStr">
        <is>
          <t>Voir</t>
        </is>
      </c>
    </row>
    <row r="297">
      <c r="A297" s="10" t="inlineStr">
        <is>
          <t>Porsche Boxster 986</t>
        </is>
      </c>
      <c r="B297" s="10" t="inlineStr">
        <is>
          <t>3194804756</t>
        </is>
      </c>
      <c r="C297" s="10" t="inlineStr">
        <is>
          <t>PORSCHE BOXSTER 986 1998 avec HARD TOP</t>
        </is>
      </c>
      <c r="D297" s="18" t="n">
        <v>46296</v>
      </c>
      <c r="E297" s="12" t="n">
        <v>16000</v>
      </c>
      <c r="F297" s="14">
        <f>IF(AND($B297=$B296,ISNUMBER(E296),E296&gt;0),E297/E296-1,"")</f>
        <v/>
      </c>
      <c r="G297" s="19" t="inlineStr">
        <is>
          <t>Voir</t>
        </is>
      </c>
    </row>
    <row r="298">
      <c r="A298" s="10" t="inlineStr">
        <is>
          <t>Porsche Boxster 986</t>
        </is>
      </c>
      <c r="B298" s="10" t="inlineStr">
        <is>
          <t>3205141466</t>
        </is>
      </c>
      <c r="C298" s="10" t="inlineStr">
        <is>
          <t>Porsche Boxster 986 S</t>
        </is>
      </c>
      <c r="D298" s="18" t="n">
        <v>46296</v>
      </c>
      <c r="E298" s="12" t="n">
        <v>26000</v>
      </c>
      <c r="F298" s="14">
        <f>IF(AND($B298=$B297,ISNUMBER(E297),E297&gt;0),E298/E297-1,"")</f>
        <v/>
      </c>
      <c r="G298" s="19" t="inlineStr">
        <is>
          <t>Voir</t>
        </is>
      </c>
    </row>
    <row r="299">
      <c r="A299" s="10" t="inlineStr">
        <is>
          <t>Porsche Boxster 986</t>
        </is>
      </c>
      <c r="B299" s="10" t="inlineStr">
        <is>
          <t>3208942462</t>
        </is>
      </c>
      <c r="C299" s="10" t="inlineStr">
        <is>
          <t>Porsche BOXSTER (986) 3.2 S Cabriolet</t>
        </is>
      </c>
      <c r="D299" s="18" t="n">
        <v>46296</v>
      </c>
      <c r="E299" s="12" t="n">
        <v>18990</v>
      </c>
      <c r="F299" s="14">
        <f>IF(AND($B299=$B298,ISNUMBER(E298),E298&gt;0),E299/E298-1,"")</f>
        <v/>
      </c>
      <c r="G299" s="19" t="inlineStr">
        <is>
          <t>Voir</t>
        </is>
      </c>
    </row>
    <row r="300">
      <c r="A300" s="10" t="inlineStr">
        <is>
          <t>Porsche Boxster 986</t>
        </is>
      </c>
      <c r="B300" s="10" t="inlineStr">
        <is>
          <t>3214892442</t>
        </is>
      </c>
      <c r="C300" s="10" t="inlineStr">
        <is>
          <t>Porsche BOXSTER (986) 3.2 S BV6 252CH JTES 18 PCM ÉCHAP SPORT XÉNON CARNET ET FACTURES</t>
        </is>
      </c>
      <c r="D300" s="18" t="n">
        <v>46296</v>
      </c>
      <c r="E300" s="12" t="n">
        <v>19990</v>
      </c>
      <c r="F300" s="14">
        <f>IF(AND($B300=$B299,ISNUMBER(E299),E299&gt;0),E300/E299-1,"")</f>
        <v/>
      </c>
      <c r="G300" s="19" t="inlineStr">
        <is>
          <t>Voir</t>
        </is>
      </c>
    </row>
    <row r="301">
      <c r="A301" s="10" t="inlineStr">
        <is>
          <t>Porsche Boxster 986</t>
        </is>
      </c>
      <c r="B301" s="10" t="inlineStr">
        <is>
          <t>3223210758</t>
        </is>
      </c>
      <c r="C301" s="10" t="inlineStr">
        <is>
          <t>Boxster 986</t>
        </is>
      </c>
      <c r="D301" s="18" t="n">
        <v>46296</v>
      </c>
      <c r="E301" s="12" t="n">
        <v>14900</v>
      </c>
      <c r="F301" s="14">
        <f>IF(AND($B301=$B300,ISNUMBER(E300),E300&gt;0),E301/E300-1,"")</f>
        <v/>
      </c>
      <c r="G301" s="19" t="inlineStr">
        <is>
          <t>Voir</t>
        </is>
      </c>
    </row>
    <row r="302">
      <c r="A302" s="10" t="inlineStr">
        <is>
          <t>Porsche Boxster 986</t>
        </is>
      </c>
      <c r="B302" s="10" t="inlineStr">
        <is>
          <t>3226389764</t>
        </is>
      </c>
      <c r="C302" s="10" t="inlineStr">
        <is>
          <t>Porsche boxster 986</t>
        </is>
      </c>
      <c r="D302" s="18" t="n">
        <v>46296</v>
      </c>
      <c r="E302" s="12" t="n">
        <v>21500</v>
      </c>
      <c r="F302" s="14">
        <f>IF(AND($B302=$B301,ISNUMBER(E301),E301&gt;0),E302/E301-1,"")</f>
        <v/>
      </c>
      <c r="G302" s="19" t="inlineStr">
        <is>
          <t>Voir</t>
        </is>
      </c>
    </row>
    <row r="303">
      <c r="A303" s="10" t="inlineStr">
        <is>
          <t>Porsche Boxster 986</t>
        </is>
      </c>
      <c r="B303" s="10" t="inlineStr">
        <is>
          <t>3227346667</t>
        </is>
      </c>
      <c r="C303" s="10" t="inlineStr">
        <is>
          <t>Porsche Boxster 986 2.7 228 ch BVM</t>
        </is>
      </c>
      <c r="D303" s="18" t="n">
        <v>46296</v>
      </c>
      <c r="E303" s="12" t="n">
        <v>20990</v>
      </c>
      <c r="F303" s="14">
        <f>IF(AND($B303=$B302,ISNUMBER(E302),E302&gt;0),E303/E302-1,"")</f>
        <v/>
      </c>
      <c r="G303" s="19" t="inlineStr">
        <is>
          <t>Voir</t>
        </is>
      </c>
    </row>
    <row r="304">
      <c r="A304" s="10" t="inlineStr">
        <is>
          <t>Porsche Boxster 986</t>
        </is>
      </c>
      <c r="B304" s="10" t="inlineStr">
        <is>
          <t>3228200524</t>
        </is>
      </c>
      <c r="C304" s="10" t="inlineStr">
        <is>
          <t>Porsche Boxster 986</t>
        </is>
      </c>
      <c r="D304" s="18" t="n">
        <v>46296</v>
      </c>
      <c r="E304" s="12" t="n">
        <v>21000</v>
      </c>
      <c r="F304" s="14">
        <f>IF(AND($B304=$B303,ISNUMBER(E303),E303&gt;0),E304/E303-1,"")</f>
        <v/>
      </c>
      <c r="G304" s="19" t="inlineStr">
        <is>
          <t>Voir</t>
        </is>
      </c>
    </row>
    <row r="305">
      <c r="A305" s="10" t="inlineStr">
        <is>
          <t>Porsche Boxster 986</t>
        </is>
      </c>
      <c r="B305" s="10" t="inlineStr">
        <is>
          <t>3234830440</t>
        </is>
      </c>
      <c r="C305" s="10" t="inlineStr">
        <is>
          <t>Porsche Boxster 986 2.7 228 BVM</t>
        </is>
      </c>
      <c r="D305" s="18" t="n">
        <v>46296</v>
      </c>
      <c r="E305" s="12" t="n">
        <v>22990</v>
      </c>
      <c r="F305" s="14">
        <f>IF(AND($B305=$B304,ISNUMBER(E304),E304&gt;0),E305/E304-1,"")</f>
        <v/>
      </c>
      <c r="G305" s="19" t="inlineStr">
        <is>
          <t>Voir</t>
        </is>
      </c>
    </row>
    <row r="306">
      <c r="A306" s="10" t="inlineStr">
        <is>
          <t>Porsche Boxster 986</t>
        </is>
      </c>
      <c r="B306" s="10" t="inlineStr">
        <is>
          <t>3235072145</t>
        </is>
      </c>
      <c r="C306" s="10" t="inlineStr">
        <is>
          <t>Porsche Boxster 986 2,5 L</t>
        </is>
      </c>
      <c r="D306" s="18" t="n">
        <v>46296</v>
      </c>
      <c r="E306" s="12" t="n">
        <v>18000</v>
      </c>
      <c r="F306" s="14">
        <f>IF(AND($B306=$B305,ISNUMBER(E305),E305&gt;0),E306/E305-1,"")</f>
        <v/>
      </c>
      <c r="G306" s="19" t="inlineStr">
        <is>
          <t>Voir</t>
        </is>
      </c>
    </row>
    <row r="307">
      <c r="A307" s="10" t="inlineStr">
        <is>
          <t>Porsche Boxster 986</t>
        </is>
      </c>
      <c r="B307" s="10" t="inlineStr">
        <is>
          <t>3236629923</t>
        </is>
      </c>
      <c r="C307" s="10" t="inlineStr">
        <is>
          <t>PORSCHE BOXSTER 986 3.2 i Roadster Cabriolet 252cv - Suivi d'entretien - Hardtop - Capote Alpaga -</t>
        </is>
      </c>
      <c r="D307" s="18" t="n">
        <v>46296</v>
      </c>
      <c r="E307" s="12" t="n">
        <v>16990</v>
      </c>
      <c r="F307" s="14">
        <f>IF(AND($B307=$B306,ISNUMBER(E306),E306&gt;0),E307/E306-1,"")</f>
        <v/>
      </c>
      <c r="G307" s="19" t="inlineStr">
        <is>
          <t>Voir</t>
        </is>
      </c>
    </row>
    <row r="308">
      <c r="A308" s="10" t="inlineStr">
        <is>
          <t>Porsche Boxster 986</t>
        </is>
      </c>
      <c r="B308" s="10" t="inlineStr">
        <is>
          <t>3249044905</t>
        </is>
      </c>
      <c r="C308" s="10" t="inlineStr">
        <is>
          <t>Porsche Boxster I (986) 3.2 S</t>
        </is>
      </c>
      <c r="D308" s="18" t="n">
        <v>46296</v>
      </c>
      <c r="E308" s="12" t="n">
        <v>25380</v>
      </c>
      <c r="F308" s="14">
        <f>IF(AND($B308=$B307,ISNUMBER(E307),E307&gt;0),E308/E307-1,"")</f>
        <v/>
      </c>
      <c r="G308" s="19" t="inlineStr">
        <is>
          <t>Voir</t>
        </is>
      </c>
    </row>
    <row r="309">
      <c r="A309" s="10" t="inlineStr">
        <is>
          <t>Porsche Boxster 986</t>
        </is>
      </c>
      <c r="B309" s="10" t="inlineStr">
        <is>
          <t>3257381352</t>
        </is>
      </c>
      <c r="C309" s="10" t="inlineStr">
        <is>
          <t>Porsche Boxster 986</t>
        </is>
      </c>
      <c r="D309" s="18" t="n">
        <v>46296</v>
      </c>
      <c r="E309" s="12" t="n">
        <v>18500</v>
      </c>
      <c r="F309" s="14">
        <f>IF(AND($B309=$B308,ISNUMBER(E308),E308&gt;0),E309/E308-1,"")</f>
        <v/>
      </c>
      <c r="G309" s="19" t="inlineStr">
        <is>
          <t>Voir</t>
        </is>
      </c>
    </row>
    <row r="310">
      <c r="A310" s="10" t="inlineStr">
        <is>
          <t>Porsche Boxster 986</t>
        </is>
      </c>
      <c r="B310" s="10" t="inlineStr">
        <is>
          <t>3261091532</t>
        </is>
      </c>
      <c r="C310" s="10" t="inlineStr">
        <is>
          <t>PORSCHE Boxster 986 2.7 220 BV5 - Historique complet - Origine France</t>
        </is>
      </c>
      <c r="D310" s="18" t="n">
        <v>46296</v>
      </c>
      <c r="E310" s="12" t="n">
        <v>14490</v>
      </c>
      <c r="F310" s="14">
        <f>IF(AND($B310=$B309,ISNUMBER(E309),E309&gt;0),E310/E309-1,"")</f>
        <v/>
      </c>
      <c r="G310" s="19" t="inlineStr">
        <is>
          <t>Voir</t>
        </is>
      </c>
    </row>
    <row r="311">
      <c r="A311" s="10" t="inlineStr">
        <is>
          <t>Porsche Boxster 986</t>
        </is>
      </c>
      <c r="B311" s="10" t="inlineStr">
        <is>
          <t>3261152041</t>
        </is>
      </c>
      <c r="C311" s="10" t="inlineStr">
        <is>
          <t>Porsche boxster 986 phase 2</t>
        </is>
      </c>
      <c r="D311" s="18" t="n">
        <v>46296</v>
      </c>
      <c r="E311" s="12" t="n">
        <v>19900</v>
      </c>
      <c r="F311" s="14">
        <f>IF(AND($B311=$B310,ISNUMBER(E310),E310&gt;0),E311/E310-1,"")</f>
        <v/>
      </c>
      <c r="G311" s="19" t="inlineStr">
        <is>
          <t>Voir</t>
        </is>
      </c>
    </row>
    <row r="312">
      <c r="A312" s="10" t="inlineStr">
        <is>
          <t>Porsche Boxster 986</t>
        </is>
      </c>
      <c r="B312" s="10" t="inlineStr">
        <is>
          <t>3265294019</t>
        </is>
      </c>
      <c r="C312" s="10" t="inlineStr">
        <is>
          <t>Boxster 986</t>
        </is>
      </c>
      <c r="D312" s="18" t="n">
        <v>46296</v>
      </c>
      <c r="E312" s="12" t="n">
        <v>17500</v>
      </c>
      <c r="F312" s="14">
        <f>IF(AND($B312=$B311,ISNUMBER(E311),E311&gt;0),E312/E311-1,"")</f>
        <v/>
      </c>
      <c r="G312" s="19" t="inlineStr">
        <is>
          <t>Voir</t>
        </is>
      </c>
    </row>
    <row r="313">
      <c r="A313" s="10" t="inlineStr">
        <is>
          <t>Porsche Boxster 986</t>
        </is>
      </c>
      <c r="B313" s="10" t="inlineStr">
        <is>
          <t>3266137442</t>
        </is>
      </c>
      <c r="C313" s="10" t="inlineStr">
        <is>
          <t>Porsche BOXSTER (986) 3.2 S 252 CH</t>
        </is>
      </c>
      <c r="D313" s="18" t="n">
        <v>46296</v>
      </c>
      <c r="E313" s="12" t="n">
        <v>6990</v>
      </c>
      <c r="F313" s="14">
        <f>IF(AND($B313=$B312,ISNUMBER(E312),E312&gt;0),E313/E312-1,"")</f>
        <v/>
      </c>
      <c r="G313" s="19" t="inlineStr">
        <is>
          <t>Voir</t>
        </is>
      </c>
    </row>
    <row r="314">
      <c r="A314" s="10" t="inlineStr">
        <is>
          <t>Porsche Boxster 986</t>
        </is>
      </c>
      <c r="B314" s="10" t="inlineStr">
        <is>
          <t>3266468992</t>
        </is>
      </c>
      <c r="C314" s="10" t="inlineStr">
        <is>
          <t>Porsche Boxster (986) 260 S</t>
        </is>
      </c>
      <c r="D314" s="18" t="n">
        <v>46296</v>
      </c>
      <c r="E314" s="12" t="n">
        <v>14900</v>
      </c>
      <c r="F314" s="14">
        <f>IF(AND($B314=$B313,ISNUMBER(E313),E313&gt;0),E314/E313-1,"")</f>
        <v/>
      </c>
      <c r="G314" s="19" t="inlineStr">
        <is>
          <t>Voir</t>
        </is>
      </c>
    </row>
    <row r="315">
      <c r="A315" s="10" t="inlineStr">
        <is>
          <t>Porsche Boxster 986</t>
        </is>
      </c>
      <c r="B315" s="10" t="inlineStr">
        <is>
          <t>3267019398</t>
        </is>
      </c>
      <c r="C315" s="10" t="inlineStr">
        <is>
          <t>Porsche Boxster 986 2.5l</t>
        </is>
      </c>
      <c r="D315" s="18" t="n">
        <v>46296</v>
      </c>
      <c r="E315" s="12" t="n">
        <v>14800</v>
      </c>
      <c r="F315" s="14">
        <f>IF(AND($B315=$B314,ISNUMBER(E314),E314&gt;0),E315/E314-1,"")</f>
        <v/>
      </c>
      <c r="G315" s="19" t="inlineStr">
        <is>
          <t>Voir</t>
        </is>
      </c>
    </row>
    <row r="316">
      <c r="A316" s="10" t="inlineStr">
        <is>
          <t>Porsche Boxster 986</t>
        </is>
      </c>
      <c r="B316" s="10" t="inlineStr">
        <is>
          <t>3267529893</t>
        </is>
      </c>
      <c r="C316" s="10" t="inlineStr">
        <is>
          <t>Porsche Boxster 986</t>
        </is>
      </c>
      <c r="D316" s="18" t="n">
        <v>46296</v>
      </c>
      <c r="E316" s="12" t="n">
        <v>13990</v>
      </c>
      <c r="F316" s="14">
        <f>IF(AND($B316=$B315,ISNUMBER(E315),E315&gt;0),E316/E315-1,"")</f>
        <v/>
      </c>
      <c r="G316" s="19" t="inlineStr">
        <is>
          <t>Voir</t>
        </is>
      </c>
    </row>
    <row r="317">
      <c r="A317" s="10" t="inlineStr">
        <is>
          <t>Porsche Boxster 986</t>
        </is>
      </c>
      <c r="B317" s="10" t="inlineStr">
        <is>
          <t>3267627094</t>
        </is>
      </c>
      <c r="C317" s="10" t="inlineStr">
        <is>
          <t>Porsche Boxster 986</t>
        </is>
      </c>
      <c r="D317" s="18" t="n">
        <v>46296</v>
      </c>
      <c r="E317" s="12" t="n">
        <v>11450</v>
      </c>
      <c r="F317" s="14">
        <f>IF(AND($B317=$B316,ISNUMBER(E316),E316&gt;0),E317/E316-1,"")</f>
        <v/>
      </c>
      <c r="G317" s="19" t="inlineStr">
        <is>
          <t>Voir</t>
        </is>
      </c>
    </row>
    <row r="318">
      <c r="A318" s="10" t="inlineStr">
        <is>
          <t>Porsche Boxster 986</t>
        </is>
      </c>
      <c r="B318" s="10" t="inlineStr">
        <is>
          <t>3269059217</t>
        </is>
      </c>
      <c r="C318" s="10" t="inlineStr">
        <is>
          <t>Porsche boxster 986</t>
        </is>
      </c>
      <c r="D318" s="18" t="n">
        <v>46296</v>
      </c>
      <c r="E318" s="12" t="n">
        <v>17900</v>
      </c>
      <c r="F318" s="14">
        <f>IF(AND($B318=$B317,ISNUMBER(E317),E317&gt;0),E318/E317-1,"")</f>
        <v/>
      </c>
      <c r="G318" s="19" t="inlineStr">
        <is>
          <t>Voir</t>
        </is>
      </c>
    </row>
    <row r="319">
      <c r="A319" s="10" t="inlineStr">
        <is>
          <t>Porsche Boxster 986</t>
        </is>
      </c>
      <c r="B319" s="10" t="inlineStr">
        <is>
          <t>3270983963</t>
        </is>
      </c>
      <c r="C319" s="10" t="inlineStr">
        <is>
          <t>Porsche boxster 986 2.5</t>
        </is>
      </c>
      <c r="D319" s="18" t="n">
        <v>46296</v>
      </c>
      <c r="E319" s="12" t="n">
        <v>11500</v>
      </c>
      <c r="F319" s="14">
        <f>IF(AND($B319=$B318,ISNUMBER(E318),E318&gt;0),E319/E318-1,"")</f>
        <v/>
      </c>
      <c r="G319" s="19" t="inlineStr">
        <is>
          <t>Voir</t>
        </is>
      </c>
    </row>
    <row r="320">
      <c r="A320" s="10" t="inlineStr">
        <is>
          <t>Porsche Boxster 986</t>
        </is>
      </c>
      <c r="B320" s="10" t="inlineStr">
        <is>
          <t>3271472221</t>
        </is>
      </c>
      <c r="C320" s="10" t="inlineStr">
        <is>
          <t>Porsche boxster 986</t>
        </is>
      </c>
      <c r="D320" s="18" t="n">
        <v>46296</v>
      </c>
      <c r="E320" s="12" t="n">
        <v>17500</v>
      </c>
      <c r="F320" s="14">
        <f>IF(AND($B320=$B319,ISNUMBER(E319),E319&gt;0),E320/E319-1,"")</f>
        <v/>
      </c>
      <c r="G320" s="19" t="inlineStr">
        <is>
          <t>Voir</t>
        </is>
      </c>
    </row>
    <row r="321">
      <c r="A321" s="10" t="inlineStr">
        <is>
          <t>Porsche Boxster 986</t>
        </is>
      </c>
      <c r="B321" s="10" t="inlineStr">
        <is>
          <t>3272892582</t>
        </is>
      </c>
      <c r="C321" s="10" t="inlineStr">
        <is>
          <t>Porsche boxster 986</t>
        </is>
      </c>
      <c r="D321" s="18" t="n">
        <v>46296</v>
      </c>
      <c r="E321" s="12" t="n">
        <v>12000</v>
      </c>
      <c r="F321" s="14">
        <f>IF(AND($B321=$B320,ISNUMBER(E320),E320&gt;0),E321/E320-1,"")</f>
        <v/>
      </c>
      <c r="G321" s="19" t="inlineStr">
        <is>
          <t>Voir</t>
        </is>
      </c>
    </row>
    <row r="322">
      <c r="A322" s="10" t="inlineStr">
        <is>
          <t>Porsche Boxster 986</t>
        </is>
      </c>
      <c r="B322" s="10" t="inlineStr">
        <is>
          <t>3272963366</t>
        </is>
      </c>
      <c r="C322" s="10" t="inlineStr">
        <is>
          <t>Porsche BOXSTER (986) 2.7</t>
        </is>
      </c>
      <c r="D322" s="18" t="n">
        <v>46296</v>
      </c>
      <c r="E322" s="12" t="n">
        <v>18990</v>
      </c>
      <c r="F322" s="14">
        <f>IF(AND($B322=$B321,ISNUMBER(E321),E321&gt;0),E322/E321-1,"")</f>
        <v/>
      </c>
      <c r="G322" s="19" t="inlineStr">
        <is>
          <t>Voir</t>
        </is>
      </c>
    </row>
    <row r="323">
      <c r="A323" s="10" t="inlineStr">
        <is>
          <t>Porsche Boxster 986</t>
        </is>
      </c>
      <c r="B323" s="10" t="inlineStr">
        <is>
          <t>3275167558</t>
        </is>
      </c>
      <c r="C323" s="10" t="inlineStr">
        <is>
          <t>Porsche Boxster 986</t>
        </is>
      </c>
      <c r="D323" s="18" t="n">
        <v>46296</v>
      </c>
      <c r="E323" s="12" t="n">
        <v>19500</v>
      </c>
      <c r="F323" s="14">
        <f>IF(AND($B323=$B322,ISNUMBER(E322),E322&gt;0),E323/E322-1,"")</f>
        <v/>
      </c>
      <c r="G323" s="19" t="inlineStr">
        <is>
          <t>Voir</t>
        </is>
      </c>
    </row>
    <row r="324">
      <c r="A324" s="10" t="inlineStr">
        <is>
          <t>Porsche Boxster 986</t>
        </is>
      </c>
      <c r="B324" s="10" t="inlineStr">
        <is>
          <t>3275432969</t>
        </is>
      </c>
      <c r="C324" s="10" t="inlineStr">
        <is>
          <t>Porsche Boxster 986 2.5 éthanol</t>
        </is>
      </c>
      <c r="D324" s="18" t="n">
        <v>46296</v>
      </c>
      <c r="E324" s="12" t="n">
        <v>10900</v>
      </c>
      <c r="F324" s="14">
        <f>IF(AND($B324=$B323,ISNUMBER(E323),E323&gt;0),E324/E323-1,"")</f>
        <v/>
      </c>
      <c r="G324" s="19" t="inlineStr">
        <is>
          <t>Voir</t>
        </is>
      </c>
    </row>
    <row r="325">
      <c r="A325" s="10" t="inlineStr">
        <is>
          <t>Porsche Boxster 986</t>
        </is>
      </c>
      <c r="B325" s="10" t="inlineStr">
        <is>
          <t>3276464340</t>
        </is>
      </c>
      <c r="C325" s="10" t="inlineStr">
        <is>
          <t>Porsche Boxster 986 2.7</t>
        </is>
      </c>
      <c r="D325" s="18" t="n">
        <v>46296</v>
      </c>
      <c r="E325" s="12" t="n">
        <v>5000</v>
      </c>
      <c r="F325" s="14">
        <f>IF(AND($B325=$B324,ISNUMBER(E324),E324&gt;0),E325/E324-1,"")</f>
        <v/>
      </c>
      <c r="G325" s="19" t="inlineStr">
        <is>
          <t>Voir</t>
        </is>
      </c>
    </row>
    <row r="326">
      <c r="A326" s="10" t="inlineStr">
        <is>
          <t>Porsche Boxster 986</t>
        </is>
      </c>
      <c r="B326" s="10" t="inlineStr">
        <is>
          <t>3277303432</t>
        </is>
      </c>
      <c r="C326" s="10" t="inlineStr">
        <is>
          <t>Porsche Boxster 986 avec 77053 km</t>
        </is>
      </c>
      <c r="D326" s="18" t="n">
        <v>46296</v>
      </c>
      <c r="E326" s="12" t="n">
        <v>13650</v>
      </c>
      <c r="F326" s="14">
        <f>IF(AND($B326=$B325,ISNUMBER(E325),E325&gt;0),E326/E325-1,"")</f>
        <v/>
      </c>
      <c r="G326" s="19" t="inlineStr">
        <is>
          <t>Voir</t>
        </is>
      </c>
    </row>
    <row r="327">
      <c r="A327" s="10" t="inlineStr">
        <is>
          <t>Porsche Boxster 986</t>
        </is>
      </c>
      <c r="B327" s="10" t="inlineStr">
        <is>
          <t>3277850572</t>
        </is>
      </c>
      <c r="C327" s="10" t="inlineStr">
        <is>
          <t>Porsche Boxster 986</t>
        </is>
      </c>
      <c r="D327" s="18" t="n">
        <v>46296</v>
      </c>
      <c r="E327" s="12" t="n">
        <v>14000</v>
      </c>
      <c r="F327" s="14">
        <f>IF(AND($B327=$B326,ISNUMBER(E326),E326&gt;0),E327/E326-1,"")</f>
        <v/>
      </c>
      <c r="G327" s="19" t="inlineStr">
        <is>
          <t>Voir</t>
        </is>
      </c>
    </row>
    <row r="328">
      <c r="A328" s="10" t="inlineStr">
        <is>
          <t>Porsche Boxster 986</t>
        </is>
      </c>
      <c r="B328" s="10" t="inlineStr">
        <is>
          <t>3278140957</t>
        </is>
      </c>
      <c r="C328" s="10" t="inlineStr">
        <is>
          <t>PORSCHE BOXSTER 2.7i - 228ch TYPE 986 CABRIOLET PHASE 2</t>
        </is>
      </c>
      <c r="D328" s="18" t="n">
        <v>46296</v>
      </c>
      <c r="E328" s="12" t="n">
        <v>18290</v>
      </c>
      <c r="F328" s="14">
        <f>IF(AND($B328=$B327,ISNUMBER(E327),E327&gt;0),E328/E327-1,"")</f>
        <v/>
      </c>
      <c r="G328" s="19" t="inlineStr">
        <is>
          <t>Voir</t>
        </is>
      </c>
    </row>
    <row r="329">
      <c r="A329" s="10" t="inlineStr">
        <is>
          <t>Porsche Boxster 986</t>
        </is>
      </c>
      <c r="B329" s="10" t="inlineStr">
        <is>
          <t>3279539872</t>
        </is>
      </c>
      <c r="C329" s="10" t="inlineStr">
        <is>
          <t>Porsche Boxster 986 - 2L7</t>
        </is>
      </c>
      <c r="D329" s="18" t="n">
        <v>46296</v>
      </c>
      <c r="E329" s="12" t="n">
        <v>17800</v>
      </c>
      <c r="F329" s="14">
        <f>IF(AND($B329=$B328,ISNUMBER(E328),E328&gt;0),E329/E328-1,"")</f>
        <v/>
      </c>
      <c r="G329" s="19" t="inlineStr">
        <is>
          <t>Voir</t>
        </is>
      </c>
    </row>
    <row r="330">
      <c r="A330" s="10" t="inlineStr">
        <is>
          <t>Porsche Boxster 986</t>
        </is>
      </c>
      <c r="B330" s="10" t="inlineStr">
        <is>
          <t>3279820769</t>
        </is>
      </c>
      <c r="C330" s="10" t="inlineStr">
        <is>
          <t>Porsche boxster 986</t>
        </is>
      </c>
      <c r="D330" s="18" t="n">
        <v>46296</v>
      </c>
      <c r="E330" s="12" t="n">
        <v>19900</v>
      </c>
      <c r="F330" s="14">
        <f>IF(AND($B330=$B329,ISNUMBER(E329),E329&gt;0),E330/E329-1,"")</f>
        <v/>
      </c>
      <c r="G330" s="19" t="inlineStr">
        <is>
          <t>Voir</t>
        </is>
      </c>
    </row>
    <row r="331">
      <c r="A331" s="10" t="inlineStr">
        <is>
          <t>Porsche Boxster 987</t>
        </is>
      </c>
      <c r="B331" s="10" t="inlineStr">
        <is>
          <t>3128001937</t>
        </is>
      </c>
      <c r="C331" s="10" t="inlineStr">
        <is>
          <t>PORSCHE BOXSTER 987-1 2.7 i Cabriolet 240cv</t>
        </is>
      </c>
      <c r="D331" s="18" t="n">
        <v>46296</v>
      </c>
      <c r="E331" s="12" t="n">
        <v>24490</v>
      </c>
      <c r="F331" s="14">
        <f>IF(AND($B331=$B330,ISNUMBER(E330),E330&gt;0),E331/E330-1,"")</f>
        <v/>
      </c>
      <c r="G331" s="19" t="inlineStr">
        <is>
          <t>Voir</t>
        </is>
      </c>
    </row>
    <row r="332">
      <c r="A332" s="10" t="inlineStr">
        <is>
          <t>Porsche Boxster 987</t>
        </is>
      </c>
      <c r="B332" s="10" t="inlineStr">
        <is>
          <t>3138081600</t>
        </is>
      </c>
      <c r="C332" s="10" t="inlineStr">
        <is>
          <t>Porsche BOXSTER (987) 3.4 S</t>
        </is>
      </c>
      <c r="D332" s="18" t="n">
        <v>46296</v>
      </c>
      <c r="E332" s="12" t="n">
        <v>29990</v>
      </c>
      <c r="F332" s="14">
        <f>IF(AND($B332=$B331,ISNUMBER(E331),E331&gt;0),E332/E331-1,"")</f>
        <v/>
      </c>
      <c r="G332" s="19" t="inlineStr">
        <is>
          <t>Voir</t>
        </is>
      </c>
    </row>
    <row r="333">
      <c r="A333" s="10" t="inlineStr">
        <is>
          <t>Porsche Boxster 987</t>
        </is>
      </c>
      <c r="B333" s="10" t="inlineStr">
        <is>
          <t>3192502697</t>
        </is>
      </c>
      <c r="C333" s="10" t="inlineStr">
        <is>
          <t>Porsche BOXSTER (987) 3.2 S</t>
        </is>
      </c>
      <c r="D333" s="18" t="n">
        <v>46296</v>
      </c>
      <c r="E333" s="12" t="n">
        <v>37900</v>
      </c>
      <c r="F333" s="14">
        <f>IF(AND($B333=$B332,ISNUMBER(E332),E332&gt;0),E333/E332-1,"")</f>
        <v/>
      </c>
      <c r="G333" s="19" t="inlineStr">
        <is>
          <t>Voir</t>
        </is>
      </c>
    </row>
    <row r="334">
      <c r="A334" s="10" t="inlineStr">
        <is>
          <t>Porsche Boxster 987</t>
        </is>
      </c>
      <c r="B334" s="10" t="inlineStr">
        <is>
          <t>3194330539</t>
        </is>
      </c>
      <c r="C334" s="10" t="inlineStr">
        <is>
          <t>Porsche BOXSTER (987) 3.4 S</t>
        </is>
      </c>
      <c r="D334" s="18" t="n">
        <v>46296</v>
      </c>
      <c r="E334" s="12" t="n">
        <v>29990</v>
      </c>
      <c r="F334" s="14">
        <f>IF(AND($B334=$B333,ISNUMBER(E333),E333&gt;0),E334/E333-1,"")</f>
        <v/>
      </c>
      <c r="G334" s="19" t="inlineStr">
        <is>
          <t>Voir</t>
        </is>
      </c>
    </row>
    <row r="335">
      <c r="A335" s="10" t="inlineStr">
        <is>
          <t>Porsche Boxster 987</t>
        </is>
      </c>
      <c r="B335" s="10" t="inlineStr">
        <is>
          <t>3196043714</t>
        </is>
      </c>
      <c r="C335" s="10" t="inlineStr">
        <is>
          <t>Porsche Boxster S (987) 3.4 320 Black Edition</t>
        </is>
      </c>
      <c r="D335" s="18" t="n">
        <v>46296</v>
      </c>
      <c r="E335" s="12" t="n">
        <v>45990</v>
      </c>
      <c r="F335" s="14">
        <f>IF(AND($B335=$B334,ISNUMBER(E334),E334&gt;0),E335/E334-1,"")</f>
        <v/>
      </c>
      <c r="G335" s="19" t="inlineStr">
        <is>
          <t>Voir</t>
        </is>
      </c>
    </row>
    <row r="336">
      <c r="A336" s="10" t="inlineStr">
        <is>
          <t>Porsche Boxster 987</t>
        </is>
      </c>
      <c r="B336" s="10" t="inlineStr">
        <is>
          <t>3206698877</t>
        </is>
      </c>
      <c r="C336" s="10" t="inlineStr">
        <is>
          <t>Porche Boxster 987 2,7l 240ch</t>
        </is>
      </c>
      <c r="D336" s="18" t="n">
        <v>46296</v>
      </c>
      <c r="E336" s="12" t="n">
        <v>24000</v>
      </c>
      <c r="F336" s="14">
        <f>IF(AND($B336=$B335,ISNUMBER(E335),E335&gt;0),E336/E335-1,"")</f>
        <v/>
      </c>
      <c r="G336" s="19" t="inlineStr">
        <is>
          <t>Voir</t>
        </is>
      </c>
    </row>
    <row r="337">
      <c r="A337" s="10" t="inlineStr">
        <is>
          <t>Porsche Boxster 987</t>
        </is>
      </c>
      <c r="B337" s="10" t="inlineStr">
        <is>
          <t>3213424345</t>
        </is>
      </c>
      <c r="C337" s="10" t="inlineStr">
        <is>
          <t>Porsche BOXSTER S 987 PDK BLACK EDITION</t>
        </is>
      </c>
      <c r="D337" s="18" t="n">
        <v>46296</v>
      </c>
      <c r="E337" s="12" t="n">
        <v>44990</v>
      </c>
      <c r="F337" s="14">
        <f>IF(AND($B337=$B336,ISNUMBER(E336),E336&gt;0),E337/E336-1,"")</f>
        <v/>
      </c>
      <c r="G337" s="19" t="inlineStr">
        <is>
          <t>Voir</t>
        </is>
      </c>
    </row>
    <row r="338">
      <c r="A338" s="10" t="inlineStr">
        <is>
          <t>Porsche Boxster 987</t>
        </is>
      </c>
      <c r="B338" s="10" t="inlineStr">
        <is>
          <t>3213662086</t>
        </is>
      </c>
      <c r="C338" s="10" t="inlineStr">
        <is>
          <t>Porsche BOXSTER (987) 3.2 S ENTRETIEN COMPLET</t>
        </is>
      </c>
      <c r="D338" s="18" t="n">
        <v>46296</v>
      </c>
      <c r="E338" s="12" t="n">
        <v>28490</v>
      </c>
      <c r="F338" s="14">
        <f>IF(AND($B338=$B337,ISNUMBER(E337),E337&gt;0),E338/E337-1,"")</f>
        <v/>
      </c>
      <c r="G338" s="19" t="inlineStr">
        <is>
          <t>Voir</t>
        </is>
      </c>
    </row>
    <row r="339">
      <c r="A339" s="10" t="inlineStr">
        <is>
          <t>Porsche Boxster 987</t>
        </is>
      </c>
      <c r="B339" s="10" t="inlineStr">
        <is>
          <t>3214587287</t>
        </is>
      </c>
      <c r="C339" s="10" t="inlineStr">
        <is>
          <t>Porsche Boxster 987</t>
        </is>
      </c>
      <c r="D339" s="18" t="n">
        <v>46296</v>
      </c>
      <c r="E339" s="12" t="n">
        <v>27600</v>
      </c>
      <c r="F339" s="14">
        <f>IF(AND($B339=$B338,ISNUMBER(E338),E338&gt;0),E339/E338-1,"")</f>
        <v/>
      </c>
      <c r="G339" s="19" t="inlineStr">
        <is>
          <t>Voir</t>
        </is>
      </c>
    </row>
    <row r="340">
      <c r="A340" s="10" t="inlineStr">
        <is>
          <t>Porsche Boxster 987</t>
        </is>
      </c>
      <c r="B340" s="10" t="inlineStr">
        <is>
          <t>3228156690</t>
        </is>
      </c>
      <c r="C340" s="10" t="inlineStr">
        <is>
          <t>Porsche Boxster 987 S</t>
        </is>
      </c>
      <c r="D340" s="18" t="n">
        <v>46296</v>
      </c>
      <c r="E340" s="12" t="n">
        <v>29500</v>
      </c>
      <c r="F340" s="14">
        <f>IF(AND($B340=$B339,ISNUMBER(E339),E339&gt;0),E340/E339-1,"")</f>
        <v/>
      </c>
      <c r="G340" s="19" t="inlineStr">
        <is>
          <t>Voir</t>
        </is>
      </c>
    </row>
    <row r="341">
      <c r="A341" s="10" t="inlineStr">
        <is>
          <t>Porsche Boxster 987</t>
        </is>
      </c>
      <c r="B341" s="10" t="inlineStr">
        <is>
          <t>3232184088</t>
        </is>
      </c>
      <c r="C341" s="10" t="inlineStr">
        <is>
          <t>Porsche Boxster 987</t>
        </is>
      </c>
      <c r="D341" s="18" t="n">
        <v>46296</v>
      </c>
      <c r="E341" s="12" t="n">
        <v>28990</v>
      </c>
      <c r="F341" s="14">
        <f>IF(AND($B341=$B340,ISNUMBER(E340),E340&gt;0),E341/E340-1,"")</f>
        <v/>
      </c>
      <c r="G341" s="19" t="inlineStr">
        <is>
          <t>Voir</t>
        </is>
      </c>
    </row>
    <row r="342">
      <c r="A342" s="10" t="inlineStr">
        <is>
          <t>Porsche Boxster 987</t>
        </is>
      </c>
      <c r="B342" s="10" t="inlineStr">
        <is>
          <t>3239890949</t>
        </is>
      </c>
      <c r="C342" s="10" t="inlineStr">
        <is>
          <t>Porsche Boxster 987 Phase 2 - 2.9 L 256 Ch -BVM - 60000 Km -Full Black / Financement &amp; Reprise</t>
        </is>
      </c>
      <c r="D342" s="18" t="n">
        <v>46296</v>
      </c>
      <c r="E342" s="12" t="n">
        <v>35900</v>
      </c>
      <c r="F342" s="14">
        <f>IF(AND($B342=$B341,ISNUMBER(E341),E341&gt;0),E342/E341-1,"")</f>
        <v/>
      </c>
      <c r="G342" s="19" t="inlineStr">
        <is>
          <t>Voir</t>
        </is>
      </c>
    </row>
    <row r="343">
      <c r="A343" s="10" t="inlineStr">
        <is>
          <t>Porsche Boxster 987</t>
        </is>
      </c>
      <c r="B343" s="10" t="inlineStr">
        <is>
          <t>3241715497</t>
        </is>
      </c>
      <c r="C343" s="10" t="inlineStr">
        <is>
          <t>Porsche BOXSTER (987) 2.7 245CH</t>
        </is>
      </c>
      <c r="D343" s="18" t="n">
        <v>46296</v>
      </c>
      <c r="E343" s="12" t="n">
        <v>26900</v>
      </c>
      <c r="F343" s="14">
        <f>IF(AND($B343=$B342,ISNUMBER(E342),E342&gt;0),E343/E342-1,"")</f>
        <v/>
      </c>
      <c r="G343" s="19" t="inlineStr">
        <is>
          <t>Voir</t>
        </is>
      </c>
    </row>
    <row r="344">
      <c r="A344" s="10" t="inlineStr">
        <is>
          <t>Porsche Boxster 987</t>
        </is>
      </c>
      <c r="B344" s="10" t="inlineStr">
        <is>
          <t>3247666341</t>
        </is>
      </c>
      <c r="C344" s="10" t="inlineStr">
        <is>
          <t>Porsche Boxster 987 S 3.4 310 jaune vitesse CARPLAY boite manuelle</t>
        </is>
      </c>
      <c r="D344" s="18" t="n">
        <v>46296</v>
      </c>
      <c r="E344" s="12" t="n">
        <v>46990</v>
      </c>
      <c r="F344" s="14">
        <f>IF(AND($B344=$B343,ISNUMBER(E343),E343&gt;0),E344/E343-1,"")</f>
        <v/>
      </c>
      <c r="G344" s="19" t="inlineStr">
        <is>
          <t>Voir</t>
        </is>
      </c>
    </row>
    <row r="345">
      <c r="A345" s="10" t="inlineStr">
        <is>
          <t>Porsche Boxster 987</t>
        </is>
      </c>
      <c r="B345" s="10" t="inlineStr">
        <is>
          <t>3253304934</t>
        </is>
      </c>
      <c r="C345" s="10" t="inlineStr">
        <is>
          <t>Porsche Boxster S 987.2 3.4 310CH PDK – SPORT CHRONO PLUS | CUIR ÉTENDU | PCM | XÉNON | 19”</t>
        </is>
      </c>
      <c r="D345" s="18" t="n">
        <v>46296</v>
      </c>
      <c r="E345" s="12" t="n">
        <v>34990</v>
      </c>
      <c r="F345" s="14">
        <f>IF(AND($B345=$B344,ISNUMBER(E344),E344&gt;0),E345/E344-1,"")</f>
        <v/>
      </c>
      <c r="G345" s="19" t="inlineStr">
        <is>
          <t>Voir</t>
        </is>
      </c>
    </row>
    <row r="346">
      <c r="A346" s="10" t="inlineStr">
        <is>
          <t>Porsche Boxster 987</t>
        </is>
      </c>
      <c r="B346" s="10" t="inlineStr">
        <is>
          <t>3258419971</t>
        </is>
      </c>
      <c r="C346" s="10" t="inlineStr">
        <is>
          <t>Porsche boxster 987</t>
        </is>
      </c>
      <c r="D346" s="18" t="n">
        <v>46296</v>
      </c>
      <c r="E346" s="12" t="n">
        <v>20000</v>
      </c>
      <c r="F346" s="14">
        <f>IF(AND($B346=$B345,ISNUMBER(E345),E345&gt;0),E346/E345-1,"")</f>
        <v/>
      </c>
      <c r="G346" s="19" t="inlineStr">
        <is>
          <t>Voir</t>
        </is>
      </c>
    </row>
    <row r="347">
      <c r="A347" s="10" t="inlineStr">
        <is>
          <t>Porsche Boxster 987</t>
        </is>
      </c>
      <c r="B347" s="10" t="inlineStr">
        <is>
          <t>3258520263</t>
        </is>
      </c>
      <c r="C347" s="10" t="inlineStr">
        <is>
          <t>Porsche Boxster II (987) 2.9</t>
        </is>
      </c>
      <c r="D347" s="18" t="n">
        <v>46296</v>
      </c>
      <c r="E347" s="12" t="n">
        <v>39990</v>
      </c>
      <c r="F347" s="14">
        <f>IF(AND($B347=$B346,ISNUMBER(E346),E346&gt;0),E347/E346-1,"")</f>
        <v/>
      </c>
      <c r="G347" s="19" t="inlineStr">
        <is>
          <t>Voir</t>
        </is>
      </c>
    </row>
    <row r="348">
      <c r="A348" s="10" t="inlineStr">
        <is>
          <t>Porsche Boxster 987</t>
        </is>
      </c>
      <c r="B348" s="10" t="inlineStr">
        <is>
          <t>3263120554</t>
        </is>
      </c>
      <c r="C348" s="10" t="inlineStr">
        <is>
          <t>Porsche Boxster 987 S</t>
        </is>
      </c>
      <c r="D348" s="18" t="n">
        <v>46296</v>
      </c>
      <c r="E348" s="12" t="n">
        <v>18950</v>
      </c>
      <c r="F348" s="14">
        <f>IF(AND($B348=$B347,ISNUMBER(E347),E347&gt;0),E348/E347-1,"")</f>
        <v/>
      </c>
      <c r="G348" s="19" t="inlineStr">
        <is>
          <t>Voir</t>
        </is>
      </c>
    </row>
    <row r="349">
      <c r="A349" s="10" t="inlineStr">
        <is>
          <t>Porsche Boxster 987</t>
        </is>
      </c>
      <c r="B349" s="10" t="inlineStr">
        <is>
          <t>3266721735</t>
        </is>
      </c>
      <c r="C349" s="10" t="inlineStr">
        <is>
          <t>Porsche Boxster 987.1 2.7L 240CV</t>
        </is>
      </c>
      <c r="D349" s="18" t="n">
        <v>46296</v>
      </c>
      <c r="E349" s="12" t="n">
        <v>28000</v>
      </c>
      <c r="F349" s="14">
        <f>IF(AND($B349=$B348,ISNUMBER(E348),E348&gt;0),E349/E348-1,"")</f>
        <v/>
      </c>
      <c r="G349" s="19" t="inlineStr">
        <is>
          <t>Voir</t>
        </is>
      </c>
    </row>
    <row r="350">
      <c r="A350" s="10" t="inlineStr">
        <is>
          <t>Porsche Boxster 987</t>
        </is>
      </c>
      <c r="B350" s="10" t="inlineStr">
        <is>
          <t>3267035560</t>
        </is>
      </c>
      <c r="C350" s="10" t="inlineStr">
        <is>
          <t>Porsche Boxster 987 2.9 6 cyl. 256 ch PDK / 48 973 km Bi-Xénon Alcantara-Cuir Sièges chauffants</t>
        </is>
      </c>
      <c r="D350" s="18" t="n">
        <v>46296</v>
      </c>
      <c r="E350" s="12" t="n">
        <v>34350</v>
      </c>
      <c r="F350" s="14">
        <f>IF(AND($B350=$B349,ISNUMBER(E349),E349&gt;0),E350/E349-1,"")</f>
        <v/>
      </c>
      <c r="G350" s="19" t="inlineStr">
        <is>
          <t>Voir</t>
        </is>
      </c>
    </row>
    <row r="351">
      <c r="A351" s="10" t="inlineStr">
        <is>
          <t>Porsche Boxster 987</t>
        </is>
      </c>
      <c r="B351" s="10" t="inlineStr">
        <is>
          <t>3270378486</t>
        </is>
      </c>
      <c r="C351" s="10" t="inlineStr">
        <is>
          <t>Porsche Boxster S (987.2) 3.4 310ch PDK - Pack Chrono / Sport Design PCM</t>
        </is>
      </c>
      <c r="D351" s="18" t="n">
        <v>46296</v>
      </c>
      <c r="E351" s="12" t="n">
        <v>36990</v>
      </c>
      <c r="F351" s="14">
        <f>IF(AND($B351=$B350,ISNUMBER(E350),E350&gt;0),E351/E350-1,"")</f>
        <v/>
      </c>
      <c r="G351" s="19" t="inlineStr">
        <is>
          <t>Voir</t>
        </is>
      </c>
    </row>
    <row r="352">
      <c r="A352" s="10" t="inlineStr">
        <is>
          <t>Porsche Boxster 987</t>
        </is>
      </c>
      <c r="B352" s="10" t="inlineStr">
        <is>
          <t>3270568277</t>
        </is>
      </c>
      <c r="C352" s="10" t="inlineStr">
        <is>
          <t>Porsche boxster 987</t>
        </is>
      </c>
      <c r="D352" s="18" t="n">
        <v>46296</v>
      </c>
      <c r="E352" s="12" t="n">
        <v>25000</v>
      </c>
      <c r="F352" s="14">
        <f>IF(AND($B352=$B351,ISNUMBER(E351),E351&gt;0),E352/E351-1,"")</f>
        <v/>
      </c>
      <c r="G352" s="19" t="inlineStr">
        <is>
          <t>Voir</t>
        </is>
      </c>
    </row>
    <row r="353">
      <c r="A353" s="10" t="inlineStr">
        <is>
          <t>Porsche Boxster 987</t>
        </is>
      </c>
      <c r="B353" s="10" t="inlineStr">
        <is>
          <t>3270821976</t>
        </is>
      </c>
      <c r="C353" s="10" t="inlineStr">
        <is>
          <t>Porsche Boxster 987 Phase 2</t>
        </is>
      </c>
      <c r="D353" s="18" t="n">
        <v>46296</v>
      </c>
      <c r="E353" s="12" t="n">
        <v>38900</v>
      </c>
      <c r="F353" s="14">
        <f>IF(AND($B353=$B352,ISNUMBER(E352),E352&gt;0),E353/E352-1,"")</f>
        <v/>
      </c>
      <c r="G353" s="19" t="inlineStr">
        <is>
          <t>Voir</t>
        </is>
      </c>
    </row>
    <row r="354">
      <c r="A354" s="10" t="inlineStr">
        <is>
          <t>Porsche Boxster 987</t>
        </is>
      </c>
      <c r="B354" s="10" t="inlineStr">
        <is>
          <t>3271574505</t>
        </is>
      </c>
      <c r="C354" s="10" t="inlineStr">
        <is>
          <t>Porsche Boxster 987 2.7L BVA</t>
        </is>
      </c>
      <c r="D354" s="18" t="n">
        <v>46296</v>
      </c>
      <c r="E354" s="12" t="n">
        <v>23500</v>
      </c>
      <c r="F354" s="14">
        <f>IF(AND($B354=$B353,ISNUMBER(E353),E353&gt;0),E354/E353-1,"")</f>
        <v/>
      </c>
      <c r="G354" s="19" t="inlineStr">
        <is>
          <t>Voir</t>
        </is>
      </c>
    </row>
    <row r="355">
      <c r="A355" s="10" t="inlineStr">
        <is>
          <t>Porsche Boxster 987</t>
        </is>
      </c>
      <c r="B355" s="10" t="inlineStr">
        <is>
          <t>3271944032</t>
        </is>
      </c>
      <c r="C355" s="10" t="inlineStr">
        <is>
          <t>Boxster 987.2</t>
        </is>
      </c>
      <c r="D355" s="18" t="n">
        <v>46296</v>
      </c>
      <c r="E355" s="12" t="n">
        <v>32000</v>
      </c>
      <c r="F355" s="14">
        <f>IF(AND($B355=$B354,ISNUMBER(E354),E354&gt;0),E355/E354-1,"")</f>
        <v/>
      </c>
      <c r="G355" s="19" t="inlineStr">
        <is>
          <t>Voir</t>
        </is>
      </c>
    </row>
    <row r="356">
      <c r="A356" s="10" t="inlineStr">
        <is>
          <t>Porsche Boxster 987</t>
        </is>
      </c>
      <c r="B356" s="10" t="inlineStr">
        <is>
          <t>3272175602</t>
        </is>
      </c>
      <c r="C356" s="10" t="inlineStr">
        <is>
          <t>PORSCHE BOXSTER Type 987 3.4 295 S Entretien Porsche</t>
        </is>
      </c>
      <c r="D356" s="18" t="n">
        <v>46296</v>
      </c>
      <c r="E356" s="12" t="n">
        <v>23990</v>
      </c>
      <c r="F356" s="14">
        <f>IF(AND($B356=$B355,ISNUMBER(E355),E355&gt;0),E356/E355-1,"")</f>
        <v/>
      </c>
      <c r="G356" s="19" t="inlineStr">
        <is>
          <t>Voir</t>
        </is>
      </c>
    </row>
    <row r="357">
      <c r="A357" s="10" t="inlineStr">
        <is>
          <t>Porsche Boxster 987</t>
        </is>
      </c>
      <c r="B357" s="10" t="inlineStr">
        <is>
          <t>3272603300</t>
        </is>
      </c>
      <c r="C357" s="10" t="inlineStr">
        <is>
          <t>Porsche Boxster Type 987.1 (2.7) *BVM / Intérieur Cuir / Sièges chauffants / Jantes Boxster S 18"</t>
        </is>
      </c>
      <c r="D357" s="18" t="n">
        <v>46296</v>
      </c>
      <c r="E357" s="12" t="n">
        <v>27490</v>
      </c>
      <c r="F357" s="14">
        <f>IF(AND($B357=$B356,ISNUMBER(E356),E356&gt;0),E357/E356-1,"")</f>
        <v/>
      </c>
      <c r="G357" s="19" t="inlineStr">
        <is>
          <t>Voir</t>
        </is>
      </c>
    </row>
    <row r="358">
      <c r="A358" s="10" t="inlineStr">
        <is>
          <t>Porsche Boxster 987</t>
        </is>
      </c>
      <c r="B358" s="10" t="inlineStr">
        <is>
          <t>3273797460</t>
        </is>
      </c>
      <c r="C358" s="10" t="inlineStr">
        <is>
          <t>Porsche boxster 987</t>
        </is>
      </c>
      <c r="D358" s="18" t="n">
        <v>46296</v>
      </c>
      <c r="E358" s="12" t="n">
        <v>25900</v>
      </c>
      <c r="F358" s="14">
        <f>IF(AND($B358=$B357,ISNUMBER(E357),E357&gt;0),E358/E357-1,"")</f>
        <v/>
      </c>
      <c r="G358" s="19" t="inlineStr">
        <is>
          <t>Voir</t>
        </is>
      </c>
    </row>
    <row r="359">
      <c r="A359" s="10" t="inlineStr">
        <is>
          <t>Porsche Boxster 987</t>
        </is>
      </c>
      <c r="B359" s="10" t="inlineStr">
        <is>
          <t>3274728979</t>
        </is>
      </c>
      <c r="C359" s="10" t="inlineStr">
        <is>
          <t>PORSCHE BOXSTER 987 2.7 245ch Boite Mécanique Origine France</t>
        </is>
      </c>
      <c r="D359" s="18" t="n">
        <v>46296</v>
      </c>
      <c r="E359" s="12" t="n">
        <v>29900</v>
      </c>
      <c r="F359" s="14">
        <f>IF(AND($B359=$B358,ISNUMBER(E358),E358&gt;0),E359/E358-1,"")</f>
        <v/>
      </c>
      <c r="G359" s="19" t="inlineStr">
        <is>
          <t>Voir</t>
        </is>
      </c>
    </row>
    <row r="360">
      <c r="A360" s="10" t="inlineStr">
        <is>
          <t>Porsche Boxster 987</t>
        </is>
      </c>
      <c r="B360" s="10" t="inlineStr">
        <is>
          <t>3275857883</t>
        </is>
      </c>
      <c r="C360" s="10" t="inlineStr">
        <is>
          <t>Porsche Boxster 987 2.7 240CH</t>
        </is>
      </c>
      <c r="D360" s="18" t="n">
        <v>46296</v>
      </c>
      <c r="E360" s="12" t="n">
        <v>24990</v>
      </c>
      <c r="F360" s="14">
        <f>IF(AND($B360=$B359,ISNUMBER(E359),E359&gt;0),E360/E359-1,"")</f>
        <v/>
      </c>
      <c r="G360" s="19" t="inlineStr">
        <is>
          <t>Voir</t>
        </is>
      </c>
    </row>
    <row r="361">
      <c r="A361" s="10" t="inlineStr">
        <is>
          <t>Porsche Boxster 987</t>
        </is>
      </c>
      <c r="B361" s="10" t="inlineStr">
        <is>
          <t>3276480306</t>
        </is>
      </c>
      <c r="C361" s="10" t="inlineStr">
        <is>
          <t>Porsche Boxster 987 72500 kms 2006</t>
        </is>
      </c>
      <c r="D361" s="18" t="n">
        <v>46296</v>
      </c>
      <c r="E361" s="12" t="n">
        <v>28500</v>
      </c>
      <c r="F361" s="14">
        <f>IF(AND($B361=$B360,ISNUMBER(E360),E360&gt;0),E361/E360-1,"")</f>
        <v/>
      </c>
      <c r="G361" s="19" t="inlineStr">
        <is>
          <t>Voir</t>
        </is>
      </c>
    </row>
    <row r="362">
      <c r="A362" s="10" t="inlineStr">
        <is>
          <t>Porsche Boxster 987</t>
        </is>
      </c>
      <c r="B362" s="10" t="inlineStr">
        <is>
          <t>3277011288</t>
        </is>
      </c>
      <c r="C362" s="10" t="inlineStr">
        <is>
          <t>Porsche Boxster 987.2</t>
        </is>
      </c>
      <c r="D362" s="18" t="n">
        <v>46296</v>
      </c>
      <c r="E362" s="12" t="n">
        <v>33500</v>
      </c>
      <c r="F362" s="14">
        <f>IF(AND($B362=$B361,ISNUMBER(E361),E361&gt;0),E362/E361-1,"")</f>
        <v/>
      </c>
      <c r="G362" s="19" t="inlineStr">
        <is>
          <t>Voir</t>
        </is>
      </c>
    </row>
    <row r="363">
      <c r="A363" s="10" t="inlineStr">
        <is>
          <t>Porsche Boxster 987</t>
        </is>
      </c>
      <c r="B363" s="10" t="inlineStr">
        <is>
          <t>3277083239</t>
        </is>
      </c>
      <c r="C363" s="10" t="inlineStr">
        <is>
          <t>Porsche Boxster 987-3.4 310ch</t>
        </is>
      </c>
      <c r="D363" s="18" t="n">
        <v>46296</v>
      </c>
      <c r="E363" s="12" t="n">
        <v>35500</v>
      </c>
      <c r="F363" s="14">
        <f>IF(AND($B363=$B362,ISNUMBER(E362),E362&gt;0),E363/E362-1,"")</f>
        <v/>
      </c>
      <c r="G363" s="19" t="inlineStr">
        <is>
          <t>Voir</t>
        </is>
      </c>
    </row>
    <row r="364">
      <c r="A364" s="10" t="inlineStr">
        <is>
          <t>Porsche Boxster 987</t>
        </is>
      </c>
      <c r="B364" s="10" t="inlineStr">
        <is>
          <t>3278151888</t>
        </is>
      </c>
      <c r="C364" s="10" t="inlineStr">
        <is>
          <t>PORSCHE BOXSTER 987.1 2,7 L 245ch</t>
        </is>
      </c>
      <c r="D364" s="18" t="n">
        <v>46296</v>
      </c>
      <c r="E364" s="12" t="n">
        <v>27499</v>
      </c>
      <c r="F364" s="14">
        <f>IF(AND($B364=$B363,ISNUMBER(E363),E363&gt;0),E364/E363-1,"")</f>
        <v/>
      </c>
      <c r="G364" s="19" t="inlineStr">
        <is>
          <t>Voir</t>
        </is>
      </c>
    </row>
    <row r="365">
      <c r="A365" s="10" t="inlineStr">
        <is>
          <t>Porsche Boxster 987</t>
        </is>
      </c>
      <c r="B365" s="10" t="inlineStr">
        <is>
          <t>3278205054</t>
        </is>
      </c>
      <c r="C365" s="10" t="inlineStr">
        <is>
          <t>Porsche boxster s 3.4 310 pdk type 987</t>
        </is>
      </c>
      <c r="D365" s="18" t="n">
        <v>46296</v>
      </c>
      <c r="E365" s="12" t="n">
        <v>45990</v>
      </c>
      <c r="F365" s="14">
        <f>IF(AND($B365=$B364,ISNUMBER(E364),E364&gt;0),E365/E364-1,"")</f>
        <v/>
      </c>
      <c r="G365" s="19" t="inlineStr">
        <is>
          <t>Voir</t>
        </is>
      </c>
    </row>
    <row r="366">
      <c r="A366" s="10" t="inlineStr">
        <is>
          <t>Porsche Boxster 987</t>
        </is>
      </c>
      <c r="B366" s="10" t="inlineStr">
        <is>
          <t>3278260839</t>
        </is>
      </c>
      <c r="C366" s="10" t="inlineStr">
        <is>
          <t>PORSCHE BOXSTER 2.7i 240 TYPE 987 CABRIOLET</t>
        </is>
      </c>
      <c r="D366" s="18" t="n">
        <v>46296</v>
      </c>
      <c r="E366" s="12" t="n">
        <v>27990</v>
      </c>
      <c r="F366" s="14">
        <f>IF(AND($B366=$B365,ISNUMBER(E365),E365&gt;0),E366/E365-1,"")</f>
        <v/>
      </c>
      <c r="G366" s="19" t="inlineStr">
        <is>
          <t>Voir</t>
        </is>
      </c>
    </row>
    <row r="367">
      <c r="A367" s="10" t="inlineStr">
        <is>
          <t>Porsche Boxster 987</t>
        </is>
      </c>
      <c r="B367" s="10" t="inlineStr">
        <is>
          <t>3278728030</t>
        </is>
      </c>
      <c r="C367" s="10" t="inlineStr">
        <is>
          <t>Porsche BOXSTER (987) 3.4 S</t>
        </is>
      </c>
      <c r="D367" s="18" t="n">
        <v>46296</v>
      </c>
      <c r="E367" s="12" t="n">
        <v>34490</v>
      </c>
      <c r="F367" s="14">
        <f>IF(AND($B367=$B366,ISNUMBER(E366),E366&gt;0),E367/E366-1,"")</f>
        <v/>
      </c>
      <c r="G367" s="19" t="inlineStr">
        <is>
          <t>Voir</t>
        </is>
      </c>
    </row>
    <row r="368">
      <c r="A368" s="10" t="inlineStr">
        <is>
          <t>Porsche Boxster 987</t>
        </is>
      </c>
      <c r="B368" s="10" t="inlineStr">
        <is>
          <t>3279041618</t>
        </is>
      </c>
      <c r="C368" s="10" t="inlineStr">
        <is>
          <t>Porsche Boxster 987</t>
        </is>
      </c>
      <c r="D368" s="18" t="n">
        <v>46296</v>
      </c>
      <c r="E368" s="12" t="n">
        <v>27500</v>
      </c>
      <c r="F368" s="14">
        <f>IF(AND($B368=$B367,ISNUMBER(E367),E367&gt;0),E368/E367-1,"")</f>
        <v/>
      </c>
      <c r="G368" s="19" t="inlineStr">
        <is>
          <t>Voir</t>
        </is>
      </c>
    </row>
    <row r="369">
      <c r="A369" s="10" t="inlineStr">
        <is>
          <t>Renault Clio II RS (172/182 ch)</t>
        </is>
      </c>
      <c r="B369" s="10" t="inlineStr">
        <is>
          <t>3111952979</t>
        </is>
      </c>
      <c r="C369" s="10" t="inlineStr">
        <is>
          <t>RENAULT Clio rs 2.0i 16v 182cHv 2.0I 182chvv sport</t>
        </is>
      </c>
      <c r="D369" s="18" t="n">
        <v>46296</v>
      </c>
      <c r="E369" s="12" t="n">
        <v>12990</v>
      </c>
      <c r="F369" s="14">
        <f>IF(AND($B369=$B368,ISNUMBER(E368),E368&gt;0),E369/E368-1,"")</f>
        <v/>
      </c>
      <c r="G369" s="19" t="inlineStr">
        <is>
          <t>Voir</t>
        </is>
      </c>
    </row>
    <row r="370">
      <c r="A370" s="10" t="inlineStr">
        <is>
          <t>Renault Clio II RS (172/182 ch)</t>
        </is>
      </c>
      <c r="B370" s="10" t="inlineStr">
        <is>
          <t>3148980518</t>
        </is>
      </c>
      <c r="C370" s="10" t="inlineStr">
        <is>
          <t>Renault clio rs 1er main</t>
        </is>
      </c>
      <c r="D370" s="18" t="n">
        <v>46296</v>
      </c>
      <c r="E370" s="12" t="n">
        <v>19500</v>
      </c>
      <c r="F370" s="14">
        <f>IF(AND($B370=$B369,ISNUMBER(E369),E369&gt;0),E370/E369-1,"")</f>
        <v/>
      </c>
      <c r="G370" s="19" t="inlineStr">
        <is>
          <t>Voir</t>
        </is>
      </c>
    </row>
    <row r="371">
      <c r="A371" s="10" t="inlineStr">
        <is>
          <t>Renault Clio II RS (172/182 ch)</t>
        </is>
      </c>
      <c r="B371" s="10" t="inlineStr">
        <is>
          <t>3155317939</t>
        </is>
      </c>
      <c r="C371" s="10" t="inlineStr">
        <is>
          <t>Clio rs ps2</t>
        </is>
      </c>
      <c r="D371" s="18" t="n">
        <v>46296</v>
      </c>
      <c r="E371" s="12" t="n">
        <v>10900</v>
      </c>
      <c r="F371" s="14">
        <f>IF(AND($B371=$B370,ISNUMBER(E370),E370&gt;0),E371/E370-1,"")</f>
        <v/>
      </c>
      <c r="G371" s="19" t="inlineStr">
        <is>
          <t>Voir</t>
        </is>
      </c>
    </row>
    <row r="372">
      <c r="A372" s="10" t="inlineStr">
        <is>
          <t>Renault Clio II RS (172/182 ch)</t>
        </is>
      </c>
      <c r="B372" s="10" t="inlineStr">
        <is>
          <t>3162482298</t>
        </is>
      </c>
      <c r="C372" s="10" t="inlineStr">
        <is>
          <t>Clio rs piste</t>
        </is>
      </c>
      <c r="D372" s="18" t="n">
        <v>46296</v>
      </c>
      <c r="E372" s="12" t="n">
        <v>8500</v>
      </c>
      <c r="F372" s="14">
        <f>IF(AND($B372=$B371,ISNUMBER(E371),E371&gt;0),E372/E371-1,"")</f>
        <v/>
      </c>
      <c r="G372" s="19" t="inlineStr">
        <is>
          <t>Voir</t>
        </is>
      </c>
    </row>
    <row r="373">
      <c r="A373" s="10" t="inlineStr">
        <is>
          <t>Renault Clio II RS (172/182 ch)</t>
        </is>
      </c>
      <c r="B373" s="10" t="inlineStr">
        <is>
          <t>3220887451</t>
        </is>
      </c>
      <c r="C373" s="10" t="inlineStr">
        <is>
          <t>Clio rs 182</t>
        </is>
      </c>
      <c r="D373" s="18" t="n">
        <v>46296</v>
      </c>
      <c r="E373" s="12" t="n">
        <v>8000</v>
      </c>
      <c r="F373" s="14">
        <f>IF(AND($B373=$B372,ISNUMBER(E372),E372&gt;0),E373/E372-1,"")</f>
        <v/>
      </c>
      <c r="G373" s="19" t="inlineStr">
        <is>
          <t>Voir</t>
        </is>
      </c>
    </row>
    <row r="374">
      <c r="A374" s="10" t="inlineStr">
        <is>
          <t>Renault Clio II RS (172/182 ch)</t>
        </is>
      </c>
      <c r="B374" s="10" t="inlineStr">
        <is>
          <t>3225541573</t>
        </is>
      </c>
      <c r="C374" s="10" t="inlineStr">
        <is>
          <t>Clio rs ps2 edition / ragnotti</t>
        </is>
      </c>
      <c r="D374" s="18" t="n">
        <v>46296</v>
      </c>
      <c r="E374" s="12" t="n">
        <v>11990</v>
      </c>
      <c r="F374" s="14">
        <f>IF(AND($B374=$B373,ISNUMBER(E373),E373&gt;0),E374/E373-1,"")</f>
        <v/>
      </c>
      <c r="G374" s="19" t="inlineStr">
        <is>
          <t>Voir</t>
        </is>
      </c>
    </row>
    <row r="375">
      <c r="A375" s="10" t="inlineStr">
        <is>
          <t>Renault Clio II RS (172/182 ch)</t>
        </is>
      </c>
      <c r="B375" s="10" t="inlineStr">
        <is>
          <t>3229733456</t>
        </is>
      </c>
      <c r="C375" s="10" t="inlineStr">
        <is>
          <t>Clio rs</t>
        </is>
      </c>
      <c r="D375" s="18" t="n">
        <v>46296</v>
      </c>
      <c r="E375" s="12" t="n">
        <v>12000</v>
      </c>
      <c r="F375" s="14">
        <f>IF(AND($B375=$B374,ISNUMBER(E374),E374&gt;0),E375/E374-1,"")</f>
        <v/>
      </c>
      <c r="G375" s="19" t="inlineStr">
        <is>
          <t>Voir</t>
        </is>
      </c>
    </row>
    <row r="376">
      <c r="A376" s="10" t="inlineStr">
        <is>
          <t>Renault Clio II RS (172/182 ch)</t>
        </is>
      </c>
      <c r="B376" s="10" t="inlineStr">
        <is>
          <t>3234959156</t>
        </is>
      </c>
      <c r="C376" s="10" t="inlineStr">
        <is>
          <t>Clio 2 Rs</t>
        </is>
      </c>
      <c r="D376" s="18" t="n">
        <v>46296</v>
      </c>
      <c r="E376" s="12" t="n">
        <v>11000</v>
      </c>
      <c r="F376" s="14">
        <f>IF(AND($B376=$B375,ISNUMBER(E375),E375&gt;0),E376/E375-1,"")</f>
        <v/>
      </c>
      <c r="G376" s="19" t="inlineStr">
        <is>
          <t>Voir</t>
        </is>
      </c>
    </row>
    <row r="377">
      <c r="A377" s="10" t="inlineStr">
        <is>
          <t>Renault Clio II RS (172/182 ch)</t>
        </is>
      </c>
      <c r="B377" s="10" t="inlineStr">
        <is>
          <t>3235031075</t>
        </is>
      </c>
      <c r="C377" s="10" t="inlineStr">
        <is>
          <t>Clio 2 rs</t>
        </is>
      </c>
      <c r="D377" s="18" t="n">
        <v>46296</v>
      </c>
      <c r="E377" s="12" t="n">
        <v>8999</v>
      </c>
      <c r="F377" s="14">
        <f>IF(AND($B377=$B376,ISNUMBER(E376),E376&gt;0),E377/E376-1,"")</f>
        <v/>
      </c>
      <c r="G377" s="19" t="inlineStr">
        <is>
          <t>Voir</t>
        </is>
      </c>
    </row>
    <row r="378">
      <c r="A378" s="10" t="inlineStr">
        <is>
          <t>Renault Clio II RS (172/182 ch)</t>
        </is>
      </c>
      <c r="B378" s="10" t="inlineStr">
        <is>
          <t>3248026868</t>
        </is>
      </c>
      <c r="C378" s="10" t="inlineStr">
        <is>
          <t>Vend clio rs 182</t>
        </is>
      </c>
      <c r="D378" s="18" t="n">
        <v>46296</v>
      </c>
      <c r="E378" s="12" t="n">
        <v>12000</v>
      </c>
      <c r="F378" s="14">
        <f>IF(AND($B378=$B377,ISNUMBER(E377),E377&gt;0),E378/E377-1,"")</f>
        <v/>
      </c>
      <c r="G378" s="19" t="inlineStr">
        <is>
          <t>Voir</t>
        </is>
      </c>
    </row>
    <row r="379">
      <c r="A379" s="10" t="inlineStr">
        <is>
          <t>Renault Clio II RS (172/182 ch)</t>
        </is>
      </c>
      <c r="B379" s="10" t="inlineStr">
        <is>
          <t>3252273657</t>
        </is>
      </c>
      <c r="C379" s="10" t="inlineStr">
        <is>
          <t>Clio rs 182 rhd</t>
        </is>
      </c>
      <c r="D379" s="18" t="n">
        <v>46296</v>
      </c>
      <c r="E379" s="12" t="n">
        <v>5500</v>
      </c>
      <c r="F379" s="14">
        <f>IF(AND($B379=$B378,ISNUMBER(E378),E378&gt;0),E379/E378-1,"")</f>
        <v/>
      </c>
      <c r="G379" s="19" t="inlineStr">
        <is>
          <t>Voir</t>
        </is>
      </c>
    </row>
    <row r="380">
      <c r="A380" s="10" t="inlineStr">
        <is>
          <t>Renault Clio II RS (172/182 ch)</t>
        </is>
      </c>
      <c r="B380" s="10" t="inlineStr">
        <is>
          <t>3254332412</t>
        </is>
      </c>
      <c r="C380" s="10" t="inlineStr">
        <is>
          <t>Clio 2 rs</t>
        </is>
      </c>
      <c r="D380" s="18" t="n">
        <v>46296</v>
      </c>
      <c r="E380" s="12" t="n">
        <v>10500</v>
      </c>
      <c r="F380" s="14">
        <f>IF(AND($B380=$B379,ISNUMBER(E379),E379&gt;0),E380/E379-1,"")</f>
        <v/>
      </c>
      <c r="G380" s="19" t="inlineStr">
        <is>
          <t>Voir</t>
        </is>
      </c>
    </row>
    <row r="381">
      <c r="A381" s="10" t="inlineStr">
        <is>
          <t>Renault Clio II RS (172/182 ch)</t>
        </is>
      </c>
      <c r="B381" s="10" t="inlineStr">
        <is>
          <t>3258667592</t>
        </is>
      </c>
      <c r="C381" s="10" t="inlineStr">
        <is>
          <t>Clio 2 rs phase 2, 2L 16v 172chv</t>
        </is>
      </c>
      <c r="D381" s="18" t="n">
        <v>46296</v>
      </c>
      <c r="E381" s="12" t="n">
        <v>6000</v>
      </c>
      <c r="F381" s="14">
        <f>IF(AND($B381=$B380,ISNUMBER(E380),E380&gt;0),E381/E380-1,"")</f>
        <v/>
      </c>
      <c r="G381" s="19" t="inlineStr">
        <is>
          <t>Voir</t>
        </is>
      </c>
    </row>
    <row r="382">
      <c r="A382" s="10" t="inlineStr">
        <is>
          <t>Renault Clio II RS (172/182 ch)</t>
        </is>
      </c>
      <c r="B382" s="10" t="inlineStr">
        <is>
          <t>3260553786</t>
        </is>
      </c>
      <c r="C382" s="10" t="inlineStr">
        <is>
          <t>Clio rs</t>
        </is>
      </c>
      <c r="D382" s="18" t="n">
        <v>46296</v>
      </c>
      <c r="E382" s="12" t="n">
        <v>8500</v>
      </c>
      <c r="F382" s="14">
        <f>IF(AND($B382=$B381,ISNUMBER(E381),E381&gt;0),E382/E381-1,"")</f>
        <v/>
      </c>
      <c r="G382" s="19" t="inlineStr">
        <is>
          <t>Voir</t>
        </is>
      </c>
    </row>
    <row r="383">
      <c r="A383" s="10" t="inlineStr">
        <is>
          <t>Renault Clio II RS (172/182 ch)</t>
        </is>
      </c>
      <c r="B383" s="10" t="inlineStr">
        <is>
          <t>3260826413</t>
        </is>
      </c>
      <c r="C383" s="10" t="inlineStr">
        <is>
          <t>Renault Clio 2.0 16v 172ch RS 3p</t>
        </is>
      </c>
      <c r="D383" s="18" t="n">
        <v>46296</v>
      </c>
      <c r="E383" s="12" t="n">
        <v>12490</v>
      </c>
      <c r="F383" s="14">
        <f>IF(AND($B383=$B382,ISNUMBER(E382),E382&gt;0),E383/E382-1,"")</f>
        <v/>
      </c>
      <c r="G383" s="19" t="inlineStr">
        <is>
          <t>Voir</t>
        </is>
      </c>
    </row>
    <row r="384">
      <c r="A384" s="10" t="inlineStr">
        <is>
          <t>Renault Clio II RS (172/182 ch)</t>
        </is>
      </c>
      <c r="B384" s="10" t="inlineStr">
        <is>
          <t>3261006166</t>
        </is>
      </c>
      <c r="C384" s="10" t="inlineStr">
        <is>
          <t>Renault clio rs 2.0 16s</t>
        </is>
      </c>
      <c r="D384" s="18" t="n">
        <v>46296</v>
      </c>
      <c r="E384" s="12" t="n">
        <v>10500</v>
      </c>
      <c r="F384" s="14">
        <f>IF(AND($B384=$B383,ISNUMBER(E383),E383&gt;0),E384/E383-1,"")</f>
        <v/>
      </c>
      <c r="G384" s="19" t="inlineStr">
        <is>
          <t>Voir</t>
        </is>
      </c>
    </row>
    <row r="385">
      <c r="A385" s="10" t="inlineStr">
        <is>
          <t>Renault Clio II RS (172/182 ch)</t>
        </is>
      </c>
      <c r="B385" s="10" t="inlineStr">
        <is>
          <t>3261622205</t>
        </is>
      </c>
      <c r="C385" s="10" t="inlineStr">
        <is>
          <t>Renault Clio RS Ph1</t>
        </is>
      </c>
      <c r="D385" s="18" t="n">
        <v>46296</v>
      </c>
      <c r="E385" s="12" t="n">
        <v>10000</v>
      </c>
      <c r="F385" s="14">
        <f>IF(AND($B385=$B384,ISNUMBER(E384),E384&gt;0),E385/E384-1,"")</f>
        <v/>
      </c>
      <c r="G385" s="19" t="inlineStr">
        <is>
          <t>Voir</t>
        </is>
      </c>
    </row>
    <row r="386">
      <c r="A386" s="10" t="inlineStr">
        <is>
          <t>Renault Clio II RS (172/182 ch)</t>
        </is>
      </c>
      <c r="B386" s="10" t="inlineStr">
        <is>
          <t>3261693737</t>
        </is>
      </c>
      <c r="C386" s="10" t="inlineStr">
        <is>
          <t>RENAULT Clio RS 2.0L 200ch Renault Sport - 2006 - 141 500 km</t>
        </is>
      </c>
      <c r="D386" s="18" t="n">
        <v>46296</v>
      </c>
      <c r="E386" s="12" t="n">
        <v>12990</v>
      </c>
      <c r="F386" s="14">
        <f>IF(AND($B386=$B385,ISNUMBER(E385),E385&gt;0),E386/E385-1,"")</f>
        <v/>
      </c>
      <c r="G386" s="19" t="inlineStr">
        <is>
          <t>Voir</t>
        </is>
      </c>
    </row>
    <row r="387">
      <c r="A387" s="10" t="inlineStr">
        <is>
          <t>Renault Clio II RS (172/182 ch)</t>
        </is>
      </c>
      <c r="B387" s="10" t="inlineStr">
        <is>
          <t>3262040554</t>
        </is>
      </c>
      <c r="C387" s="10" t="inlineStr">
        <is>
          <t>Clio rs</t>
        </is>
      </c>
      <c r="D387" s="18" t="n">
        <v>46296</v>
      </c>
      <c r="E387" s="12" t="n">
        <v>8900</v>
      </c>
      <c r="F387" s="14">
        <f>IF(AND($B387=$B386,ISNUMBER(E386),E386&gt;0),E387/E386-1,"")</f>
        <v/>
      </c>
      <c r="G387" s="19" t="inlineStr">
        <is>
          <t>Voir</t>
        </is>
      </c>
    </row>
    <row r="388">
      <c r="A388" s="10" t="inlineStr">
        <is>
          <t>Renault Clio II RS (172/182 ch)</t>
        </is>
      </c>
      <c r="B388" s="10" t="inlineStr">
        <is>
          <t>3262391547</t>
        </is>
      </c>
      <c r="C388" s="10" t="inlineStr">
        <is>
          <t>Clio RS</t>
        </is>
      </c>
      <c r="D388" s="18" t="n">
        <v>46296</v>
      </c>
      <c r="E388" s="12" t="n">
        <v>6500</v>
      </c>
      <c r="F388" s="14">
        <f>IF(AND($B388=$B387,ISNUMBER(E387),E387&gt;0),E388/E387-1,"")</f>
        <v/>
      </c>
      <c r="G388" s="19" t="inlineStr">
        <is>
          <t>Voir</t>
        </is>
      </c>
    </row>
    <row r="389">
      <c r="A389" s="10" t="inlineStr">
        <is>
          <t>Renault Clio II RS (172/182 ch)</t>
        </is>
      </c>
      <c r="B389" s="10" t="inlineStr">
        <is>
          <t>3262638000</t>
        </is>
      </c>
      <c r="C389" s="10" t="inlineStr">
        <is>
          <t>Clio RS exceptionnel</t>
        </is>
      </c>
      <c r="D389" s="18" t="n">
        <v>46296</v>
      </c>
      <c r="E389" s="12" t="n">
        <v>18800</v>
      </c>
      <c r="F389" s="14">
        <f>IF(AND($B389=$B388,ISNUMBER(E388),E388&gt;0),E389/E388-1,"")</f>
        <v/>
      </c>
      <c r="G389" s="19" t="inlineStr">
        <is>
          <t>Voir</t>
        </is>
      </c>
    </row>
    <row r="390">
      <c r="A390" s="10" t="inlineStr">
        <is>
          <t>Renault Clio II RS (172/182 ch)</t>
        </is>
      </c>
      <c r="B390" s="10" t="inlineStr">
        <is>
          <t>3264837795</t>
        </is>
      </c>
      <c r="C390" s="10" t="inlineStr">
        <is>
          <t>Clio rs</t>
        </is>
      </c>
      <c r="D390" s="18" t="n">
        <v>46296</v>
      </c>
      <c r="E390" s="12" t="n">
        <v>7300</v>
      </c>
      <c r="F390" s="14">
        <f>IF(AND($B390=$B389,ISNUMBER(E389),E389&gt;0),E390/E389-1,"")</f>
        <v/>
      </c>
      <c r="G390" s="19" t="inlineStr">
        <is>
          <t>Voir</t>
        </is>
      </c>
    </row>
    <row r="391">
      <c r="A391" s="10" t="inlineStr">
        <is>
          <t>Renault Clio II RS (172/182 ch)</t>
        </is>
      </c>
      <c r="B391" s="10" t="inlineStr">
        <is>
          <t>3266864057</t>
        </is>
      </c>
      <c r="C391" s="10" t="inlineStr">
        <is>
          <t>Clio RS 2.0i Phase 3 182 cv</t>
        </is>
      </c>
      <c r="D391" s="18" t="n">
        <v>46296</v>
      </c>
      <c r="E391" s="12" t="n">
        <v>14500</v>
      </c>
      <c r="F391" s="14">
        <f>IF(AND($B391=$B390,ISNUMBER(E390),E390&gt;0),E391/E390-1,"")</f>
        <v/>
      </c>
      <c r="G391" s="19" t="inlineStr">
        <is>
          <t>Voir</t>
        </is>
      </c>
    </row>
    <row r="392">
      <c r="A392" s="10" t="inlineStr">
        <is>
          <t>Renault Clio II RS (172/182 ch)</t>
        </is>
      </c>
      <c r="B392" s="10" t="inlineStr">
        <is>
          <t>3270112718</t>
        </is>
      </c>
      <c r="C392" s="10" t="inlineStr">
        <is>
          <t>RENAULT CLIO RS 2.0l 172Ch Renault Sport</t>
        </is>
      </c>
      <c r="D392" s="18" t="n">
        <v>46296</v>
      </c>
      <c r="E392" s="12" t="n">
        <v>8990</v>
      </c>
      <c r="F392" s="14">
        <f>IF(AND($B392=$B391,ISNUMBER(E391),E391&gt;0),E392/E391-1,"")</f>
        <v/>
      </c>
      <c r="G392" s="19" t="inlineStr">
        <is>
          <t>Voir</t>
        </is>
      </c>
    </row>
    <row r="393">
      <c r="A393" s="10" t="inlineStr">
        <is>
          <t>Renault Clio II RS (172/182 ch)</t>
        </is>
      </c>
      <c r="B393" s="10" t="inlineStr">
        <is>
          <t>3270289698</t>
        </is>
      </c>
      <c r="C393" s="10" t="inlineStr">
        <is>
          <t>Clio RS 172</t>
        </is>
      </c>
      <c r="D393" s="18" t="n">
        <v>46296</v>
      </c>
      <c r="E393" s="12" t="n">
        <v>7500</v>
      </c>
      <c r="F393" s="14">
        <f>IF(AND($B393=$B392,ISNUMBER(E392),E392&gt;0),E393/E392-1,"")</f>
        <v/>
      </c>
      <c r="G393" s="19" t="inlineStr">
        <is>
          <t>Voir</t>
        </is>
      </c>
    </row>
    <row r="394">
      <c r="A394" s="10" t="inlineStr">
        <is>
          <t>Renault Clio II RS (172/182 ch)</t>
        </is>
      </c>
      <c r="B394" s="10" t="inlineStr">
        <is>
          <t>3272175500</t>
        </is>
      </c>
      <c r="C394" s="10" t="inlineStr">
        <is>
          <t>Clio 2 rs</t>
        </is>
      </c>
      <c r="D394" s="18" t="n">
        <v>46296</v>
      </c>
      <c r="E394" s="12" t="n">
        <v>9990</v>
      </c>
      <c r="F394" s="14">
        <f>IF(AND($B394=$B393,ISNUMBER(E393),E393&gt;0),E394/E393-1,"")</f>
        <v/>
      </c>
      <c r="G394" s="19" t="inlineStr">
        <is>
          <t>Voir</t>
        </is>
      </c>
    </row>
    <row r="395">
      <c r="A395" s="10" t="inlineStr">
        <is>
          <t>Renault Clio II RS (172/182 ch)</t>
        </is>
      </c>
      <c r="B395" s="10" t="inlineStr">
        <is>
          <t>3272349615</t>
        </is>
      </c>
      <c r="C395" s="10" t="inlineStr">
        <is>
          <t>Clio rs 172cv 2.016v ct ok 185000km</t>
        </is>
      </c>
      <c r="D395" s="18" t="n">
        <v>46296</v>
      </c>
      <c r="E395" s="12" t="n">
        <v>9500</v>
      </c>
      <c r="F395" s="14">
        <f>IF(AND($B395=$B394,ISNUMBER(E394),E394&gt;0),E395/E394-1,"")</f>
        <v/>
      </c>
      <c r="G395" s="19" t="inlineStr">
        <is>
          <t>Voir</t>
        </is>
      </c>
    </row>
    <row r="396">
      <c r="A396" s="10" t="inlineStr">
        <is>
          <t>Renault Clio II RS (172/182 ch)</t>
        </is>
      </c>
      <c r="B396" s="10" t="inlineStr">
        <is>
          <t>3272615687</t>
        </is>
      </c>
      <c r="C396" s="10" t="inlineStr">
        <is>
          <t>Clio RS 2002</t>
        </is>
      </c>
      <c r="D396" s="18" t="n">
        <v>46296</v>
      </c>
      <c r="E396" s="12" t="n">
        <v>16500</v>
      </c>
      <c r="F396" s="14">
        <f>IF(AND($B396=$B395,ISNUMBER(E395),E395&gt;0),E396/E395-1,"")</f>
        <v/>
      </c>
      <c r="G396" s="19" t="inlineStr">
        <is>
          <t>Voir</t>
        </is>
      </c>
    </row>
    <row r="397">
      <c r="A397" s="10" t="inlineStr">
        <is>
          <t>Renault Clio II RS (172/182 ch)</t>
        </is>
      </c>
      <c r="B397" s="10" t="inlineStr">
        <is>
          <t>3273076212</t>
        </is>
      </c>
      <c r="C397" s="10" t="inlineStr">
        <is>
          <t>Clio rs</t>
        </is>
      </c>
      <c r="D397" s="18" t="n">
        <v>46296</v>
      </c>
      <c r="E397" s="12" t="n">
        <v>14000</v>
      </c>
      <c r="F397" s="14">
        <f>IF(AND($B397=$B396,ISNUMBER(E396),E396&gt;0),E397/E396-1,"")</f>
        <v/>
      </c>
      <c r="G397" s="19" t="inlineStr">
        <is>
          <t>Voir</t>
        </is>
      </c>
    </row>
    <row r="398">
      <c r="A398" s="10" t="inlineStr">
        <is>
          <t>Renault Clio II RS (172/182 ch)</t>
        </is>
      </c>
      <c r="B398" s="10" t="inlineStr">
        <is>
          <t>3273260142</t>
        </is>
      </c>
      <c r="C398" s="10" t="inlineStr">
        <is>
          <t>Clio RS série limitée team</t>
        </is>
      </c>
      <c r="D398" s="18" t="n">
        <v>46296</v>
      </c>
      <c r="E398" s="12" t="n">
        <v>10000</v>
      </c>
      <c r="F398" s="14">
        <f>IF(AND($B398=$B397,ISNUMBER(E397),E397&gt;0),E398/E397-1,"")</f>
        <v/>
      </c>
      <c r="G398" s="19" t="inlineStr">
        <is>
          <t>Voir</t>
        </is>
      </c>
    </row>
    <row r="399">
      <c r="A399" s="10" t="inlineStr">
        <is>
          <t>Renault Clio II RS (172/182 ch)</t>
        </is>
      </c>
      <c r="B399" s="10" t="inlineStr">
        <is>
          <t>3275029879</t>
        </is>
      </c>
      <c r="C399" s="10" t="inlineStr">
        <is>
          <t>Renault Clio RS</t>
        </is>
      </c>
      <c r="D399" s="18" t="n">
        <v>46296</v>
      </c>
      <c r="E399" s="12" t="n">
        <v>10500</v>
      </c>
      <c r="F399" s="14">
        <f>IF(AND($B399=$B398,ISNUMBER(E398),E398&gt;0),E399/E398-1,"")</f>
        <v/>
      </c>
      <c r="G399" s="19" t="inlineStr">
        <is>
          <t>Voir</t>
        </is>
      </c>
    </row>
    <row r="400">
      <c r="A400" s="10" t="inlineStr">
        <is>
          <t>Renault Clio II RS (172/182 ch)</t>
        </is>
      </c>
      <c r="B400" s="10" t="inlineStr">
        <is>
          <t>3275151981</t>
        </is>
      </c>
      <c r="C400" s="10" t="inlineStr">
        <is>
          <t>Clio RS 2 phase 1</t>
        </is>
      </c>
      <c r="D400" s="18" t="n">
        <v>46296</v>
      </c>
      <c r="E400" s="12" t="n">
        <v>8000</v>
      </c>
      <c r="F400" s="14">
        <f>IF(AND($B400=$B399,ISNUMBER(E399),E399&gt;0),E400/E399-1,"")</f>
        <v/>
      </c>
      <c r="G400" s="19" t="inlineStr">
        <is>
          <t>Voir</t>
        </is>
      </c>
    </row>
    <row r="401">
      <c r="A401" s="10" t="inlineStr">
        <is>
          <t>Renault Clio II RS (172/182 ch)</t>
        </is>
      </c>
      <c r="B401" s="10" t="inlineStr">
        <is>
          <t>3276649870</t>
        </is>
      </c>
      <c r="C401" s="10" t="inlineStr">
        <is>
          <t>Clio 2 rs</t>
        </is>
      </c>
      <c r="D401" s="18" t="n">
        <v>46296</v>
      </c>
      <c r="E401" s="12" t="n">
        <v>7900</v>
      </c>
      <c r="F401" s="14">
        <f>IF(AND($B401=$B400,ISNUMBER(E400),E400&gt;0),E401/E400-1,"")</f>
        <v/>
      </c>
      <c r="G401" s="19" t="inlineStr">
        <is>
          <t>Voir</t>
        </is>
      </c>
    </row>
    <row r="402">
      <c r="A402" s="10" t="inlineStr">
        <is>
          <t>Renault Clio II RS (172/182 ch)</t>
        </is>
      </c>
      <c r="B402" s="10" t="inlineStr">
        <is>
          <t>3276674920</t>
        </is>
      </c>
      <c r="C402" s="10" t="inlineStr">
        <is>
          <t>Clio 2 rs</t>
        </is>
      </c>
      <c r="D402" s="18" t="n">
        <v>46296</v>
      </c>
      <c r="E402" s="12" t="n">
        <v>14500</v>
      </c>
      <c r="F402" s="14">
        <f>IF(AND($B402=$B401,ISNUMBER(E401),E401&gt;0),E402/E401-1,"")</f>
        <v/>
      </c>
      <c r="G402" s="19" t="inlineStr">
        <is>
          <t>Voir</t>
        </is>
      </c>
    </row>
    <row r="403">
      <c r="A403" s="10" t="inlineStr">
        <is>
          <t>Renault Clio II RS (172/182 ch)</t>
        </is>
      </c>
      <c r="B403" s="10" t="inlineStr">
        <is>
          <t>3277297648</t>
        </is>
      </c>
      <c r="C403" s="10" t="inlineStr">
        <is>
          <t>Clio rs 182</t>
        </is>
      </c>
      <c r="D403" s="18" t="n">
        <v>46296</v>
      </c>
      <c r="E403" s="12" t="n">
        <v>12000</v>
      </c>
      <c r="F403" s="14">
        <f>IF(AND($B403=$B402,ISNUMBER(E402),E402&gt;0),E403/E402-1,"")</f>
        <v/>
      </c>
      <c r="G403" s="19" t="inlineStr">
        <is>
          <t>Voir</t>
        </is>
      </c>
    </row>
    <row r="404">
      <c r="A404" s="10" t="inlineStr">
        <is>
          <t>Renault Clio II RS (172/182 ch)</t>
        </is>
      </c>
      <c r="B404" s="10" t="inlineStr">
        <is>
          <t>3277619840</t>
        </is>
      </c>
      <c r="C404" s="10" t="inlineStr">
        <is>
          <t>Clio Rs</t>
        </is>
      </c>
      <c r="D404" s="18" t="n">
        <v>46296</v>
      </c>
      <c r="E404" s="12" t="n">
        <v>13000</v>
      </c>
      <c r="F404" s="14">
        <f>IF(AND($B404=$B403,ISNUMBER(E403),E403&gt;0),E404/E403-1,"")</f>
        <v/>
      </c>
      <c r="G404" s="19" t="inlineStr">
        <is>
          <t>Voir</t>
        </is>
      </c>
    </row>
    <row r="405">
      <c r="A405" s="10" t="inlineStr">
        <is>
          <t>Renault Clio II RS (172/182 ch)</t>
        </is>
      </c>
      <c r="B405" s="10" t="inlineStr">
        <is>
          <t>3278695532</t>
        </is>
      </c>
      <c r="C405" s="10" t="inlineStr">
        <is>
          <t>Clio 2 rs</t>
        </is>
      </c>
      <c r="D405" s="18" t="n">
        <v>46296</v>
      </c>
      <c r="E405" s="12" t="n">
        <v>13900</v>
      </c>
      <c r="F405" s="14">
        <f>IF(AND($B405=$B404,ISNUMBER(E404),E404&gt;0),E405/E404-1,"")</f>
        <v/>
      </c>
      <c r="G405" s="19" t="inlineStr">
        <is>
          <t>Voir</t>
        </is>
      </c>
    </row>
    <row r="406">
      <c r="A406" s="10" t="inlineStr">
        <is>
          <t>Renault Clio II RS (172/182 ch)</t>
        </is>
      </c>
      <c r="B406" s="10" t="inlineStr">
        <is>
          <t>3279867090</t>
        </is>
      </c>
      <c r="C406" s="10" t="inlineStr">
        <is>
          <t>Clio rs</t>
        </is>
      </c>
      <c r="D406" s="18" t="n">
        <v>46296</v>
      </c>
      <c r="E406" s="12" t="n">
        <v>10999</v>
      </c>
      <c r="F406" s="14">
        <f>IF(AND($B406=$B405,ISNUMBER(E405),E405&gt;0),E406/E405-1,"")</f>
        <v/>
      </c>
      <c r="G406" s="19" t="inlineStr">
        <is>
          <t>Voir</t>
        </is>
      </c>
    </row>
    <row r="407">
      <c r="A407" s="10" t="inlineStr">
        <is>
          <t>Renault Mégane II RS R26</t>
        </is>
      </c>
      <c r="B407" s="10" t="inlineStr">
        <is>
          <t>3093503886</t>
        </is>
      </c>
      <c r="C407" s="10" t="inlineStr">
        <is>
          <t>Renault Mégane rs r26</t>
        </is>
      </c>
      <c r="D407" s="18" t="n">
        <v>46296</v>
      </c>
      <c r="E407" s="12" t="n">
        <v>17500</v>
      </c>
      <c r="F407" s="14">
        <f>IF(AND($B407=$B406,ISNUMBER(E406),E406&gt;0),E407/E406-1,"")</f>
        <v/>
      </c>
      <c r="G407" s="19" t="inlineStr">
        <is>
          <t>Voir</t>
        </is>
      </c>
    </row>
    <row r="408">
      <c r="A408" s="10" t="inlineStr">
        <is>
          <t>Renault Mégane II RS R26</t>
        </is>
      </c>
      <c r="B408" s="10" t="inlineStr">
        <is>
          <t>3152592919</t>
        </is>
      </c>
      <c r="C408" s="10" t="inlineStr">
        <is>
          <t>Renault megane rs 2.0t 16v 230 f1 team r26 numerotee 41mkm</t>
        </is>
      </c>
      <c r="D408" s="18" t="n">
        <v>46296</v>
      </c>
      <c r="E408" s="12" t="n">
        <v>19900</v>
      </c>
      <c r="F408" s="14">
        <f>IF(AND($B408=$B407,ISNUMBER(E407),E407&gt;0),E408/E407-1,"")</f>
        <v/>
      </c>
      <c r="G408" s="19" t="inlineStr">
        <is>
          <t>Voir</t>
        </is>
      </c>
    </row>
    <row r="409">
      <c r="A409" s="10" t="inlineStr">
        <is>
          <t>Renault Mégane II RS R26</t>
        </is>
      </c>
      <c r="B409" s="10" t="inlineStr">
        <is>
          <t>3165656670</t>
        </is>
      </c>
      <c r="C409" s="10" t="inlineStr">
        <is>
          <t>Renault Megane II RS F1 Team R26 2.0 230 ch - Équipé Complet R26-R</t>
        </is>
      </c>
      <c r="D409" s="18" t="n">
        <v>46296</v>
      </c>
      <c r="E409" s="12" t="n">
        <v>31490</v>
      </c>
      <c r="F409" s="14">
        <f>IF(AND($B409=$B408,ISNUMBER(E408),E408&gt;0),E409/E408-1,"")</f>
        <v/>
      </c>
      <c r="G409" s="19" t="inlineStr">
        <is>
          <t>Voir</t>
        </is>
      </c>
    </row>
    <row r="410">
      <c r="A410" s="10" t="inlineStr">
        <is>
          <t>Renault Mégane II RS R26</t>
        </is>
      </c>
      <c r="B410" s="10" t="inlineStr">
        <is>
          <t>3169074583</t>
        </is>
      </c>
      <c r="C410" s="10" t="inlineStr">
        <is>
          <t>Renault Megane 2.0 R26 F1-TEAM RS 230 ch "ECHAPPEMENT N°15/34"</t>
        </is>
      </c>
      <c r="D410" s="18" t="n">
        <v>46296</v>
      </c>
      <c r="E410" s="12" t="n">
        <v>27489</v>
      </c>
      <c r="F410" s="14">
        <f>IF(AND($B410=$B409,ISNUMBER(E409),E409&gt;0),E410/E409-1,"")</f>
        <v/>
      </c>
      <c r="G410" s="19" t="inlineStr">
        <is>
          <t>Voir</t>
        </is>
      </c>
    </row>
    <row r="411">
      <c r="A411" s="10" t="inlineStr">
        <is>
          <t>Renault Mégane II RS R26</t>
        </is>
      </c>
      <c r="B411" s="10" t="inlineStr">
        <is>
          <t>3216991704</t>
        </is>
      </c>
      <c r="C411" s="10" t="inlineStr">
        <is>
          <t>Renault Mégane 2 RS R26 F1 Team</t>
        </is>
      </c>
      <c r="D411" s="18" t="n">
        <v>46296</v>
      </c>
      <c r="E411" s="12" t="n">
        <v>20500</v>
      </c>
      <c r="F411" s="14">
        <f>IF(AND($B411=$B410,ISNUMBER(E410),E410&gt;0),E411/E410-1,"")</f>
        <v/>
      </c>
      <c r="G411" s="19" t="inlineStr">
        <is>
          <t>Voir</t>
        </is>
      </c>
    </row>
    <row r="412">
      <c r="A412" s="10" t="inlineStr">
        <is>
          <t>Renault Mégane II RS R26</t>
        </is>
      </c>
      <c r="B412" s="10" t="inlineStr">
        <is>
          <t>3237229836</t>
        </is>
      </c>
      <c r="C412" s="10" t="inlineStr">
        <is>
          <t>Renault Megane 2 RS 2.0l R26 F1 Team</t>
        </is>
      </c>
      <c r="D412" s="18" t="n">
        <v>46296</v>
      </c>
      <c r="E412" s="12" t="n">
        <v>19900</v>
      </c>
      <c r="F412" s="14">
        <f>IF(AND($B412=$B411,ISNUMBER(E411),E411&gt;0),E412/E411-1,"")</f>
        <v/>
      </c>
      <c r="G412" s="19" t="inlineStr">
        <is>
          <t>Voir</t>
        </is>
      </c>
    </row>
    <row r="413">
      <c r="A413" s="10" t="inlineStr">
        <is>
          <t>Renault Mégane II RS R26</t>
        </is>
      </c>
      <c r="B413" s="10" t="inlineStr">
        <is>
          <t>3243865675</t>
        </is>
      </c>
      <c r="C413" s="10" t="inlineStr">
        <is>
          <t>Renault Mégane 230 R26 F1-TEAM RS / N°6/34 Origine France</t>
        </is>
      </c>
      <c r="D413" s="18" t="n">
        <v>46296</v>
      </c>
      <c r="E413" s="12" t="n">
        <v>24490</v>
      </c>
      <c r="F413" s="14">
        <f>IF(AND($B413=$B412,ISNUMBER(E412),E412&gt;0),E413/E412-1,"")</f>
        <v/>
      </c>
      <c r="G413" s="19" t="inlineStr">
        <is>
          <t>Voir</t>
        </is>
      </c>
    </row>
    <row r="414">
      <c r="A414" s="10" t="inlineStr">
        <is>
          <t>Renault Mégane II RS R26</t>
        </is>
      </c>
      <c r="B414" s="10" t="inlineStr">
        <is>
          <t>3243871328</t>
        </is>
      </c>
      <c r="C414" s="10" t="inlineStr">
        <is>
          <t>Mégane 2 rs f1 Team r26</t>
        </is>
      </c>
      <c r="D414" s="18" t="n">
        <v>46296</v>
      </c>
      <c r="E414" s="12" t="n">
        <v>22000</v>
      </c>
      <c r="F414" s="14">
        <f>IF(AND($B414=$B413,ISNUMBER(E413),E413&gt;0),E414/E413-1,"")</f>
        <v/>
      </c>
      <c r="G414" s="19" t="inlineStr">
        <is>
          <t>Voir</t>
        </is>
      </c>
    </row>
    <row r="415">
      <c r="A415" s="10" t="inlineStr">
        <is>
          <t>Renault Mégane II RS R26</t>
        </is>
      </c>
      <c r="B415" s="10" t="inlineStr">
        <is>
          <t>3245939851</t>
        </is>
      </c>
      <c r="C415" s="10" t="inlineStr">
        <is>
          <t>Megane RS R26</t>
        </is>
      </c>
      <c r="D415" s="18" t="n">
        <v>46296</v>
      </c>
      <c r="E415" s="12" t="n">
        <v>19000</v>
      </c>
      <c r="F415" s="14">
        <f>IF(AND($B415=$B414,ISNUMBER(E414),E414&gt;0),E415/E414-1,"")</f>
        <v/>
      </c>
      <c r="G415" s="19" t="inlineStr">
        <is>
          <t>Voir</t>
        </is>
      </c>
    </row>
    <row r="416">
      <c r="A416" s="10" t="inlineStr">
        <is>
          <t>Renault Mégane II RS R26</t>
        </is>
      </c>
      <c r="B416" s="10" t="inlineStr">
        <is>
          <t>3252684628</t>
        </is>
      </c>
      <c r="C416" s="10" t="inlineStr">
        <is>
          <t>Renault Megane 2 RS R26 F1 Team</t>
        </is>
      </c>
      <c r="D416" s="18" t="n">
        <v>46296</v>
      </c>
      <c r="E416" s="12" t="n">
        <v>24990</v>
      </c>
      <c r="F416" s="14">
        <f>IF(AND($B416=$B415,ISNUMBER(E415),E415&gt;0),E416/E415-1,"")</f>
        <v/>
      </c>
      <c r="G416" s="19" t="inlineStr">
        <is>
          <t>Voir</t>
        </is>
      </c>
    </row>
    <row r="417">
      <c r="A417" s="10" t="inlineStr">
        <is>
          <t>Renault Mégane II RS R26</t>
        </is>
      </c>
      <c r="B417" s="10" t="inlineStr">
        <is>
          <t>3256587657</t>
        </is>
      </c>
      <c r="C417" s="10" t="inlineStr">
        <is>
          <t>Renault Mégane 2.0 RS F1 TEAM R26 - Série Échappement N° 4/34 230 Ch DISTRIBUTION ÉFFECTUÉE</t>
        </is>
      </c>
      <c r="D417" s="18" t="n">
        <v>46296</v>
      </c>
      <c r="E417" s="12" t="n">
        <v>24990</v>
      </c>
      <c r="F417" s="14">
        <f>IF(AND($B417=$B416,ISNUMBER(E416),E416&gt;0),E417/E416-1,"")</f>
        <v/>
      </c>
      <c r="G417" s="19" t="inlineStr">
        <is>
          <t>Voir</t>
        </is>
      </c>
    </row>
    <row r="418">
      <c r="A418" s="10" t="inlineStr">
        <is>
          <t>Renault Mégane II RS R26</t>
        </is>
      </c>
      <c r="B418" s="10" t="inlineStr">
        <is>
          <t>3261154881</t>
        </is>
      </c>
      <c r="C418" s="10" t="inlineStr">
        <is>
          <t>Renault MEGANE II (2) 2.0 T RS F1 TEAM R26 / USAGE CIRCUIT, PISTE, TRACKDAY, TRACKTOOL</t>
        </is>
      </c>
      <c r="D418" s="18" t="n">
        <v>46296</v>
      </c>
      <c r="E418" s="12" t="n">
        <v>14900</v>
      </c>
      <c r="F418" s="14">
        <f>IF(AND($B418=$B417,ISNUMBER(E417),E417&gt;0),E418/E417-1,"")</f>
        <v/>
      </c>
      <c r="G418" s="19" t="inlineStr">
        <is>
          <t>Voir</t>
        </is>
      </c>
    </row>
    <row r="419">
      <c r="A419" s="10" t="inlineStr">
        <is>
          <t>Renault Mégane II RS R26</t>
        </is>
      </c>
      <c r="B419" s="10" t="inlineStr">
        <is>
          <t>3262231451</t>
        </is>
      </c>
      <c r="C419" s="10" t="inlineStr">
        <is>
          <t>Renault Megane 2.0 R.S F1 TEAM R26 Série limitée (Échappement N° 25/34)</t>
        </is>
      </c>
      <c r="D419" s="18" t="n">
        <v>46296</v>
      </c>
      <c r="E419" s="12" t="n">
        <v>25500</v>
      </c>
      <c r="F419" s="14">
        <f>IF(AND($B419=$B418,ISNUMBER(E418),E418&gt;0),E419/E418-1,"")</f>
        <v/>
      </c>
      <c r="G419" s="19" t="inlineStr">
        <is>
          <t>Voir</t>
        </is>
      </c>
    </row>
    <row r="420">
      <c r="A420" s="10" t="inlineStr">
        <is>
          <t>Renault Mégane II RS R26</t>
        </is>
      </c>
      <c r="B420" s="10" t="inlineStr">
        <is>
          <t>3271644740</t>
        </is>
      </c>
      <c r="C420" s="10" t="inlineStr">
        <is>
          <t>Renault Megane 2.0 230 R26 F1-TEAM RS - jaune Sirius - 40250 KM</t>
        </is>
      </c>
      <c r="D420" s="18" t="n">
        <v>46296</v>
      </c>
      <c r="E420" s="12" t="n">
        <v>29490</v>
      </c>
      <c r="F420" s="14">
        <f>IF(AND($B420=$B419,ISNUMBER(E419),E419&gt;0),E420/E419-1,"")</f>
        <v/>
      </c>
      <c r="G420" s="19" t="inlineStr">
        <is>
          <t>Voir</t>
        </is>
      </c>
    </row>
    <row r="421">
      <c r="A421" s="10" t="inlineStr">
        <is>
          <t>Renault Mégane II RS R26</t>
        </is>
      </c>
      <c r="B421" s="10" t="inlineStr">
        <is>
          <t>3273010014</t>
        </is>
      </c>
      <c r="C421" s="10" t="inlineStr">
        <is>
          <t>Mégane 2 RS R26 jaune Sirius</t>
        </is>
      </c>
      <c r="D421" s="18" t="n">
        <v>46296</v>
      </c>
      <c r="E421" s="12" t="n">
        <v>20500</v>
      </c>
      <c r="F421" s="14">
        <f>IF(AND($B421=$B420,ISNUMBER(E420),E420&gt;0),E421/E420-1,"")</f>
        <v/>
      </c>
      <c r="G421" s="19" t="inlineStr">
        <is>
          <t>Voir</t>
        </is>
      </c>
    </row>
    <row r="422">
      <c r="A422" s="10" t="inlineStr">
        <is>
          <t>Renault Mégane II RS R26</t>
        </is>
      </c>
      <c r="B422" s="10" t="inlineStr">
        <is>
          <t>3276458601</t>
        </is>
      </c>
      <c r="C422" s="10" t="inlineStr">
        <is>
          <t>Renault Mégane 2 rs F1 Team R26</t>
        </is>
      </c>
      <c r="D422" s="18" t="n">
        <v>46296</v>
      </c>
      <c r="E422" s="12" t="n">
        <v>22990</v>
      </c>
      <c r="F422" s="14">
        <f>IF(AND($B422=$B421,ISNUMBER(E421),E421&gt;0),E422/E421-1,"")</f>
        <v/>
      </c>
      <c r="G422" s="19" t="inlineStr">
        <is>
          <t>Voir</t>
        </is>
      </c>
    </row>
    <row r="423">
      <c r="A423" s="10" t="inlineStr">
        <is>
          <t>Renault Mégane II RS R26</t>
        </is>
      </c>
      <c r="B423" s="10" t="inlineStr">
        <is>
          <t>3276459475</t>
        </is>
      </c>
      <c r="C423" s="10" t="inlineStr">
        <is>
          <t>Mégane 2 RS R26 F1 TEAM</t>
        </is>
      </c>
      <c r="D423" s="18" t="n">
        <v>46296</v>
      </c>
      <c r="E423" s="12" t="n">
        <v>23990</v>
      </c>
      <c r="F423" s="14">
        <f>IF(AND($B423=$B422,ISNUMBER(E422),E422&gt;0),E423/E422-1,"")</f>
        <v/>
      </c>
      <c r="G423" s="19" t="inlineStr">
        <is>
          <t>Voir</t>
        </is>
      </c>
    </row>
    <row r="424">
      <c r="A424" s="10" t="inlineStr">
        <is>
          <t>Renault Mégane II RS R26</t>
        </is>
      </c>
      <c r="B424" s="10" t="inlineStr">
        <is>
          <t>3280273275</t>
        </is>
      </c>
      <c r="C424" s="10" t="inlineStr">
        <is>
          <t>RENAULT MEGANE Mégane 2 RS COUPÉ - 230 F1 Team R26 PHASE 2</t>
        </is>
      </c>
      <c r="D424" s="18" t="n">
        <v>46296</v>
      </c>
      <c r="E424" s="12" t="n">
        <v>23980</v>
      </c>
      <c r="F424" s="14">
        <f>IF(AND($B424=$B423,ISNUMBER(E423),E423&gt;0),E424/E423-1,"")</f>
        <v/>
      </c>
      <c r="G424" s="19" t="inlineStr">
        <is>
          <t>Voir</t>
        </is>
      </c>
    </row>
    <row r="425">
      <c r="A425" s="10" t="inlineStr">
        <is>
          <t>Renault Twingo 1 découvrable</t>
        </is>
      </c>
      <c r="B425" s="10" t="inlineStr">
        <is>
          <t>3201621635</t>
        </is>
      </c>
      <c r="C425" s="10" t="inlineStr">
        <is>
          <t>RENAULT TWINGO PACK AUTHENTIQUE 1.2 60Ch Toit Ouvrant Garantie 12 mois</t>
        </is>
      </c>
      <c r="D425" s="18" t="n">
        <v>46296</v>
      </c>
      <c r="E425" s="12" t="n">
        <v>2980</v>
      </c>
      <c r="F425" s="14">
        <f>IF(AND($B425=$B424,ISNUMBER(E424),E424&gt;0),E425/E424-1,"")</f>
        <v/>
      </c>
      <c r="G425" s="19" t="inlineStr">
        <is>
          <t>Voir</t>
        </is>
      </c>
    </row>
    <row r="426">
      <c r="A426" s="10" t="inlineStr">
        <is>
          <t>Renault Twingo 1 découvrable</t>
        </is>
      </c>
      <c r="B426" s="10" t="inlineStr">
        <is>
          <t>3228654929</t>
        </is>
      </c>
      <c r="C426" s="10" t="inlineStr">
        <is>
          <t>Renault Twingo 1.2 HELIOS TOIT OUVRANT ELECTRIQUE</t>
        </is>
      </c>
      <c r="D426" s="18" t="n">
        <v>46296</v>
      </c>
      <c r="E426" s="12" t="n">
        <v>3490</v>
      </c>
      <c r="F426" s="14">
        <f>IF(AND($B426=$B425,ISNUMBER(E425),E425&gt;0),E426/E425-1,"")</f>
        <v/>
      </c>
      <c r="G426" s="19" t="inlineStr">
        <is>
          <t>Voir</t>
        </is>
      </c>
    </row>
    <row r="427">
      <c r="A427" s="10" t="inlineStr">
        <is>
          <t>Renault Twingo 1 découvrable</t>
        </is>
      </c>
      <c r="B427" s="10" t="inlineStr">
        <is>
          <t>3232797806</t>
        </is>
      </c>
      <c r="C427" s="10" t="inlineStr">
        <is>
          <t>Twingo série 1 avec toit ouvrant decouvrable</t>
        </is>
      </c>
      <c r="D427" s="18" t="n">
        <v>46296</v>
      </c>
      <c r="E427" s="12" t="n">
        <v>5490</v>
      </c>
      <c r="F427" s="14">
        <f>IF(AND($B427=$B426,ISNUMBER(E426),E426&gt;0),E427/E426-1,"")</f>
        <v/>
      </c>
      <c r="G427" s="19" t="inlineStr">
        <is>
          <t>Voir</t>
        </is>
      </c>
    </row>
    <row r="428">
      <c r="A428" s="10" t="inlineStr">
        <is>
          <t>Renault Twingo 1 découvrable</t>
        </is>
      </c>
      <c r="B428" s="10" t="inlineStr">
        <is>
          <t>3235601533</t>
        </is>
      </c>
      <c r="C428" s="10" t="inlineStr">
        <is>
          <t>Renault Twingo Wind 1.2 Essence – Toit ouvrant – Très bon état – CT OK</t>
        </is>
      </c>
      <c r="D428" s="18" t="n">
        <v>46296</v>
      </c>
      <c r="E428" s="12" t="n">
        <v>2800</v>
      </c>
      <c r="F428" s="14">
        <f>IF(AND($B428=$B427,ISNUMBER(E427),E427&gt;0),E428/E427-1,"")</f>
        <v/>
      </c>
      <c r="G428" s="19" t="inlineStr">
        <is>
          <t>Voir</t>
        </is>
      </c>
    </row>
    <row r="429">
      <c r="A429" s="10" t="inlineStr">
        <is>
          <t>Renault Twingo 1 découvrable</t>
        </is>
      </c>
      <c r="B429" s="10" t="inlineStr">
        <is>
          <t>3236310353</t>
        </is>
      </c>
      <c r="C429" s="10" t="inlineStr">
        <is>
          <t>Renault Twingo Initiale Paris 1.2 16V 75 ch – Juin 2004 – Toit ouvrant – Cuir – Clim - 140 000 km</t>
        </is>
      </c>
      <c r="D429" s="18" t="n">
        <v>46296</v>
      </c>
      <c r="E429" s="12" t="n">
        <v>4900</v>
      </c>
      <c r="F429" s="14">
        <f>IF(AND($B429=$B428,ISNUMBER(E428),E428&gt;0),E429/E428-1,"")</f>
        <v/>
      </c>
      <c r="G429" s="19" t="inlineStr">
        <is>
          <t>Voir</t>
        </is>
      </c>
    </row>
    <row r="430">
      <c r="A430" s="10" t="inlineStr">
        <is>
          <t>Renault Twingo 1 découvrable</t>
        </is>
      </c>
      <c r="B430" s="10" t="inlineStr">
        <is>
          <t>3246605855</t>
        </is>
      </c>
      <c r="C430" s="10" t="inlineStr">
        <is>
          <t>Twingo I Matic toit ouvrant</t>
        </is>
      </c>
      <c r="D430" s="18" t="n">
        <v>46296</v>
      </c>
      <c r="E430" s="12" t="n">
        <v>699</v>
      </c>
      <c r="F430" s="14">
        <f>IF(AND($B430=$B429,ISNUMBER(E429),E429&gt;0),E430/E429-1,"")</f>
        <v/>
      </c>
      <c r="G430" s="19" t="inlineStr">
        <is>
          <t>Voir</t>
        </is>
      </c>
    </row>
    <row r="431">
      <c r="A431" s="10" t="inlineStr">
        <is>
          <t>Renault Twingo 1 découvrable</t>
        </is>
      </c>
      <c r="B431" s="10" t="inlineStr">
        <is>
          <t>3254091933</t>
        </is>
      </c>
      <c r="C431" s="10" t="inlineStr">
        <is>
          <t>Renault Twingo 1.2 16V 75 ch – Climatisation – Toit ouvrant</t>
        </is>
      </c>
      <c r="D431" s="18" t="n">
        <v>46296</v>
      </c>
      <c r="E431" s="12" t="n">
        <v>3500</v>
      </c>
      <c r="F431" s="14">
        <f>IF(AND($B431=$B430,ISNUMBER(E430),E430&gt;0),E431/E430-1,"")</f>
        <v/>
      </c>
      <c r="G431" s="19" t="inlineStr">
        <is>
          <t>Voir</t>
        </is>
      </c>
    </row>
    <row r="432">
      <c r="A432" s="10" t="inlineStr">
        <is>
          <t>Renault Twingo 1 découvrable</t>
        </is>
      </c>
      <c r="B432" s="10" t="inlineStr">
        <is>
          <t>3254592892</t>
        </is>
      </c>
      <c r="C432" s="10" t="inlineStr">
        <is>
          <t>RENAULT TWINGO PHASE 2 1.2i 60CH Cinetic Toit ouvrant…</t>
        </is>
      </c>
      <c r="D432" s="18" t="n">
        <v>46296</v>
      </c>
      <c r="E432" s="12" t="n">
        <v>3490</v>
      </c>
      <c r="F432" s="14">
        <f>IF(AND($B432=$B431,ISNUMBER(E431),E431&gt;0),E432/E431-1,"")</f>
        <v/>
      </c>
      <c r="G432" s="19" t="inlineStr">
        <is>
          <t>Voir</t>
        </is>
      </c>
    </row>
    <row r="433">
      <c r="A433" s="10" t="inlineStr">
        <is>
          <t>Renault Twingo 1 découvrable</t>
        </is>
      </c>
      <c r="B433" s="10" t="inlineStr">
        <is>
          <t>3264401233</t>
        </is>
      </c>
      <c r="C433" s="10" t="inlineStr">
        <is>
          <t>Renault Twingo 1.2 16V - Toit ouvrant - CT OK</t>
        </is>
      </c>
      <c r="D433" s="18" t="n">
        <v>46296</v>
      </c>
      <c r="E433" s="12" t="n">
        <v>3100</v>
      </c>
      <c r="F433" s="14">
        <f>IF(AND($B433=$B432,ISNUMBER(E432),E432&gt;0),E433/E432-1,"")</f>
        <v/>
      </c>
      <c r="G433" s="19" t="inlineStr">
        <is>
          <t>Voir</t>
        </is>
      </c>
    </row>
    <row r="434">
      <c r="A434" s="10" t="inlineStr">
        <is>
          <t>Renault Twingo 1 découvrable</t>
        </is>
      </c>
      <c r="B434" s="10" t="inlineStr">
        <is>
          <t>3265072540</t>
        </is>
      </c>
      <c r="C434" s="10" t="inlineStr">
        <is>
          <t>Renault Twingo 1.2 16V 75 ch Initiale – Toit ouvrant</t>
        </is>
      </c>
      <c r="D434" s="18" t="n">
        <v>46296</v>
      </c>
      <c r="E434" s="12" t="n">
        <v>2200</v>
      </c>
      <c r="F434" s="14">
        <f>IF(AND($B434=$B433,ISNUMBER(E433),E433&gt;0),E434/E433-1,"")</f>
        <v/>
      </c>
      <c r="G434" s="19" t="inlineStr">
        <is>
          <t>Voir</t>
        </is>
      </c>
    </row>
    <row r="435">
      <c r="A435" s="10" t="inlineStr">
        <is>
          <t>Renault Twingo 1 découvrable</t>
        </is>
      </c>
      <c r="B435" s="10" t="inlineStr">
        <is>
          <t>3265411834</t>
        </is>
      </c>
      <c r="C435" s="10" t="inlineStr">
        <is>
          <t>Renault Twingo 1.2 4CV – 215 365 km – Toit ouvrant – CT 2027</t>
        </is>
      </c>
      <c r="D435" s="18" t="n">
        <v>46296</v>
      </c>
      <c r="E435" s="12" t="n">
        <v>2500</v>
      </c>
      <c r="F435" s="14">
        <f>IF(AND($B435=$B434,ISNUMBER(E434),E434&gt;0),E435/E434-1,"")</f>
        <v/>
      </c>
      <c r="G435" s="19" t="inlineStr">
        <is>
          <t>Voir</t>
        </is>
      </c>
    </row>
    <row r="436">
      <c r="A436" s="10" t="inlineStr">
        <is>
          <t>Renault Twingo 1 découvrable</t>
        </is>
      </c>
      <c r="B436" s="10" t="inlineStr">
        <is>
          <t>3265418338</t>
        </is>
      </c>
      <c r="C436" s="10" t="inlineStr">
        <is>
          <t>Twingo 1 toit ouvrant</t>
        </is>
      </c>
      <c r="D436" s="18" t="n">
        <v>46296</v>
      </c>
      <c r="E436" s="12" t="n">
        <v>1200</v>
      </c>
      <c r="F436" s="14">
        <f>IF(AND($B436=$B435,ISNUMBER(E435),E435&gt;0),E436/E435-1,"")</f>
        <v/>
      </c>
      <c r="G436" s="19" t="inlineStr">
        <is>
          <t>Voir</t>
        </is>
      </c>
    </row>
    <row r="437">
      <c r="A437" s="10" t="inlineStr">
        <is>
          <t>Renault Twingo 1 découvrable</t>
        </is>
      </c>
      <c r="B437" s="10" t="inlineStr">
        <is>
          <t>3266701696</t>
        </is>
      </c>
      <c r="C437" s="10" t="inlineStr">
        <is>
          <t>Twingo 1 phase 2 élios toit ouvrant panoramique 4500e</t>
        </is>
      </c>
      <c r="D437" s="18" t="n">
        <v>46296</v>
      </c>
      <c r="E437" s="12" t="n">
        <v>4500</v>
      </c>
      <c r="F437" s="14">
        <f>IF(AND($B437=$B436,ISNUMBER(E436),E436&gt;0),E437/E436-1,"")</f>
        <v/>
      </c>
      <c r="G437" s="19" t="inlineStr">
        <is>
          <t>Voir</t>
        </is>
      </c>
    </row>
    <row r="438">
      <c r="A438" s="10" t="inlineStr">
        <is>
          <t>Renault Twingo 1 découvrable</t>
        </is>
      </c>
      <c r="B438" s="10" t="inlineStr">
        <is>
          <t>3266949797</t>
        </is>
      </c>
      <c r="C438" s="10" t="inlineStr">
        <is>
          <t>Rare Twingo I Initiale Paris 1.2 16V 75ch – Cuir – Clim – Toit ouvrant</t>
        </is>
      </c>
      <c r="D438" s="18" t="n">
        <v>46296</v>
      </c>
      <c r="E438" s="12" t="n">
        <v>1690</v>
      </c>
      <c r="F438" s="14">
        <f>IF(AND($B438=$B437,ISNUMBER(E437),E437&gt;0),E438/E437-1,"")</f>
        <v/>
      </c>
      <c r="G438" s="19" t="inlineStr">
        <is>
          <t>Voir</t>
        </is>
      </c>
    </row>
    <row r="439">
      <c r="A439" s="10" t="inlineStr">
        <is>
          <t>Renault Twingo 1 découvrable</t>
        </is>
      </c>
      <c r="B439" s="10" t="inlineStr">
        <is>
          <t>3268258543</t>
        </is>
      </c>
      <c r="C439" s="10" t="inlineStr">
        <is>
          <t>Twingo 1 phase 2 Clim toit ouvrant</t>
        </is>
      </c>
      <c r="D439" s="18" t="n">
        <v>46296</v>
      </c>
      <c r="E439" s="12" t="n">
        <v>2990</v>
      </c>
      <c r="F439" s="14">
        <f>IF(AND($B439=$B438,ISNUMBER(E438),E438&gt;0),E439/E438-1,"")</f>
        <v/>
      </c>
      <c r="G439" s="19" t="inlineStr">
        <is>
          <t>Voir</t>
        </is>
      </c>
    </row>
    <row r="440">
      <c r="A440" s="10" t="inlineStr">
        <is>
          <t>Renault Twingo 1 découvrable</t>
        </is>
      </c>
      <c r="B440" s="10" t="inlineStr">
        <is>
          <t>3268824297</t>
        </is>
      </c>
      <c r="C440" s="10" t="inlineStr">
        <is>
          <t>Twingo 1 1.2 60cv toit ouvrant</t>
        </is>
      </c>
      <c r="D440" s="18" t="n">
        <v>46296</v>
      </c>
      <c r="E440" s="12" t="n">
        <v>3600</v>
      </c>
      <c r="F440" s="14">
        <f>IF(AND($B440=$B439,ISNUMBER(E439),E439&gt;0),E440/E439-1,"")</f>
        <v/>
      </c>
      <c r="G440" s="19" t="inlineStr">
        <is>
          <t>Voir</t>
        </is>
      </c>
    </row>
    <row r="441">
      <c r="A441" s="10" t="inlineStr">
        <is>
          <t>Renault Twingo 1 découvrable</t>
        </is>
      </c>
      <c r="B441" s="10" t="inlineStr">
        <is>
          <t>3269180003</t>
        </is>
      </c>
      <c r="C441" s="10" t="inlineStr">
        <is>
          <t>Twingo, Expression 16V toit ouvrant</t>
        </is>
      </c>
      <c r="D441" s="18" t="n">
        <v>46296</v>
      </c>
      <c r="E441" s="12" t="n">
        <v>1700</v>
      </c>
      <c r="F441" s="14">
        <f>IF(AND($B441=$B440,ISNUMBER(E440),E440&gt;0),E441/E440-1,"")</f>
        <v/>
      </c>
      <c r="G441" s="19" t="inlineStr">
        <is>
          <t>Voir</t>
        </is>
      </c>
    </row>
    <row r="442">
      <c r="A442" s="10" t="inlineStr">
        <is>
          <t>Renault Twingo 1 découvrable</t>
        </is>
      </c>
      <c r="B442" s="10" t="inlineStr">
        <is>
          <t>3269220561</t>
        </is>
      </c>
      <c r="C442" s="10" t="inlineStr">
        <is>
          <t>Twingo 1 Phase 2 – Toit ouvrant – 1.2 essence – Fiable</t>
        </is>
      </c>
      <c r="D442" s="18" t="n">
        <v>46296</v>
      </c>
      <c r="E442" s="12" t="n">
        <v>1800</v>
      </c>
      <c r="F442" s="14">
        <f>IF(AND($B442=$B441,ISNUMBER(E441),E441&gt;0),E442/E441-1,"")</f>
        <v/>
      </c>
      <c r="G442" s="19" t="inlineStr">
        <is>
          <t>Voir</t>
        </is>
      </c>
    </row>
    <row r="443">
      <c r="A443" s="10" t="inlineStr">
        <is>
          <t>Renault Twingo 1 découvrable</t>
        </is>
      </c>
      <c r="B443" s="10" t="inlineStr">
        <is>
          <t>3269820668</t>
        </is>
      </c>
      <c r="C443" s="10" t="inlineStr">
        <is>
          <t>TWINGO I, toit ouvrant</t>
        </is>
      </c>
      <c r="D443" s="18" t="n">
        <v>46296</v>
      </c>
      <c r="E443" s="12" t="n">
        <v>2900</v>
      </c>
      <c r="F443" s="14">
        <f>IF(AND($B443=$B442,ISNUMBER(E442),E442&gt;0),E443/E442-1,"")</f>
        <v/>
      </c>
      <c r="G443" s="19" t="inlineStr">
        <is>
          <t>Voir</t>
        </is>
      </c>
    </row>
    <row r="444">
      <c r="A444" s="10" t="inlineStr">
        <is>
          <t>Renault Twingo 1 découvrable</t>
        </is>
      </c>
      <c r="B444" s="10" t="inlineStr">
        <is>
          <t>3270178988</t>
        </is>
      </c>
      <c r="C444" s="10" t="inlineStr">
        <is>
          <t>RENAULT TWINGO 1.2L 75CV Dynamique Toit ouvrant</t>
        </is>
      </c>
      <c r="D444" s="18" t="n">
        <v>46296</v>
      </c>
      <c r="E444" s="12" t="n">
        <v>3490</v>
      </c>
      <c r="F444" s="14">
        <f>IF(AND($B444=$B443,ISNUMBER(E443),E443&gt;0),E444/E443-1,"")</f>
        <v/>
      </c>
      <c r="G444" s="19" t="inlineStr">
        <is>
          <t>Voir</t>
        </is>
      </c>
    </row>
    <row r="445">
      <c r="A445" s="10" t="inlineStr">
        <is>
          <t>Renault Twingo 1 découvrable</t>
        </is>
      </c>
      <c r="B445" s="10" t="inlineStr">
        <is>
          <t>3271251775</t>
        </is>
      </c>
      <c r="C445" s="10" t="inlineStr">
        <is>
          <t>Twingo 2003 toit ouvrant</t>
        </is>
      </c>
      <c r="D445" s="18" t="n">
        <v>46296</v>
      </c>
      <c r="E445" s="12" t="n">
        <v>1750</v>
      </c>
      <c r="F445" s="14">
        <f>IF(AND($B445=$B444,ISNUMBER(E444),E444&gt;0),E445/E444-1,"")</f>
        <v/>
      </c>
      <c r="G445" s="19" t="inlineStr">
        <is>
          <t>Voir</t>
        </is>
      </c>
    </row>
    <row r="446">
      <c r="A446" s="10" t="inlineStr">
        <is>
          <t>Renault Twingo 1 découvrable</t>
        </is>
      </c>
      <c r="B446" s="10" t="inlineStr">
        <is>
          <t>3271536730</t>
        </is>
      </c>
      <c r="C446" s="10" t="inlineStr">
        <is>
          <t>Twingo Campus 1.2 - Toit ouvrant panoramique</t>
        </is>
      </c>
      <c r="D446" s="18" t="n">
        <v>46296</v>
      </c>
      <c r="E446" s="12" t="n">
        <v>3500</v>
      </c>
      <c r="F446" s="14">
        <f>IF(AND($B446=$B445,ISNUMBER(E445),E445&gt;0),E446/E445-1,"")</f>
        <v/>
      </c>
      <c r="G446" s="19" t="inlineStr">
        <is>
          <t>Voir</t>
        </is>
      </c>
    </row>
    <row r="447">
      <c r="A447" s="10" t="inlineStr">
        <is>
          <t>Renault Twingo 1 découvrable</t>
        </is>
      </c>
      <c r="B447" s="10" t="inlineStr">
        <is>
          <t>3273813000</t>
        </is>
      </c>
      <c r="C447" s="10" t="inlineStr">
        <is>
          <t>Twingo 1 boîte automatique toit ouvrant</t>
        </is>
      </c>
      <c r="D447" s="18" t="n">
        <v>46296</v>
      </c>
      <c r="E447" s="12" t="n">
        <v>3650</v>
      </c>
      <c r="F447" s="14">
        <f>IF(AND($B447=$B446,ISNUMBER(E446),E446&gt;0),E447/E446-1,"")</f>
        <v/>
      </c>
      <c r="G447" s="19" t="inlineStr">
        <is>
          <t>Voir</t>
        </is>
      </c>
    </row>
    <row r="448">
      <c r="A448" s="10" t="inlineStr">
        <is>
          <t>Renault Twingo 1 découvrable</t>
        </is>
      </c>
      <c r="B448" s="10" t="inlineStr">
        <is>
          <t>3276478695</t>
        </is>
      </c>
      <c r="C448" s="10" t="inlineStr">
        <is>
          <t>Twingo phase 2 1.2I 16V 75vh toit ouvrant</t>
        </is>
      </c>
      <c r="D448" s="18" t="n">
        <v>46296</v>
      </c>
      <c r="E448" s="12" t="n">
        <v>1990</v>
      </c>
      <c r="F448" s="14">
        <f>IF(AND($B448=$B447,ISNUMBER(E447),E447&gt;0),E448/E447-1,"")</f>
        <v/>
      </c>
      <c r="G448" s="19" t="inlineStr">
        <is>
          <t>Voir</t>
        </is>
      </c>
    </row>
    <row r="449">
      <c r="A449" s="10" t="inlineStr">
        <is>
          <t>Renault Twingo 1 découvrable</t>
        </is>
      </c>
      <c r="B449" s="10" t="inlineStr">
        <is>
          <t>3278551940</t>
        </is>
      </c>
      <c r="C449" s="10" t="inlineStr">
        <is>
          <t>Twingo 1 (phase 2) toit ouvrant (panoramique) en Parfait état</t>
        </is>
      </c>
      <c r="D449" s="18" t="n">
        <v>46296</v>
      </c>
      <c r="E449" s="12" t="n">
        <v>2850</v>
      </c>
      <c r="F449" s="14">
        <f>IF(AND($B449=$B448,ISNUMBER(E448),E448&gt;0),E449/E448-1,"")</f>
        <v/>
      </c>
      <c r="G449" s="19" t="inlineStr">
        <is>
          <t>Voir</t>
        </is>
      </c>
    </row>
    <row r="450">
      <c r="A450" s="10" t="inlineStr">
        <is>
          <t>Renault Twingo 1 découvrable</t>
        </is>
      </c>
      <c r="B450" s="10" t="inlineStr">
        <is>
          <t>3279265139</t>
        </is>
      </c>
      <c r="C450" s="10" t="inlineStr">
        <is>
          <t>Twingo 1 toit ouvrant</t>
        </is>
      </c>
      <c r="D450" s="18" t="n">
        <v>46296</v>
      </c>
      <c r="E450" s="12" t="n">
        <v>3800</v>
      </c>
      <c r="F450" s="14">
        <f>IF(AND($B450=$B449,ISNUMBER(E449),E449&gt;0),E450/E449-1,"")</f>
        <v/>
      </c>
      <c r="G450" s="19" t="inlineStr">
        <is>
          <t>Voir</t>
        </is>
      </c>
    </row>
    <row r="451">
      <c r="A451" s="10" t="inlineStr">
        <is>
          <t>Renault Twingo 1 découvrable</t>
        </is>
      </c>
      <c r="B451" s="10" t="inlineStr">
        <is>
          <t>3280012848</t>
        </is>
      </c>
      <c r="C451" s="10" t="inlineStr">
        <is>
          <t>RENAULT TWINGO 1.2 16v 75 CH INITIALE boite automatique TOIT OUVRANT FAIBLE KILOMETRAGE 68 201 KM ETAT RARE TRES BI</t>
        </is>
      </c>
      <c r="D451" s="18" t="n">
        <v>46296</v>
      </c>
      <c r="E451" s="12" t="n">
        <v>5990</v>
      </c>
      <c r="F451" s="14">
        <f>IF(AND($B451=$B450,ISNUMBER(E450),E450&gt;0),E451/E450-1,"")</f>
        <v/>
      </c>
      <c r="G451" s="19" t="inlineStr">
        <is>
          <t>Voir</t>
        </is>
      </c>
    </row>
  </sheetData>
  <autoFilter ref="A1:G45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03"/>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1998</v>
      </c>
      <c r="C3" s="16">
        <f>COUNTIFS(Annonces!$A$2:$A$451,$A3,Annonces!$C$2:$C$451,"En vente",Annonces!$N$2:$N$451,$B3)</f>
        <v/>
      </c>
      <c r="D3" s="12">
        <f>IFERROR(AVERAGEIFS(Annonces!$J$2:$J$451,Annonces!$A$2:$A$451,$A3,Annonces!$C$2:$C$451,"En vente",Annonces!$N$2:$N$451,$B3),"")</f>
        <v/>
      </c>
      <c r="E3" s="12">
        <f>IF(C3&gt;0,_xlfn.MINIFS(Annonces!$J$2:$J$451,Annonces!$A$2:$A$451,$A3,Annonces!$C$2:$C$451,"En vente",Annonces!$N$2:$N$451,$B3),"")</f>
        <v/>
      </c>
      <c r="F3" s="12">
        <f>IF(C3&gt;0,_xlfn.MAXIFS(Annonces!$J$2:$J$451,Annonces!$A$2:$A$451,$A3,Annonces!$C$2:$C$451,"En vente",Annonces!$N$2:$N$451,$B3),"")</f>
        <v/>
      </c>
      <c r="G3" s="15">
        <f>IFERROR(AVERAGEIFS(Annonces!$M$2:$M$451,Annonces!$A$2:$A$451,$A3,Annonces!$C$2:$C$451,"En vente",Annonces!$N$2:$N$451,$B3),"")</f>
        <v/>
      </c>
    </row>
    <row r="4">
      <c r="A4" s="10" t="inlineStr">
        <is>
          <t>Alfa Romeo 156 2.5 V6 24V</t>
        </is>
      </c>
      <c r="B4" s="10" t="n">
        <v>1999</v>
      </c>
      <c r="C4" s="16">
        <f>COUNTIFS(Annonces!$A$2:$A$451,$A4,Annonces!$C$2:$C$451,"En vente",Annonces!$N$2:$N$451,$B4)</f>
        <v/>
      </c>
      <c r="D4" s="12">
        <f>IFERROR(AVERAGEIFS(Annonces!$J$2:$J$451,Annonces!$A$2:$A$451,$A4,Annonces!$C$2:$C$451,"En vente",Annonces!$N$2:$N$451,$B4),"")</f>
        <v/>
      </c>
      <c r="E4" s="12">
        <f>IF(C4&gt;0,_xlfn.MINIFS(Annonces!$J$2:$J$451,Annonces!$A$2:$A$451,$A4,Annonces!$C$2:$C$451,"En vente",Annonces!$N$2:$N$451,$B4),"")</f>
        <v/>
      </c>
      <c r="F4" s="12">
        <f>IF(C4&gt;0,_xlfn.MAXIFS(Annonces!$J$2:$J$451,Annonces!$A$2:$A$451,$A4,Annonces!$C$2:$C$451,"En vente",Annonces!$N$2:$N$451,$B4),"")</f>
        <v/>
      </c>
      <c r="G4" s="15">
        <f>IFERROR(AVERAGEIFS(Annonces!$M$2:$M$451,Annonces!$A$2:$A$451,$A4,Annonces!$C$2:$C$451,"En vente",Annonces!$N$2:$N$451,$B4),"")</f>
        <v/>
      </c>
    </row>
    <row r="5">
      <c r="A5" s="10" t="inlineStr">
        <is>
          <t>Alfa Romeo 156 2.5 V6 24V</t>
        </is>
      </c>
      <c r="B5" s="10" t="n">
        <v>2001</v>
      </c>
      <c r="C5" s="16">
        <f>COUNTIFS(Annonces!$A$2:$A$451,$A5,Annonces!$C$2:$C$451,"En vente",Annonces!$N$2:$N$451,$B5)</f>
        <v/>
      </c>
      <c r="D5" s="12">
        <f>IFERROR(AVERAGEIFS(Annonces!$J$2:$J$451,Annonces!$A$2:$A$451,$A5,Annonces!$C$2:$C$451,"En vente",Annonces!$N$2:$N$451,$B5),"")</f>
        <v/>
      </c>
      <c r="E5" s="12">
        <f>IF(C5&gt;0,_xlfn.MINIFS(Annonces!$J$2:$J$451,Annonces!$A$2:$A$451,$A5,Annonces!$C$2:$C$451,"En vente",Annonces!$N$2:$N$451,$B5),"")</f>
        <v/>
      </c>
      <c r="F5" s="12">
        <f>IF(C5&gt;0,_xlfn.MAXIFS(Annonces!$J$2:$J$451,Annonces!$A$2:$A$451,$A5,Annonces!$C$2:$C$451,"En vente",Annonces!$N$2:$N$451,$B5),"")</f>
        <v/>
      </c>
      <c r="G5" s="15">
        <f>IFERROR(AVERAGEIFS(Annonces!$M$2:$M$451,Annonces!$A$2:$A$451,$A5,Annonces!$C$2:$C$451,"En vente",Annonces!$N$2:$N$451,$B5),"")</f>
        <v/>
      </c>
    </row>
    <row r="6">
      <c r="A6" s="10" t="inlineStr">
        <is>
          <t>Alfa Romeo 156 2.5 V6 24V</t>
        </is>
      </c>
      <c r="B6" s="10" t="n">
        <v>2002</v>
      </c>
      <c r="C6" s="16">
        <f>COUNTIFS(Annonces!$A$2:$A$451,$A6,Annonces!$C$2:$C$451,"En vente",Annonces!$N$2:$N$451,$B6)</f>
        <v/>
      </c>
      <c r="D6" s="12">
        <f>IFERROR(AVERAGEIFS(Annonces!$J$2:$J$451,Annonces!$A$2:$A$451,$A6,Annonces!$C$2:$C$451,"En vente",Annonces!$N$2:$N$451,$B6),"")</f>
        <v/>
      </c>
      <c r="E6" s="12">
        <f>IF(C6&gt;0,_xlfn.MINIFS(Annonces!$J$2:$J$451,Annonces!$A$2:$A$451,$A6,Annonces!$C$2:$C$451,"En vente",Annonces!$N$2:$N$451,$B6),"")</f>
        <v/>
      </c>
      <c r="F6" s="12">
        <f>IF(C6&gt;0,_xlfn.MAXIFS(Annonces!$J$2:$J$451,Annonces!$A$2:$A$451,$A6,Annonces!$C$2:$C$451,"En vente",Annonces!$N$2:$N$451,$B6),"")</f>
        <v/>
      </c>
      <c r="G6" s="15">
        <f>IFERROR(AVERAGEIFS(Annonces!$M$2:$M$451,Annonces!$A$2:$A$451,$A6,Annonces!$C$2:$C$451,"En vente",Annonces!$N$2:$N$451,$B6),"")</f>
        <v/>
      </c>
    </row>
    <row r="7">
      <c r="A7" s="10" t="inlineStr">
        <is>
          <t>Alfa Romeo 156 2.5 V6 24V</t>
        </is>
      </c>
      <c r="B7" s="10" t="n">
        <v>2003</v>
      </c>
      <c r="C7" s="16">
        <f>COUNTIFS(Annonces!$A$2:$A$451,$A7,Annonces!$C$2:$C$451,"En vente",Annonces!$N$2:$N$451,$B7)</f>
        <v/>
      </c>
      <c r="D7" s="12">
        <f>IFERROR(AVERAGEIFS(Annonces!$J$2:$J$451,Annonces!$A$2:$A$451,$A7,Annonces!$C$2:$C$451,"En vente",Annonces!$N$2:$N$451,$B7),"")</f>
        <v/>
      </c>
      <c r="E7" s="12">
        <f>IF(C7&gt;0,_xlfn.MINIFS(Annonces!$J$2:$J$451,Annonces!$A$2:$A$451,$A7,Annonces!$C$2:$C$451,"En vente",Annonces!$N$2:$N$451,$B7),"")</f>
        <v/>
      </c>
      <c r="F7" s="12">
        <f>IF(C7&gt;0,_xlfn.MAXIFS(Annonces!$J$2:$J$451,Annonces!$A$2:$A$451,$A7,Annonces!$C$2:$C$451,"En vente",Annonces!$N$2:$N$451,$B7),"")</f>
        <v/>
      </c>
      <c r="G7" s="15">
        <f>IFERROR(AVERAGEIFS(Annonces!$M$2:$M$451,Annonces!$A$2:$A$451,$A7,Annonces!$C$2:$C$451,"En vente",Annonces!$N$2:$N$451,$B7),"")</f>
        <v/>
      </c>
    </row>
    <row r="8">
      <c r="A8" s="10" t="inlineStr">
        <is>
          <t>Alfa Romeo 156 2.5 V6 24V</t>
        </is>
      </c>
      <c r="B8" s="10" t="n">
        <v>2004</v>
      </c>
      <c r="C8" s="16">
        <f>COUNTIFS(Annonces!$A$2:$A$451,$A8,Annonces!$C$2:$C$451,"En vente",Annonces!$N$2:$N$451,$B8)</f>
        <v/>
      </c>
      <c r="D8" s="12">
        <f>IFERROR(AVERAGEIFS(Annonces!$J$2:$J$451,Annonces!$A$2:$A$451,$A8,Annonces!$C$2:$C$451,"En vente",Annonces!$N$2:$N$451,$B8),"")</f>
        <v/>
      </c>
      <c r="E8" s="12">
        <f>IF(C8&gt;0,_xlfn.MINIFS(Annonces!$J$2:$J$451,Annonces!$A$2:$A$451,$A8,Annonces!$C$2:$C$451,"En vente",Annonces!$N$2:$N$451,$B8),"")</f>
        <v/>
      </c>
      <c r="F8" s="12">
        <f>IF(C8&gt;0,_xlfn.MAXIFS(Annonces!$J$2:$J$451,Annonces!$A$2:$A$451,$A8,Annonces!$C$2:$C$451,"En vente",Annonces!$N$2:$N$451,$B8),"")</f>
        <v/>
      </c>
      <c r="G8" s="15">
        <f>IFERROR(AVERAGEIFS(Annonces!$M$2:$M$451,Annonces!$A$2:$A$451,$A8,Annonces!$C$2:$C$451,"En vente",Annonces!$N$2:$N$451,$B8),"")</f>
        <v/>
      </c>
    </row>
    <row r="9">
      <c r="A9" s="10" t="inlineStr">
        <is>
          <t>BMW Z3 1.9i / 2.0i</t>
        </is>
      </c>
      <c r="B9" s="10" t="n">
        <v>1996</v>
      </c>
      <c r="C9" s="16">
        <f>COUNTIFS(Annonces!$A$2:$A$451,$A9,Annonces!$C$2:$C$451,"En vente",Annonces!$N$2:$N$451,$B9)</f>
        <v/>
      </c>
      <c r="D9" s="12">
        <f>IFERROR(AVERAGEIFS(Annonces!$J$2:$J$451,Annonces!$A$2:$A$451,$A9,Annonces!$C$2:$C$451,"En vente",Annonces!$N$2:$N$451,$B9),"")</f>
        <v/>
      </c>
      <c r="E9" s="12">
        <f>IF(C9&gt;0,_xlfn.MINIFS(Annonces!$J$2:$J$451,Annonces!$A$2:$A$451,$A9,Annonces!$C$2:$C$451,"En vente",Annonces!$N$2:$N$451,$B9),"")</f>
        <v/>
      </c>
      <c r="F9" s="12">
        <f>IF(C9&gt;0,_xlfn.MAXIFS(Annonces!$J$2:$J$451,Annonces!$A$2:$A$451,$A9,Annonces!$C$2:$C$451,"En vente",Annonces!$N$2:$N$451,$B9),"")</f>
        <v/>
      </c>
      <c r="G9" s="15">
        <f>IFERROR(AVERAGEIFS(Annonces!$M$2:$M$451,Annonces!$A$2:$A$451,$A9,Annonces!$C$2:$C$451,"En vente",Annonces!$N$2:$N$451,$B9),"")</f>
        <v/>
      </c>
    </row>
    <row r="10">
      <c r="A10" s="10" t="inlineStr">
        <is>
          <t>BMW Z3 1.9i / 2.0i</t>
        </is>
      </c>
      <c r="B10" s="10" t="n">
        <v>1997</v>
      </c>
      <c r="C10" s="16">
        <f>COUNTIFS(Annonces!$A$2:$A$451,$A10,Annonces!$C$2:$C$451,"En vente",Annonces!$N$2:$N$451,$B10)</f>
        <v/>
      </c>
      <c r="D10" s="12">
        <f>IFERROR(AVERAGEIFS(Annonces!$J$2:$J$451,Annonces!$A$2:$A$451,$A10,Annonces!$C$2:$C$451,"En vente",Annonces!$N$2:$N$451,$B10),"")</f>
        <v/>
      </c>
      <c r="E10" s="12">
        <f>IF(C10&gt;0,_xlfn.MINIFS(Annonces!$J$2:$J$451,Annonces!$A$2:$A$451,$A10,Annonces!$C$2:$C$451,"En vente",Annonces!$N$2:$N$451,$B10),"")</f>
        <v/>
      </c>
      <c r="F10" s="12">
        <f>IF(C10&gt;0,_xlfn.MAXIFS(Annonces!$J$2:$J$451,Annonces!$A$2:$A$451,$A10,Annonces!$C$2:$C$451,"En vente",Annonces!$N$2:$N$451,$B10),"")</f>
        <v/>
      </c>
      <c r="G10" s="15">
        <f>IFERROR(AVERAGEIFS(Annonces!$M$2:$M$451,Annonces!$A$2:$A$451,$A10,Annonces!$C$2:$C$451,"En vente",Annonces!$N$2:$N$451,$B10),"")</f>
        <v/>
      </c>
    </row>
    <row r="11">
      <c r="A11" s="10" t="inlineStr">
        <is>
          <t>BMW Z3 1.9i / 2.0i</t>
        </is>
      </c>
      <c r="B11" s="10" t="n">
        <v>1998</v>
      </c>
      <c r="C11" s="16">
        <f>COUNTIFS(Annonces!$A$2:$A$451,$A11,Annonces!$C$2:$C$451,"En vente",Annonces!$N$2:$N$451,$B11)</f>
        <v/>
      </c>
      <c r="D11" s="12">
        <f>IFERROR(AVERAGEIFS(Annonces!$J$2:$J$451,Annonces!$A$2:$A$451,$A11,Annonces!$C$2:$C$451,"En vente",Annonces!$N$2:$N$451,$B11),"")</f>
        <v/>
      </c>
      <c r="E11" s="12">
        <f>IF(C11&gt;0,_xlfn.MINIFS(Annonces!$J$2:$J$451,Annonces!$A$2:$A$451,$A11,Annonces!$C$2:$C$451,"En vente",Annonces!$N$2:$N$451,$B11),"")</f>
        <v/>
      </c>
      <c r="F11" s="12">
        <f>IF(C11&gt;0,_xlfn.MAXIFS(Annonces!$J$2:$J$451,Annonces!$A$2:$A$451,$A11,Annonces!$C$2:$C$451,"En vente",Annonces!$N$2:$N$451,$B11),"")</f>
        <v/>
      </c>
      <c r="G11" s="15">
        <f>IFERROR(AVERAGEIFS(Annonces!$M$2:$M$451,Annonces!$A$2:$A$451,$A11,Annonces!$C$2:$C$451,"En vente",Annonces!$N$2:$N$451,$B11),"")</f>
        <v/>
      </c>
    </row>
    <row r="12">
      <c r="A12" s="10" t="inlineStr">
        <is>
          <t>BMW Z3 1.9i / 2.0i</t>
        </is>
      </c>
      <c r="B12" s="10" t="n">
        <v>1999</v>
      </c>
      <c r="C12" s="16">
        <f>COUNTIFS(Annonces!$A$2:$A$451,$A12,Annonces!$C$2:$C$451,"En vente",Annonces!$N$2:$N$451,$B12)</f>
        <v/>
      </c>
      <c r="D12" s="12">
        <f>IFERROR(AVERAGEIFS(Annonces!$J$2:$J$451,Annonces!$A$2:$A$451,$A12,Annonces!$C$2:$C$451,"En vente",Annonces!$N$2:$N$451,$B12),"")</f>
        <v/>
      </c>
      <c r="E12" s="12">
        <f>IF(C12&gt;0,_xlfn.MINIFS(Annonces!$J$2:$J$451,Annonces!$A$2:$A$451,$A12,Annonces!$C$2:$C$451,"En vente",Annonces!$N$2:$N$451,$B12),"")</f>
        <v/>
      </c>
      <c r="F12" s="12">
        <f>IF(C12&gt;0,_xlfn.MAXIFS(Annonces!$J$2:$J$451,Annonces!$A$2:$A$451,$A12,Annonces!$C$2:$C$451,"En vente",Annonces!$N$2:$N$451,$B12),"")</f>
        <v/>
      </c>
      <c r="G12" s="15">
        <f>IFERROR(AVERAGEIFS(Annonces!$M$2:$M$451,Annonces!$A$2:$A$451,$A12,Annonces!$C$2:$C$451,"En vente",Annonces!$N$2:$N$451,$B12),"")</f>
        <v/>
      </c>
    </row>
    <row r="13">
      <c r="A13" s="10" t="inlineStr">
        <is>
          <t>BMW Z3 1.9i / 2.0i</t>
        </is>
      </c>
      <c r="B13" s="10" t="n">
        <v>2000</v>
      </c>
      <c r="C13" s="16">
        <f>COUNTIFS(Annonces!$A$2:$A$451,$A13,Annonces!$C$2:$C$451,"En vente",Annonces!$N$2:$N$451,$B13)</f>
        <v/>
      </c>
      <c r="D13" s="12">
        <f>IFERROR(AVERAGEIFS(Annonces!$J$2:$J$451,Annonces!$A$2:$A$451,$A13,Annonces!$C$2:$C$451,"En vente",Annonces!$N$2:$N$451,$B13),"")</f>
        <v/>
      </c>
      <c r="E13" s="12">
        <f>IF(C13&gt;0,_xlfn.MINIFS(Annonces!$J$2:$J$451,Annonces!$A$2:$A$451,$A13,Annonces!$C$2:$C$451,"En vente",Annonces!$N$2:$N$451,$B13),"")</f>
        <v/>
      </c>
      <c r="F13" s="12">
        <f>IF(C13&gt;0,_xlfn.MAXIFS(Annonces!$J$2:$J$451,Annonces!$A$2:$A$451,$A13,Annonces!$C$2:$C$451,"En vente",Annonces!$N$2:$N$451,$B13),"")</f>
        <v/>
      </c>
      <c r="G13" s="15">
        <f>IFERROR(AVERAGEIFS(Annonces!$M$2:$M$451,Annonces!$A$2:$A$451,$A13,Annonces!$C$2:$C$451,"En vente",Annonces!$N$2:$N$451,$B13),"")</f>
        <v/>
      </c>
    </row>
    <row r="14">
      <c r="A14" s="10" t="inlineStr">
        <is>
          <t>BMW Z3 1.9i / 2.0i</t>
        </is>
      </c>
      <c r="B14" s="10" t="n">
        <v>2001</v>
      </c>
      <c r="C14" s="16">
        <f>COUNTIFS(Annonces!$A$2:$A$451,$A14,Annonces!$C$2:$C$451,"En vente",Annonces!$N$2:$N$451,$B14)</f>
        <v/>
      </c>
      <c r="D14" s="12">
        <f>IFERROR(AVERAGEIFS(Annonces!$J$2:$J$451,Annonces!$A$2:$A$451,$A14,Annonces!$C$2:$C$451,"En vente",Annonces!$N$2:$N$451,$B14),"")</f>
        <v/>
      </c>
      <c r="E14" s="12">
        <f>IF(C14&gt;0,_xlfn.MINIFS(Annonces!$J$2:$J$451,Annonces!$A$2:$A$451,$A14,Annonces!$C$2:$C$451,"En vente",Annonces!$N$2:$N$451,$B14),"")</f>
        <v/>
      </c>
      <c r="F14" s="12">
        <f>IF(C14&gt;0,_xlfn.MAXIFS(Annonces!$J$2:$J$451,Annonces!$A$2:$A$451,$A14,Annonces!$C$2:$C$451,"En vente",Annonces!$N$2:$N$451,$B14),"")</f>
        <v/>
      </c>
      <c r="G14" s="15">
        <f>IFERROR(AVERAGEIFS(Annonces!$M$2:$M$451,Annonces!$A$2:$A$451,$A14,Annonces!$C$2:$C$451,"En vente",Annonces!$N$2:$N$451,$B14),"")</f>
        <v/>
      </c>
    </row>
    <row r="15">
      <c r="A15" s="10" t="inlineStr">
        <is>
          <t>BMW Z3 1.9i / 2.0i</t>
        </is>
      </c>
      <c r="B15" s="10" t="n">
        <v>2002</v>
      </c>
      <c r="C15" s="16">
        <f>COUNTIFS(Annonces!$A$2:$A$451,$A15,Annonces!$C$2:$C$451,"En vente",Annonces!$N$2:$N$451,$B15)</f>
        <v/>
      </c>
      <c r="D15" s="12">
        <f>IFERROR(AVERAGEIFS(Annonces!$J$2:$J$451,Annonces!$A$2:$A$451,$A15,Annonces!$C$2:$C$451,"En vente",Annonces!$N$2:$N$451,$B15),"")</f>
        <v/>
      </c>
      <c r="E15" s="12">
        <f>IF(C15&gt;0,_xlfn.MINIFS(Annonces!$J$2:$J$451,Annonces!$A$2:$A$451,$A15,Annonces!$C$2:$C$451,"En vente",Annonces!$N$2:$N$451,$B15),"")</f>
        <v/>
      </c>
      <c r="F15" s="12">
        <f>IF(C15&gt;0,_xlfn.MAXIFS(Annonces!$J$2:$J$451,Annonces!$A$2:$A$451,$A15,Annonces!$C$2:$C$451,"En vente",Annonces!$N$2:$N$451,$B15),"")</f>
        <v/>
      </c>
      <c r="G15" s="15">
        <f>IFERROR(AVERAGEIFS(Annonces!$M$2:$M$451,Annonces!$A$2:$A$451,$A15,Annonces!$C$2:$C$451,"En vente",Annonces!$N$2:$N$451,$B15),"")</f>
        <v/>
      </c>
    </row>
    <row r="16">
      <c r="A16" s="10" t="inlineStr">
        <is>
          <t>Citroën Saxo VTS 16V</t>
        </is>
      </c>
      <c r="B16" s="10" t="n">
        <v>1997</v>
      </c>
      <c r="C16" s="16">
        <f>COUNTIFS(Annonces!$A$2:$A$451,$A16,Annonces!$C$2:$C$451,"En vente",Annonces!$N$2:$N$451,$B16)</f>
        <v/>
      </c>
      <c r="D16" s="12">
        <f>IFERROR(AVERAGEIFS(Annonces!$J$2:$J$451,Annonces!$A$2:$A$451,$A16,Annonces!$C$2:$C$451,"En vente",Annonces!$N$2:$N$451,$B16),"")</f>
        <v/>
      </c>
      <c r="E16" s="12">
        <f>IF(C16&gt;0,_xlfn.MINIFS(Annonces!$J$2:$J$451,Annonces!$A$2:$A$451,$A16,Annonces!$C$2:$C$451,"En vente",Annonces!$N$2:$N$451,$B16),"")</f>
        <v/>
      </c>
      <c r="F16" s="12">
        <f>IF(C16&gt;0,_xlfn.MAXIFS(Annonces!$J$2:$J$451,Annonces!$A$2:$A$451,$A16,Annonces!$C$2:$C$451,"En vente",Annonces!$N$2:$N$451,$B16),"")</f>
        <v/>
      </c>
      <c r="G16" s="15">
        <f>IFERROR(AVERAGEIFS(Annonces!$M$2:$M$451,Annonces!$A$2:$A$451,$A16,Annonces!$C$2:$C$451,"En vente",Annonces!$N$2:$N$451,$B16),"")</f>
        <v/>
      </c>
    </row>
    <row r="17">
      <c r="A17" s="10" t="inlineStr">
        <is>
          <t>Citroën Saxo VTS 16V</t>
        </is>
      </c>
      <c r="B17" s="10" t="n">
        <v>1998</v>
      </c>
      <c r="C17" s="16">
        <f>COUNTIFS(Annonces!$A$2:$A$451,$A17,Annonces!$C$2:$C$451,"En vente",Annonces!$N$2:$N$451,$B17)</f>
        <v/>
      </c>
      <c r="D17" s="12">
        <f>IFERROR(AVERAGEIFS(Annonces!$J$2:$J$451,Annonces!$A$2:$A$451,$A17,Annonces!$C$2:$C$451,"En vente",Annonces!$N$2:$N$451,$B17),"")</f>
        <v/>
      </c>
      <c r="E17" s="12">
        <f>IF(C17&gt;0,_xlfn.MINIFS(Annonces!$J$2:$J$451,Annonces!$A$2:$A$451,$A17,Annonces!$C$2:$C$451,"En vente",Annonces!$N$2:$N$451,$B17),"")</f>
        <v/>
      </c>
      <c r="F17" s="12">
        <f>IF(C17&gt;0,_xlfn.MAXIFS(Annonces!$J$2:$J$451,Annonces!$A$2:$A$451,$A17,Annonces!$C$2:$C$451,"En vente",Annonces!$N$2:$N$451,$B17),"")</f>
        <v/>
      </c>
      <c r="G17" s="15">
        <f>IFERROR(AVERAGEIFS(Annonces!$M$2:$M$451,Annonces!$A$2:$A$451,$A17,Annonces!$C$2:$C$451,"En vente",Annonces!$N$2:$N$451,$B17),"")</f>
        <v/>
      </c>
    </row>
    <row r="18">
      <c r="A18" s="10" t="inlineStr">
        <is>
          <t>Citroën Saxo VTS 16V</t>
        </is>
      </c>
      <c r="B18" s="10" t="n">
        <v>1999</v>
      </c>
      <c r="C18" s="16">
        <f>COUNTIFS(Annonces!$A$2:$A$451,$A18,Annonces!$C$2:$C$451,"En vente",Annonces!$N$2:$N$451,$B18)</f>
        <v/>
      </c>
      <c r="D18" s="12">
        <f>IFERROR(AVERAGEIFS(Annonces!$J$2:$J$451,Annonces!$A$2:$A$451,$A18,Annonces!$C$2:$C$451,"En vente",Annonces!$N$2:$N$451,$B18),"")</f>
        <v/>
      </c>
      <c r="E18" s="12">
        <f>IF(C18&gt;0,_xlfn.MINIFS(Annonces!$J$2:$J$451,Annonces!$A$2:$A$451,$A18,Annonces!$C$2:$C$451,"En vente",Annonces!$N$2:$N$451,$B18),"")</f>
        <v/>
      </c>
      <c r="F18" s="12">
        <f>IF(C18&gt;0,_xlfn.MAXIFS(Annonces!$J$2:$J$451,Annonces!$A$2:$A$451,$A18,Annonces!$C$2:$C$451,"En vente",Annonces!$N$2:$N$451,$B18),"")</f>
        <v/>
      </c>
      <c r="G18" s="15">
        <f>IFERROR(AVERAGEIFS(Annonces!$M$2:$M$451,Annonces!$A$2:$A$451,$A18,Annonces!$C$2:$C$451,"En vente",Annonces!$N$2:$N$451,$B18),"")</f>
        <v/>
      </c>
    </row>
    <row r="19">
      <c r="A19" s="10" t="inlineStr">
        <is>
          <t>Citroën Saxo VTS 16V</t>
        </is>
      </c>
      <c r="B19" s="10" t="n">
        <v>2000</v>
      </c>
      <c r="C19" s="16">
        <f>COUNTIFS(Annonces!$A$2:$A$451,$A19,Annonces!$C$2:$C$451,"En vente",Annonces!$N$2:$N$451,$B19)</f>
        <v/>
      </c>
      <c r="D19" s="12">
        <f>IFERROR(AVERAGEIFS(Annonces!$J$2:$J$451,Annonces!$A$2:$A$451,$A19,Annonces!$C$2:$C$451,"En vente",Annonces!$N$2:$N$451,$B19),"")</f>
        <v/>
      </c>
      <c r="E19" s="12">
        <f>IF(C19&gt;0,_xlfn.MINIFS(Annonces!$J$2:$J$451,Annonces!$A$2:$A$451,$A19,Annonces!$C$2:$C$451,"En vente",Annonces!$N$2:$N$451,$B19),"")</f>
        <v/>
      </c>
      <c r="F19" s="12">
        <f>IF(C19&gt;0,_xlfn.MAXIFS(Annonces!$J$2:$J$451,Annonces!$A$2:$A$451,$A19,Annonces!$C$2:$C$451,"En vente",Annonces!$N$2:$N$451,$B19),"")</f>
        <v/>
      </c>
      <c r="G19" s="15">
        <f>IFERROR(AVERAGEIFS(Annonces!$M$2:$M$451,Annonces!$A$2:$A$451,$A19,Annonces!$C$2:$C$451,"En vente",Annonces!$N$2:$N$451,$B19),"")</f>
        <v/>
      </c>
    </row>
    <row r="20">
      <c r="A20" s="10" t="inlineStr">
        <is>
          <t>Citroën Saxo VTS 16V</t>
        </is>
      </c>
      <c r="B20" s="10" t="n">
        <v>2001</v>
      </c>
      <c r="C20" s="16">
        <f>COUNTIFS(Annonces!$A$2:$A$451,$A20,Annonces!$C$2:$C$451,"En vente",Annonces!$N$2:$N$451,$B20)</f>
        <v/>
      </c>
      <c r="D20" s="12">
        <f>IFERROR(AVERAGEIFS(Annonces!$J$2:$J$451,Annonces!$A$2:$A$451,$A20,Annonces!$C$2:$C$451,"En vente",Annonces!$N$2:$N$451,$B20),"")</f>
        <v/>
      </c>
      <c r="E20" s="12">
        <f>IF(C20&gt;0,_xlfn.MINIFS(Annonces!$J$2:$J$451,Annonces!$A$2:$A$451,$A20,Annonces!$C$2:$C$451,"En vente",Annonces!$N$2:$N$451,$B20),"")</f>
        <v/>
      </c>
      <c r="F20" s="12">
        <f>IF(C20&gt;0,_xlfn.MAXIFS(Annonces!$J$2:$J$451,Annonces!$A$2:$A$451,$A20,Annonces!$C$2:$C$451,"En vente",Annonces!$N$2:$N$451,$B20),"")</f>
        <v/>
      </c>
      <c r="G20" s="15">
        <f>IFERROR(AVERAGEIFS(Annonces!$M$2:$M$451,Annonces!$A$2:$A$451,$A20,Annonces!$C$2:$C$451,"En vente",Annonces!$N$2:$N$451,$B20),"")</f>
        <v/>
      </c>
    </row>
    <row r="21">
      <c r="A21" s="10" t="inlineStr">
        <is>
          <t>Citroën Saxo VTS 16V</t>
        </is>
      </c>
      <c r="B21" s="10" t="n">
        <v>2002</v>
      </c>
      <c r="C21" s="16">
        <f>COUNTIFS(Annonces!$A$2:$A$451,$A21,Annonces!$C$2:$C$451,"En vente",Annonces!$N$2:$N$451,$B21)</f>
        <v/>
      </c>
      <c r="D21" s="12">
        <f>IFERROR(AVERAGEIFS(Annonces!$J$2:$J$451,Annonces!$A$2:$A$451,$A21,Annonces!$C$2:$C$451,"En vente",Annonces!$N$2:$N$451,$B21),"")</f>
        <v/>
      </c>
      <c r="E21" s="12">
        <f>IF(C21&gt;0,_xlfn.MINIFS(Annonces!$J$2:$J$451,Annonces!$A$2:$A$451,$A21,Annonces!$C$2:$C$451,"En vente",Annonces!$N$2:$N$451,$B21),"")</f>
        <v/>
      </c>
      <c r="F21" s="12">
        <f>IF(C21&gt;0,_xlfn.MAXIFS(Annonces!$J$2:$J$451,Annonces!$A$2:$A$451,$A21,Annonces!$C$2:$C$451,"En vente",Annonces!$N$2:$N$451,$B21),"")</f>
        <v/>
      </c>
      <c r="G21" s="15">
        <f>IFERROR(AVERAGEIFS(Annonces!$M$2:$M$451,Annonces!$A$2:$A$451,$A21,Annonces!$C$2:$C$451,"En vente",Annonces!$N$2:$N$451,$B21),"")</f>
        <v/>
      </c>
    </row>
    <row r="22">
      <c r="A22" s="10" t="inlineStr">
        <is>
          <t>Citroën Saxo VTS 16V</t>
        </is>
      </c>
      <c r="B22" s="10" t="n">
        <v>2003</v>
      </c>
      <c r="C22" s="16">
        <f>COUNTIFS(Annonces!$A$2:$A$451,$A22,Annonces!$C$2:$C$451,"En vente",Annonces!$N$2:$N$451,$B22)</f>
        <v/>
      </c>
      <c r="D22" s="12">
        <f>IFERROR(AVERAGEIFS(Annonces!$J$2:$J$451,Annonces!$A$2:$A$451,$A22,Annonces!$C$2:$C$451,"En vente",Annonces!$N$2:$N$451,$B22),"")</f>
        <v/>
      </c>
      <c r="E22" s="12">
        <f>IF(C22&gt;0,_xlfn.MINIFS(Annonces!$J$2:$J$451,Annonces!$A$2:$A$451,$A22,Annonces!$C$2:$C$451,"En vente",Annonces!$N$2:$N$451,$B22),"")</f>
        <v/>
      </c>
      <c r="F22" s="12">
        <f>IF(C22&gt;0,_xlfn.MAXIFS(Annonces!$J$2:$J$451,Annonces!$A$2:$A$451,$A22,Annonces!$C$2:$C$451,"En vente",Annonces!$N$2:$N$451,$B22),"")</f>
        <v/>
      </c>
      <c r="G22" s="15">
        <f>IFERROR(AVERAGEIFS(Annonces!$M$2:$M$451,Annonces!$A$2:$A$451,$A22,Annonces!$C$2:$C$451,"En vente",Annonces!$N$2:$N$451,$B22),"")</f>
        <v/>
      </c>
    </row>
    <row r="23">
      <c r="A23" s="10" t="inlineStr">
        <is>
          <t>Honda S2000</t>
        </is>
      </c>
      <c r="B23" s="10" t="n">
        <v>1999</v>
      </c>
      <c r="C23" s="16">
        <f>COUNTIFS(Annonces!$A$2:$A$451,$A23,Annonces!$C$2:$C$451,"En vente",Annonces!$N$2:$N$451,$B23)</f>
        <v/>
      </c>
      <c r="D23" s="12">
        <f>IFERROR(AVERAGEIFS(Annonces!$J$2:$J$451,Annonces!$A$2:$A$451,$A23,Annonces!$C$2:$C$451,"En vente",Annonces!$N$2:$N$451,$B23),"")</f>
        <v/>
      </c>
      <c r="E23" s="12">
        <f>IF(C23&gt;0,_xlfn.MINIFS(Annonces!$J$2:$J$451,Annonces!$A$2:$A$451,$A23,Annonces!$C$2:$C$451,"En vente",Annonces!$N$2:$N$451,$B23),"")</f>
        <v/>
      </c>
      <c r="F23" s="12">
        <f>IF(C23&gt;0,_xlfn.MAXIFS(Annonces!$J$2:$J$451,Annonces!$A$2:$A$451,$A23,Annonces!$C$2:$C$451,"En vente",Annonces!$N$2:$N$451,$B23),"")</f>
        <v/>
      </c>
      <c r="G23" s="15">
        <f>IFERROR(AVERAGEIFS(Annonces!$M$2:$M$451,Annonces!$A$2:$A$451,$A23,Annonces!$C$2:$C$451,"En vente",Annonces!$N$2:$N$451,$B23),"")</f>
        <v/>
      </c>
    </row>
    <row r="24">
      <c r="A24" s="10" t="inlineStr">
        <is>
          <t>Honda S2000</t>
        </is>
      </c>
      <c r="B24" s="10" t="n">
        <v>2000</v>
      </c>
      <c r="C24" s="16">
        <f>COUNTIFS(Annonces!$A$2:$A$451,$A24,Annonces!$C$2:$C$451,"En vente",Annonces!$N$2:$N$451,$B24)</f>
        <v/>
      </c>
      <c r="D24" s="12">
        <f>IFERROR(AVERAGEIFS(Annonces!$J$2:$J$451,Annonces!$A$2:$A$451,$A24,Annonces!$C$2:$C$451,"En vente",Annonces!$N$2:$N$451,$B24),"")</f>
        <v/>
      </c>
      <c r="E24" s="12">
        <f>IF(C24&gt;0,_xlfn.MINIFS(Annonces!$J$2:$J$451,Annonces!$A$2:$A$451,$A24,Annonces!$C$2:$C$451,"En vente",Annonces!$N$2:$N$451,$B24),"")</f>
        <v/>
      </c>
      <c r="F24" s="12">
        <f>IF(C24&gt;0,_xlfn.MAXIFS(Annonces!$J$2:$J$451,Annonces!$A$2:$A$451,$A24,Annonces!$C$2:$C$451,"En vente",Annonces!$N$2:$N$451,$B24),"")</f>
        <v/>
      </c>
      <c r="G24" s="15">
        <f>IFERROR(AVERAGEIFS(Annonces!$M$2:$M$451,Annonces!$A$2:$A$451,$A24,Annonces!$C$2:$C$451,"En vente",Annonces!$N$2:$N$451,$B24),"")</f>
        <v/>
      </c>
    </row>
    <row r="25">
      <c r="A25" s="10" t="inlineStr">
        <is>
          <t>Honda S2000</t>
        </is>
      </c>
      <c r="B25" s="10" t="n">
        <v>2001</v>
      </c>
      <c r="C25" s="16">
        <f>COUNTIFS(Annonces!$A$2:$A$451,$A25,Annonces!$C$2:$C$451,"En vente",Annonces!$N$2:$N$451,$B25)</f>
        <v/>
      </c>
      <c r="D25" s="12">
        <f>IFERROR(AVERAGEIFS(Annonces!$J$2:$J$451,Annonces!$A$2:$A$451,$A25,Annonces!$C$2:$C$451,"En vente",Annonces!$N$2:$N$451,$B25),"")</f>
        <v/>
      </c>
      <c r="E25" s="12">
        <f>IF(C25&gt;0,_xlfn.MINIFS(Annonces!$J$2:$J$451,Annonces!$A$2:$A$451,$A25,Annonces!$C$2:$C$451,"En vente",Annonces!$N$2:$N$451,$B25),"")</f>
        <v/>
      </c>
      <c r="F25" s="12">
        <f>IF(C25&gt;0,_xlfn.MAXIFS(Annonces!$J$2:$J$451,Annonces!$A$2:$A$451,$A25,Annonces!$C$2:$C$451,"En vente",Annonces!$N$2:$N$451,$B25),"")</f>
        <v/>
      </c>
      <c r="G25" s="15">
        <f>IFERROR(AVERAGEIFS(Annonces!$M$2:$M$451,Annonces!$A$2:$A$451,$A25,Annonces!$C$2:$C$451,"En vente",Annonces!$N$2:$N$451,$B25),"")</f>
        <v/>
      </c>
    </row>
    <row r="26">
      <c r="A26" s="10" t="inlineStr">
        <is>
          <t>Honda S2000</t>
        </is>
      </c>
      <c r="B26" s="10" t="n">
        <v>2002</v>
      </c>
      <c r="C26" s="16">
        <f>COUNTIFS(Annonces!$A$2:$A$451,$A26,Annonces!$C$2:$C$451,"En vente",Annonces!$N$2:$N$451,$B26)</f>
        <v/>
      </c>
      <c r="D26" s="12">
        <f>IFERROR(AVERAGEIFS(Annonces!$J$2:$J$451,Annonces!$A$2:$A$451,$A26,Annonces!$C$2:$C$451,"En vente",Annonces!$N$2:$N$451,$B26),"")</f>
        <v/>
      </c>
      <c r="E26" s="12">
        <f>IF(C26&gt;0,_xlfn.MINIFS(Annonces!$J$2:$J$451,Annonces!$A$2:$A$451,$A26,Annonces!$C$2:$C$451,"En vente",Annonces!$N$2:$N$451,$B26),"")</f>
        <v/>
      </c>
      <c r="F26" s="12">
        <f>IF(C26&gt;0,_xlfn.MAXIFS(Annonces!$J$2:$J$451,Annonces!$A$2:$A$451,$A26,Annonces!$C$2:$C$451,"En vente",Annonces!$N$2:$N$451,$B26),"")</f>
        <v/>
      </c>
      <c r="G26" s="15">
        <f>IFERROR(AVERAGEIFS(Annonces!$M$2:$M$451,Annonces!$A$2:$A$451,$A26,Annonces!$C$2:$C$451,"En vente",Annonces!$N$2:$N$451,$B26),"")</f>
        <v/>
      </c>
    </row>
    <row r="27">
      <c r="A27" s="10" t="inlineStr">
        <is>
          <t>Honda S2000</t>
        </is>
      </c>
      <c r="B27" s="10" t="n">
        <v>2003</v>
      </c>
      <c r="C27" s="16">
        <f>COUNTIFS(Annonces!$A$2:$A$451,$A27,Annonces!$C$2:$C$451,"En vente",Annonces!$N$2:$N$451,$B27)</f>
        <v/>
      </c>
      <c r="D27" s="12">
        <f>IFERROR(AVERAGEIFS(Annonces!$J$2:$J$451,Annonces!$A$2:$A$451,$A27,Annonces!$C$2:$C$451,"En vente",Annonces!$N$2:$N$451,$B27),"")</f>
        <v/>
      </c>
      <c r="E27" s="12">
        <f>IF(C27&gt;0,_xlfn.MINIFS(Annonces!$J$2:$J$451,Annonces!$A$2:$A$451,$A27,Annonces!$C$2:$C$451,"En vente",Annonces!$N$2:$N$451,$B27),"")</f>
        <v/>
      </c>
      <c r="F27" s="12">
        <f>IF(C27&gt;0,_xlfn.MAXIFS(Annonces!$J$2:$J$451,Annonces!$A$2:$A$451,$A27,Annonces!$C$2:$C$451,"En vente",Annonces!$N$2:$N$451,$B27),"")</f>
        <v/>
      </c>
      <c r="G27" s="15">
        <f>IFERROR(AVERAGEIFS(Annonces!$M$2:$M$451,Annonces!$A$2:$A$451,$A27,Annonces!$C$2:$C$451,"En vente",Annonces!$N$2:$N$451,$B27),"")</f>
        <v/>
      </c>
    </row>
    <row r="28">
      <c r="A28" s="10" t="inlineStr">
        <is>
          <t>Honda S2000</t>
        </is>
      </c>
      <c r="B28" s="10" t="n">
        <v>2004</v>
      </c>
      <c r="C28" s="16">
        <f>COUNTIFS(Annonces!$A$2:$A$451,$A28,Annonces!$C$2:$C$451,"En vente",Annonces!$N$2:$N$451,$B28)</f>
        <v/>
      </c>
      <c r="D28" s="12">
        <f>IFERROR(AVERAGEIFS(Annonces!$J$2:$J$451,Annonces!$A$2:$A$451,$A28,Annonces!$C$2:$C$451,"En vente",Annonces!$N$2:$N$451,$B28),"")</f>
        <v/>
      </c>
      <c r="E28" s="12">
        <f>IF(C28&gt;0,_xlfn.MINIFS(Annonces!$J$2:$J$451,Annonces!$A$2:$A$451,$A28,Annonces!$C$2:$C$451,"En vente",Annonces!$N$2:$N$451,$B28),"")</f>
        <v/>
      </c>
      <c r="F28" s="12">
        <f>IF(C28&gt;0,_xlfn.MAXIFS(Annonces!$J$2:$J$451,Annonces!$A$2:$A$451,$A28,Annonces!$C$2:$C$451,"En vente",Annonces!$N$2:$N$451,$B28),"")</f>
        <v/>
      </c>
      <c r="G28" s="15">
        <f>IFERROR(AVERAGEIFS(Annonces!$M$2:$M$451,Annonces!$A$2:$A$451,$A28,Annonces!$C$2:$C$451,"En vente",Annonces!$N$2:$N$451,$B28),"")</f>
        <v/>
      </c>
    </row>
    <row r="29">
      <c r="A29" s="10" t="inlineStr">
        <is>
          <t>Honda S2000</t>
        </is>
      </c>
      <c r="B29" s="10" t="n">
        <v>2005</v>
      </c>
      <c r="C29" s="16">
        <f>COUNTIFS(Annonces!$A$2:$A$451,$A29,Annonces!$C$2:$C$451,"En vente",Annonces!$N$2:$N$451,$B29)</f>
        <v/>
      </c>
      <c r="D29" s="12">
        <f>IFERROR(AVERAGEIFS(Annonces!$J$2:$J$451,Annonces!$A$2:$A$451,$A29,Annonces!$C$2:$C$451,"En vente",Annonces!$N$2:$N$451,$B29),"")</f>
        <v/>
      </c>
      <c r="E29" s="12">
        <f>IF(C29&gt;0,_xlfn.MINIFS(Annonces!$J$2:$J$451,Annonces!$A$2:$A$451,$A29,Annonces!$C$2:$C$451,"En vente",Annonces!$N$2:$N$451,$B29),"")</f>
        <v/>
      </c>
      <c r="F29" s="12">
        <f>IF(C29&gt;0,_xlfn.MAXIFS(Annonces!$J$2:$J$451,Annonces!$A$2:$A$451,$A29,Annonces!$C$2:$C$451,"En vente",Annonces!$N$2:$N$451,$B29),"")</f>
        <v/>
      </c>
      <c r="G29" s="15">
        <f>IFERROR(AVERAGEIFS(Annonces!$M$2:$M$451,Annonces!$A$2:$A$451,$A29,Annonces!$C$2:$C$451,"En vente",Annonces!$N$2:$N$451,$B29),"")</f>
        <v/>
      </c>
    </row>
    <row r="30">
      <c r="A30" s="10" t="inlineStr">
        <is>
          <t>Honda S2000</t>
        </is>
      </c>
      <c r="B30" s="10" t="n">
        <v>2006</v>
      </c>
      <c r="C30" s="16">
        <f>COUNTIFS(Annonces!$A$2:$A$451,$A30,Annonces!$C$2:$C$451,"En vente",Annonces!$N$2:$N$451,$B30)</f>
        <v/>
      </c>
      <c r="D30" s="12">
        <f>IFERROR(AVERAGEIFS(Annonces!$J$2:$J$451,Annonces!$A$2:$A$451,$A30,Annonces!$C$2:$C$451,"En vente",Annonces!$N$2:$N$451,$B30),"")</f>
        <v/>
      </c>
      <c r="E30" s="12">
        <f>IF(C30&gt;0,_xlfn.MINIFS(Annonces!$J$2:$J$451,Annonces!$A$2:$A$451,$A30,Annonces!$C$2:$C$451,"En vente",Annonces!$N$2:$N$451,$B30),"")</f>
        <v/>
      </c>
      <c r="F30" s="12">
        <f>IF(C30&gt;0,_xlfn.MAXIFS(Annonces!$J$2:$J$451,Annonces!$A$2:$A$451,$A30,Annonces!$C$2:$C$451,"En vente",Annonces!$N$2:$N$451,$B30),"")</f>
        <v/>
      </c>
      <c r="G30" s="15">
        <f>IFERROR(AVERAGEIFS(Annonces!$M$2:$M$451,Annonces!$A$2:$A$451,$A30,Annonces!$C$2:$C$451,"En vente",Annonces!$N$2:$N$451,$B30),"")</f>
        <v/>
      </c>
    </row>
    <row r="31">
      <c r="A31" s="10" t="inlineStr">
        <is>
          <t>Honda S2000</t>
        </is>
      </c>
      <c r="B31" s="10" t="n">
        <v>2007</v>
      </c>
      <c r="C31" s="16">
        <f>COUNTIFS(Annonces!$A$2:$A$451,$A31,Annonces!$C$2:$C$451,"En vente",Annonces!$N$2:$N$451,$B31)</f>
        <v/>
      </c>
      <c r="D31" s="12">
        <f>IFERROR(AVERAGEIFS(Annonces!$J$2:$J$451,Annonces!$A$2:$A$451,$A31,Annonces!$C$2:$C$451,"En vente",Annonces!$N$2:$N$451,$B31),"")</f>
        <v/>
      </c>
      <c r="E31" s="12">
        <f>IF(C31&gt;0,_xlfn.MINIFS(Annonces!$J$2:$J$451,Annonces!$A$2:$A$451,$A31,Annonces!$C$2:$C$451,"En vente",Annonces!$N$2:$N$451,$B31),"")</f>
        <v/>
      </c>
      <c r="F31" s="12">
        <f>IF(C31&gt;0,_xlfn.MAXIFS(Annonces!$J$2:$J$451,Annonces!$A$2:$A$451,$A31,Annonces!$C$2:$C$451,"En vente",Annonces!$N$2:$N$451,$B31),"")</f>
        <v/>
      </c>
      <c r="G31" s="15">
        <f>IFERROR(AVERAGEIFS(Annonces!$M$2:$M$451,Annonces!$A$2:$A$451,$A31,Annonces!$C$2:$C$451,"En vente",Annonces!$N$2:$N$451,$B31),"")</f>
        <v/>
      </c>
    </row>
    <row r="32">
      <c r="A32" s="10" t="inlineStr">
        <is>
          <t>Mazda MX-5 NA</t>
        </is>
      </c>
      <c r="B32" s="10" t="n">
        <v>1990</v>
      </c>
      <c r="C32" s="16">
        <f>COUNTIFS(Annonces!$A$2:$A$451,$A32,Annonces!$C$2:$C$451,"En vente",Annonces!$N$2:$N$451,$B32)</f>
        <v/>
      </c>
      <c r="D32" s="12">
        <f>IFERROR(AVERAGEIFS(Annonces!$J$2:$J$451,Annonces!$A$2:$A$451,$A32,Annonces!$C$2:$C$451,"En vente",Annonces!$N$2:$N$451,$B32),"")</f>
        <v/>
      </c>
      <c r="E32" s="12">
        <f>IF(C32&gt;0,_xlfn.MINIFS(Annonces!$J$2:$J$451,Annonces!$A$2:$A$451,$A32,Annonces!$C$2:$C$451,"En vente",Annonces!$N$2:$N$451,$B32),"")</f>
        <v/>
      </c>
      <c r="F32" s="12">
        <f>IF(C32&gt;0,_xlfn.MAXIFS(Annonces!$J$2:$J$451,Annonces!$A$2:$A$451,$A32,Annonces!$C$2:$C$451,"En vente",Annonces!$N$2:$N$451,$B32),"")</f>
        <v/>
      </c>
      <c r="G32" s="15">
        <f>IFERROR(AVERAGEIFS(Annonces!$M$2:$M$451,Annonces!$A$2:$A$451,$A32,Annonces!$C$2:$C$451,"En vente",Annonces!$N$2:$N$451,$B32),"")</f>
        <v/>
      </c>
    </row>
    <row r="33">
      <c r="A33" s="10" t="inlineStr">
        <is>
          <t>Mazda MX-5 NA</t>
        </is>
      </c>
      <c r="B33" s="10" t="n">
        <v>1991</v>
      </c>
      <c r="C33" s="16">
        <f>COUNTIFS(Annonces!$A$2:$A$451,$A33,Annonces!$C$2:$C$451,"En vente",Annonces!$N$2:$N$451,$B33)</f>
        <v/>
      </c>
      <c r="D33" s="12">
        <f>IFERROR(AVERAGEIFS(Annonces!$J$2:$J$451,Annonces!$A$2:$A$451,$A33,Annonces!$C$2:$C$451,"En vente",Annonces!$N$2:$N$451,$B33),"")</f>
        <v/>
      </c>
      <c r="E33" s="12">
        <f>IF(C33&gt;0,_xlfn.MINIFS(Annonces!$J$2:$J$451,Annonces!$A$2:$A$451,$A33,Annonces!$C$2:$C$451,"En vente",Annonces!$N$2:$N$451,$B33),"")</f>
        <v/>
      </c>
      <c r="F33" s="12">
        <f>IF(C33&gt;0,_xlfn.MAXIFS(Annonces!$J$2:$J$451,Annonces!$A$2:$A$451,$A33,Annonces!$C$2:$C$451,"En vente",Annonces!$N$2:$N$451,$B33),"")</f>
        <v/>
      </c>
      <c r="G33" s="15">
        <f>IFERROR(AVERAGEIFS(Annonces!$M$2:$M$451,Annonces!$A$2:$A$451,$A33,Annonces!$C$2:$C$451,"En vente",Annonces!$N$2:$N$451,$B33),"")</f>
        <v/>
      </c>
    </row>
    <row r="34">
      <c r="A34" s="10" t="inlineStr">
        <is>
          <t>Mazda MX-5 NA</t>
        </is>
      </c>
      <c r="B34" s="10" t="n">
        <v>1992</v>
      </c>
      <c r="C34" s="16">
        <f>COUNTIFS(Annonces!$A$2:$A$451,$A34,Annonces!$C$2:$C$451,"En vente",Annonces!$N$2:$N$451,$B34)</f>
        <v/>
      </c>
      <c r="D34" s="12">
        <f>IFERROR(AVERAGEIFS(Annonces!$J$2:$J$451,Annonces!$A$2:$A$451,$A34,Annonces!$C$2:$C$451,"En vente",Annonces!$N$2:$N$451,$B34),"")</f>
        <v/>
      </c>
      <c r="E34" s="12">
        <f>IF(C34&gt;0,_xlfn.MINIFS(Annonces!$J$2:$J$451,Annonces!$A$2:$A$451,$A34,Annonces!$C$2:$C$451,"En vente",Annonces!$N$2:$N$451,$B34),"")</f>
        <v/>
      </c>
      <c r="F34" s="12">
        <f>IF(C34&gt;0,_xlfn.MAXIFS(Annonces!$J$2:$J$451,Annonces!$A$2:$A$451,$A34,Annonces!$C$2:$C$451,"En vente",Annonces!$N$2:$N$451,$B34),"")</f>
        <v/>
      </c>
      <c r="G34" s="15">
        <f>IFERROR(AVERAGEIFS(Annonces!$M$2:$M$451,Annonces!$A$2:$A$451,$A34,Annonces!$C$2:$C$451,"En vente",Annonces!$N$2:$N$451,$B34),"")</f>
        <v/>
      </c>
    </row>
    <row r="35">
      <c r="A35" s="10" t="inlineStr">
        <is>
          <t>Mazda MX-5 NA</t>
        </is>
      </c>
      <c r="B35" s="10" t="n">
        <v>1993</v>
      </c>
      <c r="C35" s="16">
        <f>COUNTIFS(Annonces!$A$2:$A$451,$A35,Annonces!$C$2:$C$451,"En vente",Annonces!$N$2:$N$451,$B35)</f>
        <v/>
      </c>
      <c r="D35" s="12">
        <f>IFERROR(AVERAGEIFS(Annonces!$J$2:$J$451,Annonces!$A$2:$A$451,$A35,Annonces!$C$2:$C$451,"En vente",Annonces!$N$2:$N$451,$B35),"")</f>
        <v/>
      </c>
      <c r="E35" s="12">
        <f>IF(C35&gt;0,_xlfn.MINIFS(Annonces!$J$2:$J$451,Annonces!$A$2:$A$451,$A35,Annonces!$C$2:$C$451,"En vente",Annonces!$N$2:$N$451,$B35),"")</f>
        <v/>
      </c>
      <c r="F35" s="12">
        <f>IF(C35&gt;0,_xlfn.MAXIFS(Annonces!$J$2:$J$451,Annonces!$A$2:$A$451,$A35,Annonces!$C$2:$C$451,"En vente",Annonces!$N$2:$N$451,$B35),"")</f>
        <v/>
      </c>
      <c r="G35" s="15">
        <f>IFERROR(AVERAGEIFS(Annonces!$M$2:$M$451,Annonces!$A$2:$A$451,$A35,Annonces!$C$2:$C$451,"En vente",Annonces!$N$2:$N$451,$B35),"")</f>
        <v/>
      </c>
    </row>
    <row r="36">
      <c r="A36" s="10" t="inlineStr">
        <is>
          <t>Mazda MX-5 NA</t>
        </is>
      </c>
      <c r="B36" s="10" t="n">
        <v>1994</v>
      </c>
      <c r="C36" s="16">
        <f>COUNTIFS(Annonces!$A$2:$A$451,$A36,Annonces!$C$2:$C$451,"En vente",Annonces!$N$2:$N$451,$B36)</f>
        <v/>
      </c>
      <c r="D36" s="12">
        <f>IFERROR(AVERAGEIFS(Annonces!$J$2:$J$451,Annonces!$A$2:$A$451,$A36,Annonces!$C$2:$C$451,"En vente",Annonces!$N$2:$N$451,$B36),"")</f>
        <v/>
      </c>
      <c r="E36" s="12">
        <f>IF(C36&gt;0,_xlfn.MINIFS(Annonces!$J$2:$J$451,Annonces!$A$2:$A$451,$A36,Annonces!$C$2:$C$451,"En vente",Annonces!$N$2:$N$451,$B36),"")</f>
        <v/>
      </c>
      <c r="F36" s="12">
        <f>IF(C36&gt;0,_xlfn.MAXIFS(Annonces!$J$2:$J$451,Annonces!$A$2:$A$451,$A36,Annonces!$C$2:$C$451,"En vente",Annonces!$N$2:$N$451,$B36),"")</f>
        <v/>
      </c>
      <c r="G36" s="15">
        <f>IFERROR(AVERAGEIFS(Annonces!$M$2:$M$451,Annonces!$A$2:$A$451,$A36,Annonces!$C$2:$C$451,"En vente",Annonces!$N$2:$N$451,$B36),"")</f>
        <v/>
      </c>
    </row>
    <row r="37">
      <c r="A37" s="10" t="inlineStr">
        <is>
          <t>Mazda MX-5 NA</t>
        </is>
      </c>
      <c r="B37" s="10" t="n">
        <v>1995</v>
      </c>
      <c r="C37" s="16">
        <f>COUNTIFS(Annonces!$A$2:$A$451,$A37,Annonces!$C$2:$C$451,"En vente",Annonces!$N$2:$N$451,$B37)</f>
        <v/>
      </c>
      <c r="D37" s="12">
        <f>IFERROR(AVERAGEIFS(Annonces!$J$2:$J$451,Annonces!$A$2:$A$451,$A37,Annonces!$C$2:$C$451,"En vente",Annonces!$N$2:$N$451,$B37),"")</f>
        <v/>
      </c>
      <c r="E37" s="12">
        <f>IF(C37&gt;0,_xlfn.MINIFS(Annonces!$J$2:$J$451,Annonces!$A$2:$A$451,$A37,Annonces!$C$2:$C$451,"En vente",Annonces!$N$2:$N$451,$B37),"")</f>
        <v/>
      </c>
      <c r="F37" s="12">
        <f>IF(C37&gt;0,_xlfn.MAXIFS(Annonces!$J$2:$J$451,Annonces!$A$2:$A$451,$A37,Annonces!$C$2:$C$451,"En vente",Annonces!$N$2:$N$451,$B37),"")</f>
        <v/>
      </c>
      <c r="G37" s="15">
        <f>IFERROR(AVERAGEIFS(Annonces!$M$2:$M$451,Annonces!$A$2:$A$451,$A37,Annonces!$C$2:$C$451,"En vente",Annonces!$N$2:$N$451,$B37),"")</f>
        <v/>
      </c>
    </row>
    <row r="38">
      <c r="A38" s="10" t="inlineStr">
        <is>
          <t>Mazda MX-5 NA</t>
        </is>
      </c>
      <c r="B38" s="10" t="n">
        <v>1996</v>
      </c>
      <c r="C38" s="16">
        <f>COUNTIFS(Annonces!$A$2:$A$451,$A38,Annonces!$C$2:$C$451,"En vente",Annonces!$N$2:$N$451,$B38)</f>
        <v/>
      </c>
      <c r="D38" s="12">
        <f>IFERROR(AVERAGEIFS(Annonces!$J$2:$J$451,Annonces!$A$2:$A$451,$A38,Annonces!$C$2:$C$451,"En vente",Annonces!$N$2:$N$451,$B38),"")</f>
        <v/>
      </c>
      <c r="E38" s="12">
        <f>IF(C38&gt;0,_xlfn.MINIFS(Annonces!$J$2:$J$451,Annonces!$A$2:$A$451,$A38,Annonces!$C$2:$C$451,"En vente",Annonces!$N$2:$N$451,$B38),"")</f>
        <v/>
      </c>
      <c r="F38" s="12">
        <f>IF(C38&gt;0,_xlfn.MAXIFS(Annonces!$J$2:$J$451,Annonces!$A$2:$A$451,$A38,Annonces!$C$2:$C$451,"En vente",Annonces!$N$2:$N$451,$B38),"")</f>
        <v/>
      </c>
      <c r="G38" s="15">
        <f>IFERROR(AVERAGEIFS(Annonces!$M$2:$M$451,Annonces!$A$2:$A$451,$A38,Annonces!$C$2:$C$451,"En vente",Annonces!$N$2:$N$451,$B38),"")</f>
        <v/>
      </c>
    </row>
    <row r="39">
      <c r="A39" s="10" t="inlineStr">
        <is>
          <t>Mazda MX-5 NA</t>
        </is>
      </c>
      <c r="B39" s="10" t="n">
        <v>1997</v>
      </c>
      <c r="C39" s="16">
        <f>COUNTIFS(Annonces!$A$2:$A$451,$A39,Annonces!$C$2:$C$451,"En vente",Annonces!$N$2:$N$451,$B39)</f>
        <v/>
      </c>
      <c r="D39" s="12">
        <f>IFERROR(AVERAGEIFS(Annonces!$J$2:$J$451,Annonces!$A$2:$A$451,$A39,Annonces!$C$2:$C$451,"En vente",Annonces!$N$2:$N$451,$B39),"")</f>
        <v/>
      </c>
      <c r="E39" s="12">
        <f>IF(C39&gt;0,_xlfn.MINIFS(Annonces!$J$2:$J$451,Annonces!$A$2:$A$451,$A39,Annonces!$C$2:$C$451,"En vente",Annonces!$N$2:$N$451,$B39),"")</f>
        <v/>
      </c>
      <c r="F39" s="12">
        <f>IF(C39&gt;0,_xlfn.MAXIFS(Annonces!$J$2:$J$451,Annonces!$A$2:$A$451,$A39,Annonces!$C$2:$C$451,"En vente",Annonces!$N$2:$N$451,$B39),"")</f>
        <v/>
      </c>
      <c r="G39" s="15">
        <f>IFERROR(AVERAGEIFS(Annonces!$M$2:$M$451,Annonces!$A$2:$A$451,$A39,Annonces!$C$2:$C$451,"En vente",Annonces!$N$2:$N$451,$B39),"")</f>
        <v/>
      </c>
    </row>
    <row r="40">
      <c r="A40" s="10" t="inlineStr">
        <is>
          <t>Mazda MX-5 NA</t>
        </is>
      </c>
      <c r="B40" s="10" t="n">
        <v>1998</v>
      </c>
      <c r="C40" s="16">
        <f>COUNTIFS(Annonces!$A$2:$A$451,$A40,Annonces!$C$2:$C$451,"En vente",Annonces!$N$2:$N$451,$B40)</f>
        <v/>
      </c>
      <c r="D40" s="12">
        <f>IFERROR(AVERAGEIFS(Annonces!$J$2:$J$451,Annonces!$A$2:$A$451,$A40,Annonces!$C$2:$C$451,"En vente",Annonces!$N$2:$N$451,$B40),"")</f>
        <v/>
      </c>
      <c r="E40" s="12">
        <f>IF(C40&gt;0,_xlfn.MINIFS(Annonces!$J$2:$J$451,Annonces!$A$2:$A$451,$A40,Annonces!$C$2:$C$451,"En vente",Annonces!$N$2:$N$451,$B40),"")</f>
        <v/>
      </c>
      <c r="F40" s="12">
        <f>IF(C40&gt;0,_xlfn.MAXIFS(Annonces!$J$2:$J$451,Annonces!$A$2:$A$451,$A40,Annonces!$C$2:$C$451,"En vente",Annonces!$N$2:$N$451,$B40),"")</f>
        <v/>
      </c>
      <c r="G40" s="15">
        <f>IFERROR(AVERAGEIFS(Annonces!$M$2:$M$451,Annonces!$A$2:$A$451,$A40,Annonces!$C$2:$C$451,"En vente",Annonces!$N$2:$N$451,$B40),"")</f>
        <v/>
      </c>
    </row>
    <row r="41">
      <c r="A41" s="10" t="inlineStr">
        <is>
          <t>Peugeot 205 GTI</t>
        </is>
      </c>
      <c r="B41" s="10" t="n">
        <v>1984</v>
      </c>
      <c r="C41" s="16">
        <f>COUNTIFS(Annonces!$A$2:$A$451,$A41,Annonces!$C$2:$C$451,"En vente",Annonces!$N$2:$N$451,$B41)</f>
        <v/>
      </c>
      <c r="D41" s="12">
        <f>IFERROR(AVERAGEIFS(Annonces!$J$2:$J$451,Annonces!$A$2:$A$451,$A41,Annonces!$C$2:$C$451,"En vente",Annonces!$N$2:$N$451,$B41),"")</f>
        <v/>
      </c>
      <c r="E41" s="12">
        <f>IF(C41&gt;0,_xlfn.MINIFS(Annonces!$J$2:$J$451,Annonces!$A$2:$A$451,$A41,Annonces!$C$2:$C$451,"En vente",Annonces!$N$2:$N$451,$B41),"")</f>
        <v/>
      </c>
      <c r="F41" s="12">
        <f>IF(C41&gt;0,_xlfn.MAXIFS(Annonces!$J$2:$J$451,Annonces!$A$2:$A$451,$A41,Annonces!$C$2:$C$451,"En vente",Annonces!$N$2:$N$451,$B41),"")</f>
        <v/>
      </c>
      <c r="G41" s="15">
        <f>IFERROR(AVERAGEIFS(Annonces!$M$2:$M$451,Annonces!$A$2:$A$451,$A41,Annonces!$C$2:$C$451,"En vente",Annonces!$N$2:$N$451,$B41),"")</f>
        <v/>
      </c>
    </row>
    <row r="42">
      <c r="A42" s="10" t="inlineStr">
        <is>
          <t>Peugeot 205 GTI</t>
        </is>
      </c>
      <c r="B42" s="10" t="n">
        <v>1985</v>
      </c>
      <c r="C42" s="16">
        <f>COUNTIFS(Annonces!$A$2:$A$451,$A42,Annonces!$C$2:$C$451,"En vente",Annonces!$N$2:$N$451,$B42)</f>
        <v/>
      </c>
      <c r="D42" s="12">
        <f>IFERROR(AVERAGEIFS(Annonces!$J$2:$J$451,Annonces!$A$2:$A$451,$A42,Annonces!$C$2:$C$451,"En vente",Annonces!$N$2:$N$451,$B42),"")</f>
        <v/>
      </c>
      <c r="E42" s="12">
        <f>IF(C42&gt;0,_xlfn.MINIFS(Annonces!$J$2:$J$451,Annonces!$A$2:$A$451,$A42,Annonces!$C$2:$C$451,"En vente",Annonces!$N$2:$N$451,$B42),"")</f>
        <v/>
      </c>
      <c r="F42" s="12">
        <f>IF(C42&gt;0,_xlfn.MAXIFS(Annonces!$J$2:$J$451,Annonces!$A$2:$A$451,$A42,Annonces!$C$2:$C$451,"En vente",Annonces!$N$2:$N$451,$B42),"")</f>
        <v/>
      </c>
      <c r="G42" s="15">
        <f>IFERROR(AVERAGEIFS(Annonces!$M$2:$M$451,Annonces!$A$2:$A$451,$A42,Annonces!$C$2:$C$451,"En vente",Annonces!$N$2:$N$451,$B42),"")</f>
        <v/>
      </c>
    </row>
    <row r="43">
      <c r="A43" s="10" t="inlineStr">
        <is>
          <t>Peugeot 205 GTI</t>
        </is>
      </c>
      <c r="B43" s="10" t="n">
        <v>1986</v>
      </c>
      <c r="C43" s="16">
        <f>COUNTIFS(Annonces!$A$2:$A$451,$A43,Annonces!$C$2:$C$451,"En vente",Annonces!$N$2:$N$451,$B43)</f>
        <v/>
      </c>
      <c r="D43" s="12">
        <f>IFERROR(AVERAGEIFS(Annonces!$J$2:$J$451,Annonces!$A$2:$A$451,$A43,Annonces!$C$2:$C$451,"En vente",Annonces!$N$2:$N$451,$B43),"")</f>
        <v/>
      </c>
      <c r="E43" s="12">
        <f>IF(C43&gt;0,_xlfn.MINIFS(Annonces!$J$2:$J$451,Annonces!$A$2:$A$451,$A43,Annonces!$C$2:$C$451,"En vente",Annonces!$N$2:$N$451,$B43),"")</f>
        <v/>
      </c>
      <c r="F43" s="12">
        <f>IF(C43&gt;0,_xlfn.MAXIFS(Annonces!$J$2:$J$451,Annonces!$A$2:$A$451,$A43,Annonces!$C$2:$C$451,"En vente",Annonces!$N$2:$N$451,$B43),"")</f>
        <v/>
      </c>
      <c r="G43" s="15">
        <f>IFERROR(AVERAGEIFS(Annonces!$M$2:$M$451,Annonces!$A$2:$A$451,$A43,Annonces!$C$2:$C$451,"En vente",Annonces!$N$2:$N$451,$B43),"")</f>
        <v/>
      </c>
    </row>
    <row r="44">
      <c r="A44" s="10" t="inlineStr">
        <is>
          <t>Peugeot 205 GTI</t>
        </is>
      </c>
      <c r="B44" s="10" t="n">
        <v>1987</v>
      </c>
      <c r="C44" s="16">
        <f>COUNTIFS(Annonces!$A$2:$A$451,$A44,Annonces!$C$2:$C$451,"En vente",Annonces!$N$2:$N$451,$B44)</f>
        <v/>
      </c>
      <c r="D44" s="12">
        <f>IFERROR(AVERAGEIFS(Annonces!$J$2:$J$451,Annonces!$A$2:$A$451,$A44,Annonces!$C$2:$C$451,"En vente",Annonces!$N$2:$N$451,$B44),"")</f>
        <v/>
      </c>
      <c r="E44" s="12">
        <f>IF(C44&gt;0,_xlfn.MINIFS(Annonces!$J$2:$J$451,Annonces!$A$2:$A$451,$A44,Annonces!$C$2:$C$451,"En vente",Annonces!$N$2:$N$451,$B44),"")</f>
        <v/>
      </c>
      <c r="F44" s="12">
        <f>IF(C44&gt;0,_xlfn.MAXIFS(Annonces!$J$2:$J$451,Annonces!$A$2:$A$451,$A44,Annonces!$C$2:$C$451,"En vente",Annonces!$N$2:$N$451,$B44),"")</f>
        <v/>
      </c>
      <c r="G44" s="15">
        <f>IFERROR(AVERAGEIFS(Annonces!$M$2:$M$451,Annonces!$A$2:$A$451,$A44,Annonces!$C$2:$C$451,"En vente",Annonces!$N$2:$N$451,$B44),"")</f>
        <v/>
      </c>
    </row>
    <row r="45">
      <c r="A45" s="10" t="inlineStr">
        <is>
          <t>Peugeot 205 GTI</t>
        </is>
      </c>
      <c r="B45" s="10" t="n">
        <v>1988</v>
      </c>
      <c r="C45" s="16">
        <f>COUNTIFS(Annonces!$A$2:$A$451,$A45,Annonces!$C$2:$C$451,"En vente",Annonces!$N$2:$N$451,$B45)</f>
        <v/>
      </c>
      <c r="D45" s="12">
        <f>IFERROR(AVERAGEIFS(Annonces!$J$2:$J$451,Annonces!$A$2:$A$451,$A45,Annonces!$C$2:$C$451,"En vente",Annonces!$N$2:$N$451,$B45),"")</f>
        <v/>
      </c>
      <c r="E45" s="12">
        <f>IF(C45&gt;0,_xlfn.MINIFS(Annonces!$J$2:$J$451,Annonces!$A$2:$A$451,$A45,Annonces!$C$2:$C$451,"En vente",Annonces!$N$2:$N$451,$B45),"")</f>
        <v/>
      </c>
      <c r="F45" s="12">
        <f>IF(C45&gt;0,_xlfn.MAXIFS(Annonces!$J$2:$J$451,Annonces!$A$2:$A$451,$A45,Annonces!$C$2:$C$451,"En vente",Annonces!$N$2:$N$451,$B45),"")</f>
        <v/>
      </c>
      <c r="G45" s="15">
        <f>IFERROR(AVERAGEIFS(Annonces!$M$2:$M$451,Annonces!$A$2:$A$451,$A45,Annonces!$C$2:$C$451,"En vente",Annonces!$N$2:$N$451,$B45),"")</f>
        <v/>
      </c>
    </row>
    <row r="46">
      <c r="A46" s="10" t="inlineStr">
        <is>
          <t>Peugeot 205 GTI</t>
        </is>
      </c>
      <c r="B46" s="10" t="n">
        <v>1989</v>
      </c>
      <c r="C46" s="16">
        <f>COUNTIFS(Annonces!$A$2:$A$451,$A46,Annonces!$C$2:$C$451,"En vente",Annonces!$N$2:$N$451,$B46)</f>
        <v/>
      </c>
      <c r="D46" s="12">
        <f>IFERROR(AVERAGEIFS(Annonces!$J$2:$J$451,Annonces!$A$2:$A$451,$A46,Annonces!$C$2:$C$451,"En vente",Annonces!$N$2:$N$451,$B46),"")</f>
        <v/>
      </c>
      <c r="E46" s="12">
        <f>IF(C46&gt;0,_xlfn.MINIFS(Annonces!$J$2:$J$451,Annonces!$A$2:$A$451,$A46,Annonces!$C$2:$C$451,"En vente",Annonces!$N$2:$N$451,$B46),"")</f>
        <v/>
      </c>
      <c r="F46" s="12">
        <f>IF(C46&gt;0,_xlfn.MAXIFS(Annonces!$J$2:$J$451,Annonces!$A$2:$A$451,$A46,Annonces!$C$2:$C$451,"En vente",Annonces!$N$2:$N$451,$B46),"")</f>
        <v/>
      </c>
      <c r="G46" s="15">
        <f>IFERROR(AVERAGEIFS(Annonces!$M$2:$M$451,Annonces!$A$2:$A$451,$A46,Annonces!$C$2:$C$451,"En vente",Annonces!$N$2:$N$451,$B46),"")</f>
        <v/>
      </c>
    </row>
    <row r="47">
      <c r="A47" s="10" t="inlineStr">
        <is>
          <t>Peugeot 205 GTI</t>
        </is>
      </c>
      <c r="B47" s="10" t="n">
        <v>1990</v>
      </c>
      <c r="C47" s="16">
        <f>COUNTIFS(Annonces!$A$2:$A$451,$A47,Annonces!$C$2:$C$451,"En vente",Annonces!$N$2:$N$451,$B47)</f>
        <v/>
      </c>
      <c r="D47" s="12">
        <f>IFERROR(AVERAGEIFS(Annonces!$J$2:$J$451,Annonces!$A$2:$A$451,$A47,Annonces!$C$2:$C$451,"En vente",Annonces!$N$2:$N$451,$B47),"")</f>
        <v/>
      </c>
      <c r="E47" s="12">
        <f>IF(C47&gt;0,_xlfn.MINIFS(Annonces!$J$2:$J$451,Annonces!$A$2:$A$451,$A47,Annonces!$C$2:$C$451,"En vente",Annonces!$N$2:$N$451,$B47),"")</f>
        <v/>
      </c>
      <c r="F47" s="12">
        <f>IF(C47&gt;0,_xlfn.MAXIFS(Annonces!$J$2:$J$451,Annonces!$A$2:$A$451,$A47,Annonces!$C$2:$C$451,"En vente",Annonces!$N$2:$N$451,$B47),"")</f>
        <v/>
      </c>
      <c r="G47" s="15">
        <f>IFERROR(AVERAGEIFS(Annonces!$M$2:$M$451,Annonces!$A$2:$A$451,$A47,Annonces!$C$2:$C$451,"En vente",Annonces!$N$2:$N$451,$B47),"")</f>
        <v/>
      </c>
    </row>
    <row r="48">
      <c r="A48" s="10" t="inlineStr">
        <is>
          <t>Peugeot 205 GTI</t>
        </is>
      </c>
      <c r="B48" s="10" t="n">
        <v>1991</v>
      </c>
      <c r="C48" s="16">
        <f>COUNTIFS(Annonces!$A$2:$A$451,$A48,Annonces!$C$2:$C$451,"En vente",Annonces!$N$2:$N$451,$B48)</f>
        <v/>
      </c>
      <c r="D48" s="12">
        <f>IFERROR(AVERAGEIFS(Annonces!$J$2:$J$451,Annonces!$A$2:$A$451,$A48,Annonces!$C$2:$C$451,"En vente",Annonces!$N$2:$N$451,$B48),"")</f>
        <v/>
      </c>
      <c r="E48" s="12">
        <f>IF(C48&gt;0,_xlfn.MINIFS(Annonces!$J$2:$J$451,Annonces!$A$2:$A$451,$A48,Annonces!$C$2:$C$451,"En vente",Annonces!$N$2:$N$451,$B48),"")</f>
        <v/>
      </c>
      <c r="F48" s="12">
        <f>IF(C48&gt;0,_xlfn.MAXIFS(Annonces!$J$2:$J$451,Annonces!$A$2:$A$451,$A48,Annonces!$C$2:$C$451,"En vente",Annonces!$N$2:$N$451,$B48),"")</f>
        <v/>
      </c>
      <c r="G48" s="15">
        <f>IFERROR(AVERAGEIFS(Annonces!$M$2:$M$451,Annonces!$A$2:$A$451,$A48,Annonces!$C$2:$C$451,"En vente",Annonces!$N$2:$N$451,$B48),"")</f>
        <v/>
      </c>
    </row>
    <row r="49">
      <c r="A49" s="10" t="inlineStr">
        <is>
          <t>Peugeot 205 GTI</t>
        </is>
      </c>
      <c r="B49" s="10" t="n">
        <v>1992</v>
      </c>
      <c r="C49" s="16">
        <f>COUNTIFS(Annonces!$A$2:$A$451,$A49,Annonces!$C$2:$C$451,"En vente",Annonces!$N$2:$N$451,$B49)</f>
        <v/>
      </c>
      <c r="D49" s="12">
        <f>IFERROR(AVERAGEIFS(Annonces!$J$2:$J$451,Annonces!$A$2:$A$451,$A49,Annonces!$C$2:$C$451,"En vente",Annonces!$N$2:$N$451,$B49),"")</f>
        <v/>
      </c>
      <c r="E49" s="12">
        <f>IF(C49&gt;0,_xlfn.MINIFS(Annonces!$J$2:$J$451,Annonces!$A$2:$A$451,$A49,Annonces!$C$2:$C$451,"En vente",Annonces!$N$2:$N$451,$B49),"")</f>
        <v/>
      </c>
      <c r="F49" s="12">
        <f>IF(C49&gt;0,_xlfn.MAXIFS(Annonces!$J$2:$J$451,Annonces!$A$2:$A$451,$A49,Annonces!$C$2:$C$451,"En vente",Annonces!$N$2:$N$451,$B49),"")</f>
        <v/>
      </c>
      <c r="G49" s="15">
        <f>IFERROR(AVERAGEIFS(Annonces!$M$2:$M$451,Annonces!$A$2:$A$451,$A49,Annonces!$C$2:$C$451,"En vente",Annonces!$N$2:$N$451,$B49),"")</f>
        <v/>
      </c>
    </row>
    <row r="50">
      <c r="A50" s="10" t="inlineStr">
        <is>
          <t>Peugeot 205 GTI</t>
        </is>
      </c>
      <c r="B50" s="10" t="n">
        <v>1993</v>
      </c>
      <c r="C50" s="16">
        <f>COUNTIFS(Annonces!$A$2:$A$451,$A50,Annonces!$C$2:$C$451,"En vente",Annonces!$N$2:$N$451,$B50)</f>
        <v/>
      </c>
      <c r="D50" s="12">
        <f>IFERROR(AVERAGEIFS(Annonces!$J$2:$J$451,Annonces!$A$2:$A$451,$A50,Annonces!$C$2:$C$451,"En vente",Annonces!$N$2:$N$451,$B50),"")</f>
        <v/>
      </c>
      <c r="E50" s="12">
        <f>IF(C50&gt;0,_xlfn.MINIFS(Annonces!$J$2:$J$451,Annonces!$A$2:$A$451,$A50,Annonces!$C$2:$C$451,"En vente",Annonces!$N$2:$N$451,$B50),"")</f>
        <v/>
      </c>
      <c r="F50" s="12">
        <f>IF(C50&gt;0,_xlfn.MAXIFS(Annonces!$J$2:$J$451,Annonces!$A$2:$A$451,$A50,Annonces!$C$2:$C$451,"En vente",Annonces!$N$2:$N$451,$B50),"")</f>
        <v/>
      </c>
      <c r="G50" s="15">
        <f>IFERROR(AVERAGEIFS(Annonces!$M$2:$M$451,Annonces!$A$2:$A$451,$A50,Annonces!$C$2:$C$451,"En vente",Annonces!$N$2:$N$451,$B50),"")</f>
        <v/>
      </c>
    </row>
    <row r="51">
      <c r="A51" s="10" t="inlineStr">
        <is>
          <t>Peugeot 206 RC</t>
        </is>
      </c>
      <c r="B51" s="10" t="n">
        <v>2003</v>
      </c>
      <c r="C51" s="16">
        <f>COUNTIFS(Annonces!$A$2:$A$451,$A51,Annonces!$C$2:$C$451,"En vente",Annonces!$N$2:$N$451,$B51)</f>
        <v/>
      </c>
      <c r="D51" s="12">
        <f>IFERROR(AVERAGEIFS(Annonces!$J$2:$J$451,Annonces!$A$2:$A$451,$A51,Annonces!$C$2:$C$451,"En vente",Annonces!$N$2:$N$451,$B51),"")</f>
        <v/>
      </c>
      <c r="E51" s="12">
        <f>IF(C51&gt;0,_xlfn.MINIFS(Annonces!$J$2:$J$451,Annonces!$A$2:$A$451,$A51,Annonces!$C$2:$C$451,"En vente",Annonces!$N$2:$N$451,$B51),"")</f>
        <v/>
      </c>
      <c r="F51" s="12">
        <f>IF(C51&gt;0,_xlfn.MAXIFS(Annonces!$J$2:$J$451,Annonces!$A$2:$A$451,$A51,Annonces!$C$2:$C$451,"En vente",Annonces!$N$2:$N$451,$B51),"")</f>
        <v/>
      </c>
      <c r="G51" s="15">
        <f>IFERROR(AVERAGEIFS(Annonces!$M$2:$M$451,Annonces!$A$2:$A$451,$A51,Annonces!$C$2:$C$451,"En vente",Annonces!$N$2:$N$451,$B51),"")</f>
        <v/>
      </c>
    </row>
    <row r="52">
      <c r="A52" s="10" t="inlineStr">
        <is>
          <t>Peugeot 206 RC</t>
        </is>
      </c>
      <c r="B52" s="10" t="n">
        <v>2004</v>
      </c>
      <c r="C52" s="16">
        <f>COUNTIFS(Annonces!$A$2:$A$451,$A52,Annonces!$C$2:$C$451,"En vente",Annonces!$N$2:$N$451,$B52)</f>
        <v/>
      </c>
      <c r="D52" s="12">
        <f>IFERROR(AVERAGEIFS(Annonces!$J$2:$J$451,Annonces!$A$2:$A$451,$A52,Annonces!$C$2:$C$451,"En vente",Annonces!$N$2:$N$451,$B52),"")</f>
        <v/>
      </c>
      <c r="E52" s="12">
        <f>IF(C52&gt;0,_xlfn.MINIFS(Annonces!$J$2:$J$451,Annonces!$A$2:$A$451,$A52,Annonces!$C$2:$C$451,"En vente",Annonces!$N$2:$N$451,$B52),"")</f>
        <v/>
      </c>
      <c r="F52" s="12">
        <f>IF(C52&gt;0,_xlfn.MAXIFS(Annonces!$J$2:$J$451,Annonces!$A$2:$A$451,$A52,Annonces!$C$2:$C$451,"En vente",Annonces!$N$2:$N$451,$B52),"")</f>
        <v/>
      </c>
      <c r="G52" s="15">
        <f>IFERROR(AVERAGEIFS(Annonces!$M$2:$M$451,Annonces!$A$2:$A$451,$A52,Annonces!$C$2:$C$451,"En vente",Annonces!$N$2:$N$451,$B52),"")</f>
        <v/>
      </c>
    </row>
    <row r="53">
      <c r="A53" s="10" t="inlineStr">
        <is>
          <t>Peugeot 206 RC</t>
        </is>
      </c>
      <c r="B53" s="10" t="n">
        <v>2005</v>
      </c>
      <c r="C53" s="16">
        <f>COUNTIFS(Annonces!$A$2:$A$451,$A53,Annonces!$C$2:$C$451,"En vente",Annonces!$N$2:$N$451,$B53)</f>
        <v/>
      </c>
      <c r="D53" s="12">
        <f>IFERROR(AVERAGEIFS(Annonces!$J$2:$J$451,Annonces!$A$2:$A$451,$A53,Annonces!$C$2:$C$451,"En vente",Annonces!$N$2:$N$451,$B53),"")</f>
        <v/>
      </c>
      <c r="E53" s="12">
        <f>IF(C53&gt;0,_xlfn.MINIFS(Annonces!$J$2:$J$451,Annonces!$A$2:$A$451,$A53,Annonces!$C$2:$C$451,"En vente",Annonces!$N$2:$N$451,$B53),"")</f>
        <v/>
      </c>
      <c r="F53" s="12">
        <f>IF(C53&gt;0,_xlfn.MAXIFS(Annonces!$J$2:$J$451,Annonces!$A$2:$A$451,$A53,Annonces!$C$2:$C$451,"En vente",Annonces!$N$2:$N$451,$B53),"")</f>
        <v/>
      </c>
      <c r="G53" s="15">
        <f>IFERROR(AVERAGEIFS(Annonces!$M$2:$M$451,Annonces!$A$2:$A$451,$A53,Annonces!$C$2:$C$451,"En vente",Annonces!$N$2:$N$451,$B53),"")</f>
        <v/>
      </c>
    </row>
    <row r="54">
      <c r="A54" s="10" t="inlineStr">
        <is>
          <t>Peugeot 206 RC</t>
        </is>
      </c>
      <c r="B54" s="10" t="n">
        <v>2006</v>
      </c>
      <c r="C54" s="16">
        <f>COUNTIFS(Annonces!$A$2:$A$451,$A54,Annonces!$C$2:$C$451,"En vente",Annonces!$N$2:$N$451,$B54)</f>
        <v/>
      </c>
      <c r="D54" s="12">
        <f>IFERROR(AVERAGEIFS(Annonces!$J$2:$J$451,Annonces!$A$2:$A$451,$A54,Annonces!$C$2:$C$451,"En vente",Annonces!$N$2:$N$451,$B54),"")</f>
        <v/>
      </c>
      <c r="E54" s="12">
        <f>IF(C54&gt;0,_xlfn.MINIFS(Annonces!$J$2:$J$451,Annonces!$A$2:$A$451,$A54,Annonces!$C$2:$C$451,"En vente",Annonces!$N$2:$N$451,$B54),"")</f>
        <v/>
      </c>
      <c r="F54" s="12">
        <f>IF(C54&gt;0,_xlfn.MAXIFS(Annonces!$J$2:$J$451,Annonces!$A$2:$A$451,$A54,Annonces!$C$2:$C$451,"En vente",Annonces!$N$2:$N$451,$B54),"")</f>
        <v/>
      </c>
      <c r="G54" s="15">
        <f>IFERROR(AVERAGEIFS(Annonces!$M$2:$M$451,Annonces!$A$2:$A$451,$A54,Annonces!$C$2:$C$451,"En vente",Annonces!$N$2:$N$451,$B54),"")</f>
        <v/>
      </c>
    </row>
    <row r="55">
      <c r="A55" s="10" t="inlineStr">
        <is>
          <t>Peugeot 208 GTi 30th</t>
        </is>
      </c>
      <c r="B55" s="10" t="n">
        <v>2014</v>
      </c>
      <c r="C55" s="16">
        <f>COUNTIFS(Annonces!$A$2:$A$451,$A55,Annonces!$C$2:$C$451,"En vente",Annonces!$N$2:$N$451,$B55)</f>
        <v/>
      </c>
      <c r="D55" s="12">
        <f>IFERROR(AVERAGEIFS(Annonces!$J$2:$J$451,Annonces!$A$2:$A$451,$A55,Annonces!$C$2:$C$451,"En vente",Annonces!$N$2:$N$451,$B55),"")</f>
        <v/>
      </c>
      <c r="E55" s="12">
        <f>IF(C55&gt;0,_xlfn.MINIFS(Annonces!$J$2:$J$451,Annonces!$A$2:$A$451,$A55,Annonces!$C$2:$C$451,"En vente",Annonces!$N$2:$N$451,$B55),"")</f>
        <v/>
      </c>
      <c r="F55" s="12">
        <f>IF(C55&gt;0,_xlfn.MAXIFS(Annonces!$J$2:$J$451,Annonces!$A$2:$A$451,$A55,Annonces!$C$2:$C$451,"En vente",Annonces!$N$2:$N$451,$B55),"")</f>
        <v/>
      </c>
      <c r="G55" s="15">
        <f>IFERROR(AVERAGEIFS(Annonces!$M$2:$M$451,Annonces!$A$2:$A$451,$A55,Annonces!$C$2:$C$451,"En vente",Annonces!$N$2:$N$451,$B55),"")</f>
        <v/>
      </c>
    </row>
    <row r="56">
      <c r="A56" s="10" t="inlineStr">
        <is>
          <t>Peugeot 208 GTi 30th</t>
        </is>
      </c>
      <c r="B56" s="10" t="n">
        <v>2015</v>
      </c>
      <c r="C56" s="16">
        <f>COUNTIFS(Annonces!$A$2:$A$451,$A56,Annonces!$C$2:$C$451,"En vente",Annonces!$N$2:$N$451,$B56)</f>
        <v/>
      </c>
      <c r="D56" s="12">
        <f>IFERROR(AVERAGEIFS(Annonces!$J$2:$J$451,Annonces!$A$2:$A$451,$A56,Annonces!$C$2:$C$451,"En vente",Annonces!$N$2:$N$451,$B56),"")</f>
        <v/>
      </c>
      <c r="E56" s="12">
        <f>IF(C56&gt;0,_xlfn.MINIFS(Annonces!$J$2:$J$451,Annonces!$A$2:$A$451,$A56,Annonces!$C$2:$C$451,"En vente",Annonces!$N$2:$N$451,$B56),"")</f>
        <v/>
      </c>
      <c r="F56" s="12">
        <f>IF(C56&gt;0,_xlfn.MAXIFS(Annonces!$J$2:$J$451,Annonces!$A$2:$A$451,$A56,Annonces!$C$2:$C$451,"En vente",Annonces!$N$2:$N$451,$B56),"")</f>
        <v/>
      </c>
      <c r="G56" s="15">
        <f>IFERROR(AVERAGEIFS(Annonces!$M$2:$M$451,Annonces!$A$2:$A$451,$A56,Annonces!$C$2:$C$451,"En vente",Annonces!$N$2:$N$451,$B56),"")</f>
        <v/>
      </c>
    </row>
    <row r="57">
      <c r="A57" s="10" t="inlineStr">
        <is>
          <t>Peugeot 306 S16</t>
        </is>
      </c>
      <c r="B57" s="10" t="n">
        <v>1994</v>
      </c>
      <c r="C57" s="16">
        <f>COUNTIFS(Annonces!$A$2:$A$451,$A57,Annonces!$C$2:$C$451,"En vente",Annonces!$N$2:$N$451,$B57)</f>
        <v/>
      </c>
      <c r="D57" s="12">
        <f>IFERROR(AVERAGEIFS(Annonces!$J$2:$J$451,Annonces!$A$2:$A$451,$A57,Annonces!$C$2:$C$451,"En vente",Annonces!$N$2:$N$451,$B57),"")</f>
        <v/>
      </c>
      <c r="E57" s="12">
        <f>IF(C57&gt;0,_xlfn.MINIFS(Annonces!$J$2:$J$451,Annonces!$A$2:$A$451,$A57,Annonces!$C$2:$C$451,"En vente",Annonces!$N$2:$N$451,$B57),"")</f>
        <v/>
      </c>
      <c r="F57" s="12">
        <f>IF(C57&gt;0,_xlfn.MAXIFS(Annonces!$J$2:$J$451,Annonces!$A$2:$A$451,$A57,Annonces!$C$2:$C$451,"En vente",Annonces!$N$2:$N$451,$B57),"")</f>
        <v/>
      </c>
      <c r="G57" s="15">
        <f>IFERROR(AVERAGEIFS(Annonces!$M$2:$M$451,Annonces!$A$2:$A$451,$A57,Annonces!$C$2:$C$451,"En vente",Annonces!$N$2:$N$451,$B57),"")</f>
        <v/>
      </c>
    </row>
    <row r="58">
      <c r="A58" s="10" t="inlineStr">
        <is>
          <t>Peugeot 306 S16</t>
        </is>
      </c>
      <c r="B58" s="10" t="n">
        <v>1995</v>
      </c>
      <c r="C58" s="16">
        <f>COUNTIFS(Annonces!$A$2:$A$451,$A58,Annonces!$C$2:$C$451,"En vente",Annonces!$N$2:$N$451,$B58)</f>
        <v/>
      </c>
      <c r="D58" s="12">
        <f>IFERROR(AVERAGEIFS(Annonces!$J$2:$J$451,Annonces!$A$2:$A$451,$A58,Annonces!$C$2:$C$451,"En vente",Annonces!$N$2:$N$451,$B58),"")</f>
        <v/>
      </c>
      <c r="E58" s="12">
        <f>IF(C58&gt;0,_xlfn.MINIFS(Annonces!$J$2:$J$451,Annonces!$A$2:$A$451,$A58,Annonces!$C$2:$C$451,"En vente",Annonces!$N$2:$N$451,$B58),"")</f>
        <v/>
      </c>
      <c r="F58" s="12">
        <f>IF(C58&gt;0,_xlfn.MAXIFS(Annonces!$J$2:$J$451,Annonces!$A$2:$A$451,$A58,Annonces!$C$2:$C$451,"En vente",Annonces!$N$2:$N$451,$B58),"")</f>
        <v/>
      </c>
      <c r="G58" s="15">
        <f>IFERROR(AVERAGEIFS(Annonces!$M$2:$M$451,Annonces!$A$2:$A$451,$A58,Annonces!$C$2:$C$451,"En vente",Annonces!$N$2:$N$451,$B58),"")</f>
        <v/>
      </c>
    </row>
    <row r="59">
      <c r="A59" s="10" t="inlineStr">
        <is>
          <t>Peugeot 306 S16</t>
        </is>
      </c>
      <c r="B59" s="10" t="n">
        <v>1996</v>
      </c>
      <c r="C59" s="16">
        <f>COUNTIFS(Annonces!$A$2:$A$451,$A59,Annonces!$C$2:$C$451,"En vente",Annonces!$N$2:$N$451,$B59)</f>
        <v/>
      </c>
      <c r="D59" s="12">
        <f>IFERROR(AVERAGEIFS(Annonces!$J$2:$J$451,Annonces!$A$2:$A$451,$A59,Annonces!$C$2:$C$451,"En vente",Annonces!$N$2:$N$451,$B59),"")</f>
        <v/>
      </c>
      <c r="E59" s="12">
        <f>IF(C59&gt;0,_xlfn.MINIFS(Annonces!$J$2:$J$451,Annonces!$A$2:$A$451,$A59,Annonces!$C$2:$C$451,"En vente",Annonces!$N$2:$N$451,$B59),"")</f>
        <v/>
      </c>
      <c r="F59" s="12">
        <f>IF(C59&gt;0,_xlfn.MAXIFS(Annonces!$J$2:$J$451,Annonces!$A$2:$A$451,$A59,Annonces!$C$2:$C$451,"En vente",Annonces!$N$2:$N$451,$B59),"")</f>
        <v/>
      </c>
      <c r="G59" s="15">
        <f>IFERROR(AVERAGEIFS(Annonces!$M$2:$M$451,Annonces!$A$2:$A$451,$A59,Annonces!$C$2:$C$451,"En vente",Annonces!$N$2:$N$451,$B59),"")</f>
        <v/>
      </c>
    </row>
    <row r="60">
      <c r="A60" s="10" t="inlineStr">
        <is>
          <t>Peugeot 306 S16</t>
        </is>
      </c>
      <c r="B60" s="10" t="n">
        <v>1997</v>
      </c>
      <c r="C60" s="16">
        <f>COUNTIFS(Annonces!$A$2:$A$451,$A60,Annonces!$C$2:$C$451,"En vente",Annonces!$N$2:$N$451,$B60)</f>
        <v/>
      </c>
      <c r="D60" s="12">
        <f>IFERROR(AVERAGEIFS(Annonces!$J$2:$J$451,Annonces!$A$2:$A$451,$A60,Annonces!$C$2:$C$451,"En vente",Annonces!$N$2:$N$451,$B60),"")</f>
        <v/>
      </c>
      <c r="E60" s="12">
        <f>IF(C60&gt;0,_xlfn.MINIFS(Annonces!$J$2:$J$451,Annonces!$A$2:$A$451,$A60,Annonces!$C$2:$C$451,"En vente",Annonces!$N$2:$N$451,$B60),"")</f>
        <v/>
      </c>
      <c r="F60" s="12">
        <f>IF(C60&gt;0,_xlfn.MAXIFS(Annonces!$J$2:$J$451,Annonces!$A$2:$A$451,$A60,Annonces!$C$2:$C$451,"En vente",Annonces!$N$2:$N$451,$B60),"")</f>
        <v/>
      </c>
      <c r="G60" s="15">
        <f>IFERROR(AVERAGEIFS(Annonces!$M$2:$M$451,Annonces!$A$2:$A$451,$A60,Annonces!$C$2:$C$451,"En vente",Annonces!$N$2:$N$451,$B60),"")</f>
        <v/>
      </c>
    </row>
    <row r="61">
      <c r="A61" s="10" t="inlineStr">
        <is>
          <t>Peugeot 306 S16</t>
        </is>
      </c>
      <c r="B61" s="10" t="n">
        <v>1998</v>
      </c>
      <c r="C61" s="16">
        <f>COUNTIFS(Annonces!$A$2:$A$451,$A61,Annonces!$C$2:$C$451,"En vente",Annonces!$N$2:$N$451,$B61)</f>
        <v/>
      </c>
      <c r="D61" s="12">
        <f>IFERROR(AVERAGEIFS(Annonces!$J$2:$J$451,Annonces!$A$2:$A$451,$A61,Annonces!$C$2:$C$451,"En vente",Annonces!$N$2:$N$451,$B61),"")</f>
        <v/>
      </c>
      <c r="E61" s="12">
        <f>IF(C61&gt;0,_xlfn.MINIFS(Annonces!$J$2:$J$451,Annonces!$A$2:$A$451,$A61,Annonces!$C$2:$C$451,"En vente",Annonces!$N$2:$N$451,$B61),"")</f>
        <v/>
      </c>
      <c r="F61" s="12">
        <f>IF(C61&gt;0,_xlfn.MAXIFS(Annonces!$J$2:$J$451,Annonces!$A$2:$A$451,$A61,Annonces!$C$2:$C$451,"En vente",Annonces!$N$2:$N$451,$B61),"")</f>
        <v/>
      </c>
      <c r="G61" s="15">
        <f>IFERROR(AVERAGEIFS(Annonces!$M$2:$M$451,Annonces!$A$2:$A$451,$A61,Annonces!$C$2:$C$451,"En vente",Annonces!$N$2:$N$451,$B61),"")</f>
        <v/>
      </c>
    </row>
    <row r="62">
      <c r="A62" s="10" t="inlineStr">
        <is>
          <t>Peugeot 306 S16</t>
        </is>
      </c>
      <c r="B62" s="10" t="n">
        <v>1999</v>
      </c>
      <c r="C62" s="16">
        <f>COUNTIFS(Annonces!$A$2:$A$451,$A62,Annonces!$C$2:$C$451,"En vente",Annonces!$N$2:$N$451,$B62)</f>
        <v/>
      </c>
      <c r="D62" s="12">
        <f>IFERROR(AVERAGEIFS(Annonces!$J$2:$J$451,Annonces!$A$2:$A$451,$A62,Annonces!$C$2:$C$451,"En vente",Annonces!$N$2:$N$451,$B62),"")</f>
        <v/>
      </c>
      <c r="E62" s="12">
        <f>IF(C62&gt;0,_xlfn.MINIFS(Annonces!$J$2:$J$451,Annonces!$A$2:$A$451,$A62,Annonces!$C$2:$C$451,"En vente",Annonces!$N$2:$N$451,$B62),"")</f>
        <v/>
      </c>
      <c r="F62" s="12">
        <f>IF(C62&gt;0,_xlfn.MAXIFS(Annonces!$J$2:$J$451,Annonces!$A$2:$A$451,$A62,Annonces!$C$2:$C$451,"En vente",Annonces!$N$2:$N$451,$B62),"")</f>
        <v/>
      </c>
      <c r="G62" s="15">
        <f>IFERROR(AVERAGEIFS(Annonces!$M$2:$M$451,Annonces!$A$2:$A$451,$A62,Annonces!$C$2:$C$451,"En vente",Annonces!$N$2:$N$451,$B62),"")</f>
        <v/>
      </c>
    </row>
    <row r="63">
      <c r="A63" s="10" t="inlineStr">
        <is>
          <t>Peugeot 306 S16</t>
        </is>
      </c>
      <c r="B63" s="10" t="n">
        <v>2000</v>
      </c>
      <c r="C63" s="16">
        <f>COUNTIFS(Annonces!$A$2:$A$451,$A63,Annonces!$C$2:$C$451,"En vente",Annonces!$N$2:$N$451,$B63)</f>
        <v/>
      </c>
      <c r="D63" s="12">
        <f>IFERROR(AVERAGEIFS(Annonces!$J$2:$J$451,Annonces!$A$2:$A$451,$A63,Annonces!$C$2:$C$451,"En vente",Annonces!$N$2:$N$451,$B63),"")</f>
        <v/>
      </c>
      <c r="E63" s="12">
        <f>IF(C63&gt;0,_xlfn.MINIFS(Annonces!$J$2:$J$451,Annonces!$A$2:$A$451,$A63,Annonces!$C$2:$C$451,"En vente",Annonces!$N$2:$N$451,$B63),"")</f>
        <v/>
      </c>
      <c r="F63" s="12">
        <f>IF(C63&gt;0,_xlfn.MAXIFS(Annonces!$J$2:$J$451,Annonces!$A$2:$A$451,$A63,Annonces!$C$2:$C$451,"En vente",Annonces!$N$2:$N$451,$B63),"")</f>
        <v/>
      </c>
      <c r="G63" s="15">
        <f>IFERROR(AVERAGEIFS(Annonces!$M$2:$M$451,Annonces!$A$2:$A$451,$A63,Annonces!$C$2:$C$451,"En vente",Annonces!$N$2:$N$451,$B63),"")</f>
        <v/>
      </c>
    </row>
    <row r="64">
      <c r="A64" s="10" t="inlineStr">
        <is>
          <t>Peugeot 306 S16</t>
        </is>
      </c>
      <c r="B64" s="10" t="n">
        <v>2001</v>
      </c>
      <c r="C64" s="16">
        <f>COUNTIFS(Annonces!$A$2:$A$451,$A64,Annonces!$C$2:$C$451,"En vente",Annonces!$N$2:$N$451,$B64)</f>
        <v/>
      </c>
      <c r="D64" s="12">
        <f>IFERROR(AVERAGEIFS(Annonces!$J$2:$J$451,Annonces!$A$2:$A$451,$A64,Annonces!$C$2:$C$451,"En vente",Annonces!$N$2:$N$451,$B64),"")</f>
        <v/>
      </c>
      <c r="E64" s="12">
        <f>IF(C64&gt;0,_xlfn.MINIFS(Annonces!$J$2:$J$451,Annonces!$A$2:$A$451,$A64,Annonces!$C$2:$C$451,"En vente",Annonces!$N$2:$N$451,$B64),"")</f>
        <v/>
      </c>
      <c r="F64" s="12">
        <f>IF(C64&gt;0,_xlfn.MAXIFS(Annonces!$J$2:$J$451,Annonces!$A$2:$A$451,$A64,Annonces!$C$2:$C$451,"En vente",Annonces!$N$2:$N$451,$B64),"")</f>
        <v/>
      </c>
      <c r="G64" s="15">
        <f>IFERROR(AVERAGEIFS(Annonces!$M$2:$M$451,Annonces!$A$2:$A$451,$A64,Annonces!$C$2:$C$451,"En vente",Annonces!$N$2:$N$451,$B64),"")</f>
        <v/>
      </c>
    </row>
    <row r="65">
      <c r="A65" s="10" t="inlineStr">
        <is>
          <t>Porsche 911 997 Carrera S</t>
        </is>
      </c>
      <c r="B65" s="10" t="n">
        <v>2004</v>
      </c>
      <c r="C65" s="16">
        <f>COUNTIFS(Annonces!$A$2:$A$451,$A65,Annonces!$C$2:$C$451,"En vente",Annonces!$N$2:$N$451,$B65)</f>
        <v/>
      </c>
      <c r="D65" s="12">
        <f>IFERROR(AVERAGEIFS(Annonces!$J$2:$J$451,Annonces!$A$2:$A$451,$A65,Annonces!$C$2:$C$451,"En vente",Annonces!$N$2:$N$451,$B65),"")</f>
        <v/>
      </c>
      <c r="E65" s="12">
        <f>IF(C65&gt;0,_xlfn.MINIFS(Annonces!$J$2:$J$451,Annonces!$A$2:$A$451,$A65,Annonces!$C$2:$C$451,"En vente",Annonces!$N$2:$N$451,$B65),"")</f>
        <v/>
      </c>
      <c r="F65" s="12">
        <f>IF(C65&gt;0,_xlfn.MAXIFS(Annonces!$J$2:$J$451,Annonces!$A$2:$A$451,$A65,Annonces!$C$2:$C$451,"En vente",Annonces!$N$2:$N$451,$B65),"")</f>
        <v/>
      </c>
      <c r="G65" s="15">
        <f>IFERROR(AVERAGEIFS(Annonces!$M$2:$M$451,Annonces!$A$2:$A$451,$A65,Annonces!$C$2:$C$451,"En vente",Annonces!$N$2:$N$451,$B65),"")</f>
        <v/>
      </c>
    </row>
    <row r="66">
      <c r="A66" s="10" t="inlineStr">
        <is>
          <t>Porsche 911 997 Carrera S</t>
        </is>
      </c>
      <c r="B66" s="10" t="n">
        <v>2005</v>
      </c>
      <c r="C66" s="16">
        <f>COUNTIFS(Annonces!$A$2:$A$451,$A66,Annonces!$C$2:$C$451,"En vente",Annonces!$N$2:$N$451,$B66)</f>
        <v/>
      </c>
      <c r="D66" s="12">
        <f>IFERROR(AVERAGEIFS(Annonces!$J$2:$J$451,Annonces!$A$2:$A$451,$A66,Annonces!$C$2:$C$451,"En vente",Annonces!$N$2:$N$451,$B66),"")</f>
        <v/>
      </c>
      <c r="E66" s="12">
        <f>IF(C66&gt;0,_xlfn.MINIFS(Annonces!$J$2:$J$451,Annonces!$A$2:$A$451,$A66,Annonces!$C$2:$C$451,"En vente",Annonces!$N$2:$N$451,$B66),"")</f>
        <v/>
      </c>
      <c r="F66" s="12">
        <f>IF(C66&gt;0,_xlfn.MAXIFS(Annonces!$J$2:$J$451,Annonces!$A$2:$A$451,$A66,Annonces!$C$2:$C$451,"En vente",Annonces!$N$2:$N$451,$B66),"")</f>
        <v/>
      </c>
      <c r="G66" s="15">
        <f>IFERROR(AVERAGEIFS(Annonces!$M$2:$M$451,Annonces!$A$2:$A$451,$A66,Annonces!$C$2:$C$451,"En vente",Annonces!$N$2:$N$451,$B66),"")</f>
        <v/>
      </c>
    </row>
    <row r="67">
      <c r="A67" s="10" t="inlineStr">
        <is>
          <t>Porsche 911 997 Carrera S</t>
        </is>
      </c>
      <c r="B67" s="10" t="n">
        <v>2006</v>
      </c>
      <c r="C67" s="16">
        <f>COUNTIFS(Annonces!$A$2:$A$451,$A67,Annonces!$C$2:$C$451,"En vente",Annonces!$N$2:$N$451,$B67)</f>
        <v/>
      </c>
      <c r="D67" s="12">
        <f>IFERROR(AVERAGEIFS(Annonces!$J$2:$J$451,Annonces!$A$2:$A$451,$A67,Annonces!$C$2:$C$451,"En vente",Annonces!$N$2:$N$451,$B67),"")</f>
        <v/>
      </c>
      <c r="E67" s="12">
        <f>IF(C67&gt;0,_xlfn.MINIFS(Annonces!$J$2:$J$451,Annonces!$A$2:$A$451,$A67,Annonces!$C$2:$C$451,"En vente",Annonces!$N$2:$N$451,$B67),"")</f>
        <v/>
      </c>
      <c r="F67" s="12">
        <f>IF(C67&gt;0,_xlfn.MAXIFS(Annonces!$J$2:$J$451,Annonces!$A$2:$A$451,$A67,Annonces!$C$2:$C$451,"En vente",Annonces!$N$2:$N$451,$B67),"")</f>
        <v/>
      </c>
      <c r="G67" s="15">
        <f>IFERROR(AVERAGEIFS(Annonces!$M$2:$M$451,Annonces!$A$2:$A$451,$A67,Annonces!$C$2:$C$451,"En vente",Annonces!$N$2:$N$451,$B67),"")</f>
        <v/>
      </c>
    </row>
    <row r="68">
      <c r="A68" s="10" t="inlineStr">
        <is>
          <t>Porsche 911 997 Carrera S</t>
        </is>
      </c>
      <c r="B68" s="10" t="n">
        <v>2007</v>
      </c>
      <c r="C68" s="16">
        <f>COUNTIFS(Annonces!$A$2:$A$451,$A68,Annonces!$C$2:$C$451,"En vente",Annonces!$N$2:$N$451,$B68)</f>
        <v/>
      </c>
      <c r="D68" s="12">
        <f>IFERROR(AVERAGEIFS(Annonces!$J$2:$J$451,Annonces!$A$2:$A$451,$A68,Annonces!$C$2:$C$451,"En vente",Annonces!$N$2:$N$451,$B68),"")</f>
        <v/>
      </c>
      <c r="E68" s="12">
        <f>IF(C68&gt;0,_xlfn.MINIFS(Annonces!$J$2:$J$451,Annonces!$A$2:$A$451,$A68,Annonces!$C$2:$C$451,"En vente",Annonces!$N$2:$N$451,$B68),"")</f>
        <v/>
      </c>
      <c r="F68" s="12">
        <f>IF(C68&gt;0,_xlfn.MAXIFS(Annonces!$J$2:$J$451,Annonces!$A$2:$A$451,$A68,Annonces!$C$2:$C$451,"En vente",Annonces!$N$2:$N$451,$B68),"")</f>
        <v/>
      </c>
      <c r="G68" s="15">
        <f>IFERROR(AVERAGEIFS(Annonces!$M$2:$M$451,Annonces!$A$2:$A$451,$A68,Annonces!$C$2:$C$451,"En vente",Annonces!$N$2:$N$451,$B68),"")</f>
        <v/>
      </c>
    </row>
    <row r="69">
      <c r="A69" s="10" t="inlineStr">
        <is>
          <t>Porsche 911 997 Carrera S</t>
        </is>
      </c>
      <c r="B69" s="10" t="n">
        <v>2008</v>
      </c>
      <c r="C69" s="16">
        <f>COUNTIFS(Annonces!$A$2:$A$451,$A69,Annonces!$C$2:$C$451,"En vente",Annonces!$N$2:$N$451,$B69)</f>
        <v/>
      </c>
      <c r="D69" s="12">
        <f>IFERROR(AVERAGEIFS(Annonces!$J$2:$J$451,Annonces!$A$2:$A$451,$A69,Annonces!$C$2:$C$451,"En vente",Annonces!$N$2:$N$451,$B69),"")</f>
        <v/>
      </c>
      <c r="E69" s="12">
        <f>IF(C69&gt;0,_xlfn.MINIFS(Annonces!$J$2:$J$451,Annonces!$A$2:$A$451,$A69,Annonces!$C$2:$C$451,"En vente",Annonces!$N$2:$N$451,$B69),"")</f>
        <v/>
      </c>
      <c r="F69" s="12">
        <f>IF(C69&gt;0,_xlfn.MAXIFS(Annonces!$J$2:$J$451,Annonces!$A$2:$A$451,$A69,Annonces!$C$2:$C$451,"En vente",Annonces!$N$2:$N$451,$B69),"")</f>
        <v/>
      </c>
      <c r="G69" s="15">
        <f>IFERROR(AVERAGEIFS(Annonces!$M$2:$M$451,Annonces!$A$2:$A$451,$A69,Annonces!$C$2:$C$451,"En vente",Annonces!$N$2:$N$451,$B69),"")</f>
        <v/>
      </c>
    </row>
    <row r="70">
      <c r="A70" s="10" t="inlineStr">
        <is>
          <t>Porsche Boxster 986</t>
        </is>
      </c>
      <c r="B70" s="10" t="n">
        <v>1997</v>
      </c>
      <c r="C70" s="16">
        <f>COUNTIFS(Annonces!$A$2:$A$451,$A70,Annonces!$C$2:$C$451,"En vente",Annonces!$N$2:$N$451,$B70)</f>
        <v/>
      </c>
      <c r="D70" s="12">
        <f>IFERROR(AVERAGEIFS(Annonces!$J$2:$J$451,Annonces!$A$2:$A$451,$A70,Annonces!$C$2:$C$451,"En vente",Annonces!$N$2:$N$451,$B70),"")</f>
        <v/>
      </c>
      <c r="E70" s="12">
        <f>IF(C70&gt;0,_xlfn.MINIFS(Annonces!$J$2:$J$451,Annonces!$A$2:$A$451,$A70,Annonces!$C$2:$C$451,"En vente",Annonces!$N$2:$N$451,$B70),"")</f>
        <v/>
      </c>
      <c r="F70" s="12">
        <f>IF(C70&gt;0,_xlfn.MAXIFS(Annonces!$J$2:$J$451,Annonces!$A$2:$A$451,$A70,Annonces!$C$2:$C$451,"En vente",Annonces!$N$2:$N$451,$B70),"")</f>
        <v/>
      </c>
      <c r="G70" s="15">
        <f>IFERROR(AVERAGEIFS(Annonces!$M$2:$M$451,Annonces!$A$2:$A$451,$A70,Annonces!$C$2:$C$451,"En vente",Annonces!$N$2:$N$451,$B70),"")</f>
        <v/>
      </c>
    </row>
    <row r="71">
      <c r="A71" s="10" t="inlineStr">
        <is>
          <t>Porsche Boxster 986</t>
        </is>
      </c>
      <c r="B71" s="10" t="n">
        <v>1998</v>
      </c>
      <c r="C71" s="16">
        <f>COUNTIFS(Annonces!$A$2:$A$451,$A71,Annonces!$C$2:$C$451,"En vente",Annonces!$N$2:$N$451,$B71)</f>
        <v/>
      </c>
      <c r="D71" s="12">
        <f>IFERROR(AVERAGEIFS(Annonces!$J$2:$J$451,Annonces!$A$2:$A$451,$A71,Annonces!$C$2:$C$451,"En vente",Annonces!$N$2:$N$451,$B71),"")</f>
        <v/>
      </c>
      <c r="E71" s="12">
        <f>IF(C71&gt;0,_xlfn.MINIFS(Annonces!$J$2:$J$451,Annonces!$A$2:$A$451,$A71,Annonces!$C$2:$C$451,"En vente",Annonces!$N$2:$N$451,$B71),"")</f>
        <v/>
      </c>
      <c r="F71" s="12">
        <f>IF(C71&gt;0,_xlfn.MAXIFS(Annonces!$J$2:$J$451,Annonces!$A$2:$A$451,$A71,Annonces!$C$2:$C$451,"En vente",Annonces!$N$2:$N$451,$B71),"")</f>
        <v/>
      </c>
      <c r="G71" s="15">
        <f>IFERROR(AVERAGEIFS(Annonces!$M$2:$M$451,Annonces!$A$2:$A$451,$A71,Annonces!$C$2:$C$451,"En vente",Annonces!$N$2:$N$451,$B71),"")</f>
        <v/>
      </c>
    </row>
    <row r="72">
      <c r="A72" s="10" t="inlineStr">
        <is>
          <t>Porsche Boxster 986</t>
        </is>
      </c>
      <c r="B72" s="10" t="n">
        <v>1999</v>
      </c>
      <c r="C72" s="16">
        <f>COUNTIFS(Annonces!$A$2:$A$451,$A72,Annonces!$C$2:$C$451,"En vente",Annonces!$N$2:$N$451,$B72)</f>
        <v/>
      </c>
      <c r="D72" s="12">
        <f>IFERROR(AVERAGEIFS(Annonces!$J$2:$J$451,Annonces!$A$2:$A$451,$A72,Annonces!$C$2:$C$451,"En vente",Annonces!$N$2:$N$451,$B72),"")</f>
        <v/>
      </c>
      <c r="E72" s="12">
        <f>IF(C72&gt;0,_xlfn.MINIFS(Annonces!$J$2:$J$451,Annonces!$A$2:$A$451,$A72,Annonces!$C$2:$C$451,"En vente",Annonces!$N$2:$N$451,$B72),"")</f>
        <v/>
      </c>
      <c r="F72" s="12">
        <f>IF(C72&gt;0,_xlfn.MAXIFS(Annonces!$J$2:$J$451,Annonces!$A$2:$A$451,$A72,Annonces!$C$2:$C$451,"En vente",Annonces!$N$2:$N$451,$B72),"")</f>
        <v/>
      </c>
      <c r="G72" s="15">
        <f>IFERROR(AVERAGEIFS(Annonces!$M$2:$M$451,Annonces!$A$2:$A$451,$A72,Annonces!$C$2:$C$451,"En vente",Annonces!$N$2:$N$451,$B72),"")</f>
        <v/>
      </c>
    </row>
    <row r="73">
      <c r="A73" s="10" t="inlineStr">
        <is>
          <t>Porsche Boxster 986</t>
        </is>
      </c>
      <c r="B73" s="10" t="n">
        <v>2000</v>
      </c>
      <c r="C73" s="16">
        <f>COUNTIFS(Annonces!$A$2:$A$451,$A73,Annonces!$C$2:$C$451,"En vente",Annonces!$N$2:$N$451,$B73)</f>
        <v/>
      </c>
      <c r="D73" s="12">
        <f>IFERROR(AVERAGEIFS(Annonces!$J$2:$J$451,Annonces!$A$2:$A$451,$A73,Annonces!$C$2:$C$451,"En vente",Annonces!$N$2:$N$451,$B73),"")</f>
        <v/>
      </c>
      <c r="E73" s="12">
        <f>IF(C73&gt;0,_xlfn.MINIFS(Annonces!$J$2:$J$451,Annonces!$A$2:$A$451,$A73,Annonces!$C$2:$C$451,"En vente",Annonces!$N$2:$N$451,$B73),"")</f>
        <v/>
      </c>
      <c r="F73" s="12">
        <f>IF(C73&gt;0,_xlfn.MAXIFS(Annonces!$J$2:$J$451,Annonces!$A$2:$A$451,$A73,Annonces!$C$2:$C$451,"En vente",Annonces!$N$2:$N$451,$B73),"")</f>
        <v/>
      </c>
      <c r="G73" s="15">
        <f>IFERROR(AVERAGEIFS(Annonces!$M$2:$M$451,Annonces!$A$2:$A$451,$A73,Annonces!$C$2:$C$451,"En vente",Annonces!$N$2:$N$451,$B73),"")</f>
        <v/>
      </c>
    </row>
    <row r="74">
      <c r="A74" s="10" t="inlineStr">
        <is>
          <t>Porsche Boxster 986</t>
        </is>
      </c>
      <c r="B74" s="10" t="n">
        <v>2001</v>
      </c>
      <c r="C74" s="16">
        <f>COUNTIFS(Annonces!$A$2:$A$451,$A74,Annonces!$C$2:$C$451,"En vente",Annonces!$N$2:$N$451,$B74)</f>
        <v/>
      </c>
      <c r="D74" s="12">
        <f>IFERROR(AVERAGEIFS(Annonces!$J$2:$J$451,Annonces!$A$2:$A$451,$A74,Annonces!$C$2:$C$451,"En vente",Annonces!$N$2:$N$451,$B74),"")</f>
        <v/>
      </c>
      <c r="E74" s="12">
        <f>IF(C74&gt;0,_xlfn.MINIFS(Annonces!$J$2:$J$451,Annonces!$A$2:$A$451,$A74,Annonces!$C$2:$C$451,"En vente",Annonces!$N$2:$N$451,$B74),"")</f>
        <v/>
      </c>
      <c r="F74" s="12">
        <f>IF(C74&gt;0,_xlfn.MAXIFS(Annonces!$J$2:$J$451,Annonces!$A$2:$A$451,$A74,Annonces!$C$2:$C$451,"En vente",Annonces!$N$2:$N$451,$B74),"")</f>
        <v/>
      </c>
      <c r="G74" s="15">
        <f>IFERROR(AVERAGEIFS(Annonces!$M$2:$M$451,Annonces!$A$2:$A$451,$A74,Annonces!$C$2:$C$451,"En vente",Annonces!$N$2:$N$451,$B74),"")</f>
        <v/>
      </c>
    </row>
    <row r="75">
      <c r="A75" s="10" t="inlineStr">
        <is>
          <t>Porsche Boxster 986</t>
        </is>
      </c>
      <c r="B75" s="10" t="n">
        <v>2002</v>
      </c>
      <c r="C75" s="16">
        <f>COUNTIFS(Annonces!$A$2:$A$451,$A75,Annonces!$C$2:$C$451,"En vente",Annonces!$N$2:$N$451,$B75)</f>
        <v/>
      </c>
      <c r="D75" s="12">
        <f>IFERROR(AVERAGEIFS(Annonces!$J$2:$J$451,Annonces!$A$2:$A$451,$A75,Annonces!$C$2:$C$451,"En vente",Annonces!$N$2:$N$451,$B75),"")</f>
        <v/>
      </c>
      <c r="E75" s="12">
        <f>IF(C75&gt;0,_xlfn.MINIFS(Annonces!$J$2:$J$451,Annonces!$A$2:$A$451,$A75,Annonces!$C$2:$C$451,"En vente",Annonces!$N$2:$N$451,$B75),"")</f>
        <v/>
      </c>
      <c r="F75" s="12">
        <f>IF(C75&gt;0,_xlfn.MAXIFS(Annonces!$J$2:$J$451,Annonces!$A$2:$A$451,$A75,Annonces!$C$2:$C$451,"En vente",Annonces!$N$2:$N$451,$B75),"")</f>
        <v/>
      </c>
      <c r="G75" s="15">
        <f>IFERROR(AVERAGEIFS(Annonces!$M$2:$M$451,Annonces!$A$2:$A$451,$A75,Annonces!$C$2:$C$451,"En vente",Annonces!$N$2:$N$451,$B75),"")</f>
        <v/>
      </c>
    </row>
    <row r="76">
      <c r="A76" s="10" t="inlineStr">
        <is>
          <t>Porsche Boxster 986</t>
        </is>
      </c>
      <c r="B76" s="10" t="n">
        <v>2003</v>
      </c>
      <c r="C76" s="16">
        <f>COUNTIFS(Annonces!$A$2:$A$451,$A76,Annonces!$C$2:$C$451,"En vente",Annonces!$N$2:$N$451,$B76)</f>
        <v/>
      </c>
      <c r="D76" s="12">
        <f>IFERROR(AVERAGEIFS(Annonces!$J$2:$J$451,Annonces!$A$2:$A$451,$A76,Annonces!$C$2:$C$451,"En vente",Annonces!$N$2:$N$451,$B76),"")</f>
        <v/>
      </c>
      <c r="E76" s="12">
        <f>IF(C76&gt;0,_xlfn.MINIFS(Annonces!$J$2:$J$451,Annonces!$A$2:$A$451,$A76,Annonces!$C$2:$C$451,"En vente",Annonces!$N$2:$N$451,$B76),"")</f>
        <v/>
      </c>
      <c r="F76" s="12">
        <f>IF(C76&gt;0,_xlfn.MAXIFS(Annonces!$J$2:$J$451,Annonces!$A$2:$A$451,$A76,Annonces!$C$2:$C$451,"En vente",Annonces!$N$2:$N$451,$B76),"")</f>
        <v/>
      </c>
      <c r="G76" s="15">
        <f>IFERROR(AVERAGEIFS(Annonces!$M$2:$M$451,Annonces!$A$2:$A$451,$A76,Annonces!$C$2:$C$451,"En vente",Annonces!$N$2:$N$451,$B76),"")</f>
        <v/>
      </c>
    </row>
    <row r="77">
      <c r="A77" s="10" t="inlineStr">
        <is>
          <t>Porsche Boxster 986</t>
        </is>
      </c>
      <c r="B77" s="10" t="n">
        <v>2004</v>
      </c>
      <c r="C77" s="16">
        <f>COUNTIFS(Annonces!$A$2:$A$451,$A77,Annonces!$C$2:$C$451,"En vente",Annonces!$N$2:$N$451,$B77)</f>
        <v/>
      </c>
      <c r="D77" s="12">
        <f>IFERROR(AVERAGEIFS(Annonces!$J$2:$J$451,Annonces!$A$2:$A$451,$A77,Annonces!$C$2:$C$451,"En vente",Annonces!$N$2:$N$451,$B77),"")</f>
        <v/>
      </c>
      <c r="E77" s="12">
        <f>IF(C77&gt;0,_xlfn.MINIFS(Annonces!$J$2:$J$451,Annonces!$A$2:$A$451,$A77,Annonces!$C$2:$C$451,"En vente",Annonces!$N$2:$N$451,$B77),"")</f>
        <v/>
      </c>
      <c r="F77" s="12">
        <f>IF(C77&gt;0,_xlfn.MAXIFS(Annonces!$J$2:$J$451,Annonces!$A$2:$A$451,$A77,Annonces!$C$2:$C$451,"En vente",Annonces!$N$2:$N$451,$B77),"")</f>
        <v/>
      </c>
      <c r="G77" s="15">
        <f>IFERROR(AVERAGEIFS(Annonces!$M$2:$M$451,Annonces!$A$2:$A$451,$A77,Annonces!$C$2:$C$451,"En vente",Annonces!$N$2:$N$451,$B77),"")</f>
        <v/>
      </c>
    </row>
    <row r="78">
      <c r="A78" s="10" t="inlineStr">
        <is>
          <t>Porsche Boxster 987</t>
        </is>
      </c>
      <c r="B78" s="10" t="n">
        <v>2005</v>
      </c>
      <c r="C78" s="16">
        <f>COUNTIFS(Annonces!$A$2:$A$451,$A78,Annonces!$C$2:$C$451,"En vente",Annonces!$N$2:$N$451,$B78)</f>
        <v/>
      </c>
      <c r="D78" s="12">
        <f>IFERROR(AVERAGEIFS(Annonces!$J$2:$J$451,Annonces!$A$2:$A$451,$A78,Annonces!$C$2:$C$451,"En vente",Annonces!$N$2:$N$451,$B78),"")</f>
        <v/>
      </c>
      <c r="E78" s="12">
        <f>IF(C78&gt;0,_xlfn.MINIFS(Annonces!$J$2:$J$451,Annonces!$A$2:$A$451,$A78,Annonces!$C$2:$C$451,"En vente",Annonces!$N$2:$N$451,$B78),"")</f>
        <v/>
      </c>
      <c r="F78" s="12">
        <f>IF(C78&gt;0,_xlfn.MAXIFS(Annonces!$J$2:$J$451,Annonces!$A$2:$A$451,$A78,Annonces!$C$2:$C$451,"En vente",Annonces!$N$2:$N$451,$B78),"")</f>
        <v/>
      </c>
      <c r="G78" s="15">
        <f>IFERROR(AVERAGEIFS(Annonces!$M$2:$M$451,Annonces!$A$2:$A$451,$A78,Annonces!$C$2:$C$451,"En vente",Annonces!$N$2:$N$451,$B78),"")</f>
        <v/>
      </c>
    </row>
    <row r="79">
      <c r="A79" s="10" t="inlineStr">
        <is>
          <t>Porsche Boxster 987</t>
        </is>
      </c>
      <c r="B79" s="10" t="n">
        <v>2006</v>
      </c>
      <c r="C79" s="16">
        <f>COUNTIFS(Annonces!$A$2:$A$451,$A79,Annonces!$C$2:$C$451,"En vente",Annonces!$N$2:$N$451,$B79)</f>
        <v/>
      </c>
      <c r="D79" s="12">
        <f>IFERROR(AVERAGEIFS(Annonces!$J$2:$J$451,Annonces!$A$2:$A$451,$A79,Annonces!$C$2:$C$451,"En vente",Annonces!$N$2:$N$451,$B79),"")</f>
        <v/>
      </c>
      <c r="E79" s="12">
        <f>IF(C79&gt;0,_xlfn.MINIFS(Annonces!$J$2:$J$451,Annonces!$A$2:$A$451,$A79,Annonces!$C$2:$C$451,"En vente",Annonces!$N$2:$N$451,$B79),"")</f>
        <v/>
      </c>
      <c r="F79" s="12">
        <f>IF(C79&gt;0,_xlfn.MAXIFS(Annonces!$J$2:$J$451,Annonces!$A$2:$A$451,$A79,Annonces!$C$2:$C$451,"En vente",Annonces!$N$2:$N$451,$B79),"")</f>
        <v/>
      </c>
      <c r="G79" s="15">
        <f>IFERROR(AVERAGEIFS(Annonces!$M$2:$M$451,Annonces!$A$2:$A$451,$A79,Annonces!$C$2:$C$451,"En vente",Annonces!$N$2:$N$451,$B79),"")</f>
        <v/>
      </c>
    </row>
    <row r="80">
      <c r="A80" s="10" t="inlineStr">
        <is>
          <t>Porsche Boxster 987</t>
        </is>
      </c>
      <c r="B80" s="10" t="n">
        <v>2007</v>
      </c>
      <c r="C80" s="16">
        <f>COUNTIFS(Annonces!$A$2:$A$451,$A80,Annonces!$C$2:$C$451,"En vente",Annonces!$N$2:$N$451,$B80)</f>
        <v/>
      </c>
      <c r="D80" s="12">
        <f>IFERROR(AVERAGEIFS(Annonces!$J$2:$J$451,Annonces!$A$2:$A$451,$A80,Annonces!$C$2:$C$451,"En vente",Annonces!$N$2:$N$451,$B80),"")</f>
        <v/>
      </c>
      <c r="E80" s="12">
        <f>IF(C80&gt;0,_xlfn.MINIFS(Annonces!$J$2:$J$451,Annonces!$A$2:$A$451,$A80,Annonces!$C$2:$C$451,"En vente",Annonces!$N$2:$N$451,$B80),"")</f>
        <v/>
      </c>
      <c r="F80" s="12">
        <f>IF(C80&gt;0,_xlfn.MAXIFS(Annonces!$J$2:$J$451,Annonces!$A$2:$A$451,$A80,Annonces!$C$2:$C$451,"En vente",Annonces!$N$2:$N$451,$B80),"")</f>
        <v/>
      </c>
      <c r="G80" s="15">
        <f>IFERROR(AVERAGEIFS(Annonces!$M$2:$M$451,Annonces!$A$2:$A$451,$A80,Annonces!$C$2:$C$451,"En vente",Annonces!$N$2:$N$451,$B80),"")</f>
        <v/>
      </c>
    </row>
    <row r="81">
      <c r="A81" s="10" t="inlineStr">
        <is>
          <t>Porsche Boxster 987</t>
        </is>
      </c>
      <c r="B81" s="10" t="n">
        <v>2008</v>
      </c>
      <c r="C81" s="16">
        <f>COUNTIFS(Annonces!$A$2:$A$451,$A81,Annonces!$C$2:$C$451,"En vente",Annonces!$N$2:$N$451,$B81)</f>
        <v/>
      </c>
      <c r="D81" s="12">
        <f>IFERROR(AVERAGEIFS(Annonces!$J$2:$J$451,Annonces!$A$2:$A$451,$A81,Annonces!$C$2:$C$451,"En vente",Annonces!$N$2:$N$451,$B81),"")</f>
        <v/>
      </c>
      <c r="E81" s="12">
        <f>IF(C81&gt;0,_xlfn.MINIFS(Annonces!$J$2:$J$451,Annonces!$A$2:$A$451,$A81,Annonces!$C$2:$C$451,"En vente",Annonces!$N$2:$N$451,$B81),"")</f>
        <v/>
      </c>
      <c r="F81" s="12">
        <f>IF(C81&gt;0,_xlfn.MAXIFS(Annonces!$J$2:$J$451,Annonces!$A$2:$A$451,$A81,Annonces!$C$2:$C$451,"En vente",Annonces!$N$2:$N$451,$B81),"")</f>
        <v/>
      </c>
      <c r="G81" s="15">
        <f>IFERROR(AVERAGEIFS(Annonces!$M$2:$M$451,Annonces!$A$2:$A$451,$A81,Annonces!$C$2:$C$451,"En vente",Annonces!$N$2:$N$451,$B81),"")</f>
        <v/>
      </c>
    </row>
    <row r="82">
      <c r="A82" s="10" t="inlineStr">
        <is>
          <t>Porsche Boxster 987</t>
        </is>
      </c>
      <c r="B82" s="10" t="n">
        <v>2009</v>
      </c>
      <c r="C82" s="16">
        <f>COUNTIFS(Annonces!$A$2:$A$451,$A82,Annonces!$C$2:$C$451,"En vente",Annonces!$N$2:$N$451,$B82)</f>
        <v/>
      </c>
      <c r="D82" s="12">
        <f>IFERROR(AVERAGEIFS(Annonces!$J$2:$J$451,Annonces!$A$2:$A$451,$A82,Annonces!$C$2:$C$451,"En vente",Annonces!$N$2:$N$451,$B82),"")</f>
        <v/>
      </c>
      <c r="E82" s="12">
        <f>IF(C82&gt;0,_xlfn.MINIFS(Annonces!$J$2:$J$451,Annonces!$A$2:$A$451,$A82,Annonces!$C$2:$C$451,"En vente",Annonces!$N$2:$N$451,$B82),"")</f>
        <v/>
      </c>
      <c r="F82" s="12">
        <f>IF(C82&gt;0,_xlfn.MAXIFS(Annonces!$J$2:$J$451,Annonces!$A$2:$A$451,$A82,Annonces!$C$2:$C$451,"En vente",Annonces!$N$2:$N$451,$B82),"")</f>
        <v/>
      </c>
      <c r="G82" s="15">
        <f>IFERROR(AVERAGEIFS(Annonces!$M$2:$M$451,Annonces!$A$2:$A$451,$A82,Annonces!$C$2:$C$451,"En vente",Annonces!$N$2:$N$451,$B82),"")</f>
        <v/>
      </c>
    </row>
    <row r="83">
      <c r="A83" s="10" t="inlineStr">
        <is>
          <t>Porsche Boxster 987</t>
        </is>
      </c>
      <c r="B83" s="10" t="n">
        <v>2010</v>
      </c>
      <c r="C83" s="16">
        <f>COUNTIFS(Annonces!$A$2:$A$451,$A83,Annonces!$C$2:$C$451,"En vente",Annonces!$N$2:$N$451,$B83)</f>
        <v/>
      </c>
      <c r="D83" s="12">
        <f>IFERROR(AVERAGEIFS(Annonces!$J$2:$J$451,Annonces!$A$2:$A$451,$A83,Annonces!$C$2:$C$451,"En vente",Annonces!$N$2:$N$451,$B83),"")</f>
        <v/>
      </c>
      <c r="E83" s="12">
        <f>IF(C83&gt;0,_xlfn.MINIFS(Annonces!$J$2:$J$451,Annonces!$A$2:$A$451,$A83,Annonces!$C$2:$C$451,"En vente",Annonces!$N$2:$N$451,$B83),"")</f>
        <v/>
      </c>
      <c r="F83" s="12">
        <f>IF(C83&gt;0,_xlfn.MAXIFS(Annonces!$J$2:$J$451,Annonces!$A$2:$A$451,$A83,Annonces!$C$2:$C$451,"En vente",Annonces!$N$2:$N$451,$B83),"")</f>
        <v/>
      </c>
      <c r="G83" s="15">
        <f>IFERROR(AVERAGEIFS(Annonces!$M$2:$M$451,Annonces!$A$2:$A$451,$A83,Annonces!$C$2:$C$451,"En vente",Annonces!$N$2:$N$451,$B83),"")</f>
        <v/>
      </c>
    </row>
    <row r="84">
      <c r="A84" s="10" t="inlineStr">
        <is>
          <t>Porsche Boxster 987</t>
        </is>
      </c>
      <c r="B84" s="10" t="n">
        <v>2011</v>
      </c>
      <c r="C84" s="16">
        <f>COUNTIFS(Annonces!$A$2:$A$451,$A84,Annonces!$C$2:$C$451,"En vente",Annonces!$N$2:$N$451,$B84)</f>
        <v/>
      </c>
      <c r="D84" s="12">
        <f>IFERROR(AVERAGEIFS(Annonces!$J$2:$J$451,Annonces!$A$2:$A$451,$A84,Annonces!$C$2:$C$451,"En vente",Annonces!$N$2:$N$451,$B84),"")</f>
        <v/>
      </c>
      <c r="E84" s="12">
        <f>IF(C84&gt;0,_xlfn.MINIFS(Annonces!$J$2:$J$451,Annonces!$A$2:$A$451,$A84,Annonces!$C$2:$C$451,"En vente",Annonces!$N$2:$N$451,$B84),"")</f>
        <v/>
      </c>
      <c r="F84" s="12">
        <f>IF(C84&gt;0,_xlfn.MAXIFS(Annonces!$J$2:$J$451,Annonces!$A$2:$A$451,$A84,Annonces!$C$2:$C$451,"En vente",Annonces!$N$2:$N$451,$B84),"")</f>
        <v/>
      </c>
      <c r="G84" s="15">
        <f>IFERROR(AVERAGEIFS(Annonces!$M$2:$M$451,Annonces!$A$2:$A$451,$A84,Annonces!$C$2:$C$451,"En vente",Annonces!$N$2:$N$451,$B84),"")</f>
        <v/>
      </c>
    </row>
    <row r="85">
      <c r="A85" s="10" t="inlineStr">
        <is>
          <t>Porsche Boxster 987</t>
        </is>
      </c>
      <c r="B85" s="10" t="n">
        <v>2012</v>
      </c>
      <c r="C85" s="16">
        <f>COUNTIFS(Annonces!$A$2:$A$451,$A85,Annonces!$C$2:$C$451,"En vente",Annonces!$N$2:$N$451,$B85)</f>
        <v/>
      </c>
      <c r="D85" s="12">
        <f>IFERROR(AVERAGEIFS(Annonces!$J$2:$J$451,Annonces!$A$2:$A$451,$A85,Annonces!$C$2:$C$451,"En vente",Annonces!$N$2:$N$451,$B85),"")</f>
        <v/>
      </c>
      <c r="E85" s="12">
        <f>IF(C85&gt;0,_xlfn.MINIFS(Annonces!$J$2:$J$451,Annonces!$A$2:$A$451,$A85,Annonces!$C$2:$C$451,"En vente",Annonces!$N$2:$N$451,$B85),"")</f>
        <v/>
      </c>
      <c r="F85" s="12">
        <f>IF(C85&gt;0,_xlfn.MAXIFS(Annonces!$J$2:$J$451,Annonces!$A$2:$A$451,$A85,Annonces!$C$2:$C$451,"En vente",Annonces!$N$2:$N$451,$B85),"")</f>
        <v/>
      </c>
      <c r="G85" s="15">
        <f>IFERROR(AVERAGEIFS(Annonces!$M$2:$M$451,Annonces!$A$2:$A$451,$A85,Annonces!$C$2:$C$451,"En vente",Annonces!$N$2:$N$451,$B85),"")</f>
        <v/>
      </c>
    </row>
    <row r="86">
      <c r="A86" s="10" t="inlineStr">
        <is>
          <t>Renault Clio II RS (172/182 ch)</t>
        </is>
      </c>
      <c r="B86" s="10" t="n">
        <v>2000</v>
      </c>
      <c r="C86" s="16">
        <f>COUNTIFS(Annonces!$A$2:$A$451,$A86,Annonces!$C$2:$C$451,"En vente",Annonces!$N$2:$N$451,$B86)</f>
        <v/>
      </c>
      <c r="D86" s="12">
        <f>IFERROR(AVERAGEIFS(Annonces!$J$2:$J$451,Annonces!$A$2:$A$451,$A86,Annonces!$C$2:$C$451,"En vente",Annonces!$N$2:$N$451,$B86),"")</f>
        <v/>
      </c>
      <c r="E86" s="12">
        <f>IF(C86&gt;0,_xlfn.MINIFS(Annonces!$J$2:$J$451,Annonces!$A$2:$A$451,$A86,Annonces!$C$2:$C$451,"En vente",Annonces!$N$2:$N$451,$B86),"")</f>
        <v/>
      </c>
      <c r="F86" s="12">
        <f>IF(C86&gt;0,_xlfn.MAXIFS(Annonces!$J$2:$J$451,Annonces!$A$2:$A$451,$A86,Annonces!$C$2:$C$451,"En vente",Annonces!$N$2:$N$451,$B86),"")</f>
        <v/>
      </c>
      <c r="G86" s="15">
        <f>IFERROR(AVERAGEIFS(Annonces!$M$2:$M$451,Annonces!$A$2:$A$451,$A86,Annonces!$C$2:$C$451,"En vente",Annonces!$N$2:$N$451,$B86),"")</f>
        <v/>
      </c>
    </row>
    <row r="87">
      <c r="A87" s="10" t="inlineStr">
        <is>
          <t>Renault Clio II RS (172/182 ch)</t>
        </is>
      </c>
      <c r="B87" s="10" t="n">
        <v>2001</v>
      </c>
      <c r="C87" s="16">
        <f>COUNTIFS(Annonces!$A$2:$A$451,$A87,Annonces!$C$2:$C$451,"En vente",Annonces!$N$2:$N$451,$B87)</f>
        <v/>
      </c>
      <c r="D87" s="12">
        <f>IFERROR(AVERAGEIFS(Annonces!$J$2:$J$451,Annonces!$A$2:$A$451,$A87,Annonces!$C$2:$C$451,"En vente",Annonces!$N$2:$N$451,$B87),"")</f>
        <v/>
      </c>
      <c r="E87" s="12">
        <f>IF(C87&gt;0,_xlfn.MINIFS(Annonces!$J$2:$J$451,Annonces!$A$2:$A$451,$A87,Annonces!$C$2:$C$451,"En vente",Annonces!$N$2:$N$451,$B87),"")</f>
        <v/>
      </c>
      <c r="F87" s="12">
        <f>IF(C87&gt;0,_xlfn.MAXIFS(Annonces!$J$2:$J$451,Annonces!$A$2:$A$451,$A87,Annonces!$C$2:$C$451,"En vente",Annonces!$N$2:$N$451,$B87),"")</f>
        <v/>
      </c>
      <c r="G87" s="15">
        <f>IFERROR(AVERAGEIFS(Annonces!$M$2:$M$451,Annonces!$A$2:$A$451,$A87,Annonces!$C$2:$C$451,"En vente",Annonces!$N$2:$N$451,$B87),"")</f>
        <v/>
      </c>
    </row>
    <row r="88">
      <c r="A88" s="10" t="inlineStr">
        <is>
          <t>Renault Clio II RS (172/182 ch)</t>
        </is>
      </c>
      <c r="B88" s="10" t="n">
        <v>2002</v>
      </c>
      <c r="C88" s="16">
        <f>COUNTIFS(Annonces!$A$2:$A$451,$A88,Annonces!$C$2:$C$451,"En vente",Annonces!$N$2:$N$451,$B88)</f>
        <v/>
      </c>
      <c r="D88" s="12">
        <f>IFERROR(AVERAGEIFS(Annonces!$J$2:$J$451,Annonces!$A$2:$A$451,$A88,Annonces!$C$2:$C$451,"En vente",Annonces!$N$2:$N$451,$B88),"")</f>
        <v/>
      </c>
      <c r="E88" s="12">
        <f>IF(C88&gt;0,_xlfn.MINIFS(Annonces!$J$2:$J$451,Annonces!$A$2:$A$451,$A88,Annonces!$C$2:$C$451,"En vente",Annonces!$N$2:$N$451,$B88),"")</f>
        <v/>
      </c>
      <c r="F88" s="12">
        <f>IF(C88&gt;0,_xlfn.MAXIFS(Annonces!$J$2:$J$451,Annonces!$A$2:$A$451,$A88,Annonces!$C$2:$C$451,"En vente",Annonces!$N$2:$N$451,$B88),"")</f>
        <v/>
      </c>
      <c r="G88" s="15">
        <f>IFERROR(AVERAGEIFS(Annonces!$M$2:$M$451,Annonces!$A$2:$A$451,$A88,Annonces!$C$2:$C$451,"En vente",Annonces!$N$2:$N$451,$B88),"")</f>
        <v/>
      </c>
    </row>
    <row r="89">
      <c r="A89" s="10" t="inlineStr">
        <is>
          <t>Renault Clio II RS (172/182 ch)</t>
        </is>
      </c>
      <c r="B89" s="10" t="n">
        <v>2003</v>
      </c>
      <c r="C89" s="16">
        <f>COUNTIFS(Annonces!$A$2:$A$451,$A89,Annonces!$C$2:$C$451,"En vente",Annonces!$N$2:$N$451,$B89)</f>
        <v/>
      </c>
      <c r="D89" s="12">
        <f>IFERROR(AVERAGEIFS(Annonces!$J$2:$J$451,Annonces!$A$2:$A$451,$A89,Annonces!$C$2:$C$451,"En vente",Annonces!$N$2:$N$451,$B89),"")</f>
        <v/>
      </c>
      <c r="E89" s="12">
        <f>IF(C89&gt;0,_xlfn.MINIFS(Annonces!$J$2:$J$451,Annonces!$A$2:$A$451,$A89,Annonces!$C$2:$C$451,"En vente",Annonces!$N$2:$N$451,$B89),"")</f>
        <v/>
      </c>
      <c r="F89" s="12">
        <f>IF(C89&gt;0,_xlfn.MAXIFS(Annonces!$J$2:$J$451,Annonces!$A$2:$A$451,$A89,Annonces!$C$2:$C$451,"En vente",Annonces!$N$2:$N$451,$B89),"")</f>
        <v/>
      </c>
      <c r="G89" s="15">
        <f>IFERROR(AVERAGEIFS(Annonces!$M$2:$M$451,Annonces!$A$2:$A$451,$A89,Annonces!$C$2:$C$451,"En vente",Annonces!$N$2:$N$451,$B89),"")</f>
        <v/>
      </c>
    </row>
    <row r="90">
      <c r="A90" s="10" t="inlineStr">
        <is>
          <t>Renault Clio II RS (172/182 ch)</t>
        </is>
      </c>
      <c r="B90" s="10" t="n">
        <v>2004</v>
      </c>
      <c r="C90" s="16">
        <f>COUNTIFS(Annonces!$A$2:$A$451,$A90,Annonces!$C$2:$C$451,"En vente",Annonces!$N$2:$N$451,$B90)</f>
        <v/>
      </c>
      <c r="D90" s="12">
        <f>IFERROR(AVERAGEIFS(Annonces!$J$2:$J$451,Annonces!$A$2:$A$451,$A90,Annonces!$C$2:$C$451,"En vente",Annonces!$N$2:$N$451,$B90),"")</f>
        <v/>
      </c>
      <c r="E90" s="12">
        <f>IF(C90&gt;0,_xlfn.MINIFS(Annonces!$J$2:$J$451,Annonces!$A$2:$A$451,$A90,Annonces!$C$2:$C$451,"En vente",Annonces!$N$2:$N$451,$B90),"")</f>
        <v/>
      </c>
      <c r="F90" s="12">
        <f>IF(C90&gt;0,_xlfn.MAXIFS(Annonces!$J$2:$J$451,Annonces!$A$2:$A$451,$A90,Annonces!$C$2:$C$451,"En vente",Annonces!$N$2:$N$451,$B90),"")</f>
        <v/>
      </c>
      <c r="G90" s="15">
        <f>IFERROR(AVERAGEIFS(Annonces!$M$2:$M$451,Annonces!$A$2:$A$451,$A90,Annonces!$C$2:$C$451,"En vente",Annonces!$N$2:$N$451,$B90),"")</f>
        <v/>
      </c>
    </row>
    <row r="91">
      <c r="A91" s="10" t="inlineStr">
        <is>
          <t>Renault Clio II RS (172/182 ch)</t>
        </is>
      </c>
      <c r="B91" s="10" t="n">
        <v>2005</v>
      </c>
      <c r="C91" s="16">
        <f>COUNTIFS(Annonces!$A$2:$A$451,$A91,Annonces!$C$2:$C$451,"En vente",Annonces!$N$2:$N$451,$B91)</f>
        <v/>
      </c>
      <c r="D91" s="12">
        <f>IFERROR(AVERAGEIFS(Annonces!$J$2:$J$451,Annonces!$A$2:$A$451,$A91,Annonces!$C$2:$C$451,"En vente",Annonces!$N$2:$N$451,$B91),"")</f>
        <v/>
      </c>
      <c r="E91" s="12">
        <f>IF(C91&gt;0,_xlfn.MINIFS(Annonces!$J$2:$J$451,Annonces!$A$2:$A$451,$A91,Annonces!$C$2:$C$451,"En vente",Annonces!$N$2:$N$451,$B91),"")</f>
        <v/>
      </c>
      <c r="F91" s="12">
        <f>IF(C91&gt;0,_xlfn.MAXIFS(Annonces!$J$2:$J$451,Annonces!$A$2:$A$451,$A91,Annonces!$C$2:$C$451,"En vente",Annonces!$N$2:$N$451,$B91),"")</f>
        <v/>
      </c>
      <c r="G91" s="15">
        <f>IFERROR(AVERAGEIFS(Annonces!$M$2:$M$451,Annonces!$A$2:$A$451,$A91,Annonces!$C$2:$C$451,"En vente",Annonces!$N$2:$N$451,$B91),"")</f>
        <v/>
      </c>
    </row>
    <row r="92">
      <c r="A92" s="10" t="inlineStr">
        <is>
          <t>Renault Clio II RS (172/182 ch)</t>
        </is>
      </c>
      <c r="B92" s="10" t="n">
        <v>2006</v>
      </c>
      <c r="C92" s="16">
        <f>COUNTIFS(Annonces!$A$2:$A$451,$A92,Annonces!$C$2:$C$451,"En vente",Annonces!$N$2:$N$451,$B92)</f>
        <v/>
      </c>
      <c r="D92" s="12">
        <f>IFERROR(AVERAGEIFS(Annonces!$J$2:$J$451,Annonces!$A$2:$A$451,$A92,Annonces!$C$2:$C$451,"En vente",Annonces!$N$2:$N$451,$B92),"")</f>
        <v/>
      </c>
      <c r="E92" s="12">
        <f>IF(C92&gt;0,_xlfn.MINIFS(Annonces!$J$2:$J$451,Annonces!$A$2:$A$451,$A92,Annonces!$C$2:$C$451,"En vente",Annonces!$N$2:$N$451,$B92),"")</f>
        <v/>
      </c>
      <c r="F92" s="12">
        <f>IF(C92&gt;0,_xlfn.MAXIFS(Annonces!$J$2:$J$451,Annonces!$A$2:$A$451,$A92,Annonces!$C$2:$C$451,"En vente",Annonces!$N$2:$N$451,$B92),"")</f>
        <v/>
      </c>
      <c r="G92" s="15">
        <f>IFERROR(AVERAGEIFS(Annonces!$M$2:$M$451,Annonces!$A$2:$A$451,$A92,Annonces!$C$2:$C$451,"En vente",Annonces!$N$2:$N$451,$B92),"")</f>
        <v/>
      </c>
    </row>
    <row r="93">
      <c r="A93" s="10" t="inlineStr">
        <is>
          <t>Renault Mégane II RS R26</t>
        </is>
      </c>
      <c r="B93" s="10" t="n">
        <v>2007</v>
      </c>
      <c r="C93" s="16">
        <f>COUNTIFS(Annonces!$A$2:$A$451,$A93,Annonces!$C$2:$C$451,"En vente",Annonces!$N$2:$N$451,$B93)</f>
        <v/>
      </c>
      <c r="D93" s="12">
        <f>IFERROR(AVERAGEIFS(Annonces!$J$2:$J$451,Annonces!$A$2:$A$451,$A93,Annonces!$C$2:$C$451,"En vente",Annonces!$N$2:$N$451,$B93),"")</f>
        <v/>
      </c>
      <c r="E93" s="12">
        <f>IF(C93&gt;0,_xlfn.MINIFS(Annonces!$J$2:$J$451,Annonces!$A$2:$A$451,$A93,Annonces!$C$2:$C$451,"En vente",Annonces!$N$2:$N$451,$B93),"")</f>
        <v/>
      </c>
      <c r="F93" s="12">
        <f>IF(C93&gt;0,_xlfn.MAXIFS(Annonces!$J$2:$J$451,Annonces!$A$2:$A$451,$A93,Annonces!$C$2:$C$451,"En vente",Annonces!$N$2:$N$451,$B93),"")</f>
        <v/>
      </c>
      <c r="G93" s="15">
        <f>IFERROR(AVERAGEIFS(Annonces!$M$2:$M$451,Annonces!$A$2:$A$451,$A93,Annonces!$C$2:$C$451,"En vente",Annonces!$N$2:$N$451,$B93),"")</f>
        <v/>
      </c>
    </row>
    <row r="94">
      <c r="A94" s="10" t="inlineStr">
        <is>
          <t>Renault Mégane II RS R26</t>
        </is>
      </c>
      <c r="B94" s="10" t="n">
        <v>2008</v>
      </c>
      <c r="C94" s="16">
        <f>COUNTIFS(Annonces!$A$2:$A$451,$A94,Annonces!$C$2:$C$451,"En vente",Annonces!$N$2:$N$451,$B94)</f>
        <v/>
      </c>
      <c r="D94" s="12">
        <f>IFERROR(AVERAGEIFS(Annonces!$J$2:$J$451,Annonces!$A$2:$A$451,$A94,Annonces!$C$2:$C$451,"En vente",Annonces!$N$2:$N$451,$B94),"")</f>
        <v/>
      </c>
      <c r="E94" s="12">
        <f>IF(C94&gt;0,_xlfn.MINIFS(Annonces!$J$2:$J$451,Annonces!$A$2:$A$451,$A94,Annonces!$C$2:$C$451,"En vente",Annonces!$N$2:$N$451,$B94),"")</f>
        <v/>
      </c>
      <c r="F94" s="12">
        <f>IF(C94&gt;0,_xlfn.MAXIFS(Annonces!$J$2:$J$451,Annonces!$A$2:$A$451,$A94,Annonces!$C$2:$C$451,"En vente",Annonces!$N$2:$N$451,$B94),"")</f>
        <v/>
      </c>
      <c r="G94" s="15">
        <f>IFERROR(AVERAGEIFS(Annonces!$M$2:$M$451,Annonces!$A$2:$A$451,$A94,Annonces!$C$2:$C$451,"En vente",Annonces!$N$2:$N$451,$B94),"")</f>
        <v/>
      </c>
    </row>
    <row r="95">
      <c r="A95" s="10" t="inlineStr">
        <is>
          <t>Renault Twingo 1 découvrable</t>
        </is>
      </c>
      <c r="B95" s="10" t="n">
        <v>1996</v>
      </c>
      <c r="C95" s="16">
        <f>COUNTIFS(Annonces!$A$2:$A$451,$A95,Annonces!$C$2:$C$451,"En vente",Annonces!$N$2:$N$451,$B95)</f>
        <v/>
      </c>
      <c r="D95" s="12">
        <f>IFERROR(AVERAGEIFS(Annonces!$J$2:$J$451,Annonces!$A$2:$A$451,$A95,Annonces!$C$2:$C$451,"En vente",Annonces!$N$2:$N$451,$B95),"")</f>
        <v/>
      </c>
      <c r="E95" s="12">
        <f>IF(C95&gt;0,_xlfn.MINIFS(Annonces!$J$2:$J$451,Annonces!$A$2:$A$451,$A95,Annonces!$C$2:$C$451,"En vente",Annonces!$N$2:$N$451,$B95),"")</f>
        <v/>
      </c>
      <c r="F95" s="12">
        <f>IF(C95&gt;0,_xlfn.MAXIFS(Annonces!$J$2:$J$451,Annonces!$A$2:$A$451,$A95,Annonces!$C$2:$C$451,"En vente",Annonces!$N$2:$N$451,$B95),"")</f>
        <v/>
      </c>
      <c r="G95" s="15">
        <f>IFERROR(AVERAGEIFS(Annonces!$M$2:$M$451,Annonces!$A$2:$A$451,$A95,Annonces!$C$2:$C$451,"En vente",Annonces!$N$2:$N$451,$B95),"")</f>
        <v/>
      </c>
    </row>
    <row r="96">
      <c r="A96" s="10" t="inlineStr">
        <is>
          <t>Renault Twingo 1 découvrable</t>
        </is>
      </c>
      <c r="B96" s="10" t="n">
        <v>1997</v>
      </c>
      <c r="C96" s="16">
        <f>COUNTIFS(Annonces!$A$2:$A$451,$A96,Annonces!$C$2:$C$451,"En vente",Annonces!$N$2:$N$451,$B96)</f>
        <v/>
      </c>
      <c r="D96" s="12">
        <f>IFERROR(AVERAGEIFS(Annonces!$J$2:$J$451,Annonces!$A$2:$A$451,$A96,Annonces!$C$2:$C$451,"En vente",Annonces!$N$2:$N$451,$B96),"")</f>
        <v/>
      </c>
      <c r="E96" s="12">
        <f>IF(C96&gt;0,_xlfn.MINIFS(Annonces!$J$2:$J$451,Annonces!$A$2:$A$451,$A96,Annonces!$C$2:$C$451,"En vente",Annonces!$N$2:$N$451,$B96),"")</f>
        <v/>
      </c>
      <c r="F96" s="12">
        <f>IF(C96&gt;0,_xlfn.MAXIFS(Annonces!$J$2:$J$451,Annonces!$A$2:$A$451,$A96,Annonces!$C$2:$C$451,"En vente",Annonces!$N$2:$N$451,$B96),"")</f>
        <v/>
      </c>
      <c r="G96" s="15">
        <f>IFERROR(AVERAGEIFS(Annonces!$M$2:$M$451,Annonces!$A$2:$A$451,$A96,Annonces!$C$2:$C$451,"En vente",Annonces!$N$2:$N$451,$B96),"")</f>
        <v/>
      </c>
    </row>
    <row r="97">
      <c r="A97" s="10" t="inlineStr">
        <is>
          <t>Renault Twingo 1 découvrable</t>
        </is>
      </c>
      <c r="B97" s="10" t="n">
        <v>1998</v>
      </c>
      <c r="C97" s="16">
        <f>COUNTIFS(Annonces!$A$2:$A$451,$A97,Annonces!$C$2:$C$451,"En vente",Annonces!$N$2:$N$451,$B97)</f>
        <v/>
      </c>
      <c r="D97" s="12">
        <f>IFERROR(AVERAGEIFS(Annonces!$J$2:$J$451,Annonces!$A$2:$A$451,$A97,Annonces!$C$2:$C$451,"En vente",Annonces!$N$2:$N$451,$B97),"")</f>
        <v/>
      </c>
      <c r="E97" s="12">
        <f>IF(C97&gt;0,_xlfn.MINIFS(Annonces!$J$2:$J$451,Annonces!$A$2:$A$451,$A97,Annonces!$C$2:$C$451,"En vente",Annonces!$N$2:$N$451,$B97),"")</f>
        <v/>
      </c>
      <c r="F97" s="12">
        <f>IF(C97&gt;0,_xlfn.MAXIFS(Annonces!$J$2:$J$451,Annonces!$A$2:$A$451,$A97,Annonces!$C$2:$C$451,"En vente",Annonces!$N$2:$N$451,$B97),"")</f>
        <v/>
      </c>
      <c r="G97" s="15">
        <f>IFERROR(AVERAGEIFS(Annonces!$M$2:$M$451,Annonces!$A$2:$A$451,$A97,Annonces!$C$2:$C$451,"En vente",Annonces!$N$2:$N$451,$B97),"")</f>
        <v/>
      </c>
    </row>
    <row r="98">
      <c r="A98" s="10" t="inlineStr">
        <is>
          <t>Renault Twingo 1 découvrable</t>
        </is>
      </c>
      <c r="B98" s="10" t="n">
        <v>2000</v>
      </c>
      <c r="C98" s="16">
        <f>COUNTIFS(Annonces!$A$2:$A$451,$A98,Annonces!$C$2:$C$451,"En vente",Annonces!$N$2:$N$451,$B98)</f>
        <v/>
      </c>
      <c r="D98" s="12">
        <f>IFERROR(AVERAGEIFS(Annonces!$J$2:$J$451,Annonces!$A$2:$A$451,$A98,Annonces!$C$2:$C$451,"En vente",Annonces!$N$2:$N$451,$B98),"")</f>
        <v/>
      </c>
      <c r="E98" s="12">
        <f>IF(C98&gt;0,_xlfn.MINIFS(Annonces!$J$2:$J$451,Annonces!$A$2:$A$451,$A98,Annonces!$C$2:$C$451,"En vente",Annonces!$N$2:$N$451,$B98),"")</f>
        <v/>
      </c>
      <c r="F98" s="12">
        <f>IF(C98&gt;0,_xlfn.MAXIFS(Annonces!$J$2:$J$451,Annonces!$A$2:$A$451,$A98,Annonces!$C$2:$C$451,"En vente",Annonces!$N$2:$N$451,$B98),"")</f>
        <v/>
      </c>
      <c r="G98" s="15">
        <f>IFERROR(AVERAGEIFS(Annonces!$M$2:$M$451,Annonces!$A$2:$A$451,$A98,Annonces!$C$2:$C$451,"En vente",Annonces!$N$2:$N$451,$B98),"")</f>
        <v/>
      </c>
    </row>
    <row r="99">
      <c r="A99" s="10" t="inlineStr">
        <is>
          <t>Renault Twingo 1 découvrable</t>
        </is>
      </c>
      <c r="B99" s="10" t="n">
        <v>2001</v>
      </c>
      <c r="C99" s="16">
        <f>COUNTIFS(Annonces!$A$2:$A$451,$A99,Annonces!$C$2:$C$451,"En vente",Annonces!$N$2:$N$451,$B99)</f>
        <v/>
      </c>
      <c r="D99" s="12">
        <f>IFERROR(AVERAGEIFS(Annonces!$J$2:$J$451,Annonces!$A$2:$A$451,$A99,Annonces!$C$2:$C$451,"En vente",Annonces!$N$2:$N$451,$B99),"")</f>
        <v/>
      </c>
      <c r="E99" s="12">
        <f>IF(C99&gt;0,_xlfn.MINIFS(Annonces!$J$2:$J$451,Annonces!$A$2:$A$451,$A99,Annonces!$C$2:$C$451,"En vente",Annonces!$N$2:$N$451,$B99),"")</f>
        <v/>
      </c>
      <c r="F99" s="12">
        <f>IF(C99&gt;0,_xlfn.MAXIFS(Annonces!$J$2:$J$451,Annonces!$A$2:$A$451,$A99,Annonces!$C$2:$C$451,"En vente",Annonces!$N$2:$N$451,$B99),"")</f>
        <v/>
      </c>
      <c r="G99" s="15">
        <f>IFERROR(AVERAGEIFS(Annonces!$M$2:$M$451,Annonces!$A$2:$A$451,$A99,Annonces!$C$2:$C$451,"En vente",Annonces!$N$2:$N$451,$B99),"")</f>
        <v/>
      </c>
    </row>
    <row r="100">
      <c r="A100" s="10" t="inlineStr">
        <is>
          <t>Renault Twingo 1 découvrable</t>
        </is>
      </c>
      <c r="B100" s="10" t="n">
        <v>2003</v>
      </c>
      <c r="C100" s="16">
        <f>COUNTIFS(Annonces!$A$2:$A$451,$A100,Annonces!$C$2:$C$451,"En vente",Annonces!$N$2:$N$451,$B100)</f>
        <v/>
      </c>
      <c r="D100" s="12">
        <f>IFERROR(AVERAGEIFS(Annonces!$J$2:$J$451,Annonces!$A$2:$A$451,$A100,Annonces!$C$2:$C$451,"En vente",Annonces!$N$2:$N$451,$B100),"")</f>
        <v/>
      </c>
      <c r="E100" s="12">
        <f>IF(C100&gt;0,_xlfn.MINIFS(Annonces!$J$2:$J$451,Annonces!$A$2:$A$451,$A100,Annonces!$C$2:$C$451,"En vente",Annonces!$N$2:$N$451,$B100),"")</f>
        <v/>
      </c>
      <c r="F100" s="12">
        <f>IF(C100&gt;0,_xlfn.MAXIFS(Annonces!$J$2:$J$451,Annonces!$A$2:$A$451,$A100,Annonces!$C$2:$C$451,"En vente",Annonces!$N$2:$N$451,$B100),"")</f>
        <v/>
      </c>
      <c r="G100" s="15">
        <f>IFERROR(AVERAGEIFS(Annonces!$M$2:$M$451,Annonces!$A$2:$A$451,$A100,Annonces!$C$2:$C$451,"En vente",Annonces!$N$2:$N$451,$B100),"")</f>
        <v/>
      </c>
    </row>
    <row r="101">
      <c r="A101" s="10" t="inlineStr">
        <is>
          <t>Renault Twingo 1 découvrable</t>
        </is>
      </c>
      <c r="B101" s="10" t="n">
        <v>2004</v>
      </c>
      <c r="C101" s="16">
        <f>COUNTIFS(Annonces!$A$2:$A$451,$A101,Annonces!$C$2:$C$451,"En vente",Annonces!$N$2:$N$451,$B101)</f>
        <v/>
      </c>
      <c r="D101" s="12">
        <f>IFERROR(AVERAGEIFS(Annonces!$J$2:$J$451,Annonces!$A$2:$A$451,$A101,Annonces!$C$2:$C$451,"En vente",Annonces!$N$2:$N$451,$B101),"")</f>
        <v/>
      </c>
      <c r="E101" s="12">
        <f>IF(C101&gt;0,_xlfn.MINIFS(Annonces!$J$2:$J$451,Annonces!$A$2:$A$451,$A101,Annonces!$C$2:$C$451,"En vente",Annonces!$N$2:$N$451,$B101),"")</f>
        <v/>
      </c>
      <c r="F101" s="12">
        <f>IF(C101&gt;0,_xlfn.MAXIFS(Annonces!$J$2:$J$451,Annonces!$A$2:$A$451,$A101,Annonces!$C$2:$C$451,"En vente",Annonces!$N$2:$N$451,$B101),"")</f>
        <v/>
      </c>
      <c r="G101" s="15">
        <f>IFERROR(AVERAGEIFS(Annonces!$M$2:$M$451,Annonces!$A$2:$A$451,$A101,Annonces!$C$2:$C$451,"En vente",Annonces!$N$2:$N$451,$B101),"")</f>
        <v/>
      </c>
    </row>
    <row r="102">
      <c r="A102" s="10" t="inlineStr">
        <is>
          <t>Renault Twingo 1 découvrable</t>
        </is>
      </c>
      <c r="B102" s="10" t="n">
        <v>2006</v>
      </c>
      <c r="C102" s="16">
        <f>COUNTIFS(Annonces!$A$2:$A$451,$A102,Annonces!$C$2:$C$451,"En vente",Annonces!$N$2:$N$451,$B102)</f>
        <v/>
      </c>
      <c r="D102" s="12">
        <f>IFERROR(AVERAGEIFS(Annonces!$J$2:$J$451,Annonces!$A$2:$A$451,$A102,Annonces!$C$2:$C$451,"En vente",Annonces!$N$2:$N$451,$B102),"")</f>
        <v/>
      </c>
      <c r="E102" s="12">
        <f>IF(C102&gt;0,_xlfn.MINIFS(Annonces!$J$2:$J$451,Annonces!$A$2:$A$451,$A102,Annonces!$C$2:$C$451,"En vente",Annonces!$N$2:$N$451,$B102),"")</f>
        <v/>
      </c>
      <c r="F102" s="12">
        <f>IF(C102&gt;0,_xlfn.MAXIFS(Annonces!$J$2:$J$451,Annonces!$A$2:$A$451,$A102,Annonces!$C$2:$C$451,"En vente",Annonces!$N$2:$N$451,$B102),"")</f>
        <v/>
      </c>
      <c r="G102" s="15">
        <f>IFERROR(AVERAGEIFS(Annonces!$M$2:$M$451,Annonces!$A$2:$A$451,$A102,Annonces!$C$2:$C$451,"En vente",Annonces!$N$2:$N$451,$B102),"")</f>
        <v/>
      </c>
    </row>
    <row r="103">
      <c r="A103" s="10" t="inlineStr">
        <is>
          <t>Renault Twingo 1 découvrable</t>
        </is>
      </c>
      <c r="B103" s="10" t="n">
        <v>2007</v>
      </c>
      <c r="C103" s="16">
        <f>COUNTIFS(Annonces!$A$2:$A$451,$A103,Annonces!$C$2:$C$451,"En vente",Annonces!$N$2:$N$451,$B103)</f>
        <v/>
      </c>
      <c r="D103" s="12">
        <f>IFERROR(AVERAGEIFS(Annonces!$J$2:$J$451,Annonces!$A$2:$A$451,$A103,Annonces!$C$2:$C$451,"En vente",Annonces!$N$2:$N$451,$B103),"")</f>
        <v/>
      </c>
      <c r="E103" s="12">
        <f>IF(C103&gt;0,_xlfn.MINIFS(Annonces!$J$2:$J$451,Annonces!$A$2:$A$451,$A103,Annonces!$C$2:$C$451,"En vente",Annonces!$N$2:$N$451,$B103),"")</f>
        <v/>
      </c>
      <c r="F103" s="12">
        <f>IF(C103&gt;0,_xlfn.MAXIFS(Annonces!$J$2:$J$451,Annonces!$A$2:$A$451,$A103,Annonces!$C$2:$C$451,"En vente",Annonces!$N$2:$N$451,$B103),"")</f>
        <v/>
      </c>
      <c r="G103" s="15">
        <f>IFERROR(AVERAGEIFS(Annonces!$M$2:$M$451,Annonces!$A$2:$A$451,$A103,Annonces!$C$2:$C$451,"En vente",Annonces!$N$2:$N$451,$B103),"")</f>
        <v/>
      </c>
    </row>
  </sheetData>
  <autoFilter ref="A2:G103"/>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100 000 – 150 000 km</t>
        </is>
      </c>
      <c r="C3" s="16">
        <f>COUNTIFS(Annonces!$A$2:$A$451,$A3,Annonces!$C$2:$C$451,"En vente",Annonces!$M$2:$M$451,"&gt;="&amp;$H3,Annonces!$M$2:$M$451,"&lt;"&amp;$I3)</f>
        <v/>
      </c>
      <c r="D3" s="12">
        <f>IFERROR(AVERAGEIFS(Annonces!$J$2:$J$451,Annonces!$A$2:$A$451,$A3,Annonces!$C$2:$C$451,"En vente",Annonces!$M$2:$M$451,"&gt;="&amp;$H3,Annonces!$M$2:$M$451,"&lt;"&amp;$I3),"")</f>
        <v/>
      </c>
      <c r="E3" s="12">
        <f>IF(C3&gt;0,_xlfn.MINIFS(Annonces!$J$2:$J$451,Annonces!$A$2:$A$451,$A3,Annonces!$C$2:$C$451,"En vente",Annonces!$M$2:$M$451,"&gt;="&amp;$H3,Annonces!$M$2:$M$451,"&lt;"&amp;$I3),"")</f>
        <v/>
      </c>
      <c r="F3" s="12">
        <f>IF(C3&gt;0,_xlfn.MAXIFS(Annonces!$J$2:$J$451,Annonces!$A$2:$A$451,$A3,Annonces!$C$2:$C$451,"En vente",Annonces!$M$2:$M$451,"&gt;="&amp;$H3,Annonces!$M$2:$M$451,"&lt;"&amp;$I3),"")</f>
        <v/>
      </c>
      <c r="G3" s="15">
        <f>IFERROR(AVERAGEIFS(Annonces!$M$2:$M$451,Annonces!$A$2:$A$451,$A3,Annonces!$C$2:$C$451,"En vente",Annonces!$M$2:$M$451,"&gt;="&amp;$H3,Annonces!$M$2:$M$451,"&lt;"&amp;$I3),"")</f>
        <v/>
      </c>
      <c r="H3" s="6" t="n">
        <v>100000</v>
      </c>
      <c r="I3" s="6" t="n">
        <v>150000</v>
      </c>
    </row>
    <row r="4">
      <c r="A4" s="10" t="inlineStr">
        <is>
          <t>Alfa Romeo 156 2.5 V6 24V</t>
        </is>
      </c>
      <c r="B4" s="10" t="inlineStr">
        <is>
          <t>150 000 – 200 000 km</t>
        </is>
      </c>
      <c r="C4" s="16">
        <f>COUNTIFS(Annonces!$A$2:$A$451,$A4,Annonces!$C$2:$C$451,"En vente",Annonces!$M$2:$M$451,"&gt;="&amp;$H4,Annonces!$M$2:$M$451,"&lt;"&amp;$I4)</f>
        <v/>
      </c>
      <c r="D4" s="12">
        <f>IFERROR(AVERAGEIFS(Annonces!$J$2:$J$451,Annonces!$A$2:$A$451,$A4,Annonces!$C$2:$C$451,"En vente",Annonces!$M$2:$M$451,"&gt;="&amp;$H4,Annonces!$M$2:$M$451,"&lt;"&amp;$I4),"")</f>
        <v/>
      </c>
      <c r="E4" s="12">
        <f>IF(C4&gt;0,_xlfn.MINIFS(Annonces!$J$2:$J$451,Annonces!$A$2:$A$451,$A4,Annonces!$C$2:$C$451,"En vente",Annonces!$M$2:$M$451,"&gt;="&amp;$H4,Annonces!$M$2:$M$451,"&lt;"&amp;$I4),"")</f>
        <v/>
      </c>
      <c r="F4" s="12">
        <f>IF(C4&gt;0,_xlfn.MAXIFS(Annonces!$J$2:$J$451,Annonces!$A$2:$A$451,$A4,Annonces!$C$2:$C$451,"En vente",Annonces!$M$2:$M$451,"&gt;="&amp;$H4,Annonces!$M$2:$M$451,"&lt;"&amp;$I4),"")</f>
        <v/>
      </c>
      <c r="G4" s="15">
        <f>IFERROR(AVERAGEIFS(Annonces!$M$2:$M$451,Annonces!$A$2:$A$451,$A4,Annonces!$C$2:$C$451,"En vente",Annonces!$M$2:$M$451,"&gt;="&amp;$H4,Annonces!$M$2:$M$451,"&lt;"&amp;$I4),"")</f>
        <v/>
      </c>
      <c r="H4" s="6" t="n">
        <v>150000</v>
      </c>
      <c r="I4" s="6" t="n">
        <v>200000</v>
      </c>
    </row>
    <row r="5">
      <c r="A5" s="10" t="inlineStr">
        <is>
          <t>Alfa Romeo 156 2.5 V6 24V</t>
        </is>
      </c>
      <c r="B5" s="10" t="inlineStr">
        <is>
          <t>≥ 200 000 km</t>
        </is>
      </c>
      <c r="C5" s="16">
        <f>COUNTIFS(Annonces!$A$2:$A$451,$A5,Annonces!$C$2:$C$451,"En vente",Annonces!$M$2:$M$451,"&gt;="&amp;$H5,Annonces!$M$2:$M$451,"&lt;"&amp;$I5)</f>
        <v/>
      </c>
      <c r="D5" s="12">
        <f>IFERROR(AVERAGEIFS(Annonces!$J$2:$J$451,Annonces!$A$2:$A$451,$A5,Annonces!$C$2:$C$451,"En vente",Annonces!$M$2:$M$451,"&gt;="&amp;$H5,Annonces!$M$2:$M$451,"&lt;"&amp;$I5),"")</f>
        <v/>
      </c>
      <c r="E5" s="12">
        <f>IF(C5&gt;0,_xlfn.MINIFS(Annonces!$J$2:$J$451,Annonces!$A$2:$A$451,$A5,Annonces!$C$2:$C$451,"En vente",Annonces!$M$2:$M$451,"&gt;="&amp;$H5,Annonces!$M$2:$M$451,"&lt;"&amp;$I5),"")</f>
        <v/>
      </c>
      <c r="F5" s="12">
        <f>IF(C5&gt;0,_xlfn.MAXIFS(Annonces!$J$2:$J$451,Annonces!$A$2:$A$451,$A5,Annonces!$C$2:$C$451,"En vente",Annonces!$M$2:$M$451,"&gt;="&amp;$H5,Annonces!$M$2:$M$451,"&lt;"&amp;$I5),"")</f>
        <v/>
      </c>
      <c r="G5" s="15">
        <f>IFERROR(AVERAGEIFS(Annonces!$M$2:$M$451,Annonces!$A$2:$A$451,$A5,Annonces!$C$2:$C$451,"En vente",Annonces!$M$2:$M$451,"&gt;="&amp;$H5,Annonces!$M$2:$M$451,"&lt;"&amp;$I5),"")</f>
        <v/>
      </c>
      <c r="H5" s="6" t="n">
        <v>200000</v>
      </c>
      <c r="I5" s="6" t="n">
        <v>10000000</v>
      </c>
    </row>
    <row r="6">
      <c r="A6" s="10" t="inlineStr">
        <is>
          <t>BMW Z3 1.9i / 2.0i</t>
        </is>
      </c>
      <c r="B6" s="10" t="inlineStr">
        <is>
          <t>&lt; 100 000 km</t>
        </is>
      </c>
      <c r="C6" s="16">
        <f>COUNTIFS(Annonces!$A$2:$A$451,$A6,Annonces!$C$2:$C$451,"En vente",Annonces!$M$2:$M$451,"&gt;="&amp;$H6,Annonces!$M$2:$M$451,"&lt;"&amp;$I6)</f>
        <v/>
      </c>
      <c r="D6" s="12">
        <f>IFERROR(AVERAGEIFS(Annonces!$J$2:$J$451,Annonces!$A$2:$A$451,$A6,Annonces!$C$2:$C$451,"En vente",Annonces!$M$2:$M$451,"&gt;="&amp;$H6,Annonces!$M$2:$M$451,"&lt;"&amp;$I6),"")</f>
        <v/>
      </c>
      <c r="E6" s="12">
        <f>IF(C6&gt;0,_xlfn.MINIFS(Annonces!$J$2:$J$451,Annonces!$A$2:$A$451,$A6,Annonces!$C$2:$C$451,"En vente",Annonces!$M$2:$M$451,"&gt;="&amp;$H6,Annonces!$M$2:$M$451,"&lt;"&amp;$I6),"")</f>
        <v/>
      </c>
      <c r="F6" s="12">
        <f>IF(C6&gt;0,_xlfn.MAXIFS(Annonces!$J$2:$J$451,Annonces!$A$2:$A$451,$A6,Annonces!$C$2:$C$451,"En vente",Annonces!$M$2:$M$451,"&gt;="&amp;$H6,Annonces!$M$2:$M$451,"&lt;"&amp;$I6),"")</f>
        <v/>
      </c>
      <c r="G6" s="15">
        <f>IFERROR(AVERAGEIFS(Annonces!$M$2:$M$451,Annonces!$A$2:$A$451,$A6,Annonces!$C$2:$C$451,"En vente",Annonces!$M$2:$M$451,"&gt;="&amp;$H6,Annonces!$M$2:$M$451,"&lt;"&amp;$I6),"")</f>
        <v/>
      </c>
      <c r="H6" s="6" t="n">
        <v>0</v>
      </c>
      <c r="I6" s="6" t="n">
        <v>100000</v>
      </c>
    </row>
    <row r="7">
      <c r="A7" s="10" t="inlineStr">
        <is>
          <t>BMW Z3 1.9i / 2.0i</t>
        </is>
      </c>
      <c r="B7" s="10" t="inlineStr">
        <is>
          <t>100 000 – 150 000 km</t>
        </is>
      </c>
      <c r="C7" s="16">
        <f>COUNTIFS(Annonces!$A$2:$A$451,$A7,Annonces!$C$2:$C$451,"En vente",Annonces!$M$2:$M$451,"&gt;="&amp;$H7,Annonces!$M$2:$M$451,"&lt;"&amp;$I7)</f>
        <v/>
      </c>
      <c r="D7" s="12">
        <f>IFERROR(AVERAGEIFS(Annonces!$J$2:$J$451,Annonces!$A$2:$A$451,$A7,Annonces!$C$2:$C$451,"En vente",Annonces!$M$2:$M$451,"&gt;="&amp;$H7,Annonces!$M$2:$M$451,"&lt;"&amp;$I7),"")</f>
        <v/>
      </c>
      <c r="E7" s="12">
        <f>IF(C7&gt;0,_xlfn.MINIFS(Annonces!$J$2:$J$451,Annonces!$A$2:$A$451,$A7,Annonces!$C$2:$C$451,"En vente",Annonces!$M$2:$M$451,"&gt;="&amp;$H7,Annonces!$M$2:$M$451,"&lt;"&amp;$I7),"")</f>
        <v/>
      </c>
      <c r="F7" s="12">
        <f>IF(C7&gt;0,_xlfn.MAXIFS(Annonces!$J$2:$J$451,Annonces!$A$2:$A$451,$A7,Annonces!$C$2:$C$451,"En vente",Annonces!$M$2:$M$451,"&gt;="&amp;$H7,Annonces!$M$2:$M$451,"&lt;"&amp;$I7),"")</f>
        <v/>
      </c>
      <c r="G7" s="15">
        <f>IFERROR(AVERAGEIFS(Annonces!$M$2:$M$451,Annonces!$A$2:$A$451,$A7,Annonces!$C$2:$C$451,"En vente",Annonces!$M$2:$M$451,"&gt;="&amp;$H7,Annonces!$M$2:$M$451,"&lt;"&amp;$I7),"")</f>
        <v/>
      </c>
      <c r="H7" s="6" t="n">
        <v>100000</v>
      </c>
      <c r="I7" s="6" t="n">
        <v>150000</v>
      </c>
    </row>
    <row r="8">
      <c r="A8" s="10" t="inlineStr">
        <is>
          <t>BMW Z3 1.9i / 2.0i</t>
        </is>
      </c>
      <c r="B8" s="10" t="inlineStr">
        <is>
          <t>150 000 – 200 000 km</t>
        </is>
      </c>
      <c r="C8" s="16">
        <f>COUNTIFS(Annonces!$A$2:$A$451,$A8,Annonces!$C$2:$C$451,"En vente",Annonces!$M$2:$M$451,"&gt;="&amp;$H8,Annonces!$M$2:$M$451,"&lt;"&amp;$I8)</f>
        <v/>
      </c>
      <c r="D8" s="12">
        <f>IFERROR(AVERAGEIFS(Annonces!$J$2:$J$451,Annonces!$A$2:$A$451,$A8,Annonces!$C$2:$C$451,"En vente",Annonces!$M$2:$M$451,"&gt;="&amp;$H8,Annonces!$M$2:$M$451,"&lt;"&amp;$I8),"")</f>
        <v/>
      </c>
      <c r="E8" s="12">
        <f>IF(C8&gt;0,_xlfn.MINIFS(Annonces!$J$2:$J$451,Annonces!$A$2:$A$451,$A8,Annonces!$C$2:$C$451,"En vente",Annonces!$M$2:$M$451,"&gt;="&amp;$H8,Annonces!$M$2:$M$451,"&lt;"&amp;$I8),"")</f>
        <v/>
      </c>
      <c r="F8" s="12">
        <f>IF(C8&gt;0,_xlfn.MAXIFS(Annonces!$J$2:$J$451,Annonces!$A$2:$A$451,$A8,Annonces!$C$2:$C$451,"En vente",Annonces!$M$2:$M$451,"&gt;="&amp;$H8,Annonces!$M$2:$M$451,"&lt;"&amp;$I8),"")</f>
        <v/>
      </c>
      <c r="G8" s="15">
        <f>IFERROR(AVERAGEIFS(Annonces!$M$2:$M$451,Annonces!$A$2:$A$451,$A8,Annonces!$C$2:$C$451,"En vente",Annonces!$M$2:$M$451,"&gt;="&amp;$H8,Annonces!$M$2:$M$451,"&lt;"&amp;$I8),"")</f>
        <v/>
      </c>
      <c r="H8" s="6" t="n">
        <v>150000</v>
      </c>
      <c r="I8" s="6" t="n">
        <v>200000</v>
      </c>
    </row>
    <row r="9">
      <c r="A9" s="10" t="inlineStr">
        <is>
          <t>BMW Z3 1.9i / 2.0i</t>
        </is>
      </c>
      <c r="B9" s="10" t="inlineStr">
        <is>
          <t>≥ 200 000 km</t>
        </is>
      </c>
      <c r="C9" s="16">
        <f>COUNTIFS(Annonces!$A$2:$A$451,$A9,Annonces!$C$2:$C$451,"En vente",Annonces!$M$2:$M$451,"&gt;="&amp;$H9,Annonces!$M$2:$M$451,"&lt;"&amp;$I9)</f>
        <v/>
      </c>
      <c r="D9" s="12">
        <f>IFERROR(AVERAGEIFS(Annonces!$J$2:$J$451,Annonces!$A$2:$A$451,$A9,Annonces!$C$2:$C$451,"En vente",Annonces!$M$2:$M$451,"&gt;="&amp;$H9,Annonces!$M$2:$M$451,"&lt;"&amp;$I9),"")</f>
        <v/>
      </c>
      <c r="E9" s="12">
        <f>IF(C9&gt;0,_xlfn.MINIFS(Annonces!$J$2:$J$451,Annonces!$A$2:$A$451,$A9,Annonces!$C$2:$C$451,"En vente",Annonces!$M$2:$M$451,"&gt;="&amp;$H9,Annonces!$M$2:$M$451,"&lt;"&amp;$I9),"")</f>
        <v/>
      </c>
      <c r="F9" s="12">
        <f>IF(C9&gt;0,_xlfn.MAXIFS(Annonces!$J$2:$J$451,Annonces!$A$2:$A$451,$A9,Annonces!$C$2:$C$451,"En vente",Annonces!$M$2:$M$451,"&gt;="&amp;$H9,Annonces!$M$2:$M$451,"&lt;"&amp;$I9),"")</f>
        <v/>
      </c>
      <c r="G9" s="15">
        <f>IFERROR(AVERAGEIFS(Annonces!$M$2:$M$451,Annonces!$A$2:$A$451,$A9,Annonces!$C$2:$C$451,"En vente",Annonces!$M$2:$M$451,"&gt;="&amp;$H9,Annonces!$M$2:$M$451,"&lt;"&amp;$I9),"")</f>
        <v/>
      </c>
      <c r="H9" s="6" t="n">
        <v>200000</v>
      </c>
      <c r="I9" s="6" t="n">
        <v>10000000</v>
      </c>
    </row>
    <row r="10">
      <c r="A10" s="10" t="inlineStr">
        <is>
          <t>Citroën Saxo VTS 16V</t>
        </is>
      </c>
      <c r="B10" s="10" t="inlineStr">
        <is>
          <t>&lt; 100 000 km</t>
        </is>
      </c>
      <c r="C10" s="16">
        <f>COUNTIFS(Annonces!$A$2:$A$451,$A10,Annonces!$C$2:$C$451,"En vente",Annonces!$M$2:$M$451,"&gt;="&amp;$H10,Annonces!$M$2:$M$451,"&lt;"&amp;$I10)</f>
        <v/>
      </c>
      <c r="D10" s="12">
        <f>IFERROR(AVERAGEIFS(Annonces!$J$2:$J$451,Annonces!$A$2:$A$451,$A10,Annonces!$C$2:$C$451,"En vente",Annonces!$M$2:$M$451,"&gt;="&amp;$H10,Annonces!$M$2:$M$451,"&lt;"&amp;$I10),"")</f>
        <v/>
      </c>
      <c r="E10" s="12">
        <f>IF(C10&gt;0,_xlfn.MINIFS(Annonces!$J$2:$J$451,Annonces!$A$2:$A$451,$A10,Annonces!$C$2:$C$451,"En vente",Annonces!$M$2:$M$451,"&gt;="&amp;$H10,Annonces!$M$2:$M$451,"&lt;"&amp;$I10),"")</f>
        <v/>
      </c>
      <c r="F10" s="12">
        <f>IF(C10&gt;0,_xlfn.MAXIFS(Annonces!$J$2:$J$451,Annonces!$A$2:$A$451,$A10,Annonces!$C$2:$C$451,"En vente",Annonces!$M$2:$M$451,"&gt;="&amp;$H10,Annonces!$M$2:$M$451,"&lt;"&amp;$I10),"")</f>
        <v/>
      </c>
      <c r="G10" s="15">
        <f>IFERROR(AVERAGEIFS(Annonces!$M$2:$M$451,Annonces!$A$2:$A$451,$A10,Annonces!$C$2:$C$451,"En vente",Annonces!$M$2:$M$451,"&gt;="&amp;$H10,Annonces!$M$2:$M$451,"&lt;"&amp;$I10),"")</f>
        <v/>
      </c>
      <c r="H10" s="6" t="n">
        <v>0</v>
      </c>
      <c r="I10" s="6" t="n">
        <v>100000</v>
      </c>
    </row>
    <row r="11">
      <c r="A11" s="10" t="inlineStr">
        <is>
          <t>Citroën Saxo VTS 16V</t>
        </is>
      </c>
      <c r="B11" s="10" t="inlineStr">
        <is>
          <t>100 000 – 150 000 km</t>
        </is>
      </c>
      <c r="C11" s="16">
        <f>COUNTIFS(Annonces!$A$2:$A$451,$A11,Annonces!$C$2:$C$451,"En vente",Annonces!$M$2:$M$451,"&gt;="&amp;$H11,Annonces!$M$2:$M$451,"&lt;"&amp;$I11)</f>
        <v/>
      </c>
      <c r="D11" s="12">
        <f>IFERROR(AVERAGEIFS(Annonces!$J$2:$J$451,Annonces!$A$2:$A$451,$A11,Annonces!$C$2:$C$451,"En vente",Annonces!$M$2:$M$451,"&gt;="&amp;$H11,Annonces!$M$2:$M$451,"&lt;"&amp;$I11),"")</f>
        <v/>
      </c>
      <c r="E11" s="12">
        <f>IF(C11&gt;0,_xlfn.MINIFS(Annonces!$J$2:$J$451,Annonces!$A$2:$A$451,$A11,Annonces!$C$2:$C$451,"En vente",Annonces!$M$2:$M$451,"&gt;="&amp;$H11,Annonces!$M$2:$M$451,"&lt;"&amp;$I11),"")</f>
        <v/>
      </c>
      <c r="F11" s="12">
        <f>IF(C11&gt;0,_xlfn.MAXIFS(Annonces!$J$2:$J$451,Annonces!$A$2:$A$451,$A11,Annonces!$C$2:$C$451,"En vente",Annonces!$M$2:$M$451,"&gt;="&amp;$H11,Annonces!$M$2:$M$451,"&lt;"&amp;$I11),"")</f>
        <v/>
      </c>
      <c r="G11" s="15">
        <f>IFERROR(AVERAGEIFS(Annonces!$M$2:$M$451,Annonces!$A$2:$A$451,$A11,Annonces!$C$2:$C$451,"En vente",Annonces!$M$2:$M$451,"&gt;="&amp;$H11,Annonces!$M$2:$M$451,"&lt;"&amp;$I11),"")</f>
        <v/>
      </c>
      <c r="H11" s="6" t="n">
        <v>100000</v>
      </c>
      <c r="I11" s="6" t="n">
        <v>150000</v>
      </c>
    </row>
    <row r="12">
      <c r="A12" s="10" t="inlineStr">
        <is>
          <t>Citroën Saxo VTS 16V</t>
        </is>
      </c>
      <c r="B12" s="10" t="inlineStr">
        <is>
          <t>150 000 – 200 000 km</t>
        </is>
      </c>
      <c r="C12" s="16">
        <f>COUNTIFS(Annonces!$A$2:$A$451,$A12,Annonces!$C$2:$C$451,"En vente",Annonces!$M$2:$M$451,"&gt;="&amp;$H12,Annonces!$M$2:$M$451,"&lt;"&amp;$I12)</f>
        <v/>
      </c>
      <c r="D12" s="12">
        <f>IFERROR(AVERAGEIFS(Annonces!$J$2:$J$451,Annonces!$A$2:$A$451,$A12,Annonces!$C$2:$C$451,"En vente",Annonces!$M$2:$M$451,"&gt;="&amp;$H12,Annonces!$M$2:$M$451,"&lt;"&amp;$I12),"")</f>
        <v/>
      </c>
      <c r="E12" s="12">
        <f>IF(C12&gt;0,_xlfn.MINIFS(Annonces!$J$2:$J$451,Annonces!$A$2:$A$451,$A12,Annonces!$C$2:$C$451,"En vente",Annonces!$M$2:$M$451,"&gt;="&amp;$H12,Annonces!$M$2:$M$451,"&lt;"&amp;$I12),"")</f>
        <v/>
      </c>
      <c r="F12" s="12">
        <f>IF(C12&gt;0,_xlfn.MAXIFS(Annonces!$J$2:$J$451,Annonces!$A$2:$A$451,$A12,Annonces!$C$2:$C$451,"En vente",Annonces!$M$2:$M$451,"&gt;="&amp;$H12,Annonces!$M$2:$M$451,"&lt;"&amp;$I12),"")</f>
        <v/>
      </c>
      <c r="G12" s="15">
        <f>IFERROR(AVERAGEIFS(Annonces!$M$2:$M$451,Annonces!$A$2:$A$451,$A12,Annonces!$C$2:$C$451,"En vente",Annonces!$M$2:$M$451,"&gt;="&amp;$H12,Annonces!$M$2:$M$451,"&lt;"&amp;$I12),"")</f>
        <v/>
      </c>
      <c r="H12" s="6" t="n">
        <v>150000</v>
      </c>
      <c r="I12" s="6" t="n">
        <v>200000</v>
      </c>
    </row>
    <row r="13">
      <c r="A13" s="10" t="inlineStr">
        <is>
          <t>Citroën Saxo VTS 16V</t>
        </is>
      </c>
      <c r="B13" s="10" t="inlineStr">
        <is>
          <t>≥ 200 000 km</t>
        </is>
      </c>
      <c r="C13" s="16">
        <f>COUNTIFS(Annonces!$A$2:$A$451,$A13,Annonces!$C$2:$C$451,"En vente",Annonces!$M$2:$M$451,"&gt;="&amp;$H13,Annonces!$M$2:$M$451,"&lt;"&amp;$I13)</f>
        <v/>
      </c>
      <c r="D13" s="12">
        <f>IFERROR(AVERAGEIFS(Annonces!$J$2:$J$451,Annonces!$A$2:$A$451,$A13,Annonces!$C$2:$C$451,"En vente",Annonces!$M$2:$M$451,"&gt;="&amp;$H13,Annonces!$M$2:$M$451,"&lt;"&amp;$I13),"")</f>
        <v/>
      </c>
      <c r="E13" s="12">
        <f>IF(C13&gt;0,_xlfn.MINIFS(Annonces!$J$2:$J$451,Annonces!$A$2:$A$451,$A13,Annonces!$C$2:$C$451,"En vente",Annonces!$M$2:$M$451,"&gt;="&amp;$H13,Annonces!$M$2:$M$451,"&lt;"&amp;$I13),"")</f>
        <v/>
      </c>
      <c r="F13" s="12">
        <f>IF(C13&gt;0,_xlfn.MAXIFS(Annonces!$J$2:$J$451,Annonces!$A$2:$A$451,$A13,Annonces!$C$2:$C$451,"En vente",Annonces!$M$2:$M$451,"&gt;="&amp;$H13,Annonces!$M$2:$M$451,"&lt;"&amp;$I13),"")</f>
        <v/>
      </c>
      <c r="G13" s="15">
        <f>IFERROR(AVERAGEIFS(Annonces!$M$2:$M$451,Annonces!$A$2:$A$451,$A13,Annonces!$C$2:$C$451,"En vente",Annonces!$M$2:$M$451,"&gt;="&amp;$H13,Annonces!$M$2:$M$451,"&lt;"&amp;$I13),"")</f>
        <v/>
      </c>
      <c r="H13" s="6" t="n">
        <v>200000</v>
      </c>
      <c r="I13" s="6" t="n">
        <v>10000000</v>
      </c>
    </row>
    <row r="14">
      <c r="A14" s="10" t="inlineStr">
        <is>
          <t>Honda S2000</t>
        </is>
      </c>
      <c r="B14" s="10" t="inlineStr">
        <is>
          <t>&lt; 100 000 km</t>
        </is>
      </c>
      <c r="C14" s="16">
        <f>COUNTIFS(Annonces!$A$2:$A$451,$A14,Annonces!$C$2:$C$451,"En vente",Annonces!$M$2:$M$451,"&gt;="&amp;$H14,Annonces!$M$2:$M$451,"&lt;"&amp;$I14)</f>
        <v/>
      </c>
      <c r="D14" s="12">
        <f>IFERROR(AVERAGEIFS(Annonces!$J$2:$J$451,Annonces!$A$2:$A$451,$A14,Annonces!$C$2:$C$451,"En vente",Annonces!$M$2:$M$451,"&gt;="&amp;$H14,Annonces!$M$2:$M$451,"&lt;"&amp;$I14),"")</f>
        <v/>
      </c>
      <c r="E14" s="12">
        <f>IF(C14&gt;0,_xlfn.MINIFS(Annonces!$J$2:$J$451,Annonces!$A$2:$A$451,$A14,Annonces!$C$2:$C$451,"En vente",Annonces!$M$2:$M$451,"&gt;="&amp;$H14,Annonces!$M$2:$M$451,"&lt;"&amp;$I14),"")</f>
        <v/>
      </c>
      <c r="F14" s="12">
        <f>IF(C14&gt;0,_xlfn.MAXIFS(Annonces!$J$2:$J$451,Annonces!$A$2:$A$451,$A14,Annonces!$C$2:$C$451,"En vente",Annonces!$M$2:$M$451,"&gt;="&amp;$H14,Annonces!$M$2:$M$451,"&lt;"&amp;$I14),"")</f>
        <v/>
      </c>
      <c r="G14" s="15">
        <f>IFERROR(AVERAGEIFS(Annonces!$M$2:$M$451,Annonces!$A$2:$A$451,$A14,Annonces!$C$2:$C$451,"En vente",Annonces!$M$2:$M$451,"&gt;="&amp;$H14,Annonces!$M$2:$M$451,"&lt;"&amp;$I14),"")</f>
        <v/>
      </c>
      <c r="H14" s="6" t="n">
        <v>0</v>
      </c>
      <c r="I14" s="6" t="n">
        <v>100000</v>
      </c>
    </row>
    <row r="15">
      <c r="A15" s="10" t="inlineStr">
        <is>
          <t>Honda S2000</t>
        </is>
      </c>
      <c r="B15" s="10" t="inlineStr">
        <is>
          <t>100 000 – 150 000 km</t>
        </is>
      </c>
      <c r="C15" s="16">
        <f>COUNTIFS(Annonces!$A$2:$A$451,$A15,Annonces!$C$2:$C$451,"En vente",Annonces!$M$2:$M$451,"&gt;="&amp;$H15,Annonces!$M$2:$M$451,"&lt;"&amp;$I15)</f>
        <v/>
      </c>
      <c r="D15" s="12">
        <f>IFERROR(AVERAGEIFS(Annonces!$J$2:$J$451,Annonces!$A$2:$A$451,$A15,Annonces!$C$2:$C$451,"En vente",Annonces!$M$2:$M$451,"&gt;="&amp;$H15,Annonces!$M$2:$M$451,"&lt;"&amp;$I15),"")</f>
        <v/>
      </c>
      <c r="E15" s="12">
        <f>IF(C15&gt;0,_xlfn.MINIFS(Annonces!$J$2:$J$451,Annonces!$A$2:$A$451,$A15,Annonces!$C$2:$C$451,"En vente",Annonces!$M$2:$M$451,"&gt;="&amp;$H15,Annonces!$M$2:$M$451,"&lt;"&amp;$I15),"")</f>
        <v/>
      </c>
      <c r="F15" s="12">
        <f>IF(C15&gt;0,_xlfn.MAXIFS(Annonces!$J$2:$J$451,Annonces!$A$2:$A$451,$A15,Annonces!$C$2:$C$451,"En vente",Annonces!$M$2:$M$451,"&gt;="&amp;$H15,Annonces!$M$2:$M$451,"&lt;"&amp;$I15),"")</f>
        <v/>
      </c>
      <c r="G15" s="15">
        <f>IFERROR(AVERAGEIFS(Annonces!$M$2:$M$451,Annonces!$A$2:$A$451,$A15,Annonces!$C$2:$C$451,"En vente",Annonces!$M$2:$M$451,"&gt;="&amp;$H15,Annonces!$M$2:$M$451,"&lt;"&amp;$I15),"")</f>
        <v/>
      </c>
      <c r="H15" s="6" t="n">
        <v>100000</v>
      </c>
      <c r="I15" s="6" t="n">
        <v>150000</v>
      </c>
    </row>
    <row r="16">
      <c r="A16" s="10" t="inlineStr">
        <is>
          <t>Honda S2000</t>
        </is>
      </c>
      <c r="B16" s="10" t="inlineStr">
        <is>
          <t>150 000 – 200 000 km</t>
        </is>
      </c>
      <c r="C16" s="16">
        <f>COUNTIFS(Annonces!$A$2:$A$451,$A16,Annonces!$C$2:$C$451,"En vente",Annonces!$M$2:$M$451,"&gt;="&amp;$H16,Annonces!$M$2:$M$451,"&lt;"&amp;$I16)</f>
        <v/>
      </c>
      <c r="D16" s="12">
        <f>IFERROR(AVERAGEIFS(Annonces!$J$2:$J$451,Annonces!$A$2:$A$451,$A16,Annonces!$C$2:$C$451,"En vente",Annonces!$M$2:$M$451,"&gt;="&amp;$H16,Annonces!$M$2:$M$451,"&lt;"&amp;$I16),"")</f>
        <v/>
      </c>
      <c r="E16" s="12">
        <f>IF(C16&gt;0,_xlfn.MINIFS(Annonces!$J$2:$J$451,Annonces!$A$2:$A$451,$A16,Annonces!$C$2:$C$451,"En vente",Annonces!$M$2:$M$451,"&gt;="&amp;$H16,Annonces!$M$2:$M$451,"&lt;"&amp;$I16),"")</f>
        <v/>
      </c>
      <c r="F16" s="12">
        <f>IF(C16&gt;0,_xlfn.MAXIFS(Annonces!$J$2:$J$451,Annonces!$A$2:$A$451,$A16,Annonces!$C$2:$C$451,"En vente",Annonces!$M$2:$M$451,"&gt;="&amp;$H16,Annonces!$M$2:$M$451,"&lt;"&amp;$I16),"")</f>
        <v/>
      </c>
      <c r="G16" s="15">
        <f>IFERROR(AVERAGEIFS(Annonces!$M$2:$M$451,Annonces!$A$2:$A$451,$A16,Annonces!$C$2:$C$451,"En vente",Annonces!$M$2:$M$451,"&gt;="&amp;$H16,Annonces!$M$2:$M$451,"&lt;"&amp;$I16),"")</f>
        <v/>
      </c>
      <c r="H16" s="6" t="n">
        <v>150000</v>
      </c>
      <c r="I16" s="6" t="n">
        <v>200000</v>
      </c>
    </row>
    <row r="17">
      <c r="A17" s="10" t="inlineStr">
        <is>
          <t>Honda S2000</t>
        </is>
      </c>
      <c r="B17" s="10" t="inlineStr">
        <is>
          <t>≥ 200 000 km</t>
        </is>
      </c>
      <c r="C17" s="16">
        <f>COUNTIFS(Annonces!$A$2:$A$451,$A17,Annonces!$C$2:$C$451,"En vente",Annonces!$M$2:$M$451,"&gt;="&amp;$H17,Annonces!$M$2:$M$451,"&lt;"&amp;$I17)</f>
        <v/>
      </c>
      <c r="D17" s="12">
        <f>IFERROR(AVERAGEIFS(Annonces!$J$2:$J$451,Annonces!$A$2:$A$451,$A17,Annonces!$C$2:$C$451,"En vente",Annonces!$M$2:$M$451,"&gt;="&amp;$H17,Annonces!$M$2:$M$451,"&lt;"&amp;$I17),"")</f>
        <v/>
      </c>
      <c r="E17" s="12">
        <f>IF(C17&gt;0,_xlfn.MINIFS(Annonces!$J$2:$J$451,Annonces!$A$2:$A$451,$A17,Annonces!$C$2:$C$451,"En vente",Annonces!$M$2:$M$451,"&gt;="&amp;$H17,Annonces!$M$2:$M$451,"&lt;"&amp;$I17),"")</f>
        <v/>
      </c>
      <c r="F17" s="12">
        <f>IF(C17&gt;0,_xlfn.MAXIFS(Annonces!$J$2:$J$451,Annonces!$A$2:$A$451,$A17,Annonces!$C$2:$C$451,"En vente",Annonces!$M$2:$M$451,"&gt;="&amp;$H17,Annonces!$M$2:$M$451,"&lt;"&amp;$I17),"")</f>
        <v/>
      </c>
      <c r="G17" s="15">
        <f>IFERROR(AVERAGEIFS(Annonces!$M$2:$M$451,Annonces!$A$2:$A$451,$A17,Annonces!$C$2:$C$451,"En vente",Annonces!$M$2:$M$451,"&gt;="&amp;$H17,Annonces!$M$2:$M$451,"&lt;"&amp;$I17),"")</f>
        <v/>
      </c>
      <c r="H17" s="6" t="n">
        <v>200000</v>
      </c>
      <c r="I17" s="6" t="n">
        <v>10000000</v>
      </c>
    </row>
    <row r="18">
      <c r="A18" s="10" t="inlineStr">
        <is>
          <t>Mazda MX-5 NA</t>
        </is>
      </c>
      <c r="B18" s="10" t="inlineStr">
        <is>
          <t>&lt; 100 000 km</t>
        </is>
      </c>
      <c r="C18" s="16">
        <f>COUNTIFS(Annonces!$A$2:$A$451,$A18,Annonces!$C$2:$C$451,"En vente",Annonces!$M$2:$M$451,"&gt;="&amp;$H18,Annonces!$M$2:$M$451,"&lt;"&amp;$I18)</f>
        <v/>
      </c>
      <c r="D18" s="12">
        <f>IFERROR(AVERAGEIFS(Annonces!$J$2:$J$451,Annonces!$A$2:$A$451,$A18,Annonces!$C$2:$C$451,"En vente",Annonces!$M$2:$M$451,"&gt;="&amp;$H18,Annonces!$M$2:$M$451,"&lt;"&amp;$I18),"")</f>
        <v/>
      </c>
      <c r="E18" s="12">
        <f>IF(C18&gt;0,_xlfn.MINIFS(Annonces!$J$2:$J$451,Annonces!$A$2:$A$451,$A18,Annonces!$C$2:$C$451,"En vente",Annonces!$M$2:$M$451,"&gt;="&amp;$H18,Annonces!$M$2:$M$451,"&lt;"&amp;$I18),"")</f>
        <v/>
      </c>
      <c r="F18" s="12">
        <f>IF(C18&gt;0,_xlfn.MAXIFS(Annonces!$J$2:$J$451,Annonces!$A$2:$A$451,$A18,Annonces!$C$2:$C$451,"En vente",Annonces!$M$2:$M$451,"&gt;="&amp;$H18,Annonces!$M$2:$M$451,"&lt;"&amp;$I18),"")</f>
        <v/>
      </c>
      <c r="G18" s="15">
        <f>IFERROR(AVERAGEIFS(Annonces!$M$2:$M$451,Annonces!$A$2:$A$451,$A18,Annonces!$C$2:$C$451,"En vente",Annonces!$M$2:$M$451,"&gt;="&amp;$H18,Annonces!$M$2:$M$451,"&lt;"&amp;$I18),"")</f>
        <v/>
      </c>
      <c r="H18" s="6" t="n">
        <v>0</v>
      </c>
      <c r="I18" s="6" t="n">
        <v>100000</v>
      </c>
    </row>
    <row r="19">
      <c r="A19" s="10" t="inlineStr">
        <is>
          <t>Mazda MX-5 NA</t>
        </is>
      </c>
      <c r="B19" s="10" t="inlineStr">
        <is>
          <t>100 000 – 150 000 km</t>
        </is>
      </c>
      <c r="C19" s="16">
        <f>COUNTIFS(Annonces!$A$2:$A$451,$A19,Annonces!$C$2:$C$451,"En vente",Annonces!$M$2:$M$451,"&gt;="&amp;$H19,Annonces!$M$2:$M$451,"&lt;"&amp;$I19)</f>
        <v/>
      </c>
      <c r="D19" s="12">
        <f>IFERROR(AVERAGEIFS(Annonces!$J$2:$J$451,Annonces!$A$2:$A$451,$A19,Annonces!$C$2:$C$451,"En vente",Annonces!$M$2:$M$451,"&gt;="&amp;$H19,Annonces!$M$2:$M$451,"&lt;"&amp;$I19),"")</f>
        <v/>
      </c>
      <c r="E19" s="12">
        <f>IF(C19&gt;0,_xlfn.MINIFS(Annonces!$J$2:$J$451,Annonces!$A$2:$A$451,$A19,Annonces!$C$2:$C$451,"En vente",Annonces!$M$2:$M$451,"&gt;="&amp;$H19,Annonces!$M$2:$M$451,"&lt;"&amp;$I19),"")</f>
        <v/>
      </c>
      <c r="F19" s="12">
        <f>IF(C19&gt;0,_xlfn.MAXIFS(Annonces!$J$2:$J$451,Annonces!$A$2:$A$451,$A19,Annonces!$C$2:$C$451,"En vente",Annonces!$M$2:$M$451,"&gt;="&amp;$H19,Annonces!$M$2:$M$451,"&lt;"&amp;$I19),"")</f>
        <v/>
      </c>
      <c r="G19" s="15">
        <f>IFERROR(AVERAGEIFS(Annonces!$M$2:$M$451,Annonces!$A$2:$A$451,$A19,Annonces!$C$2:$C$451,"En vente",Annonces!$M$2:$M$451,"&gt;="&amp;$H19,Annonces!$M$2:$M$451,"&lt;"&amp;$I19),"")</f>
        <v/>
      </c>
      <c r="H19" s="6" t="n">
        <v>100000</v>
      </c>
      <c r="I19" s="6" t="n">
        <v>150000</v>
      </c>
    </row>
    <row r="20">
      <c r="A20" s="10" t="inlineStr">
        <is>
          <t>Mazda MX-5 NA</t>
        </is>
      </c>
      <c r="B20" s="10" t="inlineStr">
        <is>
          <t>150 000 – 200 000 km</t>
        </is>
      </c>
      <c r="C20" s="16">
        <f>COUNTIFS(Annonces!$A$2:$A$451,$A20,Annonces!$C$2:$C$451,"En vente",Annonces!$M$2:$M$451,"&gt;="&amp;$H20,Annonces!$M$2:$M$451,"&lt;"&amp;$I20)</f>
        <v/>
      </c>
      <c r="D20" s="12">
        <f>IFERROR(AVERAGEIFS(Annonces!$J$2:$J$451,Annonces!$A$2:$A$451,$A20,Annonces!$C$2:$C$451,"En vente",Annonces!$M$2:$M$451,"&gt;="&amp;$H20,Annonces!$M$2:$M$451,"&lt;"&amp;$I20),"")</f>
        <v/>
      </c>
      <c r="E20" s="12">
        <f>IF(C20&gt;0,_xlfn.MINIFS(Annonces!$J$2:$J$451,Annonces!$A$2:$A$451,$A20,Annonces!$C$2:$C$451,"En vente",Annonces!$M$2:$M$451,"&gt;="&amp;$H20,Annonces!$M$2:$M$451,"&lt;"&amp;$I20),"")</f>
        <v/>
      </c>
      <c r="F20" s="12">
        <f>IF(C20&gt;0,_xlfn.MAXIFS(Annonces!$J$2:$J$451,Annonces!$A$2:$A$451,$A20,Annonces!$C$2:$C$451,"En vente",Annonces!$M$2:$M$451,"&gt;="&amp;$H20,Annonces!$M$2:$M$451,"&lt;"&amp;$I20),"")</f>
        <v/>
      </c>
      <c r="G20" s="15">
        <f>IFERROR(AVERAGEIFS(Annonces!$M$2:$M$451,Annonces!$A$2:$A$451,$A20,Annonces!$C$2:$C$451,"En vente",Annonces!$M$2:$M$451,"&gt;="&amp;$H20,Annonces!$M$2:$M$451,"&lt;"&amp;$I20),"")</f>
        <v/>
      </c>
      <c r="H20" s="6" t="n">
        <v>150000</v>
      </c>
      <c r="I20" s="6" t="n">
        <v>200000</v>
      </c>
    </row>
    <row r="21">
      <c r="A21" s="10" t="inlineStr">
        <is>
          <t>Mazda MX-5 NA</t>
        </is>
      </c>
      <c r="B21" s="10" t="inlineStr">
        <is>
          <t>≥ 200 000 km</t>
        </is>
      </c>
      <c r="C21" s="16">
        <f>COUNTIFS(Annonces!$A$2:$A$451,$A21,Annonces!$C$2:$C$451,"En vente",Annonces!$M$2:$M$451,"&gt;="&amp;$H21,Annonces!$M$2:$M$451,"&lt;"&amp;$I21)</f>
        <v/>
      </c>
      <c r="D21" s="12">
        <f>IFERROR(AVERAGEIFS(Annonces!$J$2:$J$451,Annonces!$A$2:$A$451,$A21,Annonces!$C$2:$C$451,"En vente",Annonces!$M$2:$M$451,"&gt;="&amp;$H21,Annonces!$M$2:$M$451,"&lt;"&amp;$I21),"")</f>
        <v/>
      </c>
      <c r="E21" s="12">
        <f>IF(C21&gt;0,_xlfn.MINIFS(Annonces!$J$2:$J$451,Annonces!$A$2:$A$451,$A21,Annonces!$C$2:$C$451,"En vente",Annonces!$M$2:$M$451,"&gt;="&amp;$H21,Annonces!$M$2:$M$451,"&lt;"&amp;$I21),"")</f>
        <v/>
      </c>
      <c r="F21" s="12">
        <f>IF(C21&gt;0,_xlfn.MAXIFS(Annonces!$J$2:$J$451,Annonces!$A$2:$A$451,$A21,Annonces!$C$2:$C$451,"En vente",Annonces!$M$2:$M$451,"&gt;="&amp;$H21,Annonces!$M$2:$M$451,"&lt;"&amp;$I21),"")</f>
        <v/>
      </c>
      <c r="G21" s="15">
        <f>IFERROR(AVERAGEIFS(Annonces!$M$2:$M$451,Annonces!$A$2:$A$451,$A21,Annonces!$C$2:$C$451,"En vente",Annonces!$M$2:$M$451,"&gt;="&amp;$H21,Annonces!$M$2:$M$451,"&lt;"&amp;$I21),"")</f>
        <v/>
      </c>
      <c r="H21" s="6" t="n">
        <v>200000</v>
      </c>
      <c r="I21" s="6" t="n">
        <v>10000000</v>
      </c>
    </row>
    <row r="22">
      <c r="A22" s="10" t="inlineStr">
        <is>
          <t>Peugeot 205 GTI</t>
        </is>
      </c>
      <c r="B22" s="10" t="inlineStr">
        <is>
          <t>&lt; 100 000 km</t>
        </is>
      </c>
      <c r="C22" s="16">
        <f>COUNTIFS(Annonces!$A$2:$A$451,$A22,Annonces!$C$2:$C$451,"En vente",Annonces!$M$2:$M$451,"&gt;="&amp;$H22,Annonces!$M$2:$M$451,"&lt;"&amp;$I22)</f>
        <v/>
      </c>
      <c r="D22" s="12">
        <f>IFERROR(AVERAGEIFS(Annonces!$J$2:$J$451,Annonces!$A$2:$A$451,$A22,Annonces!$C$2:$C$451,"En vente",Annonces!$M$2:$M$451,"&gt;="&amp;$H22,Annonces!$M$2:$M$451,"&lt;"&amp;$I22),"")</f>
        <v/>
      </c>
      <c r="E22" s="12">
        <f>IF(C22&gt;0,_xlfn.MINIFS(Annonces!$J$2:$J$451,Annonces!$A$2:$A$451,$A22,Annonces!$C$2:$C$451,"En vente",Annonces!$M$2:$M$451,"&gt;="&amp;$H22,Annonces!$M$2:$M$451,"&lt;"&amp;$I22),"")</f>
        <v/>
      </c>
      <c r="F22" s="12">
        <f>IF(C22&gt;0,_xlfn.MAXIFS(Annonces!$J$2:$J$451,Annonces!$A$2:$A$451,$A22,Annonces!$C$2:$C$451,"En vente",Annonces!$M$2:$M$451,"&gt;="&amp;$H22,Annonces!$M$2:$M$451,"&lt;"&amp;$I22),"")</f>
        <v/>
      </c>
      <c r="G22" s="15">
        <f>IFERROR(AVERAGEIFS(Annonces!$M$2:$M$451,Annonces!$A$2:$A$451,$A22,Annonces!$C$2:$C$451,"En vente",Annonces!$M$2:$M$451,"&gt;="&amp;$H22,Annonces!$M$2:$M$451,"&lt;"&amp;$I22),"")</f>
        <v/>
      </c>
      <c r="H22" s="6" t="n">
        <v>0</v>
      </c>
      <c r="I22" s="6" t="n">
        <v>100000</v>
      </c>
    </row>
    <row r="23">
      <c r="A23" s="10" t="inlineStr">
        <is>
          <t>Peugeot 205 GTI</t>
        </is>
      </c>
      <c r="B23" s="10" t="inlineStr">
        <is>
          <t>100 000 – 150 000 km</t>
        </is>
      </c>
      <c r="C23" s="16">
        <f>COUNTIFS(Annonces!$A$2:$A$451,$A23,Annonces!$C$2:$C$451,"En vente",Annonces!$M$2:$M$451,"&gt;="&amp;$H23,Annonces!$M$2:$M$451,"&lt;"&amp;$I23)</f>
        <v/>
      </c>
      <c r="D23" s="12">
        <f>IFERROR(AVERAGEIFS(Annonces!$J$2:$J$451,Annonces!$A$2:$A$451,$A23,Annonces!$C$2:$C$451,"En vente",Annonces!$M$2:$M$451,"&gt;="&amp;$H23,Annonces!$M$2:$M$451,"&lt;"&amp;$I23),"")</f>
        <v/>
      </c>
      <c r="E23" s="12">
        <f>IF(C23&gt;0,_xlfn.MINIFS(Annonces!$J$2:$J$451,Annonces!$A$2:$A$451,$A23,Annonces!$C$2:$C$451,"En vente",Annonces!$M$2:$M$451,"&gt;="&amp;$H23,Annonces!$M$2:$M$451,"&lt;"&amp;$I23),"")</f>
        <v/>
      </c>
      <c r="F23" s="12">
        <f>IF(C23&gt;0,_xlfn.MAXIFS(Annonces!$J$2:$J$451,Annonces!$A$2:$A$451,$A23,Annonces!$C$2:$C$451,"En vente",Annonces!$M$2:$M$451,"&gt;="&amp;$H23,Annonces!$M$2:$M$451,"&lt;"&amp;$I23),"")</f>
        <v/>
      </c>
      <c r="G23" s="15">
        <f>IFERROR(AVERAGEIFS(Annonces!$M$2:$M$451,Annonces!$A$2:$A$451,$A23,Annonces!$C$2:$C$451,"En vente",Annonces!$M$2:$M$451,"&gt;="&amp;$H23,Annonces!$M$2:$M$451,"&lt;"&amp;$I23),"")</f>
        <v/>
      </c>
      <c r="H23" s="6" t="n">
        <v>100000</v>
      </c>
      <c r="I23" s="6" t="n">
        <v>150000</v>
      </c>
    </row>
    <row r="24">
      <c r="A24" s="10" t="inlineStr">
        <is>
          <t>Peugeot 205 GTI</t>
        </is>
      </c>
      <c r="B24" s="10" t="inlineStr">
        <is>
          <t>150 000 – 200 000 km</t>
        </is>
      </c>
      <c r="C24" s="16">
        <f>COUNTIFS(Annonces!$A$2:$A$451,$A24,Annonces!$C$2:$C$451,"En vente",Annonces!$M$2:$M$451,"&gt;="&amp;$H24,Annonces!$M$2:$M$451,"&lt;"&amp;$I24)</f>
        <v/>
      </c>
      <c r="D24" s="12">
        <f>IFERROR(AVERAGEIFS(Annonces!$J$2:$J$451,Annonces!$A$2:$A$451,$A24,Annonces!$C$2:$C$451,"En vente",Annonces!$M$2:$M$451,"&gt;="&amp;$H24,Annonces!$M$2:$M$451,"&lt;"&amp;$I24),"")</f>
        <v/>
      </c>
      <c r="E24" s="12">
        <f>IF(C24&gt;0,_xlfn.MINIFS(Annonces!$J$2:$J$451,Annonces!$A$2:$A$451,$A24,Annonces!$C$2:$C$451,"En vente",Annonces!$M$2:$M$451,"&gt;="&amp;$H24,Annonces!$M$2:$M$451,"&lt;"&amp;$I24),"")</f>
        <v/>
      </c>
      <c r="F24" s="12">
        <f>IF(C24&gt;0,_xlfn.MAXIFS(Annonces!$J$2:$J$451,Annonces!$A$2:$A$451,$A24,Annonces!$C$2:$C$451,"En vente",Annonces!$M$2:$M$451,"&gt;="&amp;$H24,Annonces!$M$2:$M$451,"&lt;"&amp;$I24),"")</f>
        <v/>
      </c>
      <c r="G24" s="15">
        <f>IFERROR(AVERAGEIFS(Annonces!$M$2:$M$451,Annonces!$A$2:$A$451,$A24,Annonces!$C$2:$C$451,"En vente",Annonces!$M$2:$M$451,"&gt;="&amp;$H24,Annonces!$M$2:$M$451,"&lt;"&amp;$I24),"")</f>
        <v/>
      </c>
      <c r="H24" s="6" t="n">
        <v>150000</v>
      </c>
      <c r="I24" s="6" t="n">
        <v>200000</v>
      </c>
    </row>
    <row r="25">
      <c r="A25" s="10" t="inlineStr">
        <is>
          <t>Peugeot 205 GTI</t>
        </is>
      </c>
      <c r="B25" s="10" t="inlineStr">
        <is>
          <t>≥ 200 000 km</t>
        </is>
      </c>
      <c r="C25" s="16">
        <f>COUNTIFS(Annonces!$A$2:$A$451,$A25,Annonces!$C$2:$C$451,"En vente",Annonces!$M$2:$M$451,"&gt;="&amp;$H25,Annonces!$M$2:$M$451,"&lt;"&amp;$I25)</f>
        <v/>
      </c>
      <c r="D25" s="12">
        <f>IFERROR(AVERAGEIFS(Annonces!$J$2:$J$451,Annonces!$A$2:$A$451,$A25,Annonces!$C$2:$C$451,"En vente",Annonces!$M$2:$M$451,"&gt;="&amp;$H25,Annonces!$M$2:$M$451,"&lt;"&amp;$I25),"")</f>
        <v/>
      </c>
      <c r="E25" s="12">
        <f>IF(C25&gt;0,_xlfn.MINIFS(Annonces!$J$2:$J$451,Annonces!$A$2:$A$451,$A25,Annonces!$C$2:$C$451,"En vente",Annonces!$M$2:$M$451,"&gt;="&amp;$H25,Annonces!$M$2:$M$451,"&lt;"&amp;$I25),"")</f>
        <v/>
      </c>
      <c r="F25" s="12">
        <f>IF(C25&gt;0,_xlfn.MAXIFS(Annonces!$J$2:$J$451,Annonces!$A$2:$A$451,$A25,Annonces!$C$2:$C$451,"En vente",Annonces!$M$2:$M$451,"&gt;="&amp;$H25,Annonces!$M$2:$M$451,"&lt;"&amp;$I25),"")</f>
        <v/>
      </c>
      <c r="G25" s="15">
        <f>IFERROR(AVERAGEIFS(Annonces!$M$2:$M$451,Annonces!$A$2:$A$451,$A25,Annonces!$C$2:$C$451,"En vente",Annonces!$M$2:$M$451,"&gt;="&amp;$H25,Annonces!$M$2:$M$451,"&lt;"&amp;$I25),"")</f>
        <v/>
      </c>
      <c r="H25" s="6" t="n">
        <v>200000</v>
      </c>
      <c r="I25" s="6" t="n">
        <v>10000000</v>
      </c>
    </row>
    <row r="26">
      <c r="A26" s="10" t="inlineStr">
        <is>
          <t>Peugeot 206 RC</t>
        </is>
      </c>
      <c r="B26" s="10" t="inlineStr">
        <is>
          <t>&lt; 100 000 km</t>
        </is>
      </c>
      <c r="C26" s="16">
        <f>COUNTIFS(Annonces!$A$2:$A$451,$A26,Annonces!$C$2:$C$451,"En vente",Annonces!$M$2:$M$451,"&gt;="&amp;$H26,Annonces!$M$2:$M$451,"&lt;"&amp;$I26)</f>
        <v/>
      </c>
      <c r="D26" s="12">
        <f>IFERROR(AVERAGEIFS(Annonces!$J$2:$J$451,Annonces!$A$2:$A$451,$A26,Annonces!$C$2:$C$451,"En vente",Annonces!$M$2:$M$451,"&gt;="&amp;$H26,Annonces!$M$2:$M$451,"&lt;"&amp;$I26),"")</f>
        <v/>
      </c>
      <c r="E26" s="12">
        <f>IF(C26&gt;0,_xlfn.MINIFS(Annonces!$J$2:$J$451,Annonces!$A$2:$A$451,$A26,Annonces!$C$2:$C$451,"En vente",Annonces!$M$2:$M$451,"&gt;="&amp;$H26,Annonces!$M$2:$M$451,"&lt;"&amp;$I26),"")</f>
        <v/>
      </c>
      <c r="F26" s="12">
        <f>IF(C26&gt;0,_xlfn.MAXIFS(Annonces!$J$2:$J$451,Annonces!$A$2:$A$451,$A26,Annonces!$C$2:$C$451,"En vente",Annonces!$M$2:$M$451,"&gt;="&amp;$H26,Annonces!$M$2:$M$451,"&lt;"&amp;$I26),"")</f>
        <v/>
      </c>
      <c r="G26" s="15">
        <f>IFERROR(AVERAGEIFS(Annonces!$M$2:$M$451,Annonces!$A$2:$A$451,$A26,Annonces!$C$2:$C$451,"En vente",Annonces!$M$2:$M$451,"&gt;="&amp;$H26,Annonces!$M$2:$M$451,"&lt;"&amp;$I26),"")</f>
        <v/>
      </c>
      <c r="H26" s="6" t="n">
        <v>0</v>
      </c>
      <c r="I26" s="6" t="n">
        <v>100000</v>
      </c>
    </row>
    <row r="27">
      <c r="A27" s="10" t="inlineStr">
        <is>
          <t>Peugeot 206 RC</t>
        </is>
      </c>
      <c r="B27" s="10" t="inlineStr">
        <is>
          <t>100 000 – 150 000 km</t>
        </is>
      </c>
      <c r="C27" s="16">
        <f>COUNTIFS(Annonces!$A$2:$A$451,$A27,Annonces!$C$2:$C$451,"En vente",Annonces!$M$2:$M$451,"&gt;="&amp;$H27,Annonces!$M$2:$M$451,"&lt;"&amp;$I27)</f>
        <v/>
      </c>
      <c r="D27" s="12">
        <f>IFERROR(AVERAGEIFS(Annonces!$J$2:$J$451,Annonces!$A$2:$A$451,$A27,Annonces!$C$2:$C$451,"En vente",Annonces!$M$2:$M$451,"&gt;="&amp;$H27,Annonces!$M$2:$M$451,"&lt;"&amp;$I27),"")</f>
        <v/>
      </c>
      <c r="E27" s="12">
        <f>IF(C27&gt;0,_xlfn.MINIFS(Annonces!$J$2:$J$451,Annonces!$A$2:$A$451,$A27,Annonces!$C$2:$C$451,"En vente",Annonces!$M$2:$M$451,"&gt;="&amp;$H27,Annonces!$M$2:$M$451,"&lt;"&amp;$I27),"")</f>
        <v/>
      </c>
      <c r="F27" s="12">
        <f>IF(C27&gt;0,_xlfn.MAXIFS(Annonces!$J$2:$J$451,Annonces!$A$2:$A$451,$A27,Annonces!$C$2:$C$451,"En vente",Annonces!$M$2:$M$451,"&gt;="&amp;$H27,Annonces!$M$2:$M$451,"&lt;"&amp;$I27),"")</f>
        <v/>
      </c>
      <c r="G27" s="15">
        <f>IFERROR(AVERAGEIFS(Annonces!$M$2:$M$451,Annonces!$A$2:$A$451,$A27,Annonces!$C$2:$C$451,"En vente",Annonces!$M$2:$M$451,"&gt;="&amp;$H27,Annonces!$M$2:$M$451,"&lt;"&amp;$I27),"")</f>
        <v/>
      </c>
      <c r="H27" s="6" t="n">
        <v>100000</v>
      </c>
      <c r="I27" s="6" t="n">
        <v>150000</v>
      </c>
    </row>
    <row r="28">
      <c r="A28" s="10" t="inlineStr">
        <is>
          <t>Peugeot 206 RC</t>
        </is>
      </c>
      <c r="B28" s="10" t="inlineStr">
        <is>
          <t>150 000 – 200 000 km</t>
        </is>
      </c>
      <c r="C28" s="16">
        <f>COUNTIFS(Annonces!$A$2:$A$451,$A28,Annonces!$C$2:$C$451,"En vente",Annonces!$M$2:$M$451,"&gt;="&amp;$H28,Annonces!$M$2:$M$451,"&lt;"&amp;$I28)</f>
        <v/>
      </c>
      <c r="D28" s="12">
        <f>IFERROR(AVERAGEIFS(Annonces!$J$2:$J$451,Annonces!$A$2:$A$451,$A28,Annonces!$C$2:$C$451,"En vente",Annonces!$M$2:$M$451,"&gt;="&amp;$H28,Annonces!$M$2:$M$451,"&lt;"&amp;$I28),"")</f>
        <v/>
      </c>
      <c r="E28" s="12">
        <f>IF(C28&gt;0,_xlfn.MINIFS(Annonces!$J$2:$J$451,Annonces!$A$2:$A$451,$A28,Annonces!$C$2:$C$451,"En vente",Annonces!$M$2:$M$451,"&gt;="&amp;$H28,Annonces!$M$2:$M$451,"&lt;"&amp;$I28),"")</f>
        <v/>
      </c>
      <c r="F28" s="12">
        <f>IF(C28&gt;0,_xlfn.MAXIFS(Annonces!$J$2:$J$451,Annonces!$A$2:$A$451,$A28,Annonces!$C$2:$C$451,"En vente",Annonces!$M$2:$M$451,"&gt;="&amp;$H28,Annonces!$M$2:$M$451,"&lt;"&amp;$I28),"")</f>
        <v/>
      </c>
      <c r="G28" s="15">
        <f>IFERROR(AVERAGEIFS(Annonces!$M$2:$M$451,Annonces!$A$2:$A$451,$A28,Annonces!$C$2:$C$451,"En vente",Annonces!$M$2:$M$451,"&gt;="&amp;$H28,Annonces!$M$2:$M$451,"&lt;"&amp;$I28),"")</f>
        <v/>
      </c>
      <c r="H28" s="6" t="n">
        <v>150000</v>
      </c>
      <c r="I28" s="6" t="n">
        <v>200000</v>
      </c>
    </row>
    <row r="29">
      <c r="A29" s="10" t="inlineStr">
        <is>
          <t>Peugeot 206 RC</t>
        </is>
      </c>
      <c r="B29" s="10" t="inlineStr">
        <is>
          <t>≥ 200 000 km</t>
        </is>
      </c>
      <c r="C29" s="16">
        <f>COUNTIFS(Annonces!$A$2:$A$451,$A29,Annonces!$C$2:$C$451,"En vente",Annonces!$M$2:$M$451,"&gt;="&amp;$H29,Annonces!$M$2:$M$451,"&lt;"&amp;$I29)</f>
        <v/>
      </c>
      <c r="D29" s="12">
        <f>IFERROR(AVERAGEIFS(Annonces!$J$2:$J$451,Annonces!$A$2:$A$451,$A29,Annonces!$C$2:$C$451,"En vente",Annonces!$M$2:$M$451,"&gt;="&amp;$H29,Annonces!$M$2:$M$451,"&lt;"&amp;$I29),"")</f>
        <v/>
      </c>
      <c r="E29" s="12">
        <f>IF(C29&gt;0,_xlfn.MINIFS(Annonces!$J$2:$J$451,Annonces!$A$2:$A$451,$A29,Annonces!$C$2:$C$451,"En vente",Annonces!$M$2:$M$451,"&gt;="&amp;$H29,Annonces!$M$2:$M$451,"&lt;"&amp;$I29),"")</f>
        <v/>
      </c>
      <c r="F29" s="12">
        <f>IF(C29&gt;0,_xlfn.MAXIFS(Annonces!$J$2:$J$451,Annonces!$A$2:$A$451,$A29,Annonces!$C$2:$C$451,"En vente",Annonces!$M$2:$M$451,"&gt;="&amp;$H29,Annonces!$M$2:$M$451,"&lt;"&amp;$I29),"")</f>
        <v/>
      </c>
      <c r="G29" s="15">
        <f>IFERROR(AVERAGEIFS(Annonces!$M$2:$M$451,Annonces!$A$2:$A$451,$A29,Annonces!$C$2:$C$451,"En vente",Annonces!$M$2:$M$451,"&gt;="&amp;$H29,Annonces!$M$2:$M$451,"&lt;"&amp;$I29),"")</f>
        <v/>
      </c>
      <c r="H29" s="6" t="n">
        <v>200000</v>
      </c>
      <c r="I29" s="6" t="n">
        <v>10000000</v>
      </c>
    </row>
    <row r="30">
      <c r="A30" s="10" t="inlineStr">
        <is>
          <t>Peugeot 208 GTi 30th</t>
        </is>
      </c>
      <c r="B30" s="10" t="inlineStr">
        <is>
          <t>&lt; 100 000 km</t>
        </is>
      </c>
      <c r="C30" s="16">
        <f>COUNTIFS(Annonces!$A$2:$A$451,$A30,Annonces!$C$2:$C$451,"En vente",Annonces!$M$2:$M$451,"&gt;="&amp;$H30,Annonces!$M$2:$M$451,"&lt;"&amp;$I30)</f>
        <v/>
      </c>
      <c r="D30" s="12">
        <f>IFERROR(AVERAGEIFS(Annonces!$J$2:$J$451,Annonces!$A$2:$A$451,$A30,Annonces!$C$2:$C$451,"En vente",Annonces!$M$2:$M$451,"&gt;="&amp;$H30,Annonces!$M$2:$M$451,"&lt;"&amp;$I30),"")</f>
        <v/>
      </c>
      <c r="E30" s="12">
        <f>IF(C30&gt;0,_xlfn.MINIFS(Annonces!$J$2:$J$451,Annonces!$A$2:$A$451,$A30,Annonces!$C$2:$C$451,"En vente",Annonces!$M$2:$M$451,"&gt;="&amp;$H30,Annonces!$M$2:$M$451,"&lt;"&amp;$I30),"")</f>
        <v/>
      </c>
      <c r="F30" s="12">
        <f>IF(C30&gt;0,_xlfn.MAXIFS(Annonces!$J$2:$J$451,Annonces!$A$2:$A$451,$A30,Annonces!$C$2:$C$451,"En vente",Annonces!$M$2:$M$451,"&gt;="&amp;$H30,Annonces!$M$2:$M$451,"&lt;"&amp;$I30),"")</f>
        <v/>
      </c>
      <c r="G30" s="15">
        <f>IFERROR(AVERAGEIFS(Annonces!$M$2:$M$451,Annonces!$A$2:$A$451,$A30,Annonces!$C$2:$C$451,"En vente",Annonces!$M$2:$M$451,"&gt;="&amp;$H30,Annonces!$M$2:$M$451,"&lt;"&amp;$I30),"")</f>
        <v/>
      </c>
      <c r="H30" s="6" t="n">
        <v>0</v>
      </c>
      <c r="I30" s="6" t="n">
        <v>100000</v>
      </c>
    </row>
    <row r="31">
      <c r="A31" s="10" t="inlineStr">
        <is>
          <t>Peugeot 208 GTi 30th</t>
        </is>
      </c>
      <c r="B31" s="10" t="inlineStr">
        <is>
          <t>100 000 – 150 000 km</t>
        </is>
      </c>
      <c r="C31" s="16">
        <f>COUNTIFS(Annonces!$A$2:$A$451,$A31,Annonces!$C$2:$C$451,"En vente",Annonces!$M$2:$M$451,"&gt;="&amp;$H31,Annonces!$M$2:$M$451,"&lt;"&amp;$I31)</f>
        <v/>
      </c>
      <c r="D31" s="12">
        <f>IFERROR(AVERAGEIFS(Annonces!$J$2:$J$451,Annonces!$A$2:$A$451,$A31,Annonces!$C$2:$C$451,"En vente",Annonces!$M$2:$M$451,"&gt;="&amp;$H31,Annonces!$M$2:$M$451,"&lt;"&amp;$I31),"")</f>
        <v/>
      </c>
      <c r="E31" s="12">
        <f>IF(C31&gt;0,_xlfn.MINIFS(Annonces!$J$2:$J$451,Annonces!$A$2:$A$451,$A31,Annonces!$C$2:$C$451,"En vente",Annonces!$M$2:$M$451,"&gt;="&amp;$H31,Annonces!$M$2:$M$451,"&lt;"&amp;$I31),"")</f>
        <v/>
      </c>
      <c r="F31" s="12">
        <f>IF(C31&gt;0,_xlfn.MAXIFS(Annonces!$J$2:$J$451,Annonces!$A$2:$A$451,$A31,Annonces!$C$2:$C$451,"En vente",Annonces!$M$2:$M$451,"&gt;="&amp;$H31,Annonces!$M$2:$M$451,"&lt;"&amp;$I31),"")</f>
        <v/>
      </c>
      <c r="G31" s="15">
        <f>IFERROR(AVERAGEIFS(Annonces!$M$2:$M$451,Annonces!$A$2:$A$451,$A31,Annonces!$C$2:$C$451,"En vente",Annonces!$M$2:$M$451,"&gt;="&amp;$H31,Annonces!$M$2:$M$451,"&lt;"&amp;$I31),"")</f>
        <v/>
      </c>
      <c r="H31" s="6" t="n">
        <v>100000</v>
      </c>
      <c r="I31" s="6" t="n">
        <v>150000</v>
      </c>
    </row>
    <row r="32">
      <c r="A32" s="10" t="inlineStr">
        <is>
          <t>Peugeot 208 GTi 30th</t>
        </is>
      </c>
      <c r="B32" s="10" t="inlineStr">
        <is>
          <t>150 000 – 200 000 km</t>
        </is>
      </c>
      <c r="C32" s="16">
        <f>COUNTIFS(Annonces!$A$2:$A$451,$A32,Annonces!$C$2:$C$451,"En vente",Annonces!$M$2:$M$451,"&gt;="&amp;$H32,Annonces!$M$2:$M$451,"&lt;"&amp;$I32)</f>
        <v/>
      </c>
      <c r="D32" s="12">
        <f>IFERROR(AVERAGEIFS(Annonces!$J$2:$J$451,Annonces!$A$2:$A$451,$A32,Annonces!$C$2:$C$451,"En vente",Annonces!$M$2:$M$451,"&gt;="&amp;$H32,Annonces!$M$2:$M$451,"&lt;"&amp;$I32),"")</f>
        <v/>
      </c>
      <c r="E32" s="12">
        <f>IF(C32&gt;0,_xlfn.MINIFS(Annonces!$J$2:$J$451,Annonces!$A$2:$A$451,$A32,Annonces!$C$2:$C$451,"En vente",Annonces!$M$2:$M$451,"&gt;="&amp;$H32,Annonces!$M$2:$M$451,"&lt;"&amp;$I32),"")</f>
        <v/>
      </c>
      <c r="F32" s="12">
        <f>IF(C32&gt;0,_xlfn.MAXIFS(Annonces!$J$2:$J$451,Annonces!$A$2:$A$451,$A32,Annonces!$C$2:$C$451,"En vente",Annonces!$M$2:$M$451,"&gt;="&amp;$H32,Annonces!$M$2:$M$451,"&lt;"&amp;$I32),"")</f>
        <v/>
      </c>
      <c r="G32" s="15">
        <f>IFERROR(AVERAGEIFS(Annonces!$M$2:$M$451,Annonces!$A$2:$A$451,$A32,Annonces!$C$2:$C$451,"En vente",Annonces!$M$2:$M$451,"&gt;="&amp;$H32,Annonces!$M$2:$M$451,"&lt;"&amp;$I32),"")</f>
        <v/>
      </c>
      <c r="H32" s="6" t="n">
        <v>150000</v>
      </c>
      <c r="I32" s="6" t="n">
        <v>200000</v>
      </c>
    </row>
    <row r="33">
      <c r="A33" s="10" t="inlineStr">
        <is>
          <t>Peugeot 306 S16</t>
        </is>
      </c>
      <c r="B33" s="10" t="inlineStr">
        <is>
          <t>&lt; 100 000 km</t>
        </is>
      </c>
      <c r="C33" s="16">
        <f>COUNTIFS(Annonces!$A$2:$A$451,$A33,Annonces!$C$2:$C$451,"En vente",Annonces!$M$2:$M$451,"&gt;="&amp;$H33,Annonces!$M$2:$M$451,"&lt;"&amp;$I33)</f>
        <v/>
      </c>
      <c r="D33" s="12">
        <f>IFERROR(AVERAGEIFS(Annonces!$J$2:$J$451,Annonces!$A$2:$A$451,$A33,Annonces!$C$2:$C$451,"En vente",Annonces!$M$2:$M$451,"&gt;="&amp;$H33,Annonces!$M$2:$M$451,"&lt;"&amp;$I33),"")</f>
        <v/>
      </c>
      <c r="E33" s="12">
        <f>IF(C33&gt;0,_xlfn.MINIFS(Annonces!$J$2:$J$451,Annonces!$A$2:$A$451,$A33,Annonces!$C$2:$C$451,"En vente",Annonces!$M$2:$M$451,"&gt;="&amp;$H33,Annonces!$M$2:$M$451,"&lt;"&amp;$I33),"")</f>
        <v/>
      </c>
      <c r="F33" s="12">
        <f>IF(C33&gt;0,_xlfn.MAXIFS(Annonces!$J$2:$J$451,Annonces!$A$2:$A$451,$A33,Annonces!$C$2:$C$451,"En vente",Annonces!$M$2:$M$451,"&gt;="&amp;$H33,Annonces!$M$2:$M$451,"&lt;"&amp;$I33),"")</f>
        <v/>
      </c>
      <c r="G33" s="15">
        <f>IFERROR(AVERAGEIFS(Annonces!$M$2:$M$451,Annonces!$A$2:$A$451,$A33,Annonces!$C$2:$C$451,"En vente",Annonces!$M$2:$M$451,"&gt;="&amp;$H33,Annonces!$M$2:$M$451,"&lt;"&amp;$I33),"")</f>
        <v/>
      </c>
      <c r="H33" s="6" t="n">
        <v>0</v>
      </c>
      <c r="I33" s="6" t="n">
        <v>100000</v>
      </c>
    </row>
    <row r="34">
      <c r="A34" s="10" t="inlineStr">
        <is>
          <t>Peugeot 306 S16</t>
        </is>
      </c>
      <c r="B34" s="10" t="inlineStr">
        <is>
          <t>100 000 – 150 000 km</t>
        </is>
      </c>
      <c r="C34" s="16">
        <f>COUNTIFS(Annonces!$A$2:$A$451,$A34,Annonces!$C$2:$C$451,"En vente",Annonces!$M$2:$M$451,"&gt;="&amp;$H34,Annonces!$M$2:$M$451,"&lt;"&amp;$I34)</f>
        <v/>
      </c>
      <c r="D34" s="12">
        <f>IFERROR(AVERAGEIFS(Annonces!$J$2:$J$451,Annonces!$A$2:$A$451,$A34,Annonces!$C$2:$C$451,"En vente",Annonces!$M$2:$M$451,"&gt;="&amp;$H34,Annonces!$M$2:$M$451,"&lt;"&amp;$I34),"")</f>
        <v/>
      </c>
      <c r="E34" s="12">
        <f>IF(C34&gt;0,_xlfn.MINIFS(Annonces!$J$2:$J$451,Annonces!$A$2:$A$451,$A34,Annonces!$C$2:$C$451,"En vente",Annonces!$M$2:$M$451,"&gt;="&amp;$H34,Annonces!$M$2:$M$451,"&lt;"&amp;$I34),"")</f>
        <v/>
      </c>
      <c r="F34" s="12">
        <f>IF(C34&gt;0,_xlfn.MAXIFS(Annonces!$J$2:$J$451,Annonces!$A$2:$A$451,$A34,Annonces!$C$2:$C$451,"En vente",Annonces!$M$2:$M$451,"&gt;="&amp;$H34,Annonces!$M$2:$M$451,"&lt;"&amp;$I34),"")</f>
        <v/>
      </c>
      <c r="G34" s="15">
        <f>IFERROR(AVERAGEIFS(Annonces!$M$2:$M$451,Annonces!$A$2:$A$451,$A34,Annonces!$C$2:$C$451,"En vente",Annonces!$M$2:$M$451,"&gt;="&amp;$H34,Annonces!$M$2:$M$451,"&lt;"&amp;$I34),"")</f>
        <v/>
      </c>
      <c r="H34" s="6" t="n">
        <v>100000</v>
      </c>
      <c r="I34" s="6" t="n">
        <v>150000</v>
      </c>
    </row>
    <row r="35">
      <c r="A35" s="10" t="inlineStr">
        <is>
          <t>Peugeot 306 S16</t>
        </is>
      </c>
      <c r="B35" s="10" t="inlineStr">
        <is>
          <t>150 000 – 200 000 km</t>
        </is>
      </c>
      <c r="C35" s="16">
        <f>COUNTIFS(Annonces!$A$2:$A$451,$A35,Annonces!$C$2:$C$451,"En vente",Annonces!$M$2:$M$451,"&gt;="&amp;$H35,Annonces!$M$2:$M$451,"&lt;"&amp;$I35)</f>
        <v/>
      </c>
      <c r="D35" s="12">
        <f>IFERROR(AVERAGEIFS(Annonces!$J$2:$J$451,Annonces!$A$2:$A$451,$A35,Annonces!$C$2:$C$451,"En vente",Annonces!$M$2:$M$451,"&gt;="&amp;$H35,Annonces!$M$2:$M$451,"&lt;"&amp;$I35),"")</f>
        <v/>
      </c>
      <c r="E35" s="12">
        <f>IF(C35&gt;0,_xlfn.MINIFS(Annonces!$J$2:$J$451,Annonces!$A$2:$A$451,$A35,Annonces!$C$2:$C$451,"En vente",Annonces!$M$2:$M$451,"&gt;="&amp;$H35,Annonces!$M$2:$M$451,"&lt;"&amp;$I35),"")</f>
        <v/>
      </c>
      <c r="F35" s="12">
        <f>IF(C35&gt;0,_xlfn.MAXIFS(Annonces!$J$2:$J$451,Annonces!$A$2:$A$451,$A35,Annonces!$C$2:$C$451,"En vente",Annonces!$M$2:$M$451,"&gt;="&amp;$H35,Annonces!$M$2:$M$451,"&lt;"&amp;$I35),"")</f>
        <v/>
      </c>
      <c r="G35" s="15">
        <f>IFERROR(AVERAGEIFS(Annonces!$M$2:$M$451,Annonces!$A$2:$A$451,$A35,Annonces!$C$2:$C$451,"En vente",Annonces!$M$2:$M$451,"&gt;="&amp;$H35,Annonces!$M$2:$M$451,"&lt;"&amp;$I35),"")</f>
        <v/>
      </c>
      <c r="H35" s="6" t="n">
        <v>150000</v>
      </c>
      <c r="I35" s="6" t="n">
        <v>200000</v>
      </c>
    </row>
    <row r="36">
      <c r="A36" s="10" t="inlineStr">
        <is>
          <t>Peugeot 306 S16</t>
        </is>
      </c>
      <c r="B36" s="10" t="inlineStr">
        <is>
          <t>≥ 200 000 km</t>
        </is>
      </c>
      <c r="C36" s="16">
        <f>COUNTIFS(Annonces!$A$2:$A$451,$A36,Annonces!$C$2:$C$451,"En vente",Annonces!$M$2:$M$451,"&gt;="&amp;$H36,Annonces!$M$2:$M$451,"&lt;"&amp;$I36)</f>
        <v/>
      </c>
      <c r="D36" s="12">
        <f>IFERROR(AVERAGEIFS(Annonces!$J$2:$J$451,Annonces!$A$2:$A$451,$A36,Annonces!$C$2:$C$451,"En vente",Annonces!$M$2:$M$451,"&gt;="&amp;$H36,Annonces!$M$2:$M$451,"&lt;"&amp;$I36),"")</f>
        <v/>
      </c>
      <c r="E36" s="12">
        <f>IF(C36&gt;0,_xlfn.MINIFS(Annonces!$J$2:$J$451,Annonces!$A$2:$A$451,$A36,Annonces!$C$2:$C$451,"En vente",Annonces!$M$2:$M$451,"&gt;="&amp;$H36,Annonces!$M$2:$M$451,"&lt;"&amp;$I36),"")</f>
        <v/>
      </c>
      <c r="F36" s="12">
        <f>IF(C36&gt;0,_xlfn.MAXIFS(Annonces!$J$2:$J$451,Annonces!$A$2:$A$451,$A36,Annonces!$C$2:$C$451,"En vente",Annonces!$M$2:$M$451,"&gt;="&amp;$H36,Annonces!$M$2:$M$451,"&lt;"&amp;$I36),"")</f>
        <v/>
      </c>
      <c r="G36" s="15">
        <f>IFERROR(AVERAGEIFS(Annonces!$M$2:$M$451,Annonces!$A$2:$A$451,$A36,Annonces!$C$2:$C$451,"En vente",Annonces!$M$2:$M$451,"&gt;="&amp;$H36,Annonces!$M$2:$M$451,"&lt;"&amp;$I36),"")</f>
        <v/>
      </c>
      <c r="H36" s="6" t="n">
        <v>200000</v>
      </c>
      <c r="I36" s="6" t="n">
        <v>10000000</v>
      </c>
    </row>
    <row r="37">
      <c r="A37" s="10" t="inlineStr">
        <is>
          <t>Porsche 911 997 Carrera S</t>
        </is>
      </c>
      <c r="B37" s="10" t="inlineStr">
        <is>
          <t>&lt; 100 000 km</t>
        </is>
      </c>
      <c r="C37" s="16">
        <f>COUNTIFS(Annonces!$A$2:$A$451,$A37,Annonces!$C$2:$C$451,"En vente",Annonces!$M$2:$M$451,"&gt;="&amp;$H37,Annonces!$M$2:$M$451,"&lt;"&amp;$I37)</f>
        <v/>
      </c>
      <c r="D37" s="12">
        <f>IFERROR(AVERAGEIFS(Annonces!$J$2:$J$451,Annonces!$A$2:$A$451,$A37,Annonces!$C$2:$C$451,"En vente",Annonces!$M$2:$M$451,"&gt;="&amp;$H37,Annonces!$M$2:$M$451,"&lt;"&amp;$I37),"")</f>
        <v/>
      </c>
      <c r="E37" s="12">
        <f>IF(C37&gt;0,_xlfn.MINIFS(Annonces!$J$2:$J$451,Annonces!$A$2:$A$451,$A37,Annonces!$C$2:$C$451,"En vente",Annonces!$M$2:$M$451,"&gt;="&amp;$H37,Annonces!$M$2:$M$451,"&lt;"&amp;$I37),"")</f>
        <v/>
      </c>
      <c r="F37" s="12">
        <f>IF(C37&gt;0,_xlfn.MAXIFS(Annonces!$J$2:$J$451,Annonces!$A$2:$A$451,$A37,Annonces!$C$2:$C$451,"En vente",Annonces!$M$2:$M$451,"&gt;="&amp;$H37,Annonces!$M$2:$M$451,"&lt;"&amp;$I37),"")</f>
        <v/>
      </c>
      <c r="G37" s="15">
        <f>IFERROR(AVERAGEIFS(Annonces!$M$2:$M$451,Annonces!$A$2:$A$451,$A37,Annonces!$C$2:$C$451,"En vente",Annonces!$M$2:$M$451,"&gt;="&amp;$H37,Annonces!$M$2:$M$451,"&lt;"&amp;$I37),"")</f>
        <v/>
      </c>
      <c r="H37" s="6" t="n">
        <v>0</v>
      </c>
      <c r="I37" s="6" t="n">
        <v>100000</v>
      </c>
    </row>
    <row r="38">
      <c r="A38" s="10" t="inlineStr">
        <is>
          <t>Porsche 911 997 Carrera S</t>
        </is>
      </c>
      <c r="B38" s="10" t="inlineStr">
        <is>
          <t>100 000 – 150 000 km</t>
        </is>
      </c>
      <c r="C38" s="16">
        <f>COUNTIFS(Annonces!$A$2:$A$451,$A38,Annonces!$C$2:$C$451,"En vente",Annonces!$M$2:$M$451,"&gt;="&amp;$H38,Annonces!$M$2:$M$451,"&lt;"&amp;$I38)</f>
        <v/>
      </c>
      <c r="D38" s="12">
        <f>IFERROR(AVERAGEIFS(Annonces!$J$2:$J$451,Annonces!$A$2:$A$451,$A38,Annonces!$C$2:$C$451,"En vente",Annonces!$M$2:$M$451,"&gt;="&amp;$H38,Annonces!$M$2:$M$451,"&lt;"&amp;$I38),"")</f>
        <v/>
      </c>
      <c r="E38" s="12">
        <f>IF(C38&gt;0,_xlfn.MINIFS(Annonces!$J$2:$J$451,Annonces!$A$2:$A$451,$A38,Annonces!$C$2:$C$451,"En vente",Annonces!$M$2:$M$451,"&gt;="&amp;$H38,Annonces!$M$2:$M$451,"&lt;"&amp;$I38),"")</f>
        <v/>
      </c>
      <c r="F38" s="12">
        <f>IF(C38&gt;0,_xlfn.MAXIFS(Annonces!$J$2:$J$451,Annonces!$A$2:$A$451,$A38,Annonces!$C$2:$C$451,"En vente",Annonces!$M$2:$M$451,"&gt;="&amp;$H38,Annonces!$M$2:$M$451,"&lt;"&amp;$I38),"")</f>
        <v/>
      </c>
      <c r="G38" s="15">
        <f>IFERROR(AVERAGEIFS(Annonces!$M$2:$M$451,Annonces!$A$2:$A$451,$A38,Annonces!$C$2:$C$451,"En vente",Annonces!$M$2:$M$451,"&gt;="&amp;$H38,Annonces!$M$2:$M$451,"&lt;"&amp;$I38),"")</f>
        <v/>
      </c>
      <c r="H38" s="6" t="n">
        <v>100000</v>
      </c>
      <c r="I38" s="6" t="n">
        <v>150000</v>
      </c>
    </row>
    <row r="39">
      <c r="A39" s="10" t="inlineStr">
        <is>
          <t>Porsche 911 997 Carrera S</t>
        </is>
      </c>
      <c r="B39" s="10" t="inlineStr">
        <is>
          <t>150 000 – 200 000 km</t>
        </is>
      </c>
      <c r="C39" s="16">
        <f>COUNTIFS(Annonces!$A$2:$A$451,$A39,Annonces!$C$2:$C$451,"En vente",Annonces!$M$2:$M$451,"&gt;="&amp;$H39,Annonces!$M$2:$M$451,"&lt;"&amp;$I39)</f>
        <v/>
      </c>
      <c r="D39" s="12">
        <f>IFERROR(AVERAGEIFS(Annonces!$J$2:$J$451,Annonces!$A$2:$A$451,$A39,Annonces!$C$2:$C$451,"En vente",Annonces!$M$2:$M$451,"&gt;="&amp;$H39,Annonces!$M$2:$M$451,"&lt;"&amp;$I39),"")</f>
        <v/>
      </c>
      <c r="E39" s="12">
        <f>IF(C39&gt;0,_xlfn.MINIFS(Annonces!$J$2:$J$451,Annonces!$A$2:$A$451,$A39,Annonces!$C$2:$C$451,"En vente",Annonces!$M$2:$M$451,"&gt;="&amp;$H39,Annonces!$M$2:$M$451,"&lt;"&amp;$I39),"")</f>
        <v/>
      </c>
      <c r="F39" s="12">
        <f>IF(C39&gt;0,_xlfn.MAXIFS(Annonces!$J$2:$J$451,Annonces!$A$2:$A$451,$A39,Annonces!$C$2:$C$451,"En vente",Annonces!$M$2:$M$451,"&gt;="&amp;$H39,Annonces!$M$2:$M$451,"&lt;"&amp;$I39),"")</f>
        <v/>
      </c>
      <c r="G39" s="15">
        <f>IFERROR(AVERAGEIFS(Annonces!$M$2:$M$451,Annonces!$A$2:$A$451,$A39,Annonces!$C$2:$C$451,"En vente",Annonces!$M$2:$M$451,"&gt;="&amp;$H39,Annonces!$M$2:$M$451,"&lt;"&amp;$I39),"")</f>
        <v/>
      </c>
      <c r="H39" s="6" t="n">
        <v>150000</v>
      </c>
      <c r="I39" s="6" t="n">
        <v>200000</v>
      </c>
    </row>
    <row r="40">
      <c r="A40" s="10" t="inlineStr">
        <is>
          <t>Porsche Boxster 986</t>
        </is>
      </c>
      <c r="B40" s="10" t="inlineStr">
        <is>
          <t>&lt; 100 000 km</t>
        </is>
      </c>
      <c r="C40" s="16">
        <f>COUNTIFS(Annonces!$A$2:$A$451,$A40,Annonces!$C$2:$C$451,"En vente",Annonces!$M$2:$M$451,"&gt;="&amp;$H40,Annonces!$M$2:$M$451,"&lt;"&amp;$I40)</f>
        <v/>
      </c>
      <c r="D40" s="12">
        <f>IFERROR(AVERAGEIFS(Annonces!$J$2:$J$451,Annonces!$A$2:$A$451,$A40,Annonces!$C$2:$C$451,"En vente",Annonces!$M$2:$M$451,"&gt;="&amp;$H40,Annonces!$M$2:$M$451,"&lt;"&amp;$I40),"")</f>
        <v/>
      </c>
      <c r="E40" s="12">
        <f>IF(C40&gt;0,_xlfn.MINIFS(Annonces!$J$2:$J$451,Annonces!$A$2:$A$451,$A40,Annonces!$C$2:$C$451,"En vente",Annonces!$M$2:$M$451,"&gt;="&amp;$H40,Annonces!$M$2:$M$451,"&lt;"&amp;$I40),"")</f>
        <v/>
      </c>
      <c r="F40" s="12">
        <f>IF(C40&gt;0,_xlfn.MAXIFS(Annonces!$J$2:$J$451,Annonces!$A$2:$A$451,$A40,Annonces!$C$2:$C$451,"En vente",Annonces!$M$2:$M$451,"&gt;="&amp;$H40,Annonces!$M$2:$M$451,"&lt;"&amp;$I40),"")</f>
        <v/>
      </c>
      <c r="G40" s="15">
        <f>IFERROR(AVERAGEIFS(Annonces!$M$2:$M$451,Annonces!$A$2:$A$451,$A40,Annonces!$C$2:$C$451,"En vente",Annonces!$M$2:$M$451,"&gt;="&amp;$H40,Annonces!$M$2:$M$451,"&lt;"&amp;$I40),"")</f>
        <v/>
      </c>
      <c r="H40" s="6" t="n">
        <v>0</v>
      </c>
      <c r="I40" s="6" t="n">
        <v>100000</v>
      </c>
    </row>
    <row r="41">
      <c r="A41" s="10" t="inlineStr">
        <is>
          <t>Porsche Boxster 986</t>
        </is>
      </c>
      <c r="B41" s="10" t="inlineStr">
        <is>
          <t>100 000 – 150 000 km</t>
        </is>
      </c>
      <c r="C41" s="16">
        <f>COUNTIFS(Annonces!$A$2:$A$451,$A41,Annonces!$C$2:$C$451,"En vente",Annonces!$M$2:$M$451,"&gt;="&amp;$H41,Annonces!$M$2:$M$451,"&lt;"&amp;$I41)</f>
        <v/>
      </c>
      <c r="D41" s="12">
        <f>IFERROR(AVERAGEIFS(Annonces!$J$2:$J$451,Annonces!$A$2:$A$451,$A41,Annonces!$C$2:$C$451,"En vente",Annonces!$M$2:$M$451,"&gt;="&amp;$H41,Annonces!$M$2:$M$451,"&lt;"&amp;$I41),"")</f>
        <v/>
      </c>
      <c r="E41" s="12">
        <f>IF(C41&gt;0,_xlfn.MINIFS(Annonces!$J$2:$J$451,Annonces!$A$2:$A$451,$A41,Annonces!$C$2:$C$451,"En vente",Annonces!$M$2:$M$451,"&gt;="&amp;$H41,Annonces!$M$2:$M$451,"&lt;"&amp;$I41),"")</f>
        <v/>
      </c>
      <c r="F41" s="12">
        <f>IF(C41&gt;0,_xlfn.MAXIFS(Annonces!$J$2:$J$451,Annonces!$A$2:$A$451,$A41,Annonces!$C$2:$C$451,"En vente",Annonces!$M$2:$M$451,"&gt;="&amp;$H41,Annonces!$M$2:$M$451,"&lt;"&amp;$I41),"")</f>
        <v/>
      </c>
      <c r="G41" s="15">
        <f>IFERROR(AVERAGEIFS(Annonces!$M$2:$M$451,Annonces!$A$2:$A$451,$A41,Annonces!$C$2:$C$451,"En vente",Annonces!$M$2:$M$451,"&gt;="&amp;$H41,Annonces!$M$2:$M$451,"&lt;"&amp;$I41),"")</f>
        <v/>
      </c>
      <c r="H41" s="6" t="n">
        <v>100000</v>
      </c>
      <c r="I41" s="6" t="n">
        <v>150000</v>
      </c>
    </row>
    <row r="42">
      <c r="A42" s="10" t="inlineStr">
        <is>
          <t>Porsche Boxster 986</t>
        </is>
      </c>
      <c r="B42" s="10" t="inlineStr">
        <is>
          <t>150 000 – 200 000 km</t>
        </is>
      </c>
      <c r="C42" s="16">
        <f>COUNTIFS(Annonces!$A$2:$A$451,$A42,Annonces!$C$2:$C$451,"En vente",Annonces!$M$2:$M$451,"&gt;="&amp;$H42,Annonces!$M$2:$M$451,"&lt;"&amp;$I42)</f>
        <v/>
      </c>
      <c r="D42" s="12">
        <f>IFERROR(AVERAGEIFS(Annonces!$J$2:$J$451,Annonces!$A$2:$A$451,$A42,Annonces!$C$2:$C$451,"En vente",Annonces!$M$2:$M$451,"&gt;="&amp;$H42,Annonces!$M$2:$M$451,"&lt;"&amp;$I42),"")</f>
        <v/>
      </c>
      <c r="E42" s="12">
        <f>IF(C42&gt;0,_xlfn.MINIFS(Annonces!$J$2:$J$451,Annonces!$A$2:$A$451,$A42,Annonces!$C$2:$C$451,"En vente",Annonces!$M$2:$M$451,"&gt;="&amp;$H42,Annonces!$M$2:$M$451,"&lt;"&amp;$I42),"")</f>
        <v/>
      </c>
      <c r="F42" s="12">
        <f>IF(C42&gt;0,_xlfn.MAXIFS(Annonces!$J$2:$J$451,Annonces!$A$2:$A$451,$A42,Annonces!$C$2:$C$451,"En vente",Annonces!$M$2:$M$451,"&gt;="&amp;$H42,Annonces!$M$2:$M$451,"&lt;"&amp;$I42),"")</f>
        <v/>
      </c>
      <c r="G42" s="15">
        <f>IFERROR(AVERAGEIFS(Annonces!$M$2:$M$451,Annonces!$A$2:$A$451,$A42,Annonces!$C$2:$C$451,"En vente",Annonces!$M$2:$M$451,"&gt;="&amp;$H42,Annonces!$M$2:$M$451,"&lt;"&amp;$I42),"")</f>
        <v/>
      </c>
      <c r="H42" s="6" t="n">
        <v>150000</v>
      </c>
      <c r="I42" s="6" t="n">
        <v>200000</v>
      </c>
    </row>
    <row r="43">
      <c r="A43" s="10" t="inlineStr">
        <is>
          <t>Porsche Boxster 986</t>
        </is>
      </c>
      <c r="B43" s="10" t="inlineStr">
        <is>
          <t>≥ 200 000 km</t>
        </is>
      </c>
      <c r="C43" s="16">
        <f>COUNTIFS(Annonces!$A$2:$A$451,$A43,Annonces!$C$2:$C$451,"En vente",Annonces!$M$2:$M$451,"&gt;="&amp;$H43,Annonces!$M$2:$M$451,"&lt;"&amp;$I43)</f>
        <v/>
      </c>
      <c r="D43" s="12">
        <f>IFERROR(AVERAGEIFS(Annonces!$J$2:$J$451,Annonces!$A$2:$A$451,$A43,Annonces!$C$2:$C$451,"En vente",Annonces!$M$2:$M$451,"&gt;="&amp;$H43,Annonces!$M$2:$M$451,"&lt;"&amp;$I43),"")</f>
        <v/>
      </c>
      <c r="E43" s="12">
        <f>IF(C43&gt;0,_xlfn.MINIFS(Annonces!$J$2:$J$451,Annonces!$A$2:$A$451,$A43,Annonces!$C$2:$C$451,"En vente",Annonces!$M$2:$M$451,"&gt;="&amp;$H43,Annonces!$M$2:$M$451,"&lt;"&amp;$I43),"")</f>
        <v/>
      </c>
      <c r="F43" s="12">
        <f>IF(C43&gt;0,_xlfn.MAXIFS(Annonces!$J$2:$J$451,Annonces!$A$2:$A$451,$A43,Annonces!$C$2:$C$451,"En vente",Annonces!$M$2:$M$451,"&gt;="&amp;$H43,Annonces!$M$2:$M$451,"&lt;"&amp;$I43),"")</f>
        <v/>
      </c>
      <c r="G43" s="15">
        <f>IFERROR(AVERAGEIFS(Annonces!$M$2:$M$451,Annonces!$A$2:$A$451,$A43,Annonces!$C$2:$C$451,"En vente",Annonces!$M$2:$M$451,"&gt;="&amp;$H43,Annonces!$M$2:$M$451,"&lt;"&amp;$I43),"")</f>
        <v/>
      </c>
      <c r="H43" s="6" t="n">
        <v>200000</v>
      </c>
      <c r="I43" s="6" t="n">
        <v>10000000</v>
      </c>
    </row>
    <row r="44">
      <c r="A44" s="10" t="inlineStr">
        <is>
          <t>Porsche Boxster 987</t>
        </is>
      </c>
      <c r="B44" s="10" t="inlineStr">
        <is>
          <t>&lt; 100 000 km</t>
        </is>
      </c>
      <c r="C44" s="16">
        <f>COUNTIFS(Annonces!$A$2:$A$451,$A44,Annonces!$C$2:$C$451,"En vente",Annonces!$M$2:$M$451,"&gt;="&amp;$H44,Annonces!$M$2:$M$451,"&lt;"&amp;$I44)</f>
        <v/>
      </c>
      <c r="D44" s="12">
        <f>IFERROR(AVERAGEIFS(Annonces!$J$2:$J$451,Annonces!$A$2:$A$451,$A44,Annonces!$C$2:$C$451,"En vente",Annonces!$M$2:$M$451,"&gt;="&amp;$H44,Annonces!$M$2:$M$451,"&lt;"&amp;$I44),"")</f>
        <v/>
      </c>
      <c r="E44" s="12">
        <f>IF(C44&gt;0,_xlfn.MINIFS(Annonces!$J$2:$J$451,Annonces!$A$2:$A$451,$A44,Annonces!$C$2:$C$451,"En vente",Annonces!$M$2:$M$451,"&gt;="&amp;$H44,Annonces!$M$2:$M$451,"&lt;"&amp;$I44),"")</f>
        <v/>
      </c>
      <c r="F44" s="12">
        <f>IF(C44&gt;0,_xlfn.MAXIFS(Annonces!$J$2:$J$451,Annonces!$A$2:$A$451,$A44,Annonces!$C$2:$C$451,"En vente",Annonces!$M$2:$M$451,"&gt;="&amp;$H44,Annonces!$M$2:$M$451,"&lt;"&amp;$I44),"")</f>
        <v/>
      </c>
      <c r="G44" s="15">
        <f>IFERROR(AVERAGEIFS(Annonces!$M$2:$M$451,Annonces!$A$2:$A$451,$A44,Annonces!$C$2:$C$451,"En vente",Annonces!$M$2:$M$451,"&gt;="&amp;$H44,Annonces!$M$2:$M$451,"&lt;"&amp;$I44),"")</f>
        <v/>
      </c>
      <c r="H44" s="6" t="n">
        <v>0</v>
      </c>
      <c r="I44" s="6" t="n">
        <v>100000</v>
      </c>
    </row>
    <row r="45">
      <c r="A45" s="10" t="inlineStr">
        <is>
          <t>Porsche Boxster 987</t>
        </is>
      </c>
      <c r="B45" s="10" t="inlineStr">
        <is>
          <t>100 000 – 150 000 km</t>
        </is>
      </c>
      <c r="C45" s="16">
        <f>COUNTIFS(Annonces!$A$2:$A$451,$A45,Annonces!$C$2:$C$451,"En vente",Annonces!$M$2:$M$451,"&gt;="&amp;$H45,Annonces!$M$2:$M$451,"&lt;"&amp;$I45)</f>
        <v/>
      </c>
      <c r="D45" s="12">
        <f>IFERROR(AVERAGEIFS(Annonces!$J$2:$J$451,Annonces!$A$2:$A$451,$A45,Annonces!$C$2:$C$451,"En vente",Annonces!$M$2:$M$451,"&gt;="&amp;$H45,Annonces!$M$2:$M$451,"&lt;"&amp;$I45),"")</f>
        <v/>
      </c>
      <c r="E45" s="12">
        <f>IF(C45&gt;0,_xlfn.MINIFS(Annonces!$J$2:$J$451,Annonces!$A$2:$A$451,$A45,Annonces!$C$2:$C$451,"En vente",Annonces!$M$2:$M$451,"&gt;="&amp;$H45,Annonces!$M$2:$M$451,"&lt;"&amp;$I45),"")</f>
        <v/>
      </c>
      <c r="F45" s="12">
        <f>IF(C45&gt;0,_xlfn.MAXIFS(Annonces!$J$2:$J$451,Annonces!$A$2:$A$451,$A45,Annonces!$C$2:$C$451,"En vente",Annonces!$M$2:$M$451,"&gt;="&amp;$H45,Annonces!$M$2:$M$451,"&lt;"&amp;$I45),"")</f>
        <v/>
      </c>
      <c r="G45" s="15">
        <f>IFERROR(AVERAGEIFS(Annonces!$M$2:$M$451,Annonces!$A$2:$A$451,$A45,Annonces!$C$2:$C$451,"En vente",Annonces!$M$2:$M$451,"&gt;="&amp;$H45,Annonces!$M$2:$M$451,"&lt;"&amp;$I45),"")</f>
        <v/>
      </c>
      <c r="H45" s="6" t="n">
        <v>100000</v>
      </c>
      <c r="I45" s="6" t="n">
        <v>150000</v>
      </c>
    </row>
    <row r="46">
      <c r="A46" s="10" t="inlineStr">
        <is>
          <t>Porsche Boxster 987</t>
        </is>
      </c>
      <c r="B46" s="10" t="inlineStr">
        <is>
          <t>150 000 – 200 000 km</t>
        </is>
      </c>
      <c r="C46" s="16">
        <f>COUNTIFS(Annonces!$A$2:$A$451,$A46,Annonces!$C$2:$C$451,"En vente",Annonces!$M$2:$M$451,"&gt;="&amp;$H46,Annonces!$M$2:$M$451,"&lt;"&amp;$I46)</f>
        <v/>
      </c>
      <c r="D46" s="12">
        <f>IFERROR(AVERAGEIFS(Annonces!$J$2:$J$451,Annonces!$A$2:$A$451,$A46,Annonces!$C$2:$C$451,"En vente",Annonces!$M$2:$M$451,"&gt;="&amp;$H46,Annonces!$M$2:$M$451,"&lt;"&amp;$I46),"")</f>
        <v/>
      </c>
      <c r="E46" s="12">
        <f>IF(C46&gt;0,_xlfn.MINIFS(Annonces!$J$2:$J$451,Annonces!$A$2:$A$451,$A46,Annonces!$C$2:$C$451,"En vente",Annonces!$M$2:$M$451,"&gt;="&amp;$H46,Annonces!$M$2:$M$451,"&lt;"&amp;$I46),"")</f>
        <v/>
      </c>
      <c r="F46" s="12">
        <f>IF(C46&gt;0,_xlfn.MAXIFS(Annonces!$J$2:$J$451,Annonces!$A$2:$A$451,$A46,Annonces!$C$2:$C$451,"En vente",Annonces!$M$2:$M$451,"&gt;="&amp;$H46,Annonces!$M$2:$M$451,"&lt;"&amp;$I46),"")</f>
        <v/>
      </c>
      <c r="G46" s="15">
        <f>IFERROR(AVERAGEIFS(Annonces!$M$2:$M$451,Annonces!$A$2:$A$451,$A46,Annonces!$C$2:$C$451,"En vente",Annonces!$M$2:$M$451,"&gt;="&amp;$H46,Annonces!$M$2:$M$451,"&lt;"&amp;$I46),"")</f>
        <v/>
      </c>
      <c r="H46" s="6" t="n">
        <v>150000</v>
      </c>
      <c r="I46" s="6" t="n">
        <v>200000</v>
      </c>
    </row>
    <row r="47">
      <c r="A47" s="10" t="inlineStr">
        <is>
          <t>Porsche Boxster 987</t>
        </is>
      </c>
      <c r="B47" s="10" t="inlineStr">
        <is>
          <t>≥ 200 000 km</t>
        </is>
      </c>
      <c r="C47" s="16">
        <f>COUNTIFS(Annonces!$A$2:$A$451,$A47,Annonces!$C$2:$C$451,"En vente",Annonces!$M$2:$M$451,"&gt;="&amp;$H47,Annonces!$M$2:$M$451,"&lt;"&amp;$I47)</f>
        <v/>
      </c>
      <c r="D47" s="12">
        <f>IFERROR(AVERAGEIFS(Annonces!$J$2:$J$451,Annonces!$A$2:$A$451,$A47,Annonces!$C$2:$C$451,"En vente",Annonces!$M$2:$M$451,"&gt;="&amp;$H47,Annonces!$M$2:$M$451,"&lt;"&amp;$I47),"")</f>
        <v/>
      </c>
      <c r="E47" s="12">
        <f>IF(C47&gt;0,_xlfn.MINIFS(Annonces!$J$2:$J$451,Annonces!$A$2:$A$451,$A47,Annonces!$C$2:$C$451,"En vente",Annonces!$M$2:$M$451,"&gt;="&amp;$H47,Annonces!$M$2:$M$451,"&lt;"&amp;$I47),"")</f>
        <v/>
      </c>
      <c r="F47" s="12">
        <f>IF(C47&gt;0,_xlfn.MAXIFS(Annonces!$J$2:$J$451,Annonces!$A$2:$A$451,$A47,Annonces!$C$2:$C$451,"En vente",Annonces!$M$2:$M$451,"&gt;="&amp;$H47,Annonces!$M$2:$M$451,"&lt;"&amp;$I47),"")</f>
        <v/>
      </c>
      <c r="G47" s="15">
        <f>IFERROR(AVERAGEIFS(Annonces!$M$2:$M$451,Annonces!$A$2:$A$451,$A47,Annonces!$C$2:$C$451,"En vente",Annonces!$M$2:$M$451,"&gt;="&amp;$H47,Annonces!$M$2:$M$451,"&lt;"&amp;$I47),"")</f>
        <v/>
      </c>
      <c r="H47" s="6" t="n">
        <v>200000</v>
      </c>
      <c r="I47" s="6" t="n">
        <v>10000000</v>
      </c>
    </row>
    <row r="48">
      <c r="A48" s="10" t="inlineStr">
        <is>
          <t>Renault Clio II RS (172/182 ch)</t>
        </is>
      </c>
      <c r="B48" s="10" t="inlineStr">
        <is>
          <t>&lt; 100 000 km</t>
        </is>
      </c>
      <c r="C48" s="16">
        <f>COUNTIFS(Annonces!$A$2:$A$451,$A48,Annonces!$C$2:$C$451,"En vente",Annonces!$M$2:$M$451,"&gt;="&amp;$H48,Annonces!$M$2:$M$451,"&lt;"&amp;$I48)</f>
        <v/>
      </c>
      <c r="D48" s="12">
        <f>IFERROR(AVERAGEIFS(Annonces!$J$2:$J$451,Annonces!$A$2:$A$451,$A48,Annonces!$C$2:$C$451,"En vente",Annonces!$M$2:$M$451,"&gt;="&amp;$H48,Annonces!$M$2:$M$451,"&lt;"&amp;$I48),"")</f>
        <v/>
      </c>
      <c r="E48" s="12">
        <f>IF(C48&gt;0,_xlfn.MINIFS(Annonces!$J$2:$J$451,Annonces!$A$2:$A$451,$A48,Annonces!$C$2:$C$451,"En vente",Annonces!$M$2:$M$451,"&gt;="&amp;$H48,Annonces!$M$2:$M$451,"&lt;"&amp;$I48),"")</f>
        <v/>
      </c>
      <c r="F48" s="12">
        <f>IF(C48&gt;0,_xlfn.MAXIFS(Annonces!$J$2:$J$451,Annonces!$A$2:$A$451,$A48,Annonces!$C$2:$C$451,"En vente",Annonces!$M$2:$M$451,"&gt;="&amp;$H48,Annonces!$M$2:$M$451,"&lt;"&amp;$I48),"")</f>
        <v/>
      </c>
      <c r="G48" s="15">
        <f>IFERROR(AVERAGEIFS(Annonces!$M$2:$M$451,Annonces!$A$2:$A$451,$A48,Annonces!$C$2:$C$451,"En vente",Annonces!$M$2:$M$451,"&gt;="&amp;$H48,Annonces!$M$2:$M$451,"&lt;"&amp;$I48),"")</f>
        <v/>
      </c>
      <c r="H48" s="6" t="n">
        <v>0</v>
      </c>
      <c r="I48" s="6" t="n">
        <v>100000</v>
      </c>
    </row>
    <row r="49">
      <c r="A49" s="10" t="inlineStr">
        <is>
          <t>Renault Clio II RS (172/182 ch)</t>
        </is>
      </c>
      <c r="B49" s="10" t="inlineStr">
        <is>
          <t>100 000 – 150 000 km</t>
        </is>
      </c>
      <c r="C49" s="16">
        <f>COUNTIFS(Annonces!$A$2:$A$451,$A49,Annonces!$C$2:$C$451,"En vente",Annonces!$M$2:$M$451,"&gt;="&amp;$H49,Annonces!$M$2:$M$451,"&lt;"&amp;$I49)</f>
        <v/>
      </c>
      <c r="D49" s="12">
        <f>IFERROR(AVERAGEIFS(Annonces!$J$2:$J$451,Annonces!$A$2:$A$451,$A49,Annonces!$C$2:$C$451,"En vente",Annonces!$M$2:$M$451,"&gt;="&amp;$H49,Annonces!$M$2:$M$451,"&lt;"&amp;$I49),"")</f>
        <v/>
      </c>
      <c r="E49" s="12">
        <f>IF(C49&gt;0,_xlfn.MINIFS(Annonces!$J$2:$J$451,Annonces!$A$2:$A$451,$A49,Annonces!$C$2:$C$451,"En vente",Annonces!$M$2:$M$451,"&gt;="&amp;$H49,Annonces!$M$2:$M$451,"&lt;"&amp;$I49),"")</f>
        <v/>
      </c>
      <c r="F49" s="12">
        <f>IF(C49&gt;0,_xlfn.MAXIFS(Annonces!$J$2:$J$451,Annonces!$A$2:$A$451,$A49,Annonces!$C$2:$C$451,"En vente",Annonces!$M$2:$M$451,"&gt;="&amp;$H49,Annonces!$M$2:$M$451,"&lt;"&amp;$I49),"")</f>
        <v/>
      </c>
      <c r="G49" s="15">
        <f>IFERROR(AVERAGEIFS(Annonces!$M$2:$M$451,Annonces!$A$2:$A$451,$A49,Annonces!$C$2:$C$451,"En vente",Annonces!$M$2:$M$451,"&gt;="&amp;$H49,Annonces!$M$2:$M$451,"&lt;"&amp;$I49),"")</f>
        <v/>
      </c>
      <c r="H49" s="6" t="n">
        <v>100000</v>
      </c>
      <c r="I49" s="6" t="n">
        <v>150000</v>
      </c>
    </row>
    <row r="50">
      <c r="A50" s="10" t="inlineStr">
        <is>
          <t>Renault Clio II RS (172/182 ch)</t>
        </is>
      </c>
      <c r="B50" s="10" t="inlineStr">
        <is>
          <t>150 000 – 200 000 km</t>
        </is>
      </c>
      <c r="C50" s="16">
        <f>COUNTIFS(Annonces!$A$2:$A$451,$A50,Annonces!$C$2:$C$451,"En vente",Annonces!$M$2:$M$451,"&gt;="&amp;$H50,Annonces!$M$2:$M$451,"&lt;"&amp;$I50)</f>
        <v/>
      </c>
      <c r="D50" s="12">
        <f>IFERROR(AVERAGEIFS(Annonces!$J$2:$J$451,Annonces!$A$2:$A$451,$A50,Annonces!$C$2:$C$451,"En vente",Annonces!$M$2:$M$451,"&gt;="&amp;$H50,Annonces!$M$2:$M$451,"&lt;"&amp;$I50),"")</f>
        <v/>
      </c>
      <c r="E50" s="12">
        <f>IF(C50&gt;0,_xlfn.MINIFS(Annonces!$J$2:$J$451,Annonces!$A$2:$A$451,$A50,Annonces!$C$2:$C$451,"En vente",Annonces!$M$2:$M$451,"&gt;="&amp;$H50,Annonces!$M$2:$M$451,"&lt;"&amp;$I50),"")</f>
        <v/>
      </c>
      <c r="F50" s="12">
        <f>IF(C50&gt;0,_xlfn.MAXIFS(Annonces!$J$2:$J$451,Annonces!$A$2:$A$451,$A50,Annonces!$C$2:$C$451,"En vente",Annonces!$M$2:$M$451,"&gt;="&amp;$H50,Annonces!$M$2:$M$451,"&lt;"&amp;$I50),"")</f>
        <v/>
      </c>
      <c r="G50" s="15">
        <f>IFERROR(AVERAGEIFS(Annonces!$M$2:$M$451,Annonces!$A$2:$A$451,$A50,Annonces!$C$2:$C$451,"En vente",Annonces!$M$2:$M$451,"&gt;="&amp;$H50,Annonces!$M$2:$M$451,"&lt;"&amp;$I50),"")</f>
        <v/>
      </c>
      <c r="H50" s="6" t="n">
        <v>150000</v>
      </c>
      <c r="I50" s="6" t="n">
        <v>200000</v>
      </c>
    </row>
    <row r="51">
      <c r="A51" s="10" t="inlineStr">
        <is>
          <t>Renault Clio II RS (172/182 ch)</t>
        </is>
      </c>
      <c r="B51" s="10" t="inlineStr">
        <is>
          <t>≥ 200 000 km</t>
        </is>
      </c>
      <c r="C51" s="16">
        <f>COUNTIFS(Annonces!$A$2:$A$451,$A51,Annonces!$C$2:$C$451,"En vente",Annonces!$M$2:$M$451,"&gt;="&amp;$H51,Annonces!$M$2:$M$451,"&lt;"&amp;$I51)</f>
        <v/>
      </c>
      <c r="D51" s="12">
        <f>IFERROR(AVERAGEIFS(Annonces!$J$2:$J$451,Annonces!$A$2:$A$451,$A51,Annonces!$C$2:$C$451,"En vente",Annonces!$M$2:$M$451,"&gt;="&amp;$H51,Annonces!$M$2:$M$451,"&lt;"&amp;$I51),"")</f>
        <v/>
      </c>
      <c r="E51" s="12">
        <f>IF(C51&gt;0,_xlfn.MINIFS(Annonces!$J$2:$J$451,Annonces!$A$2:$A$451,$A51,Annonces!$C$2:$C$451,"En vente",Annonces!$M$2:$M$451,"&gt;="&amp;$H51,Annonces!$M$2:$M$451,"&lt;"&amp;$I51),"")</f>
        <v/>
      </c>
      <c r="F51" s="12">
        <f>IF(C51&gt;0,_xlfn.MAXIFS(Annonces!$J$2:$J$451,Annonces!$A$2:$A$451,$A51,Annonces!$C$2:$C$451,"En vente",Annonces!$M$2:$M$451,"&gt;="&amp;$H51,Annonces!$M$2:$M$451,"&lt;"&amp;$I51),"")</f>
        <v/>
      </c>
      <c r="G51" s="15">
        <f>IFERROR(AVERAGEIFS(Annonces!$M$2:$M$451,Annonces!$A$2:$A$451,$A51,Annonces!$C$2:$C$451,"En vente",Annonces!$M$2:$M$451,"&gt;="&amp;$H51,Annonces!$M$2:$M$451,"&lt;"&amp;$I51),"")</f>
        <v/>
      </c>
      <c r="H51" s="6" t="n">
        <v>200000</v>
      </c>
      <c r="I51" s="6" t="n">
        <v>10000000</v>
      </c>
    </row>
    <row r="52">
      <c r="A52" s="10" t="inlineStr">
        <is>
          <t>Renault Mégane II RS R26</t>
        </is>
      </c>
      <c r="B52" s="10" t="inlineStr">
        <is>
          <t>&lt; 100 000 km</t>
        </is>
      </c>
      <c r="C52" s="16">
        <f>COUNTIFS(Annonces!$A$2:$A$451,$A52,Annonces!$C$2:$C$451,"En vente",Annonces!$M$2:$M$451,"&gt;="&amp;$H52,Annonces!$M$2:$M$451,"&lt;"&amp;$I52)</f>
        <v/>
      </c>
      <c r="D52" s="12">
        <f>IFERROR(AVERAGEIFS(Annonces!$J$2:$J$451,Annonces!$A$2:$A$451,$A52,Annonces!$C$2:$C$451,"En vente",Annonces!$M$2:$M$451,"&gt;="&amp;$H52,Annonces!$M$2:$M$451,"&lt;"&amp;$I52),"")</f>
        <v/>
      </c>
      <c r="E52" s="12">
        <f>IF(C52&gt;0,_xlfn.MINIFS(Annonces!$J$2:$J$451,Annonces!$A$2:$A$451,$A52,Annonces!$C$2:$C$451,"En vente",Annonces!$M$2:$M$451,"&gt;="&amp;$H52,Annonces!$M$2:$M$451,"&lt;"&amp;$I52),"")</f>
        <v/>
      </c>
      <c r="F52" s="12">
        <f>IF(C52&gt;0,_xlfn.MAXIFS(Annonces!$J$2:$J$451,Annonces!$A$2:$A$451,$A52,Annonces!$C$2:$C$451,"En vente",Annonces!$M$2:$M$451,"&gt;="&amp;$H52,Annonces!$M$2:$M$451,"&lt;"&amp;$I52),"")</f>
        <v/>
      </c>
      <c r="G52" s="15">
        <f>IFERROR(AVERAGEIFS(Annonces!$M$2:$M$451,Annonces!$A$2:$A$451,$A52,Annonces!$C$2:$C$451,"En vente",Annonces!$M$2:$M$451,"&gt;="&amp;$H52,Annonces!$M$2:$M$451,"&lt;"&amp;$I52),"")</f>
        <v/>
      </c>
      <c r="H52" s="6" t="n">
        <v>0</v>
      </c>
      <c r="I52" s="6" t="n">
        <v>100000</v>
      </c>
    </row>
    <row r="53">
      <c r="A53" s="10" t="inlineStr">
        <is>
          <t>Renault Mégane II RS R26</t>
        </is>
      </c>
      <c r="B53" s="10" t="inlineStr">
        <is>
          <t>100 000 – 150 000 km</t>
        </is>
      </c>
      <c r="C53" s="16">
        <f>COUNTIFS(Annonces!$A$2:$A$451,$A53,Annonces!$C$2:$C$451,"En vente",Annonces!$M$2:$M$451,"&gt;="&amp;$H53,Annonces!$M$2:$M$451,"&lt;"&amp;$I53)</f>
        <v/>
      </c>
      <c r="D53" s="12">
        <f>IFERROR(AVERAGEIFS(Annonces!$J$2:$J$451,Annonces!$A$2:$A$451,$A53,Annonces!$C$2:$C$451,"En vente",Annonces!$M$2:$M$451,"&gt;="&amp;$H53,Annonces!$M$2:$M$451,"&lt;"&amp;$I53),"")</f>
        <v/>
      </c>
      <c r="E53" s="12">
        <f>IF(C53&gt;0,_xlfn.MINIFS(Annonces!$J$2:$J$451,Annonces!$A$2:$A$451,$A53,Annonces!$C$2:$C$451,"En vente",Annonces!$M$2:$M$451,"&gt;="&amp;$H53,Annonces!$M$2:$M$451,"&lt;"&amp;$I53),"")</f>
        <v/>
      </c>
      <c r="F53" s="12">
        <f>IF(C53&gt;0,_xlfn.MAXIFS(Annonces!$J$2:$J$451,Annonces!$A$2:$A$451,$A53,Annonces!$C$2:$C$451,"En vente",Annonces!$M$2:$M$451,"&gt;="&amp;$H53,Annonces!$M$2:$M$451,"&lt;"&amp;$I53),"")</f>
        <v/>
      </c>
      <c r="G53" s="15">
        <f>IFERROR(AVERAGEIFS(Annonces!$M$2:$M$451,Annonces!$A$2:$A$451,$A53,Annonces!$C$2:$C$451,"En vente",Annonces!$M$2:$M$451,"&gt;="&amp;$H53,Annonces!$M$2:$M$451,"&lt;"&amp;$I53),"")</f>
        <v/>
      </c>
      <c r="H53" s="6" t="n">
        <v>100000</v>
      </c>
      <c r="I53" s="6" t="n">
        <v>150000</v>
      </c>
    </row>
    <row r="54">
      <c r="A54" s="10" t="inlineStr">
        <is>
          <t>Renault Mégane II RS R26</t>
        </is>
      </c>
      <c r="B54" s="10" t="inlineStr">
        <is>
          <t>150 000 – 200 000 km</t>
        </is>
      </c>
      <c r="C54" s="16">
        <f>COUNTIFS(Annonces!$A$2:$A$451,$A54,Annonces!$C$2:$C$451,"En vente",Annonces!$M$2:$M$451,"&gt;="&amp;$H54,Annonces!$M$2:$M$451,"&lt;"&amp;$I54)</f>
        <v/>
      </c>
      <c r="D54" s="12">
        <f>IFERROR(AVERAGEIFS(Annonces!$J$2:$J$451,Annonces!$A$2:$A$451,$A54,Annonces!$C$2:$C$451,"En vente",Annonces!$M$2:$M$451,"&gt;="&amp;$H54,Annonces!$M$2:$M$451,"&lt;"&amp;$I54),"")</f>
        <v/>
      </c>
      <c r="E54" s="12">
        <f>IF(C54&gt;0,_xlfn.MINIFS(Annonces!$J$2:$J$451,Annonces!$A$2:$A$451,$A54,Annonces!$C$2:$C$451,"En vente",Annonces!$M$2:$M$451,"&gt;="&amp;$H54,Annonces!$M$2:$M$451,"&lt;"&amp;$I54),"")</f>
        <v/>
      </c>
      <c r="F54" s="12">
        <f>IF(C54&gt;0,_xlfn.MAXIFS(Annonces!$J$2:$J$451,Annonces!$A$2:$A$451,$A54,Annonces!$C$2:$C$451,"En vente",Annonces!$M$2:$M$451,"&gt;="&amp;$H54,Annonces!$M$2:$M$451,"&lt;"&amp;$I54),"")</f>
        <v/>
      </c>
      <c r="G54" s="15">
        <f>IFERROR(AVERAGEIFS(Annonces!$M$2:$M$451,Annonces!$A$2:$A$451,$A54,Annonces!$C$2:$C$451,"En vente",Annonces!$M$2:$M$451,"&gt;="&amp;$H54,Annonces!$M$2:$M$451,"&lt;"&amp;$I54),"")</f>
        <v/>
      </c>
      <c r="H54" s="6" t="n">
        <v>150000</v>
      </c>
      <c r="I54" s="6" t="n">
        <v>200000</v>
      </c>
    </row>
    <row r="55">
      <c r="A55" s="10" t="inlineStr">
        <is>
          <t>Renault Twingo 1 découvrable</t>
        </is>
      </c>
      <c r="B55" s="10" t="inlineStr">
        <is>
          <t>&lt; 100 000 km</t>
        </is>
      </c>
      <c r="C55" s="16">
        <f>COUNTIFS(Annonces!$A$2:$A$451,$A55,Annonces!$C$2:$C$451,"En vente",Annonces!$M$2:$M$451,"&gt;="&amp;$H55,Annonces!$M$2:$M$451,"&lt;"&amp;$I55)</f>
        <v/>
      </c>
      <c r="D55" s="12">
        <f>IFERROR(AVERAGEIFS(Annonces!$J$2:$J$451,Annonces!$A$2:$A$451,$A55,Annonces!$C$2:$C$451,"En vente",Annonces!$M$2:$M$451,"&gt;="&amp;$H55,Annonces!$M$2:$M$451,"&lt;"&amp;$I55),"")</f>
        <v/>
      </c>
      <c r="E55" s="12">
        <f>IF(C55&gt;0,_xlfn.MINIFS(Annonces!$J$2:$J$451,Annonces!$A$2:$A$451,$A55,Annonces!$C$2:$C$451,"En vente",Annonces!$M$2:$M$451,"&gt;="&amp;$H55,Annonces!$M$2:$M$451,"&lt;"&amp;$I55),"")</f>
        <v/>
      </c>
      <c r="F55" s="12">
        <f>IF(C55&gt;0,_xlfn.MAXIFS(Annonces!$J$2:$J$451,Annonces!$A$2:$A$451,$A55,Annonces!$C$2:$C$451,"En vente",Annonces!$M$2:$M$451,"&gt;="&amp;$H55,Annonces!$M$2:$M$451,"&lt;"&amp;$I55),"")</f>
        <v/>
      </c>
      <c r="G55" s="15">
        <f>IFERROR(AVERAGEIFS(Annonces!$M$2:$M$451,Annonces!$A$2:$A$451,$A55,Annonces!$C$2:$C$451,"En vente",Annonces!$M$2:$M$451,"&gt;="&amp;$H55,Annonces!$M$2:$M$451,"&lt;"&amp;$I55),"")</f>
        <v/>
      </c>
      <c r="H55" s="6" t="n">
        <v>0</v>
      </c>
      <c r="I55" s="6" t="n">
        <v>100000</v>
      </c>
    </row>
    <row r="56">
      <c r="A56" s="10" t="inlineStr">
        <is>
          <t>Renault Twingo 1 découvrable</t>
        </is>
      </c>
      <c r="B56" s="10" t="inlineStr">
        <is>
          <t>100 000 – 150 000 km</t>
        </is>
      </c>
      <c r="C56" s="16">
        <f>COUNTIFS(Annonces!$A$2:$A$451,$A56,Annonces!$C$2:$C$451,"En vente",Annonces!$M$2:$M$451,"&gt;="&amp;$H56,Annonces!$M$2:$M$451,"&lt;"&amp;$I56)</f>
        <v/>
      </c>
      <c r="D56" s="12">
        <f>IFERROR(AVERAGEIFS(Annonces!$J$2:$J$451,Annonces!$A$2:$A$451,$A56,Annonces!$C$2:$C$451,"En vente",Annonces!$M$2:$M$451,"&gt;="&amp;$H56,Annonces!$M$2:$M$451,"&lt;"&amp;$I56),"")</f>
        <v/>
      </c>
      <c r="E56" s="12">
        <f>IF(C56&gt;0,_xlfn.MINIFS(Annonces!$J$2:$J$451,Annonces!$A$2:$A$451,$A56,Annonces!$C$2:$C$451,"En vente",Annonces!$M$2:$M$451,"&gt;="&amp;$H56,Annonces!$M$2:$M$451,"&lt;"&amp;$I56),"")</f>
        <v/>
      </c>
      <c r="F56" s="12">
        <f>IF(C56&gt;0,_xlfn.MAXIFS(Annonces!$J$2:$J$451,Annonces!$A$2:$A$451,$A56,Annonces!$C$2:$C$451,"En vente",Annonces!$M$2:$M$451,"&gt;="&amp;$H56,Annonces!$M$2:$M$451,"&lt;"&amp;$I56),"")</f>
        <v/>
      </c>
      <c r="G56" s="15">
        <f>IFERROR(AVERAGEIFS(Annonces!$M$2:$M$451,Annonces!$A$2:$A$451,$A56,Annonces!$C$2:$C$451,"En vente",Annonces!$M$2:$M$451,"&gt;="&amp;$H56,Annonces!$M$2:$M$451,"&lt;"&amp;$I56),"")</f>
        <v/>
      </c>
      <c r="H56" s="6" t="n">
        <v>100000</v>
      </c>
      <c r="I56" s="6" t="n">
        <v>150000</v>
      </c>
    </row>
    <row r="57">
      <c r="A57" s="10" t="inlineStr">
        <is>
          <t>Renault Twingo 1 découvrable</t>
        </is>
      </c>
      <c r="B57" s="10" t="inlineStr">
        <is>
          <t>150 000 – 200 000 km</t>
        </is>
      </c>
      <c r="C57" s="16">
        <f>COUNTIFS(Annonces!$A$2:$A$451,$A57,Annonces!$C$2:$C$451,"En vente",Annonces!$M$2:$M$451,"&gt;="&amp;$H57,Annonces!$M$2:$M$451,"&lt;"&amp;$I57)</f>
        <v/>
      </c>
      <c r="D57" s="12">
        <f>IFERROR(AVERAGEIFS(Annonces!$J$2:$J$451,Annonces!$A$2:$A$451,$A57,Annonces!$C$2:$C$451,"En vente",Annonces!$M$2:$M$451,"&gt;="&amp;$H57,Annonces!$M$2:$M$451,"&lt;"&amp;$I57),"")</f>
        <v/>
      </c>
      <c r="E57" s="12">
        <f>IF(C57&gt;0,_xlfn.MINIFS(Annonces!$J$2:$J$451,Annonces!$A$2:$A$451,$A57,Annonces!$C$2:$C$451,"En vente",Annonces!$M$2:$M$451,"&gt;="&amp;$H57,Annonces!$M$2:$M$451,"&lt;"&amp;$I57),"")</f>
        <v/>
      </c>
      <c r="F57" s="12">
        <f>IF(C57&gt;0,_xlfn.MAXIFS(Annonces!$J$2:$J$451,Annonces!$A$2:$A$451,$A57,Annonces!$C$2:$C$451,"En vente",Annonces!$M$2:$M$451,"&gt;="&amp;$H57,Annonces!$M$2:$M$451,"&lt;"&amp;$I57),"")</f>
        <v/>
      </c>
      <c r="G57" s="15">
        <f>IFERROR(AVERAGEIFS(Annonces!$M$2:$M$451,Annonces!$A$2:$A$451,$A57,Annonces!$C$2:$C$451,"En vente",Annonces!$M$2:$M$451,"&gt;="&amp;$H57,Annonces!$M$2:$M$451,"&lt;"&amp;$I57),"")</f>
        <v/>
      </c>
      <c r="H57" s="6" t="n">
        <v>150000</v>
      </c>
      <c r="I57" s="6" t="n">
        <v>200000</v>
      </c>
    </row>
    <row r="58">
      <c r="A58" s="10" t="inlineStr">
        <is>
          <t>Renault Twingo 1 découvrable</t>
        </is>
      </c>
      <c r="B58" s="10" t="inlineStr">
        <is>
          <t>≥ 200 000 km</t>
        </is>
      </c>
      <c r="C58" s="16">
        <f>COUNTIFS(Annonces!$A$2:$A$451,$A58,Annonces!$C$2:$C$451,"En vente",Annonces!$M$2:$M$451,"&gt;="&amp;$H58,Annonces!$M$2:$M$451,"&lt;"&amp;$I58)</f>
        <v/>
      </c>
      <c r="D58" s="12">
        <f>IFERROR(AVERAGEIFS(Annonces!$J$2:$J$451,Annonces!$A$2:$A$451,$A58,Annonces!$C$2:$C$451,"En vente",Annonces!$M$2:$M$451,"&gt;="&amp;$H58,Annonces!$M$2:$M$451,"&lt;"&amp;$I58),"")</f>
        <v/>
      </c>
      <c r="E58" s="12">
        <f>IF(C58&gt;0,_xlfn.MINIFS(Annonces!$J$2:$J$451,Annonces!$A$2:$A$451,$A58,Annonces!$C$2:$C$451,"En vente",Annonces!$M$2:$M$451,"&gt;="&amp;$H58,Annonces!$M$2:$M$451,"&lt;"&amp;$I58),"")</f>
        <v/>
      </c>
      <c r="F58" s="12">
        <f>IF(C58&gt;0,_xlfn.MAXIFS(Annonces!$J$2:$J$451,Annonces!$A$2:$A$451,$A58,Annonces!$C$2:$C$451,"En vente",Annonces!$M$2:$M$451,"&gt;="&amp;$H58,Annonces!$M$2:$M$451,"&lt;"&amp;$I58),"")</f>
        <v/>
      </c>
      <c r="G58" s="15">
        <f>IFERROR(AVERAGEIFS(Annonces!$M$2:$M$451,Annonces!$A$2:$A$451,$A58,Annonces!$C$2:$C$451,"En vente",Annonces!$M$2:$M$451,"&gt;="&amp;$H58,Annonces!$M$2:$M$451,"&lt;"&amp;$I58),"")</f>
        <v/>
      </c>
      <c r="H58" s="6" t="n">
        <v>200000</v>
      </c>
      <c r="I58" s="6" t="n">
        <v>10000000</v>
      </c>
    </row>
  </sheetData>
  <autoFilter ref="A2:G5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Peugeot 306 S16</t>
        </is>
      </c>
      <c r="B2" s="10" t="inlineStr">
        <is>
          <t>306 1.6 90cv</t>
        </is>
      </c>
      <c r="C2" s="12" t="n">
        <v>1000</v>
      </c>
      <c r="D2" s="12" t="n">
        <v>10240</v>
      </c>
      <c r="E2" s="13">
        <f>IF(AND(ISNUMBER(C2),ISNUMBER(D2),D2&gt;0),1-C2/D2,"")</f>
        <v/>
      </c>
      <c r="F2" s="15" t="n">
        <v>145000</v>
      </c>
      <c r="G2" s="16" t="n">
        <v>1997</v>
      </c>
      <c r="H2" s="10" t="inlineStr">
        <is>
          <t>Dijon</t>
        </is>
      </c>
      <c r="I2" s="19" t="inlineStr">
        <is>
          <t>Voir</t>
        </is>
      </c>
      <c r="J2" s="18" t="n">
        <v>46296</v>
      </c>
    </row>
    <row r="3">
      <c r="A3" s="10" t="inlineStr">
        <is>
          <t>Peugeot 306 S16</t>
        </is>
      </c>
      <c r="B3" s="10" t="inlineStr">
        <is>
          <t>Peugeot 306 S16 Bleu</t>
        </is>
      </c>
      <c r="C3" s="12" t="n">
        <v>1000</v>
      </c>
      <c r="D3" s="12" t="n">
        <v>9730</v>
      </c>
      <c r="E3" s="13">
        <f>IF(AND(ISNUMBER(C3),ISNUMBER(D3),D3&gt;0),1-C3/D3,"")</f>
        <v/>
      </c>
      <c r="F3" s="15" t="n">
        <v>184614</v>
      </c>
      <c r="G3" s="16" t="n">
        <v>2000</v>
      </c>
      <c r="H3" s="10" t="inlineStr">
        <is>
          <t>Bourges</t>
        </is>
      </c>
      <c r="I3" s="19" t="inlineStr">
        <is>
          <t>Voir</t>
        </is>
      </c>
      <c r="J3" s="18" t="n">
        <v>46296</v>
      </c>
    </row>
    <row r="4">
      <c r="A4" s="10" t="inlineStr">
        <is>
          <t>Honda S2000</t>
        </is>
      </c>
      <c r="B4" s="10" t="inlineStr">
        <is>
          <t>MG MGF/MGTF TF 115 CV fiabilisée RHD + HARDTOP</t>
        </is>
      </c>
      <c r="C4" s="12" t="n">
        <v>4599</v>
      </c>
      <c r="D4" s="12" t="n">
        <v>21120</v>
      </c>
      <c r="E4" s="13">
        <f>IF(AND(ISNUMBER(C4),ISNUMBER(D4),D4&gt;0),1-C4/D4,"")</f>
        <v/>
      </c>
      <c r="F4" s="15" t="n">
        <v>147999</v>
      </c>
      <c r="G4" s="16" t="n">
        <v>2005</v>
      </c>
      <c r="H4" s="10" t="inlineStr">
        <is>
          <t>Salouël</t>
        </is>
      </c>
      <c r="I4" s="19" t="inlineStr">
        <is>
          <t>Voir</t>
        </is>
      </c>
      <c r="J4" s="18" t="n">
        <v>46296</v>
      </c>
    </row>
    <row r="5">
      <c r="A5" s="10" t="inlineStr">
        <is>
          <t>Renault Twingo 1 découvrable</t>
        </is>
      </c>
      <c r="B5" s="10" t="inlineStr">
        <is>
          <t>Twingo I Matic toit ouvrant</t>
        </is>
      </c>
      <c r="C5" s="12" t="n">
        <v>699</v>
      </c>
      <c r="D5" s="12" t="n">
        <v>2610</v>
      </c>
      <c r="E5" s="13">
        <f>IF(AND(ISNUMBER(C5),ISNUMBER(D5),D5&gt;0),1-C5/D5,"")</f>
        <v/>
      </c>
      <c r="F5" s="15" t="n">
        <v>194000</v>
      </c>
      <c r="G5" s="16" t="n">
        <v>1997</v>
      </c>
      <c r="H5" s="10" t="inlineStr">
        <is>
          <t>Cahors</t>
        </is>
      </c>
      <c r="I5" s="19" t="inlineStr">
        <is>
          <t>Voir</t>
        </is>
      </c>
      <c r="J5" s="18" t="n">
        <v>46296</v>
      </c>
    </row>
    <row r="6">
      <c r="A6" s="10" t="inlineStr">
        <is>
          <t>Peugeot 205 GTI</t>
        </is>
      </c>
      <c r="B6" s="10" t="inlineStr">
        <is>
          <t>205 gti 1.6 105</t>
        </is>
      </c>
      <c r="C6" s="12" t="n">
        <v>5500</v>
      </c>
      <c r="D6" s="12" t="n">
        <v>17930</v>
      </c>
      <c r="E6" s="13">
        <f>IF(AND(ISNUMBER(C6),ISNUMBER(D6),D6&gt;0),1-C6/D6,"")</f>
        <v/>
      </c>
      <c r="F6" s="15" t="n">
        <v>136000</v>
      </c>
      <c r="G6" s="16" t="n">
        <v>1985</v>
      </c>
      <c r="H6" s="10" t="inlineStr">
        <is>
          <t>Saint-Flour</t>
        </is>
      </c>
      <c r="I6" s="19" t="inlineStr">
        <is>
          <t>Voir</t>
        </is>
      </c>
      <c r="J6" s="18" t="n">
        <v>46296</v>
      </c>
    </row>
    <row r="7">
      <c r="A7" s="10" t="inlineStr">
        <is>
          <t>Porsche Boxster 986</t>
        </is>
      </c>
      <c r="B7" s="10" t="inlineStr">
        <is>
          <t>Porsche Boxster 986 2.7</t>
        </is>
      </c>
      <c r="C7" s="12" t="n">
        <v>5000</v>
      </c>
      <c r="D7" s="12" t="n">
        <v>15640</v>
      </c>
      <c r="E7" s="13">
        <f>IF(AND(ISNUMBER(C7),ISNUMBER(D7),D7&gt;0),1-C7/D7,"")</f>
        <v/>
      </c>
      <c r="F7" s="15" t="n">
        <v>169000</v>
      </c>
      <c r="G7" s="16" t="n">
        <v>2003</v>
      </c>
      <c r="H7" s="10" t="inlineStr">
        <is>
          <t>Alfortville</t>
        </is>
      </c>
      <c r="I7" s="19" t="inlineStr">
        <is>
          <t>Voir</t>
        </is>
      </c>
      <c r="J7" s="18" t="n">
        <v>46296</v>
      </c>
    </row>
    <row r="8">
      <c r="A8" s="10" t="inlineStr">
        <is>
          <t>Citroën Saxo VTS 16V</t>
        </is>
      </c>
      <c r="B8" s="10" t="inlineStr">
        <is>
          <t>Citroën saxo vts</t>
        </is>
      </c>
      <c r="C8" s="12" t="n">
        <v>2500</v>
      </c>
      <c r="D8" s="12" t="n">
        <v>7750</v>
      </c>
      <c r="E8" s="13">
        <f>IF(AND(ISNUMBER(C8),ISNUMBER(D8),D8&gt;0),1-C8/D8,"")</f>
        <v/>
      </c>
      <c r="F8" s="15" t="n">
        <v>150000</v>
      </c>
      <c r="G8" s="16" t="n">
        <v>2000</v>
      </c>
      <c r="H8" s="10" t="inlineStr">
        <is>
          <t>Naintré</t>
        </is>
      </c>
      <c r="I8" s="19" t="inlineStr">
        <is>
          <t>Voir</t>
        </is>
      </c>
      <c r="J8" s="18" t="n">
        <v>46296</v>
      </c>
    </row>
    <row r="9">
      <c r="A9" s="10" t="inlineStr">
        <is>
          <t>Citroën Saxo VTS 16V</t>
        </is>
      </c>
      <c r="B9" s="10" t="inlineStr">
        <is>
          <t>Saxo vts 1.6 8s</t>
        </is>
      </c>
      <c r="C9" s="12" t="n">
        <v>1600</v>
      </c>
      <c r="D9" s="12" t="n">
        <v>4860</v>
      </c>
      <c r="E9" s="13">
        <f>IF(AND(ISNUMBER(C9),ISNUMBER(D9),D9&gt;0),1-C9/D9,"")</f>
        <v/>
      </c>
      <c r="F9" s="15" t="n">
        <v>281740</v>
      </c>
      <c r="G9" s="16" t="n">
        <v>2003</v>
      </c>
      <c r="H9" s="10" t="inlineStr">
        <is>
          <t>Le Robert</t>
        </is>
      </c>
      <c r="I9" s="19" t="inlineStr">
        <is>
          <t>Voir</t>
        </is>
      </c>
      <c r="J9" s="18" t="n">
        <v>46296</v>
      </c>
    </row>
    <row r="10">
      <c r="A10" s="10" t="inlineStr">
        <is>
          <t>Peugeot 205 GTI</t>
        </is>
      </c>
      <c r="B10" s="10" t="inlineStr">
        <is>
          <t>205 gti</t>
        </is>
      </c>
      <c r="C10" s="12" t="n">
        <v>6000</v>
      </c>
      <c r="D10" s="12" t="n">
        <v>17890</v>
      </c>
      <c r="E10" s="13">
        <f>IF(AND(ISNUMBER(C10),ISNUMBER(D10),D10&gt;0),1-C10/D10,"")</f>
        <v/>
      </c>
      <c r="F10" s="15" t="n">
        <v>170000</v>
      </c>
      <c r="G10" s="16" t="n">
        <v>1985</v>
      </c>
      <c r="H10" s="10" t="inlineStr">
        <is>
          <t>Rignac</t>
        </is>
      </c>
      <c r="I10" s="19" t="inlineStr">
        <is>
          <t>Voir</t>
        </is>
      </c>
      <c r="J10" s="18" t="n">
        <v>46296</v>
      </c>
    </row>
    <row r="11">
      <c r="A11" s="10" t="inlineStr">
        <is>
          <t>Mazda MX-5 NA</t>
        </is>
      </c>
      <c r="B11" s="10" t="inlineStr">
        <is>
          <t>Mazda MX5 décapotable vintage CT</t>
        </is>
      </c>
      <c r="C11" s="12" t="n">
        <v>3990</v>
      </c>
      <c r="D11" s="12" t="n">
        <v>10970</v>
      </c>
      <c r="E11" s="13">
        <f>IF(AND(ISNUMBER(C11),ISNUMBER(D11),D11&gt;0),1-C11/D11,"")</f>
        <v/>
      </c>
      <c r="F11" s="15" t="n">
        <v>198000</v>
      </c>
      <c r="G11" s="16" t="n">
        <v>1998</v>
      </c>
      <c r="H11" s="10" t="inlineStr">
        <is>
          <t>Pontarlier</t>
        </is>
      </c>
      <c r="I11" s="19" t="inlineStr">
        <is>
          <t>Voir</t>
        </is>
      </c>
      <c r="J11" s="18" t="n">
        <v>46296</v>
      </c>
    </row>
    <row r="12">
      <c r="A12" s="10" t="inlineStr">
        <is>
          <t>Porsche Boxster 986</t>
        </is>
      </c>
      <c r="B12" s="10" t="inlineStr">
        <is>
          <t>Porsche BOXSTER (986) 3.2 S 252 CH</t>
        </is>
      </c>
      <c r="C12" s="12" t="n">
        <v>6990</v>
      </c>
      <c r="D12" s="12" t="n">
        <v>18730</v>
      </c>
      <c r="E12" s="13">
        <f>IF(AND(ISNUMBER(C12),ISNUMBER(D12),D12&gt;0),1-C12/D12,"")</f>
        <v/>
      </c>
      <c r="F12" s="15" t="n">
        <v>118900</v>
      </c>
      <c r="G12" s="16" t="n">
        <v>1999</v>
      </c>
      <c r="H12" s="10" t="inlineStr">
        <is>
          <t>Perreux</t>
        </is>
      </c>
      <c r="I12" s="19" t="inlineStr">
        <is>
          <t>Voir</t>
        </is>
      </c>
      <c r="J12" s="18" t="n">
        <v>46296</v>
      </c>
    </row>
    <row r="13">
      <c r="A13" s="10" t="inlineStr">
        <is>
          <t>Peugeot 306 S16</t>
        </is>
      </c>
      <c r="B13" s="10" t="inlineStr">
        <is>
          <t>306 xsi swap TCT</t>
        </is>
      </c>
      <c r="C13" s="12" t="n">
        <v>3500</v>
      </c>
      <c r="D13" s="12" t="n">
        <v>9030</v>
      </c>
      <c r="E13" s="13">
        <f>IF(AND(ISNUMBER(C13),ISNUMBER(D13),D13&gt;0),1-C13/D13,"")</f>
        <v/>
      </c>
      <c r="F13" s="15" t="n">
        <v>240000</v>
      </c>
      <c r="G13" s="16" t="n">
        <v>1996</v>
      </c>
      <c r="H13" s="10" t="inlineStr">
        <is>
          <t>Les Angles</t>
        </is>
      </c>
      <c r="I13" s="19" t="inlineStr">
        <is>
          <t>Voir</t>
        </is>
      </c>
      <c r="J13" s="18" t="n">
        <v>46296</v>
      </c>
    </row>
    <row r="14">
      <c r="A14" s="10" t="inlineStr">
        <is>
          <t>Citroën Saxo VTS 16V</t>
        </is>
      </c>
      <c r="B14" s="10" t="inlineStr">
        <is>
          <t>Vend saxo vts 1l4 essence</t>
        </is>
      </c>
      <c r="C14" s="12" t="n">
        <v>2000</v>
      </c>
      <c r="D14" s="12" t="n">
        <v>4880</v>
      </c>
      <c r="E14" s="13">
        <f>IF(AND(ISNUMBER(C14),ISNUMBER(D14),D14&gt;0),1-C14/D14,"")</f>
        <v/>
      </c>
      <c r="F14" s="15" t="n">
        <v>254000</v>
      </c>
      <c r="G14" s="16" t="n">
        <v>2002</v>
      </c>
      <c r="H14" s="10" t="inlineStr">
        <is>
          <t>La Plaine-des-Palmistes</t>
        </is>
      </c>
      <c r="I14" s="19" t="inlineStr">
        <is>
          <t>Voir</t>
        </is>
      </c>
      <c r="J14" s="18" t="n">
        <v>46296</v>
      </c>
    </row>
    <row r="15">
      <c r="A15" s="10" t="inlineStr">
        <is>
          <t>Citroën Saxo VTS 16V</t>
        </is>
      </c>
      <c r="B15" s="10" t="inlineStr">
        <is>
          <t>Saxo vts</t>
        </is>
      </c>
      <c r="C15" s="12" t="n">
        <v>3000</v>
      </c>
      <c r="D15" s="12" t="n">
        <v>7200</v>
      </c>
      <c r="E15" s="13">
        <f>IF(AND(ISNUMBER(C15),ISNUMBER(D15),D15&gt;0),1-C15/D15,"")</f>
        <v/>
      </c>
      <c r="F15" s="15" t="n">
        <v>170000</v>
      </c>
      <c r="G15" s="16" t="n">
        <v>1999</v>
      </c>
      <c r="H15" s="10" t="inlineStr">
        <is>
          <t>Delme</t>
        </is>
      </c>
      <c r="I15" s="19" t="inlineStr">
        <is>
          <t>Voir</t>
        </is>
      </c>
      <c r="J15" s="18" t="n">
        <v>46296</v>
      </c>
    </row>
    <row r="16">
      <c r="A16" s="10" t="inlineStr">
        <is>
          <t>Peugeot 306 S16</t>
        </is>
      </c>
      <c r="B16" s="10" t="inlineStr">
        <is>
          <t>306 s16</t>
        </is>
      </c>
      <c r="C16" s="12" t="n">
        <v>4000</v>
      </c>
      <c r="D16" s="12" t="n">
        <v>9350</v>
      </c>
      <c r="E16" s="13">
        <f>IF(AND(ISNUMBER(C16),ISNUMBER(D16),D16&gt;0),1-C16/D16,"")</f>
        <v/>
      </c>
      <c r="F16" s="15" t="n">
        <v>215000</v>
      </c>
      <c r="G16" s="16" t="n">
        <v>2000</v>
      </c>
      <c r="H16" s="10" t="inlineStr">
        <is>
          <t>Le Pellerin</t>
        </is>
      </c>
      <c r="I16" s="19" t="inlineStr">
        <is>
          <t>Voir</t>
        </is>
      </c>
      <c r="J16" s="18" t="n">
        <v>46296</v>
      </c>
    </row>
    <row r="17">
      <c r="A17" s="10" t="inlineStr">
        <is>
          <t>Honda S2000</t>
        </is>
      </c>
      <c r="B17" s="10" t="inlineStr">
        <is>
          <t>TOYOTA MR2 1.8 140 VVT-i 2005 - 110 430 km - Réfection complète peinture - sellerie - capote - pneus arrière neufs -</t>
        </is>
      </c>
      <c r="C17" s="12" t="n">
        <v>11990</v>
      </c>
      <c r="D17" s="12" t="n">
        <v>26460</v>
      </c>
      <c r="E17" s="13">
        <f>IF(AND(ISNUMBER(C17),ISNUMBER(D17),D17&gt;0),1-C17/D17,"")</f>
        <v/>
      </c>
      <c r="F17" s="15" t="n">
        <v>110430</v>
      </c>
      <c r="G17" s="16" t="n">
        <v>2005</v>
      </c>
      <c r="H17" s="10" t="inlineStr">
        <is>
          <t>Reims</t>
        </is>
      </c>
      <c r="I17" s="19" t="inlineStr">
        <is>
          <t>Voir</t>
        </is>
      </c>
      <c r="J17" s="18" t="n">
        <v>46296</v>
      </c>
    </row>
    <row r="18">
      <c r="A18" s="10" t="inlineStr">
        <is>
          <t>Honda S2000</t>
        </is>
      </c>
      <c r="B18" s="10" t="inlineStr">
        <is>
          <t>Mazda Mx5 ROADSTER 1.8 MZR 125 ELEGANCE</t>
        </is>
      </c>
      <c r="C18" s="12" t="n">
        <v>12990</v>
      </c>
      <c r="D18" s="12" t="n">
        <v>27800</v>
      </c>
      <c r="E18" s="13">
        <f>IF(AND(ISNUMBER(C18),ISNUMBER(D18),D18&gt;0),1-C18/D18,"")</f>
        <v/>
      </c>
      <c r="F18" s="15" t="n">
        <v>101000</v>
      </c>
      <c r="G18" s="16" t="n">
        <v>2006</v>
      </c>
      <c r="H18" s="10" t="inlineStr">
        <is>
          <t>Creuzier-le-Vieux</t>
        </is>
      </c>
      <c r="I18" s="19" t="inlineStr">
        <is>
          <t>Voir</t>
        </is>
      </c>
      <c r="J18" s="18" t="n">
        <v>46296</v>
      </c>
    </row>
    <row r="19">
      <c r="A19" s="10" t="inlineStr">
        <is>
          <t>Renault Twingo 1 découvrable</t>
        </is>
      </c>
      <c r="B19" s="10" t="inlineStr">
        <is>
          <t>Twingo 1 toit ouvrant</t>
        </is>
      </c>
      <c r="C19" s="12" t="n">
        <v>1200</v>
      </c>
      <c r="D19" s="12" t="n">
        <v>2470</v>
      </c>
      <c r="E19" s="13">
        <f>IF(AND(ISNUMBER(C19),ISNUMBER(D19),D19&gt;0),1-C19/D19,"")</f>
        <v/>
      </c>
      <c r="F19" s="15" t="n">
        <v>202000</v>
      </c>
      <c r="G19" s="16" t="n">
        <v>1998</v>
      </c>
      <c r="H19" s="10" t="inlineStr">
        <is>
          <t>Crest</t>
        </is>
      </c>
      <c r="I19" s="19" t="inlineStr">
        <is>
          <t>Voir</t>
        </is>
      </c>
      <c r="J19" s="18" t="n">
        <v>46296</v>
      </c>
    </row>
    <row r="20">
      <c r="A20" s="10" t="inlineStr">
        <is>
          <t>Mazda MX-5 NA</t>
        </is>
      </c>
      <c r="B20" s="10" t="inlineStr">
        <is>
          <t>Mazda MX5 NA</t>
        </is>
      </c>
      <c r="C20" s="12" t="n">
        <v>6000</v>
      </c>
      <c r="D20" s="12" t="n">
        <v>12150</v>
      </c>
      <c r="E20" s="13">
        <f>IF(AND(ISNUMBER(C20),ISNUMBER(D20),D20&gt;0),1-C20/D20,"")</f>
        <v/>
      </c>
      <c r="F20" s="15" t="n">
        <v>124100</v>
      </c>
      <c r="G20" s="16" t="n">
        <v>1991</v>
      </c>
      <c r="H20" s="10" t="inlineStr">
        <is>
          <t>Binic-Étables-sur-Mer</t>
        </is>
      </c>
      <c r="I20" s="19" t="inlineStr">
        <is>
          <t>Voir</t>
        </is>
      </c>
      <c r="J20" s="18" t="n">
        <v>46296</v>
      </c>
    </row>
    <row r="21">
      <c r="A21" s="10" t="inlineStr">
        <is>
          <t>Citroën Saxo VTS 16V</t>
        </is>
      </c>
      <c r="B21" s="10" t="inlineStr">
        <is>
          <t>Saxo vts 1l6</t>
        </is>
      </c>
      <c r="C21" s="12" t="n">
        <v>3000</v>
      </c>
      <c r="D21" s="12" t="n">
        <v>6000</v>
      </c>
      <c r="E21" s="13">
        <f>IF(AND(ISNUMBER(C21),ISNUMBER(D21),D21&gt;0),1-C21/D21,"")</f>
        <v/>
      </c>
      <c r="F21" s="15" t="n">
        <v>213500</v>
      </c>
      <c r="G21" s="16" t="n">
        <v>1999</v>
      </c>
      <c r="H21" s="10" t="inlineStr">
        <is>
          <t>Forges-les-Eaux</t>
        </is>
      </c>
      <c r="I21" s="19" t="inlineStr">
        <is>
          <t>Voir</t>
        </is>
      </c>
      <c r="J21" s="18" t="n">
        <v>46296</v>
      </c>
    </row>
    <row r="22">
      <c r="A22" s="10" t="inlineStr">
        <is>
          <t>Renault Twingo 1 découvrable</t>
        </is>
      </c>
      <c r="B22" s="10" t="inlineStr">
        <is>
          <t>Twingo 2003 toit ouvrant</t>
        </is>
      </c>
      <c r="C22" s="12" t="n">
        <v>1750</v>
      </c>
      <c r="D22" s="12" t="n">
        <v>3380</v>
      </c>
      <c r="E22" s="13">
        <f>IF(AND(ISNUMBER(C22),ISNUMBER(D22),D22&gt;0),1-C22/D22,"")</f>
        <v/>
      </c>
      <c r="F22" s="15" t="n">
        <v>150000</v>
      </c>
      <c r="G22" s="16" t="n">
        <v>2003</v>
      </c>
      <c r="H22" s="10" t="inlineStr">
        <is>
          <t>Réguisheim</t>
        </is>
      </c>
      <c r="I22" s="19" t="inlineStr">
        <is>
          <t>Voir</t>
        </is>
      </c>
      <c r="J22" s="18" t="n">
        <v>46296</v>
      </c>
    </row>
    <row r="23">
      <c r="A23" s="10" t="inlineStr">
        <is>
          <t>Peugeot 306 S16</t>
        </is>
      </c>
      <c r="B23" s="10" t="inlineStr">
        <is>
          <t>306</t>
        </is>
      </c>
      <c r="C23" s="12" t="n">
        <v>5200</v>
      </c>
      <c r="D23" s="12" t="n">
        <v>9800</v>
      </c>
      <c r="E23" s="13">
        <f>IF(AND(ISNUMBER(C23),ISNUMBER(D23),D23&gt;0),1-C23/D23,"")</f>
        <v/>
      </c>
      <c r="F23" s="15" t="n">
        <v>179800</v>
      </c>
      <c r="G23" s="16" t="n">
        <v>1997</v>
      </c>
      <c r="H23" s="10" t="inlineStr">
        <is>
          <t>Yenne</t>
        </is>
      </c>
      <c r="I23" s="19" t="inlineStr">
        <is>
          <t>Voir</t>
        </is>
      </c>
      <c r="J23" s="18" t="n">
        <v>46296</v>
      </c>
    </row>
    <row r="24">
      <c r="A24" s="10" t="inlineStr">
        <is>
          <t>Renault Clio II RS (172/182 ch)</t>
        </is>
      </c>
      <c r="B24" s="10" t="inlineStr">
        <is>
          <t>Clio rs 182 rhd</t>
        </is>
      </c>
      <c r="C24" s="12" t="n">
        <v>5500</v>
      </c>
      <c r="D24" s="12" t="n">
        <v>10150</v>
      </c>
      <c r="E24" s="13">
        <f>IF(AND(ISNUMBER(C24),ISNUMBER(D24),D24&gt;0),1-C24/D24,"")</f>
        <v/>
      </c>
      <c r="F24" s="15" t="n">
        <v>182000</v>
      </c>
      <c r="G24" s="16" t="n">
        <v>2004</v>
      </c>
      <c r="H24" s="10" t="inlineStr">
        <is>
          <t>Arras</t>
        </is>
      </c>
      <c r="I24" s="19" t="inlineStr">
        <is>
          <t>Voir</t>
        </is>
      </c>
      <c r="J24" s="18" t="n">
        <v>46296</v>
      </c>
    </row>
    <row r="25">
      <c r="A25" s="10" t="inlineStr">
        <is>
          <t>Peugeot 206 RC</t>
        </is>
      </c>
      <c r="B25" s="10" t="inlineStr">
        <is>
          <t>206 rc</t>
        </is>
      </c>
      <c r="C25" s="12" t="n">
        <v>5900</v>
      </c>
      <c r="D25" s="12" t="n">
        <v>10880</v>
      </c>
      <c r="E25" s="13">
        <f>IF(AND(ISNUMBER(C25),ISNUMBER(D25),D25&gt;0),1-C25/D25,"")</f>
        <v/>
      </c>
      <c r="F25" s="15" t="n">
        <v>159000</v>
      </c>
      <c r="G25" s="16" t="n">
        <v>2003</v>
      </c>
      <c r="H25" s="10" t="inlineStr">
        <is>
          <t>Tulle</t>
        </is>
      </c>
      <c r="I25" s="19" t="inlineStr">
        <is>
          <t>Voir</t>
        </is>
      </c>
      <c r="J25" s="18" t="n">
        <v>46296</v>
      </c>
    </row>
    <row r="26">
      <c r="A26" s="10" t="inlineStr">
        <is>
          <t>Mazda MX-5 NA</t>
        </is>
      </c>
      <c r="B26" s="10" t="inlineStr">
        <is>
          <t>Mazda mx5, mx-5,</t>
        </is>
      </c>
      <c r="C26" s="12" t="n">
        <v>6200</v>
      </c>
      <c r="D26" s="12" t="n">
        <v>11230</v>
      </c>
      <c r="E26" s="13">
        <f>IF(AND(ISNUMBER(C26),ISNUMBER(D26),D26&gt;0),1-C26/D26,"")</f>
        <v/>
      </c>
      <c r="F26" s="15" t="n">
        <v>182000</v>
      </c>
      <c r="G26" s="16" t="n">
        <v>1998</v>
      </c>
      <c r="H26" s="10" t="inlineStr">
        <is>
          <t>Saint-Alban-Leysse</t>
        </is>
      </c>
      <c r="I26" s="19" t="inlineStr">
        <is>
          <t>Voir</t>
        </is>
      </c>
      <c r="J26" s="18" t="n">
        <v>46296</v>
      </c>
    </row>
    <row r="27">
      <c r="A27" s="10" t="inlineStr">
        <is>
          <t>Honda S2000</t>
        </is>
      </c>
      <c r="B27" s="10" t="inlineStr">
        <is>
          <t>Audi tt 1.8 180 coupe</t>
        </is>
      </c>
      <c r="C27" s="12" t="n">
        <v>7990</v>
      </c>
      <c r="D27" s="12" t="n">
        <v>14360</v>
      </c>
      <c r="E27" s="13">
        <f>IF(AND(ISNUMBER(C27),ISNUMBER(D27),D27&gt;0),1-C27/D27,"")</f>
        <v/>
      </c>
      <c r="F27" s="15" t="n">
        <v>220000</v>
      </c>
      <c r="G27" s="16" t="n">
        <v>1999</v>
      </c>
      <c r="H27" s="10" t="inlineStr">
        <is>
          <t>Sausheim</t>
        </is>
      </c>
      <c r="I27" s="19" t="inlineStr">
        <is>
          <t>Voir</t>
        </is>
      </c>
      <c r="J27" s="18" t="n">
        <v>46296</v>
      </c>
    </row>
    <row r="28">
      <c r="A28" s="10" t="inlineStr">
        <is>
          <t>Peugeot 205 GTI</t>
        </is>
      </c>
      <c r="B28" s="10" t="inlineStr">
        <is>
          <t>205 gti</t>
        </is>
      </c>
      <c r="C28" s="12" t="n">
        <v>9999</v>
      </c>
      <c r="D28" s="12" t="n">
        <v>17960</v>
      </c>
      <c r="E28" s="13">
        <f>IF(AND(ISNUMBER(C28),ISNUMBER(D28),D28&gt;0),1-C28/D28,"")</f>
        <v/>
      </c>
      <c r="F28" s="15" t="n">
        <v>105650</v>
      </c>
      <c r="G28" s="16" t="n">
        <v>1993</v>
      </c>
      <c r="H28" s="10" t="inlineStr">
        <is>
          <t>Lambres-lez-Douai</t>
        </is>
      </c>
      <c r="I28" s="19" t="inlineStr">
        <is>
          <t>Voir</t>
        </is>
      </c>
      <c r="J28" s="18" t="n">
        <v>46296</v>
      </c>
    </row>
    <row r="29">
      <c r="A29" s="10" t="inlineStr">
        <is>
          <t>Peugeot 205 GTI</t>
        </is>
      </c>
      <c r="B29" s="10" t="inlineStr">
        <is>
          <t>205 gti</t>
        </is>
      </c>
      <c r="C29" s="12" t="n">
        <v>10000</v>
      </c>
      <c r="D29" s="12" t="n">
        <v>17840</v>
      </c>
      <c r="E29" s="13">
        <f>IF(AND(ISNUMBER(C29),ISNUMBER(D29),D29&gt;0),1-C29/D29,"")</f>
        <v/>
      </c>
      <c r="F29" s="15" t="n">
        <v>210000</v>
      </c>
      <c r="G29" s="16" t="n">
        <v>1991</v>
      </c>
      <c r="H29" s="10" t="inlineStr">
        <is>
          <t>Anet</t>
        </is>
      </c>
      <c r="I29" s="19" t="inlineStr">
        <is>
          <t>Voir</t>
        </is>
      </c>
      <c r="J29" s="18" t="n">
        <v>46296</v>
      </c>
    </row>
    <row r="30">
      <c r="A30" s="10" t="inlineStr">
        <is>
          <t>Alfa Romeo 156 2.5 V6 24V</t>
        </is>
      </c>
      <c r="B30" s="10" t="inlineStr">
        <is>
          <t>Alfa 156 2.5 v6 GPL</t>
        </is>
      </c>
      <c r="C30" s="12" t="n">
        <v>3200</v>
      </c>
      <c r="D30" s="12" t="n">
        <v>5700</v>
      </c>
      <c r="E30" s="13">
        <f>IF(AND(ISNUMBER(C30),ISNUMBER(D30),D30&gt;0),1-C30/D30,"")</f>
        <v/>
      </c>
      <c r="F30" s="15" t="n">
        <v>202000</v>
      </c>
      <c r="G30" s="16" t="n">
        <v>1999</v>
      </c>
      <c r="H30" s="10" t="inlineStr">
        <is>
          <t>Romans</t>
        </is>
      </c>
      <c r="I30" s="19" t="inlineStr">
        <is>
          <t>Voir</t>
        </is>
      </c>
      <c r="J30" s="18" t="n">
        <v>46296</v>
      </c>
    </row>
    <row r="31">
      <c r="A31" s="10" t="inlineStr">
        <is>
          <t>Honda S2000</t>
        </is>
      </c>
      <c r="B31" s="10" t="inlineStr">
        <is>
          <t>Honda S2000</t>
        </is>
      </c>
      <c r="C31" s="12" t="n">
        <v>13000</v>
      </c>
      <c r="D31" s="12" t="n">
        <v>22260</v>
      </c>
      <c r="E31" s="13">
        <f>IF(AND(ISNUMBER(C31),ISNUMBER(D31),D31&gt;0),1-C31/D31,"")</f>
        <v/>
      </c>
      <c r="F31" s="15" t="n">
        <v>140000</v>
      </c>
      <c r="G31" s="16" t="n">
        <v>2006</v>
      </c>
      <c r="H31" s="10" t="inlineStr">
        <is>
          <t>Lens</t>
        </is>
      </c>
      <c r="I31" s="19" t="inlineStr">
        <is>
          <t>Voir</t>
        </is>
      </c>
      <c r="J31" s="18" t="n">
        <v>46296</v>
      </c>
    </row>
    <row r="32">
      <c r="A32" s="10" t="inlineStr">
        <is>
          <t>Mazda MX-5 NA</t>
        </is>
      </c>
      <c r="B32" s="10" t="inlineStr">
        <is>
          <t>Mazda mx5 na</t>
        </is>
      </c>
      <c r="C32" s="12" t="n">
        <v>6500</v>
      </c>
      <c r="D32" s="12" t="n">
        <v>10700</v>
      </c>
      <c r="E32" s="13">
        <f>IF(AND(ISNUMBER(C32),ISNUMBER(D32),D32&gt;0),1-C32/D32,"")</f>
        <v/>
      </c>
      <c r="F32" s="15" t="n">
        <v>215000</v>
      </c>
      <c r="G32" s="16" t="n">
        <v>1995</v>
      </c>
      <c r="H32" s="10" t="inlineStr">
        <is>
          <t>Villeneuve-d'Ascq</t>
        </is>
      </c>
      <c r="I32" s="19" t="inlineStr">
        <is>
          <t>Voir</t>
        </is>
      </c>
      <c r="J32" s="18" t="n">
        <v>46296</v>
      </c>
    </row>
    <row r="33">
      <c r="A33" s="10" t="inlineStr">
        <is>
          <t>Renault Clio II RS (172/182 ch)</t>
        </is>
      </c>
      <c r="B33" s="10" t="inlineStr">
        <is>
          <t>Clio rs</t>
        </is>
      </c>
      <c r="C33" s="12" t="n">
        <v>7300</v>
      </c>
      <c r="D33" s="12" t="n">
        <v>11920</v>
      </c>
      <c r="E33" s="13">
        <f>IF(AND(ISNUMBER(C33),ISNUMBER(D33),D33&gt;0),1-C33/D33,"")</f>
        <v/>
      </c>
      <c r="F33" s="15" t="n">
        <v>136000</v>
      </c>
      <c r="G33" s="16" t="n">
        <v>2001</v>
      </c>
      <c r="H33" s="10" t="inlineStr">
        <is>
          <t>Saint-Laurent-du-Var</t>
        </is>
      </c>
      <c r="I33" s="19" t="inlineStr">
        <is>
          <t>Voir</t>
        </is>
      </c>
      <c r="J33" s="18" t="n">
        <v>46296</v>
      </c>
    </row>
    <row r="34">
      <c r="A34" s="10" t="inlineStr">
        <is>
          <t>Mazda MX-5 NA</t>
        </is>
      </c>
      <c r="B34" s="10" t="inlineStr">
        <is>
          <t>Mazda Mx5 NA</t>
        </is>
      </c>
      <c r="C34" s="12" t="n">
        <v>7000</v>
      </c>
      <c r="D34" s="12" t="n">
        <v>11340</v>
      </c>
      <c r="E34" s="13">
        <f>IF(AND(ISNUMBER(C34),ISNUMBER(D34),D34&gt;0),1-C34/D34,"")</f>
        <v/>
      </c>
      <c r="F34" s="15" t="n">
        <v>175000</v>
      </c>
      <c r="G34" s="16" t="n">
        <v>1997</v>
      </c>
      <c r="H34" s="10" t="inlineStr">
        <is>
          <t>Faverges-Seythenex</t>
        </is>
      </c>
      <c r="I34" s="19" t="inlineStr">
        <is>
          <t>Voir</t>
        </is>
      </c>
      <c r="J34" s="18" t="n">
        <v>46296</v>
      </c>
    </row>
    <row r="35">
      <c r="A35" s="10" t="inlineStr">
        <is>
          <t>Peugeot 205 GTI</t>
        </is>
      </c>
      <c r="B35" s="10" t="inlineStr">
        <is>
          <t>205 gti 1l6</t>
        </is>
      </c>
      <c r="C35" s="12" t="n">
        <v>11500</v>
      </c>
      <c r="D35" s="12" t="n">
        <v>17880</v>
      </c>
      <c r="E35" s="13">
        <f>IF(AND(ISNUMBER(C35),ISNUMBER(D35),D35&gt;0),1-C35/D35,"")</f>
        <v/>
      </c>
      <c r="F35" s="15" t="n">
        <v>180000</v>
      </c>
      <c r="G35" s="16" t="n">
        <v>1986</v>
      </c>
      <c r="H35" s="10" t="inlineStr">
        <is>
          <t>La Roche-sur-Foron</t>
        </is>
      </c>
      <c r="I35" s="19" t="inlineStr">
        <is>
          <t>Voir</t>
        </is>
      </c>
      <c r="J35" s="18" t="n">
        <v>46296</v>
      </c>
    </row>
    <row r="36">
      <c r="A36" s="10" t="inlineStr">
        <is>
          <t>Porsche Boxster 987</t>
        </is>
      </c>
      <c r="B36" s="10" t="inlineStr">
        <is>
          <t>Porsche boxster 987</t>
        </is>
      </c>
      <c r="C36" s="12" t="n">
        <v>20000</v>
      </c>
      <c r="D36" s="12" t="n">
        <v>30200</v>
      </c>
      <c r="E36" s="13">
        <f>IF(AND(ISNUMBER(C36),ISNUMBER(D36),D36&gt;0),1-C36/D36,"")</f>
        <v/>
      </c>
      <c r="F36" s="15" t="n">
        <v>116000</v>
      </c>
      <c r="G36" s="16" t="n">
        <v>2005</v>
      </c>
      <c r="H36" s="10" t="inlineStr">
        <is>
          <t>Sèvremoine</t>
        </is>
      </c>
      <c r="I36" s="19" t="inlineStr">
        <is>
          <t>Voir</t>
        </is>
      </c>
      <c r="J36" s="18" t="n">
        <v>46296</v>
      </c>
    </row>
    <row r="37">
      <c r="A37" s="10" t="inlineStr">
        <is>
          <t>Porsche Boxster 986</t>
        </is>
      </c>
      <c r="B37" s="10" t="inlineStr">
        <is>
          <t>Porsche Boxster 986 avec 77053 km</t>
        </is>
      </c>
      <c r="C37" s="12" t="n">
        <v>13650</v>
      </c>
      <c r="D37" s="12" t="n">
        <v>20060</v>
      </c>
      <c r="E37" s="13">
        <f>IF(AND(ISNUMBER(C37),ISNUMBER(D37),D37&gt;0),1-C37/D37,"")</f>
        <v/>
      </c>
      <c r="F37" s="15" t="n">
        <v>77053</v>
      </c>
      <c r="G37" s="16" t="n">
        <v>1998</v>
      </c>
      <c r="H37" s="10" t="inlineStr">
        <is>
          <t>La Valette-du-Var</t>
        </is>
      </c>
      <c r="I37" s="19" t="inlineStr">
        <is>
          <t>Voir</t>
        </is>
      </c>
      <c r="J37" s="18" t="n">
        <v>46296</v>
      </c>
    </row>
    <row r="38">
      <c r="A38" s="10" t="inlineStr">
        <is>
          <t>Porsche Boxster 987</t>
        </is>
      </c>
      <c r="B38" s="10" t="inlineStr">
        <is>
          <t>Porsche Boxster 987 2.7L BVA</t>
        </is>
      </c>
      <c r="C38" s="12" t="n">
        <v>23500</v>
      </c>
      <c r="D38" s="12" t="n">
        <v>34220</v>
      </c>
      <c r="E38" s="13">
        <f>IF(AND(ISNUMBER(C38),ISNUMBER(D38),D38&gt;0),1-C38/D38,"")</f>
        <v/>
      </c>
      <c r="F38" s="15" t="n">
        <v>69900</v>
      </c>
      <c r="G38" s="16" t="n">
        <v>2006</v>
      </c>
      <c r="H38" s="10" t="inlineStr">
        <is>
          <t>Vigneux-de-Bretagne</t>
        </is>
      </c>
      <c r="I38" s="19" t="inlineStr">
        <is>
          <t>Voir</t>
        </is>
      </c>
      <c r="J38" s="18" t="n">
        <v>46296</v>
      </c>
    </row>
    <row r="39">
      <c r="A39" s="10" t="inlineStr">
        <is>
          <t>Renault Clio II RS (172/182 ch)</t>
        </is>
      </c>
      <c r="B39" s="10" t="inlineStr">
        <is>
          <t>Clio 2 rs phase 2, 2L 16v 172chv</t>
        </is>
      </c>
      <c r="C39" s="12" t="n">
        <v>6000</v>
      </c>
      <c r="D39" s="12" t="n">
        <v>8680</v>
      </c>
      <c r="E39" s="13">
        <f>IF(AND(ISNUMBER(C39),ISNUMBER(D39),D39&gt;0),1-C39/D39,"")</f>
        <v/>
      </c>
      <c r="F39" s="15" t="n">
        <v>225000</v>
      </c>
      <c r="G39" s="16" t="n">
        <v>2001</v>
      </c>
      <c r="H39" s="10" t="inlineStr">
        <is>
          <t>Grandvillers-aux-Bois</t>
        </is>
      </c>
      <c r="I39" s="19" t="inlineStr">
        <is>
          <t>Voir</t>
        </is>
      </c>
      <c r="J39" s="18" t="n">
        <v>46296</v>
      </c>
    </row>
    <row r="40">
      <c r="A40" s="10" t="inlineStr">
        <is>
          <t>Alfa Romeo 156 2.5 V6 24V</t>
        </is>
      </c>
      <c r="B40" s="10" t="inlineStr">
        <is>
          <t>Alfa Romeo 156 v6 SW 2.5</t>
        </is>
      </c>
      <c r="C40" s="12" t="n">
        <v>4000</v>
      </c>
      <c r="D40" s="12" t="n">
        <v>5700</v>
      </c>
      <c r="E40" s="13">
        <f>IF(AND(ISNUMBER(C40),ISNUMBER(D40),D40&gt;0),1-C40/D40,"")</f>
        <v/>
      </c>
      <c r="F40" s="15" t="n">
        <v>175000</v>
      </c>
      <c r="G40" s="16" t="n">
        <v>2004</v>
      </c>
      <c r="H40" s="10" t="inlineStr">
        <is>
          <t>Mortcerf</t>
        </is>
      </c>
      <c r="I40" s="19" t="inlineStr">
        <is>
          <t>Voir</t>
        </is>
      </c>
      <c r="J40" s="18" t="n">
        <v>46296</v>
      </c>
    </row>
    <row r="41">
      <c r="A41" s="10" t="inlineStr">
        <is>
          <t>Porsche Boxster 987</t>
        </is>
      </c>
      <c r="B41" s="10" t="inlineStr">
        <is>
          <t>Porsche Boxster 987 S</t>
        </is>
      </c>
      <c r="C41" s="12" t="n">
        <v>18950</v>
      </c>
      <c r="D41" s="12" t="n">
        <v>26360</v>
      </c>
      <c r="E41" s="13">
        <f>IF(AND(ISNUMBER(C41),ISNUMBER(D41),D41&gt;0),1-C41/D41,"")</f>
        <v/>
      </c>
      <c r="F41" s="15" t="n">
        <v>240145</v>
      </c>
      <c r="G41" s="16" t="n">
        <v>2005</v>
      </c>
      <c r="H41" s="10" t="inlineStr">
        <is>
          <t>Monlezun</t>
        </is>
      </c>
      <c r="I41" s="19" t="inlineStr">
        <is>
          <t>Voir</t>
        </is>
      </c>
      <c r="J41" s="18" t="n">
        <v>46296</v>
      </c>
    </row>
    <row r="42">
      <c r="A42" s="10" t="inlineStr">
        <is>
          <t>Peugeot 206 RC</t>
        </is>
      </c>
      <c r="B42" s="10" t="inlineStr">
        <is>
          <t>206 rc</t>
        </is>
      </c>
      <c r="C42" s="12" t="n">
        <v>6200</v>
      </c>
      <c r="D42" s="12" t="n">
        <v>8570</v>
      </c>
      <c r="E42" s="13">
        <f>IF(AND(ISNUMBER(C42),ISNUMBER(D42),D42&gt;0),1-C42/D42,"")</f>
        <v/>
      </c>
      <c r="F42" s="15" t="n">
        <v>215500</v>
      </c>
      <c r="G42" s="16" t="n">
        <v>2005</v>
      </c>
      <c r="H42" s="10" t="inlineStr">
        <is>
          <t>Coulonges-sur-Sarthe</t>
        </is>
      </c>
      <c r="I42" s="19" t="inlineStr">
        <is>
          <t>Voir</t>
        </is>
      </c>
      <c r="J42" s="18" t="n">
        <v>46296</v>
      </c>
    </row>
    <row r="43">
      <c r="A43" s="10" t="inlineStr">
        <is>
          <t>Peugeot 206 RC</t>
        </is>
      </c>
      <c r="B43" s="10" t="inlineStr">
        <is>
          <t>Peugeot 206 RC</t>
        </is>
      </c>
      <c r="C43" s="12" t="n">
        <v>5400</v>
      </c>
      <c r="D43" s="12" t="n">
        <v>7410</v>
      </c>
      <c r="E43" s="13">
        <f>IF(AND(ISNUMBER(C43),ISNUMBER(D43),D43&gt;0),1-C43/D43,"")</f>
        <v/>
      </c>
      <c r="F43" s="15" t="n">
        <v>244000</v>
      </c>
      <c r="G43" s="16" t="n">
        <v>2003</v>
      </c>
      <c r="H43" s="10" t="inlineStr">
        <is>
          <t>La Roche-sur-Foron</t>
        </is>
      </c>
      <c r="I43" s="19" t="inlineStr">
        <is>
          <t>Voir</t>
        </is>
      </c>
      <c r="J43" s="18" t="n">
        <v>46296</v>
      </c>
    </row>
    <row r="44">
      <c r="A44" s="10" t="inlineStr">
        <is>
          <t>Renault Clio II RS (172/182 ch)</t>
        </is>
      </c>
      <c r="B44" s="10" t="inlineStr">
        <is>
          <t>Clio rs</t>
        </is>
      </c>
      <c r="C44" s="12" t="n">
        <v>8900</v>
      </c>
      <c r="D44" s="12" t="n">
        <v>12040</v>
      </c>
      <c r="E44" s="13">
        <f>IF(AND(ISNUMBER(C44),ISNUMBER(D44),D44&gt;0),1-C44/D44,"")</f>
        <v/>
      </c>
      <c r="F44" s="15" t="n">
        <v>133000</v>
      </c>
      <c r="G44" s="16" t="n">
        <v>2006</v>
      </c>
      <c r="H44" s="10" t="inlineStr">
        <is>
          <t>Villages du Lac de Paladru</t>
        </is>
      </c>
      <c r="I44" s="19" t="inlineStr">
        <is>
          <t>Voir</t>
        </is>
      </c>
      <c r="J44" s="18" t="n">
        <v>46296</v>
      </c>
    </row>
    <row r="45">
      <c r="A45" s="10" t="inlineStr">
        <is>
          <t>Renault Clio II RS (172/182 ch)</t>
        </is>
      </c>
      <c r="B45" s="10" t="inlineStr">
        <is>
          <t>Clio RS</t>
        </is>
      </c>
      <c r="C45" s="12" t="n">
        <v>6500</v>
      </c>
      <c r="D45" s="12" t="n">
        <v>8680</v>
      </c>
      <c r="E45" s="13">
        <f>IF(AND(ISNUMBER(C45),ISNUMBER(D45),D45&gt;0),1-C45/D45,"")</f>
        <v/>
      </c>
      <c r="F45" s="15" t="n">
        <v>260000</v>
      </c>
      <c r="G45" s="16" t="n">
        <v>2000</v>
      </c>
      <c r="H45" s="10" t="inlineStr">
        <is>
          <t>Montauban</t>
        </is>
      </c>
      <c r="I45" s="19" t="inlineStr">
        <is>
          <t>Voir</t>
        </is>
      </c>
      <c r="J45" s="18" t="n">
        <v>46296</v>
      </c>
    </row>
    <row r="46">
      <c r="A46" s="10" t="inlineStr">
        <is>
          <t>BMW Z3 1.9i / 2.0i</t>
        </is>
      </c>
      <c r="B46" s="10" t="inlineStr">
        <is>
          <t>Bmw Z3 2.0 150 ch 6 cylindres cabriolet</t>
        </is>
      </c>
      <c r="C46" s="12" t="n">
        <v>7490</v>
      </c>
      <c r="D46" s="12" t="n">
        <v>10000</v>
      </c>
      <c r="E46" s="13">
        <f>IF(AND(ISNUMBER(C46),ISNUMBER(D46),D46&gt;0),1-C46/D46,"")</f>
        <v/>
      </c>
      <c r="F46" s="15" t="n">
        <v>231500</v>
      </c>
      <c r="G46" s="16" t="n">
        <v>2000</v>
      </c>
      <c r="H46" s="10" t="inlineStr">
        <is>
          <t>Saint-Étienne</t>
        </is>
      </c>
      <c r="I46" s="19" t="inlineStr">
        <is>
          <t>Voir</t>
        </is>
      </c>
      <c r="J46" s="18" t="n">
        <v>46296</v>
      </c>
    </row>
    <row r="47">
      <c r="A47" s="10" t="inlineStr">
        <is>
          <t>Renault Twingo 1 découvrable</t>
        </is>
      </c>
      <c r="B47" s="10" t="inlineStr">
        <is>
          <t>Renault Twingo 1.2 16V 75 ch Initiale – Toit ouvrant</t>
        </is>
      </c>
      <c r="C47" s="12" t="n">
        <v>2200</v>
      </c>
      <c r="D47" s="12" t="n">
        <v>2930</v>
      </c>
      <c r="E47" s="13">
        <f>IF(AND(ISNUMBER(C47),ISNUMBER(D47),D47&gt;0),1-C47/D47,"")</f>
        <v/>
      </c>
      <c r="F47" s="15" t="n">
        <v>175395</v>
      </c>
      <c r="G47" s="16" t="n">
        <v>2003</v>
      </c>
      <c r="H47" s="10" t="inlineStr">
        <is>
          <t>Suresnes</t>
        </is>
      </c>
      <c r="I47" s="19" t="inlineStr">
        <is>
          <t>Voir</t>
        </is>
      </c>
      <c r="J47" s="18" t="n">
        <v>46296</v>
      </c>
    </row>
    <row r="48">
      <c r="A48" s="10" t="inlineStr">
        <is>
          <t>Renault Mégane II RS R26</t>
        </is>
      </c>
      <c r="B48" s="10" t="inlineStr">
        <is>
          <t>Renault megane rs 2.0t 16v 230 f1 team r26 numerotee 41mkm</t>
        </is>
      </c>
      <c r="C48" s="12" t="n">
        <v>19900</v>
      </c>
      <c r="D48" s="12" t="n">
        <v>26390</v>
      </c>
      <c r="E48" s="13">
        <f>IF(AND(ISNUMBER(C48),ISNUMBER(D48),D48&gt;0),1-C48/D48,"")</f>
        <v/>
      </c>
      <c r="F48" s="15" t="n">
        <v>41461</v>
      </c>
      <c r="G48" s="16" t="n">
        <v>2007</v>
      </c>
      <c r="H48" s="10" t="inlineStr">
        <is>
          <t>Sorgues</t>
        </is>
      </c>
      <c r="I48" s="19" t="inlineStr">
        <is>
          <t>Voir</t>
        </is>
      </c>
      <c r="J48" s="18" t="n">
        <v>46296</v>
      </c>
    </row>
    <row r="49">
      <c r="A49" s="10" t="inlineStr">
        <is>
          <t>Renault Twingo 1 découvrable</t>
        </is>
      </c>
      <c r="B49" s="10" t="inlineStr">
        <is>
          <t>Twingo phase 2 1.2I 16V 75vh toit ouvrant</t>
        </is>
      </c>
      <c r="C49" s="12" t="n">
        <v>1990</v>
      </c>
      <c r="D49" s="12" t="n">
        <v>2630</v>
      </c>
      <c r="E49" s="13">
        <f>IF(AND(ISNUMBER(C49),ISNUMBER(D49),D49&gt;0),1-C49/D49,"")</f>
        <v/>
      </c>
      <c r="F49" s="15" t="n">
        <v>193000</v>
      </c>
      <c r="G49" s="16" t="n">
        <v>2001</v>
      </c>
      <c r="H49" s="10" t="inlineStr">
        <is>
          <t>Grenoble</t>
        </is>
      </c>
      <c r="I49" s="19" t="inlineStr">
        <is>
          <t>Voir</t>
        </is>
      </c>
      <c r="J49" s="18" t="n">
        <v>46296</v>
      </c>
    </row>
    <row r="50">
      <c r="A50" s="10" t="inlineStr">
        <is>
          <t>Renault Mégane II RS R26</t>
        </is>
      </c>
      <c r="B50" s="10" t="inlineStr">
        <is>
          <t>Renault MEGANE II (2) 2.0 T RS F1 TEAM R26 / USAGE CIRCUIT, PISTE, TRACKDAY, TRACKTOOL</t>
        </is>
      </c>
      <c r="C50" s="12" t="n">
        <v>14900</v>
      </c>
      <c r="D50" s="12" t="n">
        <v>19680</v>
      </c>
      <c r="E50" s="13">
        <f>IF(AND(ISNUMBER(C50),ISNUMBER(D50),D50&gt;0),1-C50/D50,"")</f>
        <v/>
      </c>
      <c r="F50" s="15" t="n">
        <v>179700</v>
      </c>
      <c r="G50" s="16" t="n">
        <v>2007</v>
      </c>
      <c r="H50" s="10" t="inlineStr">
        <is>
          <t>Les Sables-d'Olonne</t>
        </is>
      </c>
      <c r="I50" s="19" t="inlineStr">
        <is>
          <t>Voir</t>
        </is>
      </c>
      <c r="J50" s="18" t="n">
        <v>46296</v>
      </c>
    </row>
    <row r="51">
      <c r="A51" s="10" t="inlineStr">
        <is>
          <t>Alfa Romeo 156 2.5 V6 24V</t>
        </is>
      </c>
      <c r="B51" s="10" t="inlineStr">
        <is>
          <t>Alfa romeo 166 v6 busso 2003</t>
        </is>
      </c>
      <c r="C51" s="12" t="n">
        <v>4390</v>
      </c>
      <c r="D51" s="12" t="n">
        <v>5700</v>
      </c>
      <c r="E51" s="13">
        <f>IF(AND(ISNUMBER(C51),ISNUMBER(D51),D51&gt;0),1-C51/D51,"")</f>
        <v/>
      </c>
      <c r="F51" s="15" t="n">
        <v>207800</v>
      </c>
      <c r="G51" s="16" t="n">
        <v>2003</v>
      </c>
      <c r="H51" s="10" t="inlineStr">
        <is>
          <t>Lapalisse</t>
        </is>
      </c>
      <c r="I51" s="19" t="inlineStr">
        <is>
          <t>Voir</t>
        </is>
      </c>
      <c r="J51" s="18" t="n">
        <v>46296</v>
      </c>
    </row>
    <row r="52">
      <c r="A52" s="10" t="inlineStr">
        <is>
          <t>Porsche Boxster 986</t>
        </is>
      </c>
      <c r="B52" s="10" t="inlineStr">
        <is>
          <t>Porsche Boxster 986 (Vente ou Echange)</t>
        </is>
      </c>
      <c r="C52" s="12" t="n">
        <v>9700</v>
      </c>
      <c r="D52" s="12" t="n">
        <v>12540</v>
      </c>
      <c r="E52" s="13">
        <f>IF(AND(ISNUMBER(C52),ISNUMBER(D52),D52&gt;0),1-C52/D52,"")</f>
        <v/>
      </c>
      <c r="F52" s="15" t="n">
        <v>225000</v>
      </c>
      <c r="G52" s="16" t="n">
        <v>1999</v>
      </c>
      <c r="H52" s="10" t="inlineStr">
        <is>
          <t>Hagetmau</t>
        </is>
      </c>
      <c r="I52" s="19" t="inlineStr">
        <is>
          <t>Voir</t>
        </is>
      </c>
      <c r="J52" s="18" t="n">
        <v>46296</v>
      </c>
    </row>
    <row r="53">
      <c r="A53" s="10" t="inlineStr">
        <is>
          <t>Porsche Boxster 986</t>
        </is>
      </c>
      <c r="B53" s="10" t="inlineStr">
        <is>
          <t>Porsche Boxster 986</t>
        </is>
      </c>
      <c r="C53" s="12" t="n">
        <v>14000</v>
      </c>
      <c r="D53" s="12" t="n">
        <v>17950</v>
      </c>
      <c r="E53" s="13">
        <f>IF(AND(ISNUMBER(C53),ISNUMBER(D53),D53&gt;0),1-C53/D53,"")</f>
        <v/>
      </c>
      <c r="F53" s="15" t="n">
        <v>131500</v>
      </c>
      <c r="G53" s="16" t="n">
        <v>1999</v>
      </c>
      <c r="H53" s="10" t="inlineStr">
        <is>
          <t>Montpellier</t>
        </is>
      </c>
      <c r="I53" s="19" t="inlineStr">
        <is>
          <t>Voir</t>
        </is>
      </c>
      <c r="J53" s="18" t="n">
        <v>46296</v>
      </c>
    </row>
    <row r="54">
      <c r="A54" s="10" t="inlineStr">
        <is>
          <t>BMW Z3 1.9i / 2.0i</t>
        </is>
      </c>
      <c r="B54" s="10" t="inlineStr">
        <is>
          <t>Bmw z3 1.9 i</t>
        </is>
      </c>
      <c r="C54" s="12" t="n">
        <v>9500</v>
      </c>
      <c r="D54" s="12" t="n">
        <v>12050</v>
      </c>
      <c r="E54" s="13">
        <f>IF(AND(ISNUMBER(C54),ISNUMBER(D54),D54&gt;0),1-C54/D54,"")</f>
        <v/>
      </c>
      <c r="F54" s="15" t="n">
        <v>128482</v>
      </c>
      <c r="G54" s="16" t="n">
        <v>1999</v>
      </c>
      <c r="H54" s="10" t="inlineStr">
        <is>
          <t>Andilly</t>
        </is>
      </c>
      <c r="I54" s="19" t="inlineStr">
        <is>
          <t>Voir</t>
        </is>
      </c>
      <c r="J54" s="18" t="n">
        <v>46296</v>
      </c>
    </row>
    <row r="55">
      <c r="A55" s="10" t="inlineStr">
        <is>
          <t>Porsche Boxster 987</t>
        </is>
      </c>
      <c r="B55" s="10" t="inlineStr">
        <is>
          <t>Porsche Boxster 987.1 2.7L 240CV</t>
        </is>
      </c>
      <c r="C55" s="12" t="n">
        <v>28000</v>
      </c>
      <c r="D55" s="12" t="n">
        <v>35310</v>
      </c>
      <c r="E55" s="13">
        <f>IF(AND(ISNUMBER(C55),ISNUMBER(D55),D55&gt;0),1-C55/D55,"")</f>
        <v/>
      </c>
      <c r="F55" s="15" t="n">
        <v>35000</v>
      </c>
      <c r="G55" s="16" t="n">
        <v>2005</v>
      </c>
      <c r="H55" s="10" t="inlineStr">
        <is>
          <t>Chaumes-en-Retz</t>
        </is>
      </c>
      <c r="I55" s="19" t="inlineStr">
        <is>
          <t>Voir</t>
        </is>
      </c>
      <c r="J55" s="18" t="n">
        <v>46296</v>
      </c>
    </row>
    <row r="56">
      <c r="A56" s="10" t="inlineStr">
        <is>
          <t>Renault Mégane II RS R26</t>
        </is>
      </c>
      <c r="B56" s="10" t="inlineStr">
        <is>
          <t>Megane RS R26</t>
        </is>
      </c>
      <c r="C56" s="12" t="n">
        <v>19000</v>
      </c>
      <c r="D56" s="12" t="n">
        <v>23680</v>
      </c>
      <c r="E56" s="13">
        <f>IF(AND(ISNUMBER(C56),ISNUMBER(D56),D56&gt;0),1-C56/D56,"")</f>
        <v/>
      </c>
      <c r="F56" s="15" t="n">
        <v>88000</v>
      </c>
      <c r="G56" s="16" t="n">
        <v>2008</v>
      </c>
      <c r="H56" s="10" t="inlineStr">
        <is>
          <t>Grandchamps-des-Fontaines</t>
        </is>
      </c>
      <c r="I56" s="19" t="inlineStr">
        <is>
          <t>Voir</t>
        </is>
      </c>
      <c r="J56" s="18" t="n">
        <v>46296</v>
      </c>
    </row>
    <row r="57">
      <c r="A57" s="10" t="inlineStr">
        <is>
          <t>Peugeot 206 RC</t>
        </is>
      </c>
      <c r="B57" s="10" t="inlineStr">
        <is>
          <t>206 rc</t>
        </is>
      </c>
      <c r="C57" s="12" t="n">
        <v>7000</v>
      </c>
      <c r="D57" s="12" t="n">
        <v>8600</v>
      </c>
      <c r="E57" s="13">
        <f>IF(AND(ISNUMBER(C57),ISNUMBER(D57),D57&gt;0),1-C57/D57,"")</f>
        <v/>
      </c>
      <c r="F57" s="15" t="n">
        <v>215000</v>
      </c>
      <c r="G57" s="16" t="n">
        <v>2003</v>
      </c>
      <c r="H57" s="10" t="inlineStr">
        <is>
          <t>Sanary-sur-Mer</t>
        </is>
      </c>
      <c r="I57" s="19" t="inlineStr">
        <is>
          <t>Voir</t>
        </is>
      </c>
      <c r="J57" s="18" t="n">
        <v>46296</v>
      </c>
    </row>
    <row r="58">
      <c r="A58" s="10" t="inlineStr">
        <is>
          <t>Porsche Boxster 987</t>
        </is>
      </c>
      <c r="B58" s="10" t="inlineStr">
        <is>
          <t>Porsche boxster 987</t>
        </is>
      </c>
      <c r="C58" s="12" t="n">
        <v>25900</v>
      </c>
      <c r="D58" s="12" t="n">
        <v>31520</v>
      </c>
      <c r="E58" s="13">
        <f>IF(AND(ISNUMBER(C58),ISNUMBER(D58),D58&gt;0),1-C58/D58,"")</f>
        <v/>
      </c>
      <c r="F58" s="15" t="n">
        <v>100900</v>
      </c>
      <c r="G58" s="16" t="n">
        <v>2006</v>
      </c>
      <c r="H58" s="10" t="inlineStr">
        <is>
          <t>Bourg-la-Reine</t>
        </is>
      </c>
      <c r="I58" s="19" t="inlineStr">
        <is>
          <t>Voir</t>
        </is>
      </c>
      <c r="J58" s="18" t="n">
        <v>46296</v>
      </c>
    </row>
    <row r="59">
      <c r="A59" s="10" t="inlineStr">
        <is>
          <t>Peugeot 206 RC</t>
        </is>
      </c>
      <c r="B59" s="10" t="inlineStr">
        <is>
          <t>Peugeot 206 RC</t>
        </is>
      </c>
      <c r="C59" s="12" t="n">
        <v>10500</v>
      </c>
      <c r="D59" s="12" t="n">
        <v>12710</v>
      </c>
      <c r="E59" s="13">
        <f>IF(AND(ISNUMBER(C59),ISNUMBER(D59),D59&gt;0),1-C59/D59,"")</f>
        <v/>
      </c>
      <c r="F59" s="15" t="n">
        <v>114000</v>
      </c>
      <c r="G59" s="16" t="n">
        <v>2003</v>
      </c>
      <c r="H59" s="10" t="inlineStr">
        <is>
          <t>Tagnon</t>
        </is>
      </c>
      <c r="I59" s="19" t="inlineStr">
        <is>
          <t>Voir</t>
        </is>
      </c>
      <c r="J59" s="18" t="n">
        <v>46296</v>
      </c>
    </row>
    <row r="60">
      <c r="A60" s="10" t="inlineStr">
        <is>
          <t>Porsche 911 997 Carrera S</t>
        </is>
      </c>
      <c r="B60" s="10" t="inlineStr">
        <is>
          <t>PORSCHE 911 Type 997 3.8 355ch Carrera S TipTronic S - 2005 - 182 000 km - Endoscope Cylindre réalisé - Suivi complet</t>
        </is>
      </c>
      <c r="C60" s="12" t="n">
        <v>39990</v>
      </c>
      <c r="D60" s="12" t="n">
        <v>48270</v>
      </c>
      <c r="E60" s="13">
        <f>IF(AND(ISNUMBER(C60),ISNUMBER(D60),D60&gt;0),1-C60/D60,"")</f>
        <v/>
      </c>
      <c r="F60" s="15" t="n">
        <v>182000</v>
      </c>
      <c r="G60" s="16" t="n">
        <v>2005</v>
      </c>
      <c r="H60" s="10" t="inlineStr">
        <is>
          <t>Chartres</t>
        </is>
      </c>
      <c r="I60" s="19" t="inlineStr">
        <is>
          <t>Voir</t>
        </is>
      </c>
      <c r="J60" s="18" t="n">
        <v>46296</v>
      </c>
    </row>
    <row r="61">
      <c r="A61" s="10" t="inlineStr">
        <is>
          <t>BMW Z3 1.9i / 2.0i</t>
        </is>
      </c>
      <c r="B61" s="10" t="inlineStr">
        <is>
          <t>BMW Z3 1.9i 140ch Pack M Sport tbé Cuir Clim</t>
        </is>
      </c>
      <c r="C61" s="12" t="n">
        <v>8990</v>
      </c>
      <c r="D61" s="12" t="n">
        <v>10780</v>
      </c>
      <c r="E61" s="13">
        <f>IF(AND(ISNUMBER(C61),ISNUMBER(D61),D61&gt;0),1-C61/D61,"")</f>
        <v/>
      </c>
      <c r="F61" s="15" t="n">
        <v>186000</v>
      </c>
      <c r="G61" s="16" t="n">
        <v>1998</v>
      </c>
      <c r="H61" s="10" t="inlineStr">
        <is>
          <t>Jury</t>
        </is>
      </c>
      <c r="I61" s="19" t="inlineStr">
        <is>
          <t>Voir</t>
        </is>
      </c>
      <c r="J61" s="18" t="n">
        <v>46296</v>
      </c>
    </row>
    <row r="62">
      <c r="A62" s="10" t="inlineStr">
        <is>
          <t>Renault Mégane II RS R26</t>
        </is>
      </c>
      <c r="B62" s="10" t="inlineStr">
        <is>
          <t>Mégane 2 rs f1 Team r26</t>
        </is>
      </c>
      <c r="C62" s="12" t="n">
        <v>22000</v>
      </c>
      <c r="D62" s="12" t="n">
        <v>26010</v>
      </c>
      <c r="E62" s="13">
        <f>IF(AND(ISNUMBER(C62),ISNUMBER(D62),D62&gt;0),1-C62/D62,"")</f>
        <v/>
      </c>
      <c r="F62" s="15" t="n">
        <v>48000</v>
      </c>
      <c r="G62" s="16" t="n">
        <v>2007</v>
      </c>
      <c r="H62" s="10" t="inlineStr">
        <is>
          <t>Saint-Pierre</t>
        </is>
      </c>
      <c r="I62" s="19" t="inlineStr">
        <is>
          <t>Voir</t>
        </is>
      </c>
      <c r="J62" s="18" t="n">
        <v>46296</v>
      </c>
    </row>
  </sheetData>
  <autoFilter ref="A1:J62"/>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is>
          <t>1.9, 1.9i, 2.0, 2.0i, 1.8, 1.8i, 2.2, 2.2i</t>
        </is>
      </c>
      <c r="I11" s="10" t="inlineStr">
        <is>
          <t>m roadster, m coupe, coupe, 3.0, 2.8</t>
        </is>
      </c>
      <c r="J11" s="16" t="n">
        <v>35</v>
      </c>
      <c r="K11" s="16" t="n">
        <v>40</v>
      </c>
      <c r="L11" s="16" t="n">
        <v>65</v>
      </c>
      <c r="M11" s="18" t="n">
        <v>46296</v>
      </c>
      <c r="N11" s="10" t="inlineStr">
        <is>
          <t>Roadster BMW le plus abordable. M Roadster et coupé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2026-10-01T16:25:25Z</dcterms:created>
  <dcterms:modified xsi:type="dcterms:W3CDTF">2026-10-01T16:25:25Z</dcterms:modified>
</cp:coreProperties>
</file>